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ono\OneDrive\Documents\CODM Data Templates\Player Data Template\"/>
    </mc:Choice>
  </mc:AlternateContent>
  <bookViews>
    <workbookView xWindow="0" yWindow="0" windowWidth="24000" windowHeight="9300"/>
  </bookViews>
  <sheets>
    <sheet name="ENTRY DATA" sheetId="1" r:id="rId1"/>
    <sheet name="DAY 1" sheetId="2" r:id="rId2"/>
    <sheet name="DAY 2" sheetId="12" r:id="rId3"/>
    <sheet name="DAY 3" sheetId="14" r:id="rId4"/>
    <sheet name="DAY 4" sheetId="15" r:id="rId5"/>
    <sheet name="DAY 5" sheetId="16" r:id="rId6"/>
    <sheet name="ROSTER UPDATE" sheetId="7" r:id="rId7"/>
    <sheet name="SET 1 PLAYERS" sheetId="8" r:id="rId8"/>
    <sheet name="SET 2 PLAYERS" sheetId="9" r:id="rId9"/>
    <sheet name="COMBINED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0" i="9" l="1"/>
  <c r="T300" i="9"/>
  <c r="S300" i="9"/>
  <c r="U299" i="9"/>
  <c r="T299" i="9"/>
  <c r="S299" i="9"/>
  <c r="U298" i="9"/>
  <c r="T298" i="9"/>
  <c r="S298" i="9"/>
  <c r="U297" i="9"/>
  <c r="T297" i="9"/>
  <c r="S297" i="9"/>
  <c r="U296" i="9"/>
  <c r="T296" i="9"/>
  <c r="S296" i="9"/>
  <c r="U295" i="9"/>
  <c r="T295" i="9"/>
  <c r="S295" i="9"/>
  <c r="U294" i="9"/>
  <c r="T294" i="9"/>
  <c r="S294" i="9"/>
  <c r="U293" i="9"/>
  <c r="T293" i="9"/>
  <c r="S293" i="9"/>
  <c r="U292" i="9"/>
  <c r="T292" i="9"/>
  <c r="S292" i="9"/>
  <c r="U291" i="9"/>
  <c r="T291" i="9"/>
  <c r="S291" i="9"/>
  <c r="U290" i="9"/>
  <c r="T290" i="9"/>
  <c r="S290" i="9"/>
  <c r="U289" i="9"/>
  <c r="T289" i="9"/>
  <c r="S289" i="9"/>
  <c r="U288" i="9"/>
  <c r="T288" i="9"/>
  <c r="S288" i="9"/>
  <c r="U287" i="9"/>
  <c r="T287" i="9"/>
  <c r="S287" i="9"/>
  <c r="U286" i="9"/>
  <c r="T286" i="9"/>
  <c r="S286" i="9"/>
  <c r="U285" i="9"/>
  <c r="T285" i="9"/>
  <c r="S285" i="9"/>
  <c r="U284" i="9"/>
  <c r="T284" i="9"/>
  <c r="S284" i="9"/>
  <c r="U283" i="9"/>
  <c r="T283" i="9"/>
  <c r="S283" i="9"/>
  <c r="U282" i="9"/>
  <c r="T282" i="9"/>
  <c r="S282" i="9"/>
  <c r="U281" i="9"/>
  <c r="T281" i="9"/>
  <c r="S281" i="9"/>
  <c r="U280" i="9"/>
  <c r="T280" i="9"/>
  <c r="S280" i="9"/>
  <c r="U279" i="9"/>
  <c r="T279" i="9"/>
  <c r="S279" i="9"/>
  <c r="U278" i="9"/>
  <c r="T278" i="9"/>
  <c r="S278" i="9"/>
  <c r="U277" i="9"/>
  <c r="T277" i="9"/>
  <c r="S277" i="9"/>
  <c r="U276" i="9"/>
  <c r="T276" i="9"/>
  <c r="S276" i="9"/>
  <c r="U275" i="9"/>
  <c r="T275" i="9"/>
  <c r="S275" i="9"/>
  <c r="U274" i="9"/>
  <c r="T274" i="9"/>
  <c r="S274" i="9"/>
  <c r="U273" i="9"/>
  <c r="T273" i="9"/>
  <c r="S273" i="9"/>
  <c r="U272" i="9"/>
  <c r="T272" i="9"/>
  <c r="S272" i="9"/>
  <c r="U271" i="9"/>
  <c r="T271" i="9"/>
  <c r="S271" i="9"/>
  <c r="U270" i="9"/>
  <c r="T270" i="9"/>
  <c r="S270" i="9"/>
  <c r="U269" i="9"/>
  <c r="T269" i="9"/>
  <c r="S269" i="9"/>
  <c r="U268" i="9"/>
  <c r="T268" i="9"/>
  <c r="S268" i="9"/>
  <c r="U267" i="9"/>
  <c r="T267" i="9"/>
  <c r="S267" i="9"/>
  <c r="U266" i="9"/>
  <c r="T266" i="9"/>
  <c r="S266" i="9"/>
  <c r="U265" i="9"/>
  <c r="T265" i="9"/>
  <c r="S265" i="9"/>
  <c r="U264" i="9"/>
  <c r="T264" i="9"/>
  <c r="S264" i="9"/>
  <c r="U263" i="9"/>
  <c r="T263" i="9"/>
  <c r="S263" i="9"/>
  <c r="U262" i="9"/>
  <c r="T262" i="9"/>
  <c r="S262" i="9"/>
  <c r="U261" i="9"/>
  <c r="T261" i="9"/>
  <c r="S261" i="9"/>
  <c r="U260" i="9"/>
  <c r="T260" i="9"/>
  <c r="S260" i="9"/>
  <c r="U259" i="9"/>
  <c r="T259" i="9"/>
  <c r="S259" i="9"/>
  <c r="U258" i="9"/>
  <c r="T258" i="9"/>
  <c r="S258" i="9"/>
  <c r="U257" i="9"/>
  <c r="T257" i="9"/>
  <c r="S257" i="9"/>
  <c r="U256" i="9"/>
  <c r="T256" i="9"/>
  <c r="S256" i="9"/>
  <c r="U255" i="9"/>
  <c r="T255" i="9"/>
  <c r="S255" i="9"/>
  <c r="U254" i="9"/>
  <c r="T254" i="9"/>
  <c r="S254" i="9"/>
  <c r="U253" i="9"/>
  <c r="T253" i="9"/>
  <c r="S253" i="9"/>
  <c r="U252" i="9"/>
  <c r="T252" i="9"/>
  <c r="S252" i="9"/>
  <c r="U251" i="9"/>
  <c r="T251" i="9"/>
  <c r="S251" i="9"/>
  <c r="U250" i="9"/>
  <c r="T250" i="9"/>
  <c r="S250" i="9"/>
  <c r="U249" i="9"/>
  <c r="T249" i="9"/>
  <c r="S249" i="9"/>
  <c r="U248" i="9"/>
  <c r="T248" i="9"/>
  <c r="S248" i="9"/>
  <c r="U247" i="9"/>
  <c r="T247" i="9"/>
  <c r="S247" i="9"/>
  <c r="U246" i="9"/>
  <c r="T246" i="9"/>
  <c r="S246" i="9"/>
  <c r="U245" i="9"/>
  <c r="T245" i="9"/>
  <c r="S245" i="9"/>
  <c r="U244" i="9"/>
  <c r="T244" i="9"/>
  <c r="S244" i="9"/>
  <c r="U243" i="9"/>
  <c r="T243" i="9"/>
  <c r="S243" i="9"/>
  <c r="U242" i="9"/>
  <c r="T242" i="9"/>
  <c r="S242" i="9"/>
  <c r="U241" i="9"/>
  <c r="T241" i="9"/>
  <c r="S241" i="9"/>
  <c r="U240" i="9"/>
  <c r="T240" i="9"/>
  <c r="S240" i="9"/>
  <c r="U239" i="9"/>
  <c r="T239" i="9"/>
  <c r="S239" i="9"/>
  <c r="U238" i="9"/>
  <c r="T238" i="9"/>
  <c r="S238" i="9"/>
  <c r="U237" i="9"/>
  <c r="T237" i="9"/>
  <c r="S237" i="9"/>
  <c r="U236" i="9"/>
  <c r="T236" i="9"/>
  <c r="S236" i="9"/>
  <c r="U235" i="9"/>
  <c r="T235" i="9"/>
  <c r="S235" i="9"/>
  <c r="U234" i="9"/>
  <c r="T234" i="9"/>
  <c r="S234" i="9"/>
  <c r="U233" i="9"/>
  <c r="T233" i="9"/>
  <c r="S233" i="9"/>
  <c r="U232" i="9"/>
  <c r="T232" i="9"/>
  <c r="S232" i="9"/>
  <c r="U231" i="9"/>
  <c r="T231" i="9"/>
  <c r="S231" i="9"/>
  <c r="U230" i="9"/>
  <c r="T230" i="9"/>
  <c r="S230" i="9"/>
  <c r="U229" i="9"/>
  <c r="T229" i="9"/>
  <c r="S229" i="9"/>
  <c r="U228" i="9"/>
  <c r="T228" i="9"/>
  <c r="S228" i="9"/>
  <c r="U227" i="9"/>
  <c r="T227" i="9"/>
  <c r="S227" i="9"/>
  <c r="U226" i="9"/>
  <c r="T226" i="9"/>
  <c r="S226" i="9"/>
  <c r="U225" i="9"/>
  <c r="T225" i="9"/>
  <c r="S225" i="9"/>
  <c r="U224" i="9"/>
  <c r="T224" i="9"/>
  <c r="S224" i="9"/>
  <c r="U223" i="9"/>
  <c r="T223" i="9"/>
  <c r="S223" i="9"/>
  <c r="U222" i="9"/>
  <c r="T222" i="9"/>
  <c r="S222" i="9"/>
  <c r="U221" i="9"/>
  <c r="T221" i="9"/>
  <c r="S221" i="9"/>
  <c r="U220" i="9"/>
  <c r="T220" i="9"/>
  <c r="S220" i="9"/>
  <c r="U219" i="9"/>
  <c r="T219" i="9"/>
  <c r="S219" i="9"/>
  <c r="U218" i="9"/>
  <c r="T218" i="9"/>
  <c r="S218" i="9"/>
  <c r="U217" i="9"/>
  <c r="T217" i="9"/>
  <c r="S217" i="9"/>
  <c r="U216" i="9"/>
  <c r="T216" i="9"/>
  <c r="S216" i="9"/>
  <c r="U215" i="9"/>
  <c r="T215" i="9"/>
  <c r="S215" i="9"/>
  <c r="U214" i="9"/>
  <c r="T214" i="9"/>
  <c r="S214" i="9"/>
  <c r="U213" i="9"/>
  <c r="T213" i="9"/>
  <c r="S213" i="9"/>
  <c r="U212" i="9"/>
  <c r="T212" i="9"/>
  <c r="S212" i="9"/>
  <c r="U211" i="9"/>
  <c r="T211" i="9"/>
  <c r="S211" i="9"/>
  <c r="U210" i="9"/>
  <c r="T210" i="9"/>
  <c r="S210" i="9"/>
  <c r="U209" i="9"/>
  <c r="T209" i="9"/>
  <c r="S209" i="9"/>
  <c r="U208" i="9"/>
  <c r="T208" i="9"/>
  <c r="S208" i="9"/>
  <c r="U207" i="9"/>
  <c r="T207" i="9"/>
  <c r="S207" i="9"/>
  <c r="U206" i="9"/>
  <c r="T206" i="9"/>
  <c r="S206" i="9"/>
  <c r="U205" i="9"/>
  <c r="T205" i="9"/>
  <c r="S205" i="9"/>
  <c r="U204" i="9"/>
  <c r="T204" i="9"/>
  <c r="S204" i="9"/>
  <c r="U203" i="9"/>
  <c r="T203" i="9"/>
  <c r="S203" i="9"/>
  <c r="U202" i="9"/>
  <c r="T202" i="9"/>
  <c r="S202" i="9"/>
  <c r="U201" i="9"/>
  <c r="T201" i="9"/>
  <c r="S201" i="9"/>
  <c r="U200" i="9"/>
  <c r="T200" i="9"/>
  <c r="S200" i="9"/>
  <c r="U199" i="9"/>
  <c r="T199" i="9"/>
  <c r="S199" i="9"/>
  <c r="U198" i="9"/>
  <c r="T198" i="9"/>
  <c r="S198" i="9"/>
  <c r="U197" i="9"/>
  <c r="T197" i="9"/>
  <c r="S197" i="9"/>
  <c r="U196" i="9"/>
  <c r="T196" i="9"/>
  <c r="S196" i="9"/>
  <c r="U195" i="9"/>
  <c r="T195" i="9"/>
  <c r="S195" i="9"/>
  <c r="U194" i="9"/>
  <c r="T194" i="9"/>
  <c r="S194" i="9"/>
  <c r="U193" i="9"/>
  <c r="T193" i="9"/>
  <c r="S193" i="9"/>
  <c r="U192" i="9"/>
  <c r="T192" i="9"/>
  <c r="S192" i="9"/>
  <c r="U191" i="9"/>
  <c r="T191" i="9"/>
  <c r="S191" i="9"/>
  <c r="U190" i="9"/>
  <c r="T190" i="9"/>
  <c r="S190" i="9"/>
  <c r="U189" i="9"/>
  <c r="T189" i="9"/>
  <c r="S189" i="9"/>
  <c r="U188" i="9"/>
  <c r="T188" i="9"/>
  <c r="S188" i="9"/>
  <c r="U187" i="9"/>
  <c r="T187" i="9"/>
  <c r="S187" i="9"/>
  <c r="U186" i="9"/>
  <c r="T186" i="9"/>
  <c r="S186" i="9"/>
  <c r="U185" i="9"/>
  <c r="T185" i="9"/>
  <c r="S185" i="9"/>
  <c r="U184" i="9"/>
  <c r="T184" i="9"/>
  <c r="S184" i="9"/>
  <c r="U183" i="9"/>
  <c r="T183" i="9"/>
  <c r="S183" i="9"/>
  <c r="U182" i="9"/>
  <c r="T182" i="9"/>
  <c r="S182" i="9"/>
  <c r="U181" i="9"/>
  <c r="T181" i="9"/>
  <c r="S181" i="9"/>
  <c r="U180" i="9"/>
  <c r="T180" i="9"/>
  <c r="S180" i="9"/>
  <c r="U179" i="9"/>
  <c r="T179" i="9"/>
  <c r="S179" i="9"/>
  <c r="U178" i="9"/>
  <c r="T178" i="9"/>
  <c r="S178" i="9"/>
  <c r="U177" i="9"/>
  <c r="T177" i="9"/>
  <c r="S177" i="9"/>
  <c r="U176" i="9"/>
  <c r="T176" i="9"/>
  <c r="S176" i="9"/>
  <c r="U175" i="9"/>
  <c r="T175" i="9"/>
  <c r="S175" i="9"/>
  <c r="U174" i="9"/>
  <c r="T174" i="9"/>
  <c r="S174" i="9"/>
  <c r="U173" i="9"/>
  <c r="T173" i="9"/>
  <c r="S173" i="9"/>
  <c r="U172" i="9"/>
  <c r="T172" i="9"/>
  <c r="S172" i="9"/>
  <c r="U171" i="9"/>
  <c r="T171" i="9"/>
  <c r="S171" i="9"/>
  <c r="U170" i="9"/>
  <c r="T170" i="9"/>
  <c r="S170" i="9"/>
  <c r="U169" i="9"/>
  <c r="T169" i="9"/>
  <c r="S169" i="9"/>
  <c r="U168" i="9"/>
  <c r="T168" i="9"/>
  <c r="S168" i="9"/>
  <c r="U167" i="9"/>
  <c r="T167" i="9"/>
  <c r="S167" i="9"/>
  <c r="U166" i="9"/>
  <c r="T166" i="9"/>
  <c r="S166" i="9"/>
  <c r="U165" i="9"/>
  <c r="T165" i="9"/>
  <c r="S165" i="9"/>
  <c r="U164" i="9"/>
  <c r="T164" i="9"/>
  <c r="S164" i="9"/>
  <c r="U163" i="9"/>
  <c r="T163" i="9"/>
  <c r="S163" i="9"/>
  <c r="U162" i="9"/>
  <c r="T162" i="9"/>
  <c r="S162" i="9"/>
  <c r="U161" i="9"/>
  <c r="T161" i="9"/>
  <c r="S161" i="9"/>
  <c r="U160" i="9"/>
  <c r="T160" i="9"/>
  <c r="S160" i="9"/>
  <c r="U159" i="9"/>
  <c r="T159" i="9"/>
  <c r="S159" i="9"/>
  <c r="U158" i="9"/>
  <c r="T158" i="9"/>
  <c r="S158" i="9"/>
  <c r="U157" i="9"/>
  <c r="T157" i="9"/>
  <c r="S157" i="9"/>
  <c r="U156" i="9"/>
  <c r="T156" i="9"/>
  <c r="S156" i="9"/>
  <c r="U155" i="9"/>
  <c r="T155" i="9"/>
  <c r="S155" i="9"/>
  <c r="U154" i="9"/>
  <c r="T154" i="9"/>
  <c r="S154" i="9"/>
  <c r="U153" i="9"/>
  <c r="T153" i="9"/>
  <c r="S153" i="9"/>
  <c r="U152" i="9"/>
  <c r="T152" i="9"/>
  <c r="S152" i="9"/>
  <c r="U151" i="9"/>
  <c r="T151" i="9"/>
  <c r="S151" i="9"/>
  <c r="U150" i="9"/>
  <c r="T150" i="9"/>
  <c r="S150" i="9"/>
  <c r="U149" i="9"/>
  <c r="T149" i="9"/>
  <c r="S149" i="9"/>
  <c r="U148" i="9"/>
  <c r="T148" i="9"/>
  <c r="S148" i="9"/>
  <c r="U147" i="9"/>
  <c r="T147" i="9"/>
  <c r="S147" i="9"/>
  <c r="U146" i="9"/>
  <c r="T146" i="9"/>
  <c r="S146" i="9"/>
  <c r="U145" i="9"/>
  <c r="T145" i="9"/>
  <c r="S145" i="9"/>
  <c r="U144" i="9"/>
  <c r="T144" i="9"/>
  <c r="S144" i="9"/>
  <c r="U143" i="9"/>
  <c r="T143" i="9"/>
  <c r="S143" i="9"/>
  <c r="U142" i="9"/>
  <c r="T142" i="9"/>
  <c r="S142" i="9"/>
  <c r="U141" i="9"/>
  <c r="T141" i="9"/>
  <c r="S141" i="9"/>
  <c r="U140" i="9"/>
  <c r="T140" i="9"/>
  <c r="S140" i="9"/>
  <c r="U139" i="9"/>
  <c r="T139" i="9"/>
  <c r="S139" i="9"/>
  <c r="U138" i="9"/>
  <c r="T138" i="9"/>
  <c r="S138" i="9"/>
  <c r="U137" i="9"/>
  <c r="T137" i="9"/>
  <c r="S137" i="9"/>
  <c r="U136" i="9"/>
  <c r="T136" i="9"/>
  <c r="S136" i="9"/>
  <c r="U135" i="9"/>
  <c r="T135" i="9"/>
  <c r="S135" i="9"/>
  <c r="U134" i="9"/>
  <c r="T134" i="9"/>
  <c r="S134" i="9"/>
  <c r="U133" i="9"/>
  <c r="T133" i="9"/>
  <c r="S133" i="9"/>
  <c r="U132" i="9"/>
  <c r="T132" i="9"/>
  <c r="S132" i="9"/>
  <c r="U131" i="9"/>
  <c r="T131" i="9"/>
  <c r="S131" i="9"/>
  <c r="U130" i="9"/>
  <c r="T130" i="9"/>
  <c r="S130" i="9"/>
  <c r="U129" i="9"/>
  <c r="T129" i="9"/>
  <c r="S129" i="9"/>
  <c r="U128" i="9"/>
  <c r="T128" i="9"/>
  <c r="S128" i="9"/>
  <c r="U127" i="9"/>
  <c r="T127" i="9"/>
  <c r="S127" i="9"/>
  <c r="U126" i="9"/>
  <c r="T126" i="9"/>
  <c r="S126" i="9"/>
  <c r="U125" i="9"/>
  <c r="T125" i="9"/>
  <c r="S125" i="9"/>
  <c r="U124" i="9"/>
  <c r="T124" i="9"/>
  <c r="S124" i="9"/>
  <c r="U123" i="9"/>
  <c r="T123" i="9"/>
  <c r="S123" i="9"/>
  <c r="U122" i="9"/>
  <c r="T122" i="9"/>
  <c r="S122" i="9"/>
  <c r="U121" i="9"/>
  <c r="T121" i="9"/>
  <c r="S121" i="9"/>
  <c r="U120" i="9"/>
  <c r="T120" i="9"/>
  <c r="S120" i="9"/>
  <c r="U119" i="9"/>
  <c r="T119" i="9"/>
  <c r="S119" i="9"/>
  <c r="U118" i="9"/>
  <c r="T118" i="9"/>
  <c r="S118" i="9"/>
  <c r="U117" i="9"/>
  <c r="T117" i="9"/>
  <c r="S117" i="9"/>
  <c r="U116" i="9"/>
  <c r="T116" i="9"/>
  <c r="S116" i="9"/>
  <c r="U115" i="9"/>
  <c r="T115" i="9"/>
  <c r="S115" i="9"/>
  <c r="U114" i="9"/>
  <c r="T114" i="9"/>
  <c r="S114" i="9"/>
  <c r="U113" i="9"/>
  <c r="T113" i="9"/>
  <c r="S113" i="9"/>
  <c r="U112" i="9"/>
  <c r="T112" i="9"/>
  <c r="S112" i="9"/>
  <c r="U111" i="9"/>
  <c r="T111" i="9"/>
  <c r="S111" i="9"/>
  <c r="U110" i="9"/>
  <c r="T110" i="9"/>
  <c r="S110" i="9"/>
  <c r="U109" i="9"/>
  <c r="T109" i="9"/>
  <c r="S109" i="9"/>
  <c r="U108" i="9"/>
  <c r="T108" i="9"/>
  <c r="S108" i="9"/>
  <c r="U107" i="9"/>
  <c r="T107" i="9"/>
  <c r="S107" i="9"/>
  <c r="U106" i="9"/>
  <c r="T106" i="9"/>
  <c r="S106" i="9"/>
  <c r="U105" i="9"/>
  <c r="T105" i="9"/>
  <c r="S105" i="9"/>
  <c r="U104" i="9"/>
  <c r="T104" i="9"/>
  <c r="S104" i="9"/>
  <c r="U103" i="9"/>
  <c r="T103" i="9"/>
  <c r="S103" i="9"/>
  <c r="U102" i="9"/>
  <c r="T102" i="9"/>
  <c r="S102" i="9"/>
  <c r="U101" i="9"/>
  <c r="T101" i="9"/>
  <c r="S101" i="9"/>
  <c r="U100" i="9"/>
  <c r="T100" i="9"/>
  <c r="S100" i="9"/>
  <c r="U99" i="9"/>
  <c r="T99" i="9"/>
  <c r="S99" i="9"/>
  <c r="U98" i="9"/>
  <c r="T98" i="9"/>
  <c r="S98" i="9"/>
  <c r="U97" i="9"/>
  <c r="T97" i="9"/>
  <c r="S97" i="9"/>
  <c r="U96" i="9"/>
  <c r="T96" i="9"/>
  <c r="S96" i="9"/>
  <c r="U95" i="9"/>
  <c r="T95" i="9"/>
  <c r="S95" i="9"/>
  <c r="U94" i="9"/>
  <c r="T94" i="9"/>
  <c r="S94" i="9"/>
  <c r="U93" i="9"/>
  <c r="T93" i="9"/>
  <c r="S93" i="9"/>
  <c r="U92" i="9"/>
  <c r="T92" i="9"/>
  <c r="S92" i="9"/>
  <c r="U91" i="9"/>
  <c r="T91" i="9"/>
  <c r="S91" i="9"/>
  <c r="U90" i="9"/>
  <c r="T90" i="9"/>
  <c r="S90" i="9"/>
  <c r="U89" i="9"/>
  <c r="T89" i="9"/>
  <c r="S89" i="9"/>
  <c r="U88" i="9"/>
  <c r="T88" i="9"/>
  <c r="S88" i="9"/>
  <c r="U87" i="9"/>
  <c r="T87" i="9"/>
  <c r="S87" i="9"/>
  <c r="U86" i="9"/>
  <c r="T86" i="9"/>
  <c r="S86" i="9"/>
  <c r="U85" i="9"/>
  <c r="T85" i="9"/>
  <c r="S85" i="9"/>
  <c r="U84" i="9"/>
  <c r="T84" i="9"/>
  <c r="S84" i="9"/>
  <c r="U83" i="9"/>
  <c r="T83" i="9"/>
  <c r="S83" i="9"/>
  <c r="U82" i="9"/>
  <c r="T82" i="9"/>
  <c r="S82" i="9"/>
  <c r="U81" i="9"/>
  <c r="T81" i="9"/>
  <c r="S81" i="9"/>
  <c r="U80" i="9"/>
  <c r="T80" i="9"/>
  <c r="S80" i="9"/>
  <c r="U79" i="9"/>
  <c r="T79" i="9"/>
  <c r="S79" i="9"/>
  <c r="U78" i="9"/>
  <c r="T78" i="9"/>
  <c r="S78" i="9"/>
  <c r="U77" i="9"/>
  <c r="T77" i="9"/>
  <c r="S77" i="9"/>
  <c r="U76" i="9"/>
  <c r="T76" i="9"/>
  <c r="S76" i="9"/>
  <c r="U75" i="9"/>
  <c r="T75" i="9"/>
  <c r="S75" i="9"/>
  <c r="U74" i="9"/>
  <c r="T74" i="9"/>
  <c r="S74" i="9"/>
  <c r="U73" i="9"/>
  <c r="T73" i="9"/>
  <c r="S73" i="9"/>
  <c r="U72" i="9"/>
  <c r="T72" i="9"/>
  <c r="S72" i="9"/>
  <c r="U71" i="9"/>
  <c r="T71" i="9"/>
  <c r="S71" i="9"/>
  <c r="U70" i="9"/>
  <c r="T70" i="9"/>
  <c r="S70" i="9"/>
  <c r="U69" i="9"/>
  <c r="T69" i="9"/>
  <c r="S69" i="9"/>
  <c r="U68" i="9"/>
  <c r="T68" i="9"/>
  <c r="S68" i="9"/>
  <c r="U67" i="9"/>
  <c r="T67" i="9"/>
  <c r="S67" i="9"/>
  <c r="U66" i="9"/>
  <c r="T66" i="9"/>
  <c r="S66" i="9"/>
  <c r="U65" i="9"/>
  <c r="T65" i="9"/>
  <c r="S65" i="9"/>
  <c r="U64" i="9"/>
  <c r="T64" i="9"/>
  <c r="S64" i="9"/>
  <c r="U63" i="9"/>
  <c r="T63" i="9"/>
  <c r="S63" i="9"/>
  <c r="U62" i="9"/>
  <c r="T62" i="9"/>
  <c r="S62" i="9"/>
  <c r="U61" i="9"/>
  <c r="T61" i="9"/>
  <c r="S61" i="9"/>
  <c r="U60" i="9"/>
  <c r="T60" i="9"/>
  <c r="S60" i="9"/>
  <c r="U59" i="9"/>
  <c r="T59" i="9"/>
  <c r="S59" i="9"/>
  <c r="U58" i="9"/>
  <c r="T58" i="9"/>
  <c r="S58" i="9"/>
  <c r="U57" i="9"/>
  <c r="T57" i="9"/>
  <c r="S57" i="9"/>
  <c r="U56" i="9"/>
  <c r="T56" i="9"/>
  <c r="S56" i="9"/>
  <c r="U55" i="9"/>
  <c r="T55" i="9"/>
  <c r="S55" i="9"/>
  <c r="U54" i="9"/>
  <c r="T54" i="9"/>
  <c r="S54" i="9"/>
  <c r="U53" i="9"/>
  <c r="T53" i="9"/>
  <c r="S53" i="9"/>
  <c r="U52" i="9"/>
  <c r="T52" i="9"/>
  <c r="S52" i="9"/>
  <c r="U51" i="9"/>
  <c r="T51" i="9"/>
  <c r="S51" i="9"/>
  <c r="U50" i="9"/>
  <c r="T50" i="9"/>
  <c r="S50" i="9"/>
  <c r="U49" i="9"/>
  <c r="T49" i="9"/>
  <c r="S49" i="9"/>
  <c r="U48" i="9"/>
  <c r="T48" i="9"/>
  <c r="S48" i="9"/>
  <c r="U47" i="9"/>
  <c r="T47" i="9"/>
  <c r="S47" i="9"/>
  <c r="U46" i="9"/>
  <c r="T46" i="9"/>
  <c r="S46" i="9"/>
  <c r="U45" i="9"/>
  <c r="T45" i="9"/>
  <c r="S45" i="9"/>
  <c r="U44" i="9"/>
  <c r="T44" i="9"/>
  <c r="S44" i="9"/>
  <c r="U43" i="9"/>
  <c r="T43" i="9"/>
  <c r="S43" i="9"/>
  <c r="U42" i="9"/>
  <c r="T42" i="9"/>
  <c r="S42" i="9"/>
  <c r="U41" i="9"/>
  <c r="T41" i="9"/>
  <c r="S41" i="9"/>
  <c r="U40" i="9"/>
  <c r="T40" i="9"/>
  <c r="S40" i="9"/>
  <c r="U39" i="9"/>
  <c r="T39" i="9"/>
  <c r="S39" i="9"/>
  <c r="U38" i="9"/>
  <c r="T38" i="9"/>
  <c r="S38" i="9"/>
  <c r="U37" i="9"/>
  <c r="T37" i="9"/>
  <c r="S37" i="9"/>
  <c r="U36" i="9"/>
  <c r="T36" i="9"/>
  <c r="S36" i="9"/>
  <c r="U35" i="9"/>
  <c r="T35" i="9"/>
  <c r="S35" i="9"/>
  <c r="U34" i="9"/>
  <c r="T34" i="9"/>
  <c r="S34" i="9"/>
  <c r="U33" i="9"/>
  <c r="T33" i="9"/>
  <c r="S33" i="9"/>
  <c r="U32" i="9"/>
  <c r="T32" i="9"/>
  <c r="S32" i="9"/>
  <c r="U31" i="9"/>
  <c r="T31" i="9"/>
  <c r="S31" i="9"/>
  <c r="U30" i="9"/>
  <c r="T30" i="9"/>
  <c r="S30" i="9"/>
  <c r="U29" i="9"/>
  <c r="T29" i="9"/>
  <c r="S29" i="9"/>
  <c r="U28" i="9"/>
  <c r="T28" i="9"/>
  <c r="S28" i="9"/>
  <c r="U27" i="9"/>
  <c r="T27" i="9"/>
  <c r="S27" i="9"/>
  <c r="U26" i="9"/>
  <c r="T26" i="9"/>
  <c r="S26" i="9"/>
  <c r="U25" i="9"/>
  <c r="T25" i="9"/>
  <c r="S25" i="9"/>
  <c r="U24" i="9"/>
  <c r="T24" i="9"/>
  <c r="S24" i="9"/>
  <c r="U23" i="9"/>
  <c r="T23" i="9"/>
  <c r="S23" i="9"/>
  <c r="U22" i="9"/>
  <c r="T22" i="9"/>
  <c r="S22" i="9"/>
  <c r="U21" i="9"/>
  <c r="T21" i="9"/>
  <c r="S21" i="9"/>
  <c r="U20" i="9"/>
  <c r="T20" i="9"/>
  <c r="S20" i="9"/>
  <c r="U19" i="9"/>
  <c r="T19" i="9"/>
  <c r="S19" i="9"/>
  <c r="U18" i="9"/>
  <c r="T18" i="9"/>
  <c r="S18" i="9"/>
  <c r="U17" i="9"/>
  <c r="T17" i="9"/>
  <c r="S17" i="9"/>
  <c r="U16" i="9"/>
  <c r="T16" i="9"/>
  <c r="S16" i="9"/>
  <c r="U15" i="9"/>
  <c r="T15" i="9"/>
  <c r="S15" i="9"/>
  <c r="U14" i="9"/>
  <c r="T14" i="9"/>
  <c r="S14" i="9"/>
  <c r="U13" i="9"/>
  <c r="T13" i="9"/>
  <c r="S13" i="9"/>
  <c r="U12" i="9"/>
  <c r="T12" i="9"/>
  <c r="S12" i="9"/>
  <c r="U11" i="9"/>
  <c r="T11" i="9"/>
  <c r="S11" i="9"/>
  <c r="U10" i="9"/>
  <c r="T10" i="9"/>
  <c r="S10" i="9"/>
  <c r="U9" i="9"/>
  <c r="T9" i="9"/>
  <c r="S9" i="9"/>
  <c r="U8" i="9"/>
  <c r="T8" i="9"/>
  <c r="S8" i="9"/>
  <c r="U7" i="9"/>
  <c r="T7" i="9"/>
  <c r="S7" i="9"/>
  <c r="U6" i="9"/>
  <c r="T6" i="9"/>
  <c r="S6" i="9"/>
  <c r="U5" i="9"/>
  <c r="T5" i="9"/>
  <c r="W19" i="8"/>
  <c r="S6" i="8" l="1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201" i="8"/>
  <c r="AH202" i="8"/>
  <c r="AH203" i="8"/>
  <c r="AH204" i="8"/>
  <c r="AH205" i="8"/>
  <c r="AH206" i="8"/>
  <c r="AH207" i="8"/>
  <c r="AH208" i="8"/>
  <c r="AH209" i="8"/>
  <c r="AH210" i="8"/>
  <c r="AH211" i="8"/>
  <c r="AH212" i="8"/>
  <c r="AH213" i="8"/>
  <c r="AH214" i="8"/>
  <c r="AH215" i="8"/>
  <c r="AH216" i="8"/>
  <c r="AH217" i="8"/>
  <c r="AH218" i="8"/>
  <c r="AH219" i="8"/>
  <c r="AH220" i="8"/>
  <c r="AH221" i="8"/>
  <c r="AH222" i="8"/>
  <c r="AH223" i="8"/>
  <c r="AH224" i="8"/>
  <c r="AH225" i="8"/>
  <c r="AH226" i="8"/>
  <c r="AH227" i="8"/>
  <c r="AH228" i="8"/>
  <c r="AH229" i="8"/>
  <c r="AH230" i="8"/>
  <c r="AH231" i="8"/>
  <c r="AH232" i="8"/>
  <c r="AH233" i="8"/>
  <c r="AH234" i="8"/>
  <c r="AH235" i="8"/>
  <c r="AH236" i="8"/>
  <c r="AH237" i="8"/>
  <c r="AH238" i="8"/>
  <c r="AH239" i="8"/>
  <c r="AH240" i="8"/>
  <c r="AH241" i="8"/>
  <c r="AH242" i="8"/>
  <c r="AH243" i="8"/>
  <c r="AH244" i="8"/>
  <c r="AH245" i="8"/>
  <c r="AH246" i="8"/>
  <c r="AH247" i="8"/>
  <c r="AH248" i="8"/>
  <c r="AH249" i="8"/>
  <c r="AH250" i="8"/>
  <c r="AH251" i="8"/>
  <c r="AH252" i="8"/>
  <c r="AH253" i="8"/>
  <c r="AH254" i="8"/>
  <c r="AH255" i="8"/>
  <c r="AH256" i="8"/>
  <c r="AH257" i="8"/>
  <c r="AH258" i="8"/>
  <c r="AH259" i="8"/>
  <c r="AH260" i="8"/>
  <c r="AH261" i="8"/>
  <c r="AH262" i="8"/>
  <c r="AH263" i="8"/>
  <c r="AH264" i="8"/>
  <c r="AH265" i="8"/>
  <c r="AH266" i="8"/>
  <c r="AH267" i="8"/>
  <c r="AH268" i="8"/>
  <c r="AH269" i="8"/>
  <c r="AH270" i="8"/>
  <c r="AH271" i="8"/>
  <c r="AH272" i="8"/>
  <c r="AH273" i="8"/>
  <c r="AH274" i="8"/>
  <c r="AH275" i="8"/>
  <c r="AH276" i="8"/>
  <c r="AH277" i="8"/>
  <c r="AH278" i="8"/>
  <c r="AH279" i="8"/>
  <c r="AH280" i="8"/>
  <c r="AH281" i="8"/>
  <c r="AH282" i="8"/>
  <c r="AH283" i="8"/>
  <c r="AH284" i="8"/>
  <c r="AH285" i="8"/>
  <c r="AH286" i="8"/>
  <c r="AH287" i="8"/>
  <c r="AH288" i="8"/>
  <c r="AH289" i="8"/>
  <c r="AH290" i="8"/>
  <c r="AH291" i="8"/>
  <c r="AH292" i="8"/>
  <c r="AH293" i="8"/>
  <c r="AH294" i="8"/>
  <c r="AH295" i="8"/>
  <c r="AH296" i="8"/>
  <c r="AH297" i="8"/>
  <c r="AH298" i="8"/>
  <c r="AH299" i="8"/>
  <c r="AH300" i="8"/>
  <c r="AH5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21" i="8"/>
  <c r="AG222" i="8"/>
  <c r="AG223" i="8"/>
  <c r="AG224" i="8"/>
  <c r="AG225" i="8"/>
  <c r="AG226" i="8"/>
  <c r="AG227" i="8"/>
  <c r="AG228" i="8"/>
  <c r="AG229" i="8"/>
  <c r="AG230" i="8"/>
  <c r="AG231" i="8"/>
  <c r="AG232" i="8"/>
  <c r="AG233" i="8"/>
  <c r="AG234" i="8"/>
  <c r="AG235" i="8"/>
  <c r="AG236" i="8"/>
  <c r="AG237" i="8"/>
  <c r="AG238" i="8"/>
  <c r="AG239" i="8"/>
  <c r="AG240" i="8"/>
  <c r="AG241" i="8"/>
  <c r="AG242" i="8"/>
  <c r="AG243" i="8"/>
  <c r="AG244" i="8"/>
  <c r="AG245" i="8"/>
  <c r="AG246" i="8"/>
  <c r="AG247" i="8"/>
  <c r="AG248" i="8"/>
  <c r="AG249" i="8"/>
  <c r="AG250" i="8"/>
  <c r="AG251" i="8"/>
  <c r="AG252" i="8"/>
  <c r="AG253" i="8"/>
  <c r="AG254" i="8"/>
  <c r="AG255" i="8"/>
  <c r="AG256" i="8"/>
  <c r="AG257" i="8"/>
  <c r="AG258" i="8"/>
  <c r="AG259" i="8"/>
  <c r="AG260" i="8"/>
  <c r="AG261" i="8"/>
  <c r="AG262" i="8"/>
  <c r="AG263" i="8"/>
  <c r="AG264" i="8"/>
  <c r="AG265" i="8"/>
  <c r="AG266" i="8"/>
  <c r="AG267" i="8"/>
  <c r="AG268" i="8"/>
  <c r="AG269" i="8"/>
  <c r="AG270" i="8"/>
  <c r="AG271" i="8"/>
  <c r="AG272" i="8"/>
  <c r="AG273" i="8"/>
  <c r="AG274" i="8"/>
  <c r="AG275" i="8"/>
  <c r="AG276" i="8"/>
  <c r="AG277" i="8"/>
  <c r="AG278" i="8"/>
  <c r="AG279" i="8"/>
  <c r="AG280" i="8"/>
  <c r="AG281" i="8"/>
  <c r="AG282" i="8"/>
  <c r="AG283" i="8"/>
  <c r="AG284" i="8"/>
  <c r="AG285" i="8"/>
  <c r="AG286" i="8"/>
  <c r="AG287" i="8"/>
  <c r="AG288" i="8"/>
  <c r="AG289" i="8"/>
  <c r="AG290" i="8"/>
  <c r="AG291" i="8"/>
  <c r="AG292" i="8"/>
  <c r="AG293" i="8"/>
  <c r="AG294" i="8"/>
  <c r="AG295" i="8"/>
  <c r="AG296" i="8"/>
  <c r="AG297" i="8"/>
  <c r="AG298" i="8"/>
  <c r="AG299" i="8"/>
  <c r="AG300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R19" i="8" s="1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5" i="8"/>
  <c r="U300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5" i="8"/>
  <c r="I5" i="8"/>
  <c r="Z302" i="16"/>
  <c r="Y302" i="16"/>
  <c r="AB301" i="16"/>
  <c r="Z301" i="16"/>
  <c r="AC301" i="16" s="1"/>
  <c r="Y301" i="16"/>
  <c r="P301" i="16"/>
  <c r="AC300" i="16"/>
  <c r="Z300" i="16"/>
  <c r="Y300" i="16"/>
  <c r="P300" i="16"/>
  <c r="M300" i="16"/>
  <c r="L300" i="16"/>
  <c r="AB300" i="16" s="1"/>
  <c r="E300" i="16"/>
  <c r="D300" i="16"/>
  <c r="C300" i="16"/>
  <c r="Z299" i="16"/>
  <c r="AC299" i="16" s="1"/>
  <c r="Y299" i="16"/>
  <c r="M299" i="16"/>
  <c r="L299" i="16"/>
  <c r="E299" i="16"/>
  <c r="D299" i="16"/>
  <c r="C299" i="16"/>
  <c r="P299" i="16" s="1"/>
  <c r="AC298" i="16"/>
  <c r="AB298" i="16"/>
  <c r="Z298" i="16"/>
  <c r="Y298" i="16"/>
  <c r="P298" i="16"/>
  <c r="M298" i="16"/>
  <c r="L298" i="16"/>
  <c r="E298" i="16"/>
  <c r="D298" i="16"/>
  <c r="C298" i="16"/>
  <c r="Z297" i="16"/>
  <c r="Y297" i="16"/>
  <c r="M297" i="16"/>
  <c r="L297" i="16"/>
  <c r="E297" i="16"/>
  <c r="D297" i="16"/>
  <c r="C297" i="16"/>
  <c r="P297" i="16" s="1"/>
  <c r="AC296" i="16"/>
  <c r="AB296" i="16"/>
  <c r="Z296" i="16"/>
  <c r="Y296" i="16"/>
  <c r="P296" i="16"/>
  <c r="M296" i="16"/>
  <c r="L296" i="16"/>
  <c r="E296" i="16"/>
  <c r="D296" i="16"/>
  <c r="C296" i="16"/>
  <c r="Z295" i="16"/>
  <c r="AC295" i="16" s="1"/>
  <c r="Y295" i="16"/>
  <c r="AB295" i="16" s="1"/>
  <c r="M295" i="16"/>
  <c r="L295" i="16"/>
  <c r="E295" i="16"/>
  <c r="D295" i="16"/>
  <c r="C295" i="16"/>
  <c r="P295" i="16" s="1"/>
  <c r="AC294" i="16"/>
  <c r="AB294" i="16"/>
  <c r="Z294" i="16"/>
  <c r="Y294" i="16"/>
  <c r="P294" i="16"/>
  <c r="M294" i="16"/>
  <c r="L294" i="16"/>
  <c r="E294" i="16"/>
  <c r="D294" i="16"/>
  <c r="C294" i="16"/>
  <c r="Z293" i="16"/>
  <c r="AC293" i="16" s="1"/>
  <c r="Y293" i="16"/>
  <c r="AB293" i="16" s="1"/>
  <c r="M293" i="16"/>
  <c r="L293" i="16"/>
  <c r="E293" i="16"/>
  <c r="D293" i="16"/>
  <c r="C293" i="16"/>
  <c r="P293" i="16" s="1"/>
  <c r="AC292" i="16"/>
  <c r="AB292" i="16"/>
  <c r="Z292" i="16"/>
  <c r="Y292" i="16"/>
  <c r="P292" i="16"/>
  <c r="M292" i="16"/>
  <c r="L292" i="16"/>
  <c r="E292" i="16"/>
  <c r="D292" i="16"/>
  <c r="C292" i="16"/>
  <c r="Z291" i="16"/>
  <c r="AC291" i="16" s="1"/>
  <c r="Y291" i="16"/>
  <c r="M291" i="16"/>
  <c r="L291" i="16"/>
  <c r="E291" i="16"/>
  <c r="D291" i="16"/>
  <c r="C291" i="16"/>
  <c r="P291" i="16" s="1"/>
  <c r="AC290" i="16"/>
  <c r="AB290" i="16"/>
  <c r="Z290" i="16"/>
  <c r="Y290" i="16"/>
  <c r="P290" i="16"/>
  <c r="M290" i="16"/>
  <c r="L290" i="16"/>
  <c r="E290" i="16"/>
  <c r="D290" i="16"/>
  <c r="C290" i="16"/>
  <c r="Z289" i="16"/>
  <c r="Y289" i="16"/>
  <c r="M289" i="16"/>
  <c r="L289" i="16"/>
  <c r="E289" i="16"/>
  <c r="D289" i="16"/>
  <c r="C289" i="16"/>
  <c r="P289" i="16" s="1"/>
  <c r="AC288" i="16"/>
  <c r="AB288" i="16"/>
  <c r="Z288" i="16"/>
  <c r="Y288" i="16"/>
  <c r="P288" i="16"/>
  <c r="M288" i="16"/>
  <c r="L288" i="16"/>
  <c r="E288" i="16"/>
  <c r="D288" i="16"/>
  <c r="C288" i="16"/>
  <c r="Z287" i="16"/>
  <c r="AC287" i="16" s="1"/>
  <c r="Y287" i="16"/>
  <c r="AB287" i="16" s="1"/>
  <c r="M287" i="16"/>
  <c r="L287" i="16"/>
  <c r="E287" i="16"/>
  <c r="D287" i="16"/>
  <c r="C287" i="16"/>
  <c r="P287" i="16" s="1"/>
  <c r="AC286" i="16"/>
  <c r="AB286" i="16"/>
  <c r="Z286" i="16"/>
  <c r="Y286" i="16"/>
  <c r="P286" i="16"/>
  <c r="M286" i="16"/>
  <c r="L286" i="16"/>
  <c r="E286" i="16"/>
  <c r="D286" i="16"/>
  <c r="C286" i="16"/>
  <c r="Z285" i="16"/>
  <c r="AC285" i="16" s="1"/>
  <c r="Y285" i="16"/>
  <c r="AB285" i="16" s="1"/>
  <c r="M285" i="16"/>
  <c r="L285" i="16"/>
  <c r="E285" i="16"/>
  <c r="D285" i="16"/>
  <c r="C285" i="16"/>
  <c r="P285" i="16" s="1"/>
  <c r="AC284" i="16"/>
  <c r="AB284" i="16"/>
  <c r="Z284" i="16"/>
  <c r="Y284" i="16"/>
  <c r="P284" i="16"/>
  <c r="M284" i="16"/>
  <c r="L284" i="16"/>
  <c r="E284" i="16"/>
  <c r="D284" i="16"/>
  <c r="C284" i="16"/>
  <c r="Z283" i="16"/>
  <c r="AC283" i="16" s="1"/>
  <c r="Y283" i="16"/>
  <c r="M283" i="16"/>
  <c r="L283" i="16"/>
  <c r="E283" i="16"/>
  <c r="D283" i="16"/>
  <c r="C283" i="16"/>
  <c r="P283" i="16" s="1"/>
  <c r="AC282" i="16"/>
  <c r="AB282" i="16"/>
  <c r="Z282" i="16"/>
  <c r="Y282" i="16"/>
  <c r="P282" i="16"/>
  <c r="M282" i="16"/>
  <c r="L282" i="16"/>
  <c r="E282" i="16"/>
  <c r="D282" i="16"/>
  <c r="C282" i="16"/>
  <c r="Z281" i="16"/>
  <c r="Y281" i="16"/>
  <c r="M281" i="16"/>
  <c r="L281" i="16"/>
  <c r="E281" i="16"/>
  <c r="D281" i="16"/>
  <c r="C281" i="16"/>
  <c r="P281" i="16" s="1"/>
  <c r="AC280" i="16"/>
  <c r="AB280" i="16"/>
  <c r="Z280" i="16"/>
  <c r="Y280" i="16"/>
  <c r="P280" i="16"/>
  <c r="M280" i="16"/>
  <c r="L280" i="16"/>
  <c r="E280" i="16"/>
  <c r="D280" i="16"/>
  <c r="C280" i="16"/>
  <c r="Z279" i="16"/>
  <c r="AC279" i="16" s="1"/>
  <c r="Y279" i="16"/>
  <c r="AB279" i="16" s="1"/>
  <c r="M279" i="16"/>
  <c r="L279" i="16"/>
  <c r="E279" i="16"/>
  <c r="D279" i="16"/>
  <c r="C279" i="16"/>
  <c r="P279" i="16" s="1"/>
  <c r="AC278" i="16"/>
  <c r="AB278" i="16"/>
  <c r="Z278" i="16"/>
  <c r="Y278" i="16"/>
  <c r="P278" i="16"/>
  <c r="M278" i="16"/>
  <c r="L278" i="16"/>
  <c r="E278" i="16"/>
  <c r="D278" i="16"/>
  <c r="C278" i="16"/>
  <c r="Z277" i="16"/>
  <c r="AC277" i="16" s="1"/>
  <c r="Y277" i="16"/>
  <c r="AB277" i="16" s="1"/>
  <c r="M277" i="16"/>
  <c r="L277" i="16"/>
  <c r="E277" i="16"/>
  <c r="D277" i="16"/>
  <c r="C277" i="16"/>
  <c r="P277" i="16" s="1"/>
  <c r="AC276" i="16"/>
  <c r="AB276" i="16"/>
  <c r="Z276" i="16"/>
  <c r="Y276" i="16"/>
  <c r="P276" i="16"/>
  <c r="M276" i="16"/>
  <c r="L276" i="16"/>
  <c r="E276" i="16"/>
  <c r="D276" i="16"/>
  <c r="C276" i="16"/>
  <c r="Z275" i="16"/>
  <c r="AC275" i="16" s="1"/>
  <c r="Y275" i="16"/>
  <c r="M275" i="16"/>
  <c r="L275" i="16"/>
  <c r="E275" i="16"/>
  <c r="D275" i="16"/>
  <c r="C275" i="16"/>
  <c r="P275" i="16" s="1"/>
  <c r="AC274" i="16"/>
  <c r="AB274" i="16"/>
  <c r="Z274" i="16"/>
  <c r="Y274" i="16"/>
  <c r="P274" i="16"/>
  <c r="M274" i="16"/>
  <c r="L274" i="16"/>
  <c r="E274" i="16"/>
  <c r="D274" i="16"/>
  <c r="C274" i="16"/>
  <c r="Z273" i="16"/>
  <c r="Y273" i="16"/>
  <c r="M273" i="16"/>
  <c r="L273" i="16"/>
  <c r="E273" i="16"/>
  <c r="D273" i="16"/>
  <c r="C273" i="16"/>
  <c r="P273" i="16" s="1"/>
  <c r="AC272" i="16"/>
  <c r="AB272" i="16"/>
  <c r="Z272" i="16"/>
  <c r="Y272" i="16"/>
  <c r="P272" i="16"/>
  <c r="M272" i="16"/>
  <c r="L272" i="16"/>
  <c r="E272" i="16"/>
  <c r="D272" i="16"/>
  <c r="C272" i="16"/>
  <c r="Z271" i="16"/>
  <c r="AC271" i="16" s="1"/>
  <c r="Y271" i="16"/>
  <c r="AB271" i="16" s="1"/>
  <c r="M271" i="16"/>
  <c r="L271" i="16"/>
  <c r="E271" i="16"/>
  <c r="D271" i="16"/>
  <c r="C271" i="16"/>
  <c r="P271" i="16" s="1"/>
  <c r="AC270" i="16"/>
  <c r="AB270" i="16"/>
  <c r="Z270" i="16"/>
  <c r="Y270" i="16"/>
  <c r="P270" i="16"/>
  <c r="M270" i="16"/>
  <c r="L270" i="16"/>
  <c r="E270" i="16"/>
  <c r="D270" i="16"/>
  <c r="C270" i="16"/>
  <c r="Z269" i="16"/>
  <c r="AC269" i="16" s="1"/>
  <c r="Y269" i="16"/>
  <c r="AB269" i="16" s="1"/>
  <c r="M269" i="16"/>
  <c r="L269" i="16"/>
  <c r="E269" i="16"/>
  <c r="D269" i="16"/>
  <c r="C269" i="16"/>
  <c r="P269" i="16" s="1"/>
  <c r="AC268" i="16"/>
  <c r="AB268" i="16"/>
  <c r="Z268" i="16"/>
  <c r="Y268" i="16"/>
  <c r="P268" i="16"/>
  <c r="M268" i="16"/>
  <c r="L268" i="16"/>
  <c r="E268" i="16"/>
  <c r="D268" i="16"/>
  <c r="C268" i="16"/>
  <c r="Z267" i="16"/>
  <c r="AC267" i="16" s="1"/>
  <c r="Y267" i="16"/>
  <c r="M267" i="16"/>
  <c r="L267" i="16"/>
  <c r="E267" i="16"/>
  <c r="D267" i="16"/>
  <c r="C267" i="16"/>
  <c r="P267" i="16" s="1"/>
  <c r="AC266" i="16"/>
  <c r="AB266" i="16"/>
  <c r="Z266" i="16"/>
  <c r="Y266" i="16"/>
  <c r="P266" i="16"/>
  <c r="M266" i="16"/>
  <c r="L266" i="16"/>
  <c r="E266" i="16"/>
  <c r="D266" i="16"/>
  <c r="C266" i="16"/>
  <c r="Z265" i="16"/>
  <c r="Y265" i="16"/>
  <c r="M265" i="16"/>
  <c r="L265" i="16"/>
  <c r="E265" i="16"/>
  <c r="D265" i="16"/>
  <c r="C265" i="16"/>
  <c r="P265" i="16" s="1"/>
  <c r="AC264" i="16"/>
  <c r="AB264" i="16"/>
  <c r="Z264" i="16"/>
  <c r="Y264" i="16"/>
  <c r="P264" i="16"/>
  <c r="M264" i="16"/>
  <c r="L264" i="16"/>
  <c r="E264" i="16"/>
  <c r="D264" i="16"/>
  <c r="C264" i="16"/>
  <c r="Z263" i="16"/>
  <c r="AC263" i="16" s="1"/>
  <c r="Y263" i="16"/>
  <c r="AB263" i="16" s="1"/>
  <c r="M263" i="16"/>
  <c r="L263" i="16"/>
  <c r="E263" i="16"/>
  <c r="D263" i="16"/>
  <c r="C263" i="16"/>
  <c r="P263" i="16" s="1"/>
  <c r="AC262" i="16"/>
  <c r="AB262" i="16"/>
  <c r="Z262" i="16"/>
  <c r="Y262" i="16"/>
  <c r="P262" i="16"/>
  <c r="M262" i="16"/>
  <c r="L262" i="16"/>
  <c r="E262" i="16"/>
  <c r="D262" i="16"/>
  <c r="C262" i="16"/>
  <c r="Z261" i="16"/>
  <c r="AC261" i="16" s="1"/>
  <c r="Y261" i="16"/>
  <c r="AB261" i="16" s="1"/>
  <c r="M261" i="16"/>
  <c r="L261" i="16"/>
  <c r="E261" i="16"/>
  <c r="D261" i="16"/>
  <c r="C261" i="16"/>
  <c r="P261" i="16" s="1"/>
  <c r="AC260" i="16"/>
  <c r="AB260" i="16"/>
  <c r="Z260" i="16"/>
  <c r="Y260" i="16"/>
  <c r="P260" i="16"/>
  <c r="M260" i="16"/>
  <c r="L260" i="16"/>
  <c r="E260" i="16"/>
  <c r="D260" i="16"/>
  <c r="C260" i="16"/>
  <c r="Z259" i="16"/>
  <c r="AC259" i="16" s="1"/>
  <c r="Y259" i="16"/>
  <c r="M259" i="16"/>
  <c r="L259" i="16"/>
  <c r="E259" i="16"/>
  <c r="D259" i="16"/>
  <c r="C259" i="16"/>
  <c r="P259" i="16" s="1"/>
  <c r="AC258" i="16"/>
  <c r="AB258" i="16"/>
  <c r="Z258" i="16"/>
  <c r="Y258" i="16"/>
  <c r="P258" i="16"/>
  <c r="M258" i="16"/>
  <c r="L258" i="16"/>
  <c r="E258" i="16"/>
  <c r="D258" i="16"/>
  <c r="C258" i="16"/>
  <c r="Z257" i="16"/>
  <c r="Y257" i="16"/>
  <c r="M257" i="16"/>
  <c r="L257" i="16"/>
  <c r="E257" i="16"/>
  <c r="D257" i="16"/>
  <c r="C257" i="16"/>
  <c r="P257" i="16" s="1"/>
  <c r="AC256" i="16"/>
  <c r="AB256" i="16"/>
  <c r="Z256" i="16"/>
  <c r="Y256" i="16"/>
  <c r="P256" i="16"/>
  <c r="M256" i="16"/>
  <c r="L256" i="16"/>
  <c r="E256" i="16"/>
  <c r="D256" i="16"/>
  <c r="C256" i="16"/>
  <c r="Z255" i="16"/>
  <c r="AC255" i="16" s="1"/>
  <c r="Y255" i="16"/>
  <c r="AB255" i="16" s="1"/>
  <c r="M255" i="16"/>
  <c r="L255" i="16"/>
  <c r="E255" i="16"/>
  <c r="D255" i="16"/>
  <c r="C255" i="16"/>
  <c r="P255" i="16" s="1"/>
  <c r="AC254" i="16"/>
  <c r="AB254" i="16"/>
  <c r="Z254" i="16"/>
  <c r="Y254" i="16"/>
  <c r="M254" i="16"/>
  <c r="L254" i="16"/>
  <c r="E254" i="16"/>
  <c r="D254" i="16"/>
  <c r="C254" i="16"/>
  <c r="P254" i="16" s="1"/>
  <c r="Z253" i="16"/>
  <c r="AC253" i="16" s="1"/>
  <c r="Y253" i="16"/>
  <c r="AB253" i="16" s="1"/>
  <c r="M253" i="16"/>
  <c r="L253" i="16"/>
  <c r="E253" i="16"/>
  <c r="D253" i="16"/>
  <c r="C253" i="16"/>
  <c r="P253" i="16" s="1"/>
  <c r="AC252" i="16"/>
  <c r="AB252" i="16"/>
  <c r="Z252" i="16"/>
  <c r="Y252" i="16"/>
  <c r="M252" i="16"/>
  <c r="L252" i="16"/>
  <c r="E252" i="16"/>
  <c r="D252" i="16"/>
  <c r="C252" i="16"/>
  <c r="P252" i="16" s="1"/>
  <c r="Z251" i="16"/>
  <c r="AC251" i="16" s="1"/>
  <c r="Y251" i="16"/>
  <c r="M251" i="16"/>
  <c r="L251" i="16"/>
  <c r="E251" i="16"/>
  <c r="D251" i="16"/>
  <c r="C251" i="16"/>
  <c r="P251" i="16" s="1"/>
  <c r="AC250" i="16"/>
  <c r="AB250" i="16"/>
  <c r="Z250" i="16"/>
  <c r="Y250" i="16"/>
  <c r="M250" i="16"/>
  <c r="L250" i="16"/>
  <c r="E250" i="16"/>
  <c r="D250" i="16"/>
  <c r="C250" i="16"/>
  <c r="P250" i="16" s="1"/>
  <c r="Z249" i="16"/>
  <c r="Y249" i="16"/>
  <c r="M249" i="16"/>
  <c r="L249" i="16"/>
  <c r="E249" i="16"/>
  <c r="D249" i="16"/>
  <c r="C249" i="16"/>
  <c r="P249" i="16" s="1"/>
  <c r="AC248" i="16"/>
  <c r="AB248" i="16"/>
  <c r="Z248" i="16"/>
  <c r="Y248" i="16"/>
  <c r="P248" i="16"/>
  <c r="M248" i="16"/>
  <c r="L248" i="16"/>
  <c r="E248" i="16"/>
  <c r="D248" i="16"/>
  <c r="C248" i="16"/>
  <c r="Z247" i="16"/>
  <c r="AC247" i="16" s="1"/>
  <c r="Y247" i="16"/>
  <c r="AB247" i="16" s="1"/>
  <c r="M247" i="16"/>
  <c r="L247" i="16"/>
  <c r="E247" i="16"/>
  <c r="D247" i="16"/>
  <c r="C247" i="16"/>
  <c r="P247" i="16" s="1"/>
  <c r="AC246" i="16"/>
  <c r="AB246" i="16"/>
  <c r="Z246" i="16"/>
  <c r="Y246" i="16"/>
  <c r="M246" i="16"/>
  <c r="L246" i="16"/>
  <c r="E246" i="16"/>
  <c r="D246" i="16"/>
  <c r="C246" i="16"/>
  <c r="P246" i="16" s="1"/>
  <c r="Z245" i="16"/>
  <c r="AC245" i="16" s="1"/>
  <c r="Y245" i="16"/>
  <c r="AB245" i="16" s="1"/>
  <c r="M245" i="16"/>
  <c r="L245" i="16"/>
  <c r="E245" i="16"/>
  <c r="D245" i="16"/>
  <c r="C245" i="16"/>
  <c r="P245" i="16" s="1"/>
  <c r="AC244" i="16"/>
  <c r="AB244" i="16"/>
  <c r="Z244" i="16"/>
  <c r="Y244" i="16"/>
  <c r="M244" i="16"/>
  <c r="L244" i="16"/>
  <c r="E244" i="16"/>
  <c r="D244" i="16"/>
  <c r="C244" i="16"/>
  <c r="P244" i="16" s="1"/>
  <c r="Z243" i="16"/>
  <c r="AC243" i="16" s="1"/>
  <c r="Y243" i="16"/>
  <c r="M243" i="16"/>
  <c r="L243" i="16"/>
  <c r="E243" i="16"/>
  <c r="D243" i="16"/>
  <c r="C243" i="16"/>
  <c r="P243" i="16" s="1"/>
  <c r="AC242" i="16"/>
  <c r="AB242" i="16"/>
  <c r="Z242" i="16"/>
  <c r="Y242" i="16"/>
  <c r="M242" i="16"/>
  <c r="L242" i="16"/>
  <c r="E242" i="16"/>
  <c r="D242" i="16"/>
  <c r="C242" i="16"/>
  <c r="P242" i="16" s="1"/>
  <c r="Z241" i="16"/>
  <c r="Y241" i="16"/>
  <c r="M241" i="16"/>
  <c r="L241" i="16"/>
  <c r="E241" i="16"/>
  <c r="D241" i="16"/>
  <c r="C241" i="16"/>
  <c r="P241" i="16" s="1"/>
  <c r="AC240" i="16"/>
  <c r="AB240" i="16"/>
  <c r="Z240" i="16"/>
  <c r="Y240" i="16"/>
  <c r="P240" i="16"/>
  <c r="M240" i="16"/>
  <c r="L240" i="16"/>
  <c r="E240" i="16"/>
  <c r="D240" i="16"/>
  <c r="C240" i="16"/>
  <c r="Z239" i="16"/>
  <c r="AC239" i="16" s="1"/>
  <c r="Y239" i="16"/>
  <c r="AB239" i="16" s="1"/>
  <c r="M239" i="16"/>
  <c r="L239" i="16"/>
  <c r="E239" i="16"/>
  <c r="D239" i="16"/>
  <c r="C239" i="16"/>
  <c r="P239" i="16" s="1"/>
  <c r="AC238" i="16"/>
  <c r="AB238" i="16"/>
  <c r="Z238" i="16"/>
  <c r="Y238" i="16"/>
  <c r="M238" i="16"/>
  <c r="L238" i="16"/>
  <c r="E238" i="16"/>
  <c r="D238" i="16"/>
  <c r="C238" i="16"/>
  <c r="P238" i="16" s="1"/>
  <c r="Z237" i="16"/>
  <c r="AC237" i="16" s="1"/>
  <c r="Y237" i="16"/>
  <c r="AB237" i="16" s="1"/>
  <c r="M237" i="16"/>
  <c r="L237" i="16"/>
  <c r="E237" i="16"/>
  <c r="D237" i="16"/>
  <c r="C237" i="16"/>
  <c r="P237" i="16" s="1"/>
  <c r="AC236" i="16"/>
  <c r="AB236" i="16"/>
  <c r="Z236" i="16"/>
  <c r="Y236" i="16"/>
  <c r="M236" i="16"/>
  <c r="L236" i="16"/>
  <c r="E236" i="16"/>
  <c r="D236" i="16"/>
  <c r="C236" i="16"/>
  <c r="P236" i="16" s="1"/>
  <c r="Z235" i="16"/>
  <c r="Y235" i="16"/>
  <c r="M235" i="16"/>
  <c r="L235" i="16"/>
  <c r="AB235" i="16" s="1"/>
  <c r="E235" i="16"/>
  <c r="D235" i="16"/>
  <c r="C235" i="16"/>
  <c r="P235" i="16" s="1"/>
  <c r="AC234" i="16"/>
  <c r="Z234" i="16"/>
  <c r="Y234" i="16"/>
  <c r="AB234" i="16" s="1"/>
  <c r="P234" i="16"/>
  <c r="M234" i="16"/>
  <c r="L234" i="16"/>
  <c r="E234" i="16"/>
  <c r="D234" i="16"/>
  <c r="C234" i="16"/>
  <c r="Z233" i="16"/>
  <c r="AC233" i="16" s="1"/>
  <c r="Y233" i="16"/>
  <c r="AB233" i="16" s="1"/>
  <c r="M233" i="16"/>
  <c r="L233" i="16"/>
  <c r="E233" i="16"/>
  <c r="D233" i="16"/>
  <c r="C233" i="16"/>
  <c r="P233" i="16" s="1"/>
  <c r="AC232" i="16"/>
  <c r="AB232" i="16"/>
  <c r="Z232" i="16"/>
  <c r="Y232" i="16"/>
  <c r="M232" i="16"/>
  <c r="L232" i="16"/>
  <c r="E232" i="16"/>
  <c r="D232" i="16"/>
  <c r="C232" i="16"/>
  <c r="P232" i="16" s="1"/>
  <c r="Z231" i="16"/>
  <c r="Y231" i="16"/>
  <c r="M231" i="16"/>
  <c r="L231" i="16"/>
  <c r="AB231" i="16" s="1"/>
  <c r="E231" i="16"/>
  <c r="D231" i="16"/>
  <c r="C231" i="16"/>
  <c r="P231" i="16" s="1"/>
  <c r="AC230" i="16"/>
  <c r="Z230" i="16"/>
  <c r="Y230" i="16"/>
  <c r="AB230" i="16" s="1"/>
  <c r="P230" i="16"/>
  <c r="M230" i="16"/>
  <c r="L230" i="16"/>
  <c r="E230" i="16"/>
  <c r="D230" i="16"/>
  <c r="C230" i="16"/>
  <c r="Z229" i="16"/>
  <c r="AC229" i="16" s="1"/>
  <c r="Y229" i="16"/>
  <c r="AB229" i="16" s="1"/>
  <c r="M229" i="16"/>
  <c r="L229" i="16"/>
  <c r="E229" i="16"/>
  <c r="D229" i="16"/>
  <c r="C229" i="16"/>
  <c r="P229" i="16" s="1"/>
  <c r="AC228" i="16"/>
  <c r="AB228" i="16"/>
  <c r="Z228" i="16"/>
  <c r="Y228" i="16"/>
  <c r="M228" i="16"/>
  <c r="L228" i="16"/>
  <c r="E228" i="16"/>
  <c r="D228" i="16"/>
  <c r="C228" i="16"/>
  <c r="P228" i="16" s="1"/>
  <c r="Z227" i="16"/>
  <c r="Y227" i="16"/>
  <c r="M227" i="16"/>
  <c r="L227" i="16"/>
  <c r="AB227" i="16" s="1"/>
  <c r="E227" i="16"/>
  <c r="D227" i="16"/>
  <c r="C227" i="16"/>
  <c r="P227" i="16" s="1"/>
  <c r="AC226" i="16"/>
  <c r="Z226" i="16"/>
  <c r="Y226" i="16"/>
  <c r="AB226" i="16" s="1"/>
  <c r="P226" i="16"/>
  <c r="M226" i="16"/>
  <c r="L226" i="16"/>
  <c r="E226" i="16"/>
  <c r="D226" i="16"/>
  <c r="C226" i="16"/>
  <c r="Z225" i="16"/>
  <c r="AC225" i="16" s="1"/>
  <c r="Y225" i="16"/>
  <c r="AB225" i="16" s="1"/>
  <c r="M225" i="16"/>
  <c r="L225" i="16"/>
  <c r="E225" i="16"/>
  <c r="D225" i="16"/>
  <c r="C225" i="16"/>
  <c r="P225" i="16" s="1"/>
  <c r="AC224" i="16"/>
  <c r="AB224" i="16"/>
  <c r="Z224" i="16"/>
  <c r="Y224" i="16"/>
  <c r="M224" i="16"/>
  <c r="L224" i="16"/>
  <c r="E224" i="16"/>
  <c r="D224" i="16"/>
  <c r="C224" i="16"/>
  <c r="P224" i="16" s="1"/>
  <c r="Z223" i="16"/>
  <c r="Y223" i="16"/>
  <c r="M223" i="16"/>
  <c r="L223" i="16"/>
  <c r="AB223" i="16" s="1"/>
  <c r="E223" i="16"/>
  <c r="D223" i="16"/>
  <c r="C223" i="16"/>
  <c r="P223" i="16" s="1"/>
  <c r="AC222" i="16"/>
  <c r="Z222" i="16"/>
  <c r="Y222" i="16"/>
  <c r="AB222" i="16" s="1"/>
  <c r="P222" i="16"/>
  <c r="M222" i="16"/>
  <c r="L222" i="16"/>
  <c r="E222" i="16"/>
  <c r="D222" i="16"/>
  <c r="C222" i="16"/>
  <c r="Z221" i="16"/>
  <c r="AC221" i="16" s="1"/>
  <c r="Y221" i="16"/>
  <c r="AB221" i="16" s="1"/>
  <c r="M221" i="16"/>
  <c r="L221" i="16"/>
  <c r="E221" i="16"/>
  <c r="D221" i="16"/>
  <c r="C221" i="16"/>
  <c r="P221" i="16" s="1"/>
  <c r="AC220" i="16"/>
  <c r="AB220" i="16"/>
  <c r="Z220" i="16"/>
  <c r="Y220" i="16"/>
  <c r="M220" i="16"/>
  <c r="L220" i="16"/>
  <c r="E220" i="16"/>
  <c r="D220" i="16"/>
  <c r="C220" i="16"/>
  <c r="P220" i="16" s="1"/>
  <c r="Z219" i="16"/>
  <c r="Y219" i="16"/>
  <c r="M219" i="16"/>
  <c r="L219" i="16"/>
  <c r="AB219" i="16" s="1"/>
  <c r="E219" i="16"/>
  <c r="D219" i="16"/>
  <c r="C219" i="16"/>
  <c r="P219" i="16" s="1"/>
  <c r="AC218" i="16"/>
  <c r="Z218" i="16"/>
  <c r="Y218" i="16"/>
  <c r="AB218" i="16" s="1"/>
  <c r="P218" i="16"/>
  <c r="M218" i="16"/>
  <c r="L218" i="16"/>
  <c r="E218" i="16"/>
  <c r="D218" i="16"/>
  <c r="C218" i="16"/>
  <c r="Z217" i="16"/>
  <c r="AC217" i="16" s="1"/>
  <c r="Y217" i="16"/>
  <c r="AB217" i="16" s="1"/>
  <c r="M217" i="16"/>
  <c r="L217" i="16"/>
  <c r="E217" i="16"/>
  <c r="D217" i="16"/>
  <c r="C217" i="16"/>
  <c r="P217" i="16" s="1"/>
  <c r="AC216" i="16"/>
  <c r="AB216" i="16"/>
  <c r="Z216" i="16"/>
  <c r="Y216" i="16"/>
  <c r="M216" i="16"/>
  <c r="L216" i="16"/>
  <c r="E216" i="16"/>
  <c r="D216" i="16"/>
  <c r="C216" i="16"/>
  <c r="P216" i="16" s="1"/>
  <c r="AB215" i="16"/>
  <c r="Z215" i="16"/>
  <c r="Y215" i="16"/>
  <c r="M215" i="16"/>
  <c r="L215" i="16"/>
  <c r="E215" i="16"/>
  <c r="D215" i="16"/>
  <c r="C215" i="16"/>
  <c r="P215" i="16" s="1"/>
  <c r="Z214" i="16"/>
  <c r="AC214" i="16" s="1"/>
  <c r="Y214" i="16"/>
  <c r="AB214" i="16" s="1"/>
  <c r="P214" i="16"/>
  <c r="M214" i="16"/>
  <c r="L214" i="16"/>
  <c r="E214" i="16"/>
  <c r="D214" i="16"/>
  <c r="C214" i="16"/>
  <c r="AC213" i="16"/>
  <c r="AB213" i="16"/>
  <c r="Z213" i="16"/>
  <c r="Y213" i="16"/>
  <c r="M213" i="16"/>
  <c r="L213" i="16"/>
  <c r="E213" i="16"/>
  <c r="D213" i="16"/>
  <c r="C213" i="16"/>
  <c r="P213" i="16" s="1"/>
  <c r="Z212" i="16"/>
  <c r="AC212" i="16" s="1"/>
  <c r="Y212" i="16"/>
  <c r="AB212" i="16" s="1"/>
  <c r="P212" i="16"/>
  <c r="M212" i="16"/>
  <c r="L212" i="16"/>
  <c r="E212" i="16"/>
  <c r="D212" i="16"/>
  <c r="C212" i="16"/>
  <c r="AC211" i="16"/>
  <c r="AB211" i="16"/>
  <c r="Z211" i="16"/>
  <c r="Y211" i="16"/>
  <c r="M211" i="16"/>
  <c r="L211" i="16"/>
  <c r="E211" i="16"/>
  <c r="D211" i="16"/>
  <c r="C211" i="16"/>
  <c r="P211" i="16" s="1"/>
  <c r="Z210" i="16"/>
  <c r="AC210" i="16" s="1"/>
  <c r="Y210" i="16"/>
  <c r="AB210" i="16" s="1"/>
  <c r="P210" i="16"/>
  <c r="M210" i="16"/>
  <c r="L210" i="16"/>
  <c r="E210" i="16"/>
  <c r="D210" i="16"/>
  <c r="C210" i="16"/>
  <c r="AC209" i="16"/>
  <c r="AB209" i="16"/>
  <c r="Z209" i="16"/>
  <c r="Y209" i="16"/>
  <c r="M209" i="16"/>
  <c r="L209" i="16"/>
  <c r="E209" i="16"/>
  <c r="D209" i="16"/>
  <c r="C209" i="16"/>
  <c r="P209" i="16" s="1"/>
  <c r="Z208" i="16"/>
  <c r="AC208" i="16" s="1"/>
  <c r="Y208" i="16"/>
  <c r="AB208" i="16" s="1"/>
  <c r="P208" i="16"/>
  <c r="M208" i="16"/>
  <c r="L208" i="16"/>
  <c r="E208" i="16"/>
  <c r="D208" i="16"/>
  <c r="C208" i="16"/>
  <c r="AC207" i="16"/>
  <c r="AB207" i="16"/>
  <c r="Z207" i="16"/>
  <c r="Y207" i="16"/>
  <c r="M207" i="16"/>
  <c r="L207" i="16"/>
  <c r="E207" i="16"/>
  <c r="D207" i="16"/>
  <c r="C207" i="16"/>
  <c r="P207" i="16" s="1"/>
  <c r="Z206" i="16"/>
  <c r="AC206" i="16" s="1"/>
  <c r="Y206" i="16"/>
  <c r="AB206" i="16" s="1"/>
  <c r="P206" i="16"/>
  <c r="M206" i="16"/>
  <c r="L206" i="16"/>
  <c r="E206" i="16"/>
  <c r="D206" i="16"/>
  <c r="C206" i="16"/>
  <c r="AC205" i="16"/>
  <c r="AB205" i="16"/>
  <c r="Z205" i="16"/>
  <c r="Y205" i="16"/>
  <c r="M205" i="16"/>
  <c r="L205" i="16"/>
  <c r="E205" i="16"/>
  <c r="D205" i="16"/>
  <c r="C205" i="16"/>
  <c r="P205" i="16" s="1"/>
  <c r="Z204" i="16"/>
  <c r="AC204" i="16" s="1"/>
  <c r="Y204" i="16"/>
  <c r="AB204" i="16" s="1"/>
  <c r="P204" i="16"/>
  <c r="M204" i="16"/>
  <c r="L204" i="16"/>
  <c r="E204" i="16"/>
  <c r="D204" i="16"/>
  <c r="C204" i="16"/>
  <c r="AC203" i="16"/>
  <c r="AB203" i="16"/>
  <c r="Z203" i="16"/>
  <c r="Y203" i="16"/>
  <c r="M203" i="16"/>
  <c r="L203" i="16"/>
  <c r="E203" i="16"/>
  <c r="D203" i="16"/>
  <c r="C203" i="16"/>
  <c r="P203" i="16" s="1"/>
  <c r="Z202" i="16"/>
  <c r="AC202" i="16" s="1"/>
  <c r="Y202" i="16"/>
  <c r="AB202" i="16" s="1"/>
  <c r="P202" i="16"/>
  <c r="M202" i="16"/>
  <c r="L202" i="16"/>
  <c r="E202" i="16"/>
  <c r="D202" i="16"/>
  <c r="C202" i="16"/>
  <c r="AC201" i="16"/>
  <c r="AB201" i="16"/>
  <c r="Z201" i="16"/>
  <c r="Y201" i="16"/>
  <c r="M201" i="16"/>
  <c r="L201" i="16"/>
  <c r="E201" i="16"/>
  <c r="D201" i="16"/>
  <c r="C201" i="16"/>
  <c r="P201" i="16" s="1"/>
  <c r="Z200" i="16"/>
  <c r="AC200" i="16" s="1"/>
  <c r="Y200" i="16"/>
  <c r="AB200" i="16" s="1"/>
  <c r="P200" i="16"/>
  <c r="M200" i="16"/>
  <c r="L200" i="16"/>
  <c r="E200" i="16"/>
  <c r="D200" i="16"/>
  <c r="C200" i="16"/>
  <c r="AC199" i="16"/>
  <c r="AB199" i="16"/>
  <c r="Z199" i="16"/>
  <c r="Y199" i="16"/>
  <c r="M199" i="16"/>
  <c r="L199" i="16"/>
  <c r="E199" i="16"/>
  <c r="D199" i="16"/>
  <c r="C199" i="16"/>
  <c r="P199" i="16" s="1"/>
  <c r="Z198" i="16"/>
  <c r="AC198" i="16" s="1"/>
  <c r="Y198" i="16"/>
  <c r="AB198" i="16" s="1"/>
  <c r="P198" i="16"/>
  <c r="M198" i="16"/>
  <c r="L198" i="16"/>
  <c r="E198" i="16"/>
  <c r="D198" i="16"/>
  <c r="C198" i="16"/>
  <c r="AC197" i="16"/>
  <c r="AB197" i="16"/>
  <c r="Z197" i="16"/>
  <c r="Y197" i="16"/>
  <c r="M197" i="16"/>
  <c r="L197" i="16"/>
  <c r="E197" i="16"/>
  <c r="D197" i="16"/>
  <c r="C197" i="16"/>
  <c r="P197" i="16" s="1"/>
  <c r="Z196" i="16"/>
  <c r="AC196" i="16" s="1"/>
  <c r="Y196" i="16"/>
  <c r="AB196" i="16" s="1"/>
  <c r="P196" i="16"/>
  <c r="M196" i="16"/>
  <c r="L196" i="16"/>
  <c r="E196" i="16"/>
  <c r="D196" i="16"/>
  <c r="C196" i="16"/>
  <c r="AC195" i="16"/>
  <c r="AB195" i="16"/>
  <c r="Z195" i="16"/>
  <c r="Y195" i="16"/>
  <c r="M195" i="16"/>
  <c r="L195" i="16"/>
  <c r="E195" i="16"/>
  <c r="D195" i="16"/>
  <c r="C195" i="16"/>
  <c r="P195" i="16" s="1"/>
  <c r="Z194" i="16"/>
  <c r="AC194" i="16" s="1"/>
  <c r="Y194" i="16"/>
  <c r="AB194" i="16" s="1"/>
  <c r="P194" i="16"/>
  <c r="M194" i="16"/>
  <c r="L194" i="16"/>
  <c r="E194" i="16"/>
  <c r="D194" i="16"/>
  <c r="C194" i="16"/>
  <c r="AC193" i="16"/>
  <c r="AB193" i="16"/>
  <c r="Z193" i="16"/>
  <c r="Y193" i="16"/>
  <c r="M193" i="16"/>
  <c r="L193" i="16"/>
  <c r="E193" i="16"/>
  <c r="D193" i="16"/>
  <c r="C193" i="16"/>
  <c r="P193" i="16" s="1"/>
  <c r="Z192" i="16"/>
  <c r="AC192" i="16" s="1"/>
  <c r="Y192" i="16"/>
  <c r="AB192" i="16" s="1"/>
  <c r="P192" i="16"/>
  <c r="M192" i="16"/>
  <c r="L192" i="16"/>
  <c r="E192" i="16"/>
  <c r="D192" i="16"/>
  <c r="C192" i="16"/>
  <c r="AC191" i="16"/>
  <c r="AB191" i="16"/>
  <c r="Z191" i="16"/>
  <c r="Y191" i="16"/>
  <c r="M191" i="16"/>
  <c r="L191" i="16"/>
  <c r="E191" i="16"/>
  <c r="D191" i="16"/>
  <c r="C191" i="16"/>
  <c r="P191" i="16" s="1"/>
  <c r="Z190" i="16"/>
  <c r="AC190" i="16" s="1"/>
  <c r="Y190" i="16"/>
  <c r="AB190" i="16" s="1"/>
  <c r="P190" i="16"/>
  <c r="M190" i="16"/>
  <c r="L190" i="16"/>
  <c r="E190" i="16"/>
  <c r="D190" i="16"/>
  <c r="C190" i="16"/>
  <c r="AC189" i="16"/>
  <c r="AB189" i="16"/>
  <c r="Z189" i="16"/>
  <c r="Y189" i="16"/>
  <c r="M189" i="16"/>
  <c r="L189" i="16"/>
  <c r="E189" i="16"/>
  <c r="D189" i="16"/>
  <c r="C189" i="16"/>
  <c r="P189" i="16" s="1"/>
  <c r="Z188" i="16"/>
  <c r="AC188" i="16" s="1"/>
  <c r="Y188" i="16"/>
  <c r="AB188" i="16" s="1"/>
  <c r="M188" i="16"/>
  <c r="L188" i="16"/>
  <c r="E188" i="16"/>
  <c r="D188" i="16"/>
  <c r="C188" i="16"/>
  <c r="P188" i="16" s="1"/>
  <c r="AC187" i="16"/>
  <c r="AB187" i="16"/>
  <c r="Z187" i="16"/>
  <c r="Y187" i="16"/>
  <c r="M187" i="16"/>
  <c r="L187" i="16"/>
  <c r="E187" i="16"/>
  <c r="D187" i="16"/>
  <c r="C187" i="16"/>
  <c r="P187" i="16" s="1"/>
  <c r="Z186" i="16"/>
  <c r="AC186" i="16" s="1"/>
  <c r="Y186" i="16"/>
  <c r="AB186" i="16" s="1"/>
  <c r="M186" i="16"/>
  <c r="L186" i="16"/>
  <c r="E186" i="16"/>
  <c r="D186" i="16"/>
  <c r="C186" i="16"/>
  <c r="P186" i="16" s="1"/>
  <c r="AC185" i="16"/>
  <c r="AB185" i="16"/>
  <c r="Z185" i="16"/>
  <c r="Y185" i="16"/>
  <c r="M185" i="16"/>
  <c r="L185" i="16"/>
  <c r="E185" i="16"/>
  <c r="D185" i="16"/>
  <c r="C185" i="16"/>
  <c r="P185" i="16" s="1"/>
  <c r="Z184" i="16"/>
  <c r="AC184" i="16" s="1"/>
  <c r="Y184" i="16"/>
  <c r="AB184" i="16" s="1"/>
  <c r="M184" i="16"/>
  <c r="L184" i="16"/>
  <c r="E184" i="16"/>
  <c r="D184" i="16"/>
  <c r="C184" i="16"/>
  <c r="P184" i="16" s="1"/>
  <c r="AC183" i="16"/>
  <c r="AB183" i="16"/>
  <c r="Z183" i="16"/>
  <c r="Y183" i="16"/>
  <c r="M183" i="16"/>
  <c r="L183" i="16"/>
  <c r="E183" i="16"/>
  <c r="D183" i="16"/>
  <c r="C183" i="16"/>
  <c r="P183" i="16" s="1"/>
  <c r="Z182" i="16"/>
  <c r="AC182" i="16" s="1"/>
  <c r="Y182" i="16"/>
  <c r="AB182" i="16" s="1"/>
  <c r="M182" i="16"/>
  <c r="L182" i="16"/>
  <c r="E182" i="16"/>
  <c r="D182" i="16"/>
  <c r="C182" i="16"/>
  <c r="P182" i="16" s="1"/>
  <c r="AC181" i="16"/>
  <c r="AB181" i="16"/>
  <c r="Z181" i="16"/>
  <c r="Y181" i="16"/>
  <c r="M181" i="16"/>
  <c r="L181" i="16"/>
  <c r="E181" i="16"/>
  <c r="D181" i="16"/>
  <c r="C181" i="16"/>
  <c r="P181" i="16" s="1"/>
  <c r="Z180" i="16"/>
  <c r="AC180" i="16" s="1"/>
  <c r="Y180" i="16"/>
  <c r="AB180" i="16" s="1"/>
  <c r="M180" i="16"/>
  <c r="L180" i="16"/>
  <c r="E180" i="16"/>
  <c r="D180" i="16"/>
  <c r="C180" i="16"/>
  <c r="P180" i="16" s="1"/>
  <c r="AC179" i="16"/>
  <c r="AB179" i="16"/>
  <c r="Z179" i="16"/>
  <c r="Y179" i="16"/>
  <c r="M179" i="16"/>
  <c r="L179" i="16"/>
  <c r="E179" i="16"/>
  <c r="D179" i="16"/>
  <c r="C179" i="16"/>
  <c r="P179" i="16" s="1"/>
  <c r="Z178" i="16"/>
  <c r="AC178" i="16" s="1"/>
  <c r="Y178" i="16"/>
  <c r="AB178" i="16" s="1"/>
  <c r="M178" i="16"/>
  <c r="L178" i="16"/>
  <c r="E178" i="16"/>
  <c r="D178" i="16"/>
  <c r="C178" i="16"/>
  <c r="P178" i="16" s="1"/>
  <c r="AC177" i="16"/>
  <c r="AB177" i="16"/>
  <c r="Z177" i="16"/>
  <c r="Y177" i="16"/>
  <c r="M177" i="16"/>
  <c r="L177" i="16"/>
  <c r="E177" i="16"/>
  <c r="D177" i="16"/>
  <c r="C177" i="16"/>
  <c r="P177" i="16" s="1"/>
  <c r="Z176" i="16"/>
  <c r="AC176" i="16" s="1"/>
  <c r="Y176" i="16"/>
  <c r="AB176" i="16" s="1"/>
  <c r="M176" i="16"/>
  <c r="L176" i="16"/>
  <c r="E176" i="16"/>
  <c r="D176" i="16"/>
  <c r="C176" i="16"/>
  <c r="P176" i="16" s="1"/>
  <c r="AC175" i="16"/>
  <c r="AB175" i="16"/>
  <c r="Z175" i="16"/>
  <c r="Y175" i="16"/>
  <c r="M175" i="16"/>
  <c r="L175" i="16"/>
  <c r="E175" i="16"/>
  <c r="D175" i="16"/>
  <c r="C175" i="16"/>
  <c r="P175" i="16" s="1"/>
  <c r="Z174" i="16"/>
  <c r="AC174" i="16" s="1"/>
  <c r="Y174" i="16"/>
  <c r="AB174" i="16" s="1"/>
  <c r="M174" i="16"/>
  <c r="L174" i="16"/>
  <c r="E174" i="16"/>
  <c r="D174" i="16"/>
  <c r="C174" i="16"/>
  <c r="P174" i="16" s="1"/>
  <c r="AC173" i="16"/>
  <c r="AB173" i="16"/>
  <c r="Z173" i="16"/>
  <c r="Y173" i="16"/>
  <c r="M173" i="16"/>
  <c r="L173" i="16"/>
  <c r="E173" i="16"/>
  <c r="D173" i="16"/>
  <c r="C173" i="16"/>
  <c r="P173" i="16" s="1"/>
  <c r="Z172" i="16"/>
  <c r="AC172" i="16" s="1"/>
  <c r="Y172" i="16"/>
  <c r="AB172" i="16" s="1"/>
  <c r="M172" i="16"/>
  <c r="L172" i="16"/>
  <c r="E172" i="16"/>
  <c r="D172" i="16"/>
  <c r="C172" i="16"/>
  <c r="P172" i="16" s="1"/>
  <c r="AC171" i="16"/>
  <c r="AB171" i="16"/>
  <c r="Z171" i="16"/>
  <c r="Y171" i="16"/>
  <c r="M171" i="16"/>
  <c r="L171" i="16"/>
  <c r="E171" i="16"/>
  <c r="D171" i="16"/>
  <c r="C171" i="16"/>
  <c r="P171" i="16" s="1"/>
  <c r="Z170" i="16"/>
  <c r="AC170" i="16" s="1"/>
  <c r="Y170" i="16"/>
  <c r="AB170" i="16" s="1"/>
  <c r="M170" i="16"/>
  <c r="L170" i="16"/>
  <c r="E170" i="16"/>
  <c r="D170" i="16"/>
  <c r="C170" i="16"/>
  <c r="P170" i="16" s="1"/>
  <c r="AC169" i="16"/>
  <c r="AB169" i="16"/>
  <c r="Z169" i="16"/>
  <c r="Y169" i="16"/>
  <c r="M169" i="16"/>
  <c r="L169" i="16"/>
  <c r="E169" i="16"/>
  <c r="D169" i="16"/>
  <c r="C169" i="16"/>
  <c r="P169" i="16" s="1"/>
  <c r="Z168" i="16"/>
  <c r="AC168" i="16" s="1"/>
  <c r="Y168" i="16"/>
  <c r="AB168" i="16" s="1"/>
  <c r="M168" i="16"/>
  <c r="L168" i="16"/>
  <c r="E168" i="16"/>
  <c r="D168" i="16"/>
  <c r="C168" i="16"/>
  <c r="P168" i="16" s="1"/>
  <c r="AC167" i="16"/>
  <c r="AB167" i="16"/>
  <c r="Z167" i="16"/>
  <c r="Y167" i="16"/>
  <c r="M167" i="16"/>
  <c r="L167" i="16"/>
  <c r="E167" i="16"/>
  <c r="D167" i="16"/>
  <c r="C167" i="16"/>
  <c r="P167" i="16" s="1"/>
  <c r="Z166" i="16"/>
  <c r="AC166" i="16" s="1"/>
  <c r="Y166" i="16"/>
  <c r="M166" i="16"/>
  <c r="L166" i="16"/>
  <c r="E166" i="16"/>
  <c r="D166" i="16"/>
  <c r="C166" i="16"/>
  <c r="P166" i="16" s="1"/>
  <c r="AC165" i="16"/>
  <c r="AB165" i="16"/>
  <c r="Z165" i="16"/>
  <c r="Y165" i="16"/>
  <c r="M165" i="16"/>
  <c r="L165" i="16"/>
  <c r="E165" i="16"/>
  <c r="D165" i="16"/>
  <c r="C165" i="16"/>
  <c r="P165" i="16" s="1"/>
  <c r="Z164" i="16"/>
  <c r="Y164" i="16"/>
  <c r="AB164" i="16" s="1"/>
  <c r="M164" i="16"/>
  <c r="L164" i="16"/>
  <c r="E164" i="16"/>
  <c r="D164" i="16"/>
  <c r="C164" i="16"/>
  <c r="P164" i="16" s="1"/>
  <c r="AC163" i="16"/>
  <c r="AB163" i="16"/>
  <c r="Z163" i="16"/>
  <c r="Y163" i="16"/>
  <c r="P163" i="16"/>
  <c r="M163" i="16"/>
  <c r="L163" i="16"/>
  <c r="E163" i="16"/>
  <c r="D163" i="16"/>
  <c r="C163" i="16"/>
  <c r="Z162" i="16"/>
  <c r="AC162" i="16" s="1"/>
  <c r="Y162" i="16"/>
  <c r="AB162" i="16" s="1"/>
  <c r="M162" i="16"/>
  <c r="L162" i="16"/>
  <c r="E162" i="16"/>
  <c r="D162" i="16"/>
  <c r="C162" i="16"/>
  <c r="P162" i="16" s="1"/>
  <c r="AC161" i="16"/>
  <c r="AB161" i="16"/>
  <c r="Z161" i="16"/>
  <c r="Y161" i="16"/>
  <c r="M161" i="16"/>
  <c r="L161" i="16"/>
  <c r="E161" i="16"/>
  <c r="D161" i="16"/>
  <c r="C161" i="16"/>
  <c r="P161" i="16" s="1"/>
  <c r="Z160" i="16"/>
  <c r="Y160" i="16"/>
  <c r="M160" i="16"/>
  <c r="L160" i="16"/>
  <c r="E160" i="16"/>
  <c r="D160" i="16"/>
  <c r="C160" i="16"/>
  <c r="P160" i="16" s="1"/>
  <c r="AC159" i="16"/>
  <c r="AB159" i="16"/>
  <c r="Z159" i="16"/>
  <c r="Y159" i="16"/>
  <c r="P159" i="16"/>
  <c r="M159" i="16"/>
  <c r="L159" i="16"/>
  <c r="E159" i="16"/>
  <c r="D159" i="16"/>
  <c r="C159" i="16"/>
  <c r="Z158" i="16"/>
  <c r="Y158" i="16"/>
  <c r="M158" i="16"/>
  <c r="L158" i="16"/>
  <c r="E158" i="16"/>
  <c r="D158" i="16"/>
  <c r="C158" i="16"/>
  <c r="P158" i="16" s="1"/>
  <c r="AC157" i="16"/>
  <c r="Z157" i="16"/>
  <c r="Y157" i="16"/>
  <c r="AB157" i="16" s="1"/>
  <c r="M157" i="16"/>
  <c r="L157" i="16"/>
  <c r="E157" i="16"/>
  <c r="D157" i="16"/>
  <c r="C157" i="16"/>
  <c r="P157" i="16" s="1"/>
  <c r="Z156" i="16"/>
  <c r="AC156" i="16" s="1"/>
  <c r="Y156" i="16"/>
  <c r="AB156" i="16" s="1"/>
  <c r="M156" i="16"/>
  <c r="L156" i="16"/>
  <c r="E156" i="16"/>
  <c r="D156" i="16"/>
  <c r="C156" i="16"/>
  <c r="P156" i="16" s="1"/>
  <c r="AC155" i="16"/>
  <c r="AB155" i="16"/>
  <c r="Z155" i="16"/>
  <c r="Y155" i="16"/>
  <c r="M155" i="16"/>
  <c r="L155" i="16"/>
  <c r="E155" i="16"/>
  <c r="D155" i="16"/>
  <c r="C155" i="16"/>
  <c r="P155" i="16" s="1"/>
  <c r="Z154" i="16"/>
  <c r="AC154" i="16" s="1"/>
  <c r="Y154" i="16"/>
  <c r="M154" i="16"/>
  <c r="L154" i="16"/>
  <c r="AB154" i="16" s="1"/>
  <c r="E154" i="16"/>
  <c r="D154" i="16"/>
  <c r="C154" i="16"/>
  <c r="P154" i="16" s="1"/>
  <c r="AC153" i="16"/>
  <c r="Z153" i="16"/>
  <c r="Y153" i="16"/>
  <c r="AB153" i="16" s="1"/>
  <c r="M153" i="16"/>
  <c r="L153" i="16"/>
  <c r="E153" i="16"/>
  <c r="D153" i="16"/>
  <c r="C153" i="16"/>
  <c r="P153" i="16" s="1"/>
  <c r="Z152" i="16"/>
  <c r="AC152" i="16" s="1"/>
  <c r="Y152" i="16"/>
  <c r="AB152" i="16" s="1"/>
  <c r="M152" i="16"/>
  <c r="L152" i="16"/>
  <c r="E152" i="16"/>
  <c r="D152" i="16"/>
  <c r="C152" i="16"/>
  <c r="P152" i="16" s="1"/>
  <c r="AC151" i="16"/>
  <c r="AB151" i="16"/>
  <c r="Z151" i="16"/>
  <c r="Y151" i="16"/>
  <c r="M151" i="16"/>
  <c r="L151" i="16"/>
  <c r="E151" i="16"/>
  <c r="D151" i="16"/>
  <c r="C151" i="16"/>
  <c r="P151" i="16" s="1"/>
  <c r="Z150" i="16"/>
  <c r="AC150" i="16" s="1"/>
  <c r="Y150" i="16"/>
  <c r="M150" i="16"/>
  <c r="L150" i="16"/>
  <c r="AB150" i="16" s="1"/>
  <c r="E150" i="16"/>
  <c r="D150" i="16"/>
  <c r="C150" i="16"/>
  <c r="P150" i="16" s="1"/>
  <c r="AC149" i="16"/>
  <c r="Z149" i="16"/>
  <c r="Y149" i="16"/>
  <c r="AB149" i="16" s="1"/>
  <c r="M149" i="16"/>
  <c r="L149" i="16"/>
  <c r="E149" i="16"/>
  <c r="D149" i="16"/>
  <c r="C149" i="16"/>
  <c r="P149" i="16" s="1"/>
  <c r="Z148" i="16"/>
  <c r="AC148" i="16" s="1"/>
  <c r="Y148" i="16"/>
  <c r="AB148" i="16" s="1"/>
  <c r="M148" i="16"/>
  <c r="L148" i="16"/>
  <c r="E148" i="16"/>
  <c r="D148" i="16"/>
  <c r="C148" i="16"/>
  <c r="P148" i="16" s="1"/>
  <c r="AB147" i="16"/>
  <c r="Z147" i="16"/>
  <c r="AC147" i="16" s="1"/>
  <c r="Y147" i="16"/>
  <c r="M147" i="16"/>
  <c r="L147" i="16"/>
  <c r="E147" i="16"/>
  <c r="D147" i="16"/>
  <c r="C147" i="16"/>
  <c r="P147" i="16" s="1"/>
  <c r="AC146" i="16"/>
  <c r="Z146" i="16"/>
  <c r="Y146" i="16"/>
  <c r="AB146" i="16" s="1"/>
  <c r="M146" i="16"/>
  <c r="L146" i="16"/>
  <c r="E146" i="16"/>
  <c r="D146" i="16"/>
  <c r="C146" i="16"/>
  <c r="P146" i="16" s="1"/>
  <c r="AB145" i="16"/>
  <c r="Z145" i="16"/>
  <c r="AC145" i="16" s="1"/>
  <c r="Y145" i="16"/>
  <c r="M145" i="16"/>
  <c r="L145" i="16"/>
  <c r="E145" i="16"/>
  <c r="D145" i="16"/>
  <c r="C145" i="16"/>
  <c r="P145" i="16" s="1"/>
  <c r="AC144" i="16"/>
  <c r="Z144" i="16"/>
  <c r="Y144" i="16"/>
  <c r="AB144" i="16" s="1"/>
  <c r="M144" i="16"/>
  <c r="L144" i="16"/>
  <c r="E144" i="16"/>
  <c r="D144" i="16"/>
  <c r="C144" i="16"/>
  <c r="P144" i="16" s="1"/>
  <c r="AB143" i="16"/>
  <c r="Z143" i="16"/>
  <c r="AC143" i="16" s="1"/>
  <c r="Y143" i="16"/>
  <c r="M143" i="16"/>
  <c r="L143" i="16"/>
  <c r="E143" i="16"/>
  <c r="D143" i="16"/>
  <c r="C143" i="16"/>
  <c r="P143" i="16" s="1"/>
  <c r="AC142" i="16"/>
  <c r="Z142" i="16"/>
  <c r="Y142" i="16"/>
  <c r="AB142" i="16" s="1"/>
  <c r="M142" i="16"/>
  <c r="L142" i="16"/>
  <c r="E142" i="16"/>
  <c r="D142" i="16"/>
  <c r="C142" i="16"/>
  <c r="P142" i="16" s="1"/>
  <c r="AB141" i="16"/>
  <c r="Z141" i="16"/>
  <c r="AC141" i="16" s="1"/>
  <c r="Y141" i="16"/>
  <c r="M141" i="16"/>
  <c r="L141" i="16"/>
  <c r="E141" i="16"/>
  <c r="D141" i="16"/>
  <c r="C141" i="16"/>
  <c r="P141" i="16" s="1"/>
  <c r="AC140" i="16"/>
  <c r="Z140" i="16"/>
  <c r="Y140" i="16"/>
  <c r="AB140" i="16" s="1"/>
  <c r="M140" i="16"/>
  <c r="L140" i="16"/>
  <c r="E140" i="16"/>
  <c r="D140" i="16"/>
  <c r="C140" i="16"/>
  <c r="P140" i="16" s="1"/>
  <c r="AB139" i="16"/>
  <c r="Z139" i="16"/>
  <c r="AC139" i="16" s="1"/>
  <c r="Y139" i="16"/>
  <c r="M139" i="16"/>
  <c r="L139" i="16"/>
  <c r="E139" i="16"/>
  <c r="D139" i="16"/>
  <c r="C139" i="16"/>
  <c r="P139" i="16" s="1"/>
  <c r="AC138" i="16"/>
  <c r="Z138" i="16"/>
  <c r="Y138" i="16"/>
  <c r="AB138" i="16" s="1"/>
  <c r="M138" i="16"/>
  <c r="L138" i="16"/>
  <c r="E138" i="16"/>
  <c r="D138" i="16"/>
  <c r="C138" i="16"/>
  <c r="P138" i="16" s="1"/>
  <c r="AB137" i="16"/>
  <c r="Z137" i="16"/>
  <c r="AC137" i="16" s="1"/>
  <c r="Y137" i="16"/>
  <c r="M137" i="16"/>
  <c r="L137" i="16"/>
  <c r="E137" i="16"/>
  <c r="D137" i="16"/>
  <c r="C137" i="16"/>
  <c r="P137" i="16" s="1"/>
  <c r="AC136" i="16"/>
  <c r="Z136" i="16"/>
  <c r="Y136" i="16"/>
  <c r="AB136" i="16" s="1"/>
  <c r="M136" i="16"/>
  <c r="L136" i="16"/>
  <c r="E136" i="16"/>
  <c r="D136" i="16"/>
  <c r="C136" i="16"/>
  <c r="P136" i="16" s="1"/>
  <c r="AB135" i="16"/>
  <c r="Z135" i="16"/>
  <c r="AC135" i="16" s="1"/>
  <c r="Y135" i="16"/>
  <c r="M135" i="16"/>
  <c r="L135" i="16"/>
  <c r="E135" i="16"/>
  <c r="D135" i="16"/>
  <c r="C135" i="16"/>
  <c r="P135" i="16" s="1"/>
  <c r="AC134" i="16"/>
  <c r="Z134" i="16"/>
  <c r="Y134" i="16"/>
  <c r="AB134" i="16" s="1"/>
  <c r="M134" i="16"/>
  <c r="L134" i="16"/>
  <c r="E134" i="16"/>
  <c r="D134" i="16"/>
  <c r="C134" i="16"/>
  <c r="P134" i="16" s="1"/>
  <c r="AB133" i="16"/>
  <c r="Z133" i="16"/>
  <c r="AC133" i="16" s="1"/>
  <c r="Y133" i="16"/>
  <c r="M133" i="16"/>
  <c r="L133" i="16"/>
  <c r="E133" i="16"/>
  <c r="D133" i="16"/>
  <c r="C133" i="16"/>
  <c r="P133" i="16" s="1"/>
  <c r="AC132" i="16"/>
  <c r="Z132" i="16"/>
  <c r="Y132" i="16"/>
  <c r="AB132" i="16" s="1"/>
  <c r="M132" i="16"/>
  <c r="L132" i="16"/>
  <c r="E132" i="16"/>
  <c r="D132" i="16"/>
  <c r="C132" i="16"/>
  <c r="P132" i="16" s="1"/>
  <c r="AB131" i="16"/>
  <c r="Z131" i="16"/>
  <c r="AC131" i="16" s="1"/>
  <c r="Y131" i="16"/>
  <c r="M131" i="16"/>
  <c r="L131" i="16"/>
  <c r="E131" i="16"/>
  <c r="D131" i="16"/>
  <c r="C131" i="16"/>
  <c r="P131" i="16" s="1"/>
  <c r="AC130" i="16"/>
  <c r="Z130" i="16"/>
  <c r="Y130" i="16"/>
  <c r="AB130" i="16" s="1"/>
  <c r="M130" i="16"/>
  <c r="L130" i="16"/>
  <c r="E130" i="16"/>
  <c r="D130" i="16"/>
  <c r="C130" i="16"/>
  <c r="P130" i="16" s="1"/>
  <c r="AB129" i="16"/>
  <c r="Z129" i="16"/>
  <c r="AC129" i="16" s="1"/>
  <c r="Y129" i="16"/>
  <c r="M129" i="16"/>
  <c r="L129" i="16"/>
  <c r="E129" i="16"/>
  <c r="D129" i="16"/>
  <c r="C129" i="16"/>
  <c r="P129" i="16" s="1"/>
  <c r="AC128" i="16"/>
  <c r="Z128" i="16"/>
  <c r="Y128" i="16"/>
  <c r="AB128" i="16" s="1"/>
  <c r="M128" i="16"/>
  <c r="L128" i="16"/>
  <c r="E128" i="16"/>
  <c r="D128" i="16"/>
  <c r="C128" i="16"/>
  <c r="P128" i="16" s="1"/>
  <c r="AB127" i="16"/>
  <c r="Z127" i="16"/>
  <c r="AC127" i="16" s="1"/>
  <c r="Y127" i="16"/>
  <c r="M127" i="16"/>
  <c r="L127" i="16"/>
  <c r="E127" i="16"/>
  <c r="D127" i="16"/>
  <c r="C127" i="16"/>
  <c r="P127" i="16" s="1"/>
  <c r="AC126" i="16"/>
  <c r="Z126" i="16"/>
  <c r="Y126" i="16"/>
  <c r="AB126" i="16" s="1"/>
  <c r="M126" i="16"/>
  <c r="L126" i="16"/>
  <c r="E126" i="16"/>
  <c r="D126" i="16"/>
  <c r="C126" i="16"/>
  <c r="P126" i="16" s="1"/>
  <c r="AB125" i="16"/>
  <c r="Z125" i="16"/>
  <c r="AC125" i="16" s="1"/>
  <c r="Y125" i="16"/>
  <c r="M125" i="16"/>
  <c r="L125" i="16"/>
  <c r="E125" i="16"/>
  <c r="D125" i="16"/>
  <c r="C125" i="16"/>
  <c r="P125" i="16" s="1"/>
  <c r="AC124" i="16"/>
  <c r="Z124" i="16"/>
  <c r="Y124" i="16"/>
  <c r="AB124" i="16" s="1"/>
  <c r="M124" i="16"/>
  <c r="L124" i="16"/>
  <c r="E124" i="16"/>
  <c r="D124" i="16"/>
  <c r="C124" i="16"/>
  <c r="P124" i="16" s="1"/>
  <c r="AB123" i="16"/>
  <c r="Z123" i="16"/>
  <c r="AC123" i="16" s="1"/>
  <c r="Y123" i="16"/>
  <c r="M123" i="16"/>
  <c r="L123" i="16"/>
  <c r="E123" i="16"/>
  <c r="D123" i="16"/>
  <c r="C123" i="16"/>
  <c r="P123" i="16" s="1"/>
  <c r="AC122" i="16"/>
  <c r="Z122" i="16"/>
  <c r="Y122" i="16"/>
  <c r="AB122" i="16" s="1"/>
  <c r="M122" i="16"/>
  <c r="L122" i="16"/>
  <c r="E122" i="16"/>
  <c r="D122" i="16"/>
  <c r="C122" i="16"/>
  <c r="P122" i="16" s="1"/>
  <c r="AB121" i="16"/>
  <c r="Z121" i="16"/>
  <c r="AC121" i="16" s="1"/>
  <c r="Y121" i="16"/>
  <c r="M121" i="16"/>
  <c r="L121" i="16"/>
  <c r="E121" i="16"/>
  <c r="D121" i="16"/>
  <c r="C121" i="16"/>
  <c r="P121" i="16" s="1"/>
  <c r="AC120" i="16"/>
  <c r="Z120" i="16"/>
  <c r="Y120" i="16"/>
  <c r="AB120" i="16" s="1"/>
  <c r="M120" i="16"/>
  <c r="L120" i="16"/>
  <c r="E120" i="16"/>
  <c r="D120" i="16"/>
  <c r="C120" i="16"/>
  <c r="P120" i="16" s="1"/>
  <c r="AB119" i="16"/>
  <c r="Z119" i="16"/>
  <c r="AC119" i="16" s="1"/>
  <c r="Y119" i="16"/>
  <c r="M119" i="16"/>
  <c r="L119" i="16"/>
  <c r="E119" i="16"/>
  <c r="D119" i="16"/>
  <c r="C119" i="16"/>
  <c r="P119" i="16" s="1"/>
  <c r="AC118" i="16"/>
  <c r="Z118" i="16"/>
  <c r="Y118" i="16"/>
  <c r="AB118" i="16" s="1"/>
  <c r="M118" i="16"/>
  <c r="L118" i="16"/>
  <c r="E118" i="16"/>
  <c r="D118" i="16"/>
  <c r="C118" i="16"/>
  <c r="P118" i="16" s="1"/>
  <c r="AB117" i="16"/>
  <c r="Z117" i="16"/>
  <c r="AC117" i="16" s="1"/>
  <c r="Y117" i="16"/>
  <c r="M117" i="16"/>
  <c r="L117" i="16"/>
  <c r="E117" i="16"/>
  <c r="D117" i="16"/>
  <c r="C117" i="16"/>
  <c r="P117" i="16" s="1"/>
  <c r="AC116" i="16"/>
  <c r="Z116" i="16"/>
  <c r="Y116" i="16"/>
  <c r="AB116" i="16" s="1"/>
  <c r="M116" i="16"/>
  <c r="L116" i="16"/>
  <c r="E116" i="16"/>
  <c r="D116" i="16"/>
  <c r="C116" i="16"/>
  <c r="P116" i="16" s="1"/>
  <c r="AB115" i="16"/>
  <c r="Z115" i="16"/>
  <c r="AC115" i="16" s="1"/>
  <c r="Y115" i="16"/>
  <c r="M115" i="16"/>
  <c r="L115" i="16"/>
  <c r="E115" i="16"/>
  <c r="D115" i="16"/>
  <c r="C115" i="16"/>
  <c r="P115" i="16" s="1"/>
  <c r="AC114" i="16"/>
  <c r="Z114" i="16"/>
  <c r="Y114" i="16"/>
  <c r="AB114" i="16" s="1"/>
  <c r="M114" i="16"/>
  <c r="L114" i="16"/>
  <c r="E114" i="16"/>
  <c r="D114" i="16"/>
  <c r="C114" i="16"/>
  <c r="P114" i="16" s="1"/>
  <c r="AB113" i="16"/>
  <c r="Z113" i="16"/>
  <c r="AC113" i="16" s="1"/>
  <c r="Y113" i="16"/>
  <c r="M113" i="16"/>
  <c r="L113" i="16"/>
  <c r="E113" i="16"/>
  <c r="D113" i="16"/>
  <c r="C113" i="16"/>
  <c r="P113" i="16" s="1"/>
  <c r="AC112" i="16"/>
  <c r="Z112" i="16"/>
  <c r="Y112" i="16"/>
  <c r="AB112" i="16" s="1"/>
  <c r="M112" i="16"/>
  <c r="L112" i="16"/>
  <c r="E112" i="16"/>
  <c r="D112" i="16"/>
  <c r="C112" i="16"/>
  <c r="P112" i="16" s="1"/>
  <c r="AB111" i="16"/>
  <c r="Z111" i="16"/>
  <c r="AC111" i="16" s="1"/>
  <c r="Y111" i="16"/>
  <c r="M111" i="16"/>
  <c r="L111" i="16"/>
  <c r="E111" i="16"/>
  <c r="D111" i="16"/>
  <c r="C111" i="16"/>
  <c r="P111" i="16" s="1"/>
  <c r="AC110" i="16"/>
  <c r="Z110" i="16"/>
  <c r="Y110" i="16"/>
  <c r="AB110" i="16" s="1"/>
  <c r="M110" i="16"/>
  <c r="L110" i="16"/>
  <c r="E110" i="16"/>
  <c r="D110" i="16"/>
  <c r="C110" i="16"/>
  <c r="P110" i="16" s="1"/>
  <c r="AB109" i="16"/>
  <c r="Z109" i="16"/>
  <c r="AC109" i="16" s="1"/>
  <c r="Y109" i="16"/>
  <c r="M109" i="16"/>
  <c r="L109" i="16"/>
  <c r="E109" i="16"/>
  <c r="D109" i="16"/>
  <c r="C109" i="16"/>
  <c r="P109" i="16" s="1"/>
  <c r="AC108" i="16"/>
  <c r="Z108" i="16"/>
  <c r="Y108" i="16"/>
  <c r="AB108" i="16" s="1"/>
  <c r="M108" i="16"/>
  <c r="L108" i="16"/>
  <c r="E108" i="16"/>
  <c r="D108" i="16"/>
  <c r="C108" i="16"/>
  <c r="P108" i="16" s="1"/>
  <c r="Z107" i="16"/>
  <c r="AC107" i="16" s="1"/>
  <c r="Y107" i="16"/>
  <c r="AB107" i="16" s="1"/>
  <c r="M107" i="16"/>
  <c r="L107" i="16"/>
  <c r="E107" i="16"/>
  <c r="D107" i="16"/>
  <c r="C107" i="16"/>
  <c r="P107" i="16" s="1"/>
  <c r="AC106" i="16"/>
  <c r="Z106" i="16"/>
  <c r="Y106" i="16"/>
  <c r="AB106" i="16" s="1"/>
  <c r="M106" i="16"/>
  <c r="L106" i="16"/>
  <c r="E106" i="16"/>
  <c r="D106" i="16"/>
  <c r="C106" i="16"/>
  <c r="P106" i="16" s="1"/>
  <c r="Z105" i="16"/>
  <c r="AC105" i="16" s="1"/>
  <c r="Y105" i="16"/>
  <c r="AB105" i="16" s="1"/>
  <c r="M105" i="16"/>
  <c r="L105" i="16"/>
  <c r="E105" i="16"/>
  <c r="D105" i="16"/>
  <c r="C105" i="16"/>
  <c r="P105" i="16" s="1"/>
  <c r="AC104" i="16"/>
  <c r="AB104" i="16"/>
  <c r="Z104" i="16"/>
  <c r="Y104" i="16"/>
  <c r="M104" i="16"/>
  <c r="L104" i="16"/>
  <c r="E104" i="16"/>
  <c r="D104" i="16"/>
  <c r="C104" i="16"/>
  <c r="P104" i="16" s="1"/>
  <c r="AB103" i="16"/>
  <c r="Z103" i="16"/>
  <c r="AC103" i="16" s="1"/>
  <c r="Y103" i="16"/>
  <c r="M103" i="16"/>
  <c r="L103" i="16"/>
  <c r="E103" i="16"/>
  <c r="D103" i="16"/>
  <c r="C103" i="16"/>
  <c r="P103" i="16" s="1"/>
  <c r="AC102" i="16"/>
  <c r="AB102" i="16"/>
  <c r="Z102" i="16"/>
  <c r="Y102" i="16"/>
  <c r="M102" i="16"/>
  <c r="L102" i="16"/>
  <c r="E102" i="16"/>
  <c r="D102" i="16"/>
  <c r="C102" i="16"/>
  <c r="P102" i="16" s="1"/>
  <c r="AB101" i="16"/>
  <c r="Z101" i="16"/>
  <c r="AC101" i="16" s="1"/>
  <c r="Y101" i="16"/>
  <c r="M101" i="16"/>
  <c r="L101" i="16"/>
  <c r="E101" i="16"/>
  <c r="D101" i="16"/>
  <c r="C101" i="16"/>
  <c r="P101" i="16" s="1"/>
  <c r="AC100" i="16"/>
  <c r="Z100" i="16"/>
  <c r="Y100" i="16"/>
  <c r="AB100" i="16" s="1"/>
  <c r="M100" i="16"/>
  <c r="L100" i="16"/>
  <c r="E100" i="16"/>
  <c r="D100" i="16"/>
  <c r="C100" i="16"/>
  <c r="P100" i="16" s="1"/>
  <c r="Z99" i="16"/>
  <c r="AC99" i="16" s="1"/>
  <c r="Y99" i="16"/>
  <c r="AB99" i="16" s="1"/>
  <c r="M99" i="16"/>
  <c r="L99" i="16"/>
  <c r="E99" i="16"/>
  <c r="D99" i="16"/>
  <c r="C99" i="16"/>
  <c r="P99" i="16" s="1"/>
  <c r="AC98" i="16"/>
  <c r="Z98" i="16"/>
  <c r="Y98" i="16"/>
  <c r="AB98" i="16" s="1"/>
  <c r="M98" i="16"/>
  <c r="L98" i="16"/>
  <c r="E98" i="16"/>
  <c r="D98" i="16"/>
  <c r="C98" i="16"/>
  <c r="P98" i="16" s="1"/>
  <c r="Z97" i="16"/>
  <c r="Y97" i="16"/>
  <c r="M97" i="16"/>
  <c r="L97" i="16"/>
  <c r="AB97" i="16" s="1"/>
  <c r="E97" i="16"/>
  <c r="D97" i="16"/>
  <c r="C97" i="16"/>
  <c r="P97" i="16" s="1"/>
  <c r="AC96" i="16"/>
  <c r="AB96" i="16"/>
  <c r="Z96" i="16"/>
  <c r="Y96" i="16"/>
  <c r="P96" i="16"/>
  <c r="M96" i="16"/>
  <c r="L96" i="16"/>
  <c r="E96" i="16"/>
  <c r="D96" i="16"/>
  <c r="C96" i="16"/>
  <c r="Z95" i="16"/>
  <c r="AC95" i="16" s="1"/>
  <c r="Y95" i="16"/>
  <c r="AB95" i="16" s="1"/>
  <c r="M95" i="16"/>
  <c r="L95" i="16"/>
  <c r="E95" i="16"/>
  <c r="D95" i="16"/>
  <c r="C95" i="16"/>
  <c r="P95" i="16" s="1"/>
  <c r="AC94" i="16"/>
  <c r="Z94" i="16"/>
  <c r="Y94" i="16"/>
  <c r="AB94" i="16" s="1"/>
  <c r="M94" i="16"/>
  <c r="L94" i="16"/>
  <c r="E94" i="16"/>
  <c r="D94" i="16"/>
  <c r="C94" i="16"/>
  <c r="P94" i="16" s="1"/>
  <c r="Z93" i="16"/>
  <c r="Y93" i="16"/>
  <c r="M93" i="16"/>
  <c r="L93" i="16"/>
  <c r="AB93" i="16" s="1"/>
  <c r="E93" i="16"/>
  <c r="D93" i="16"/>
  <c r="C93" i="16"/>
  <c r="P93" i="16" s="1"/>
  <c r="AC92" i="16"/>
  <c r="AB92" i="16"/>
  <c r="Z92" i="16"/>
  <c r="Y92" i="16"/>
  <c r="P92" i="16"/>
  <c r="M92" i="16"/>
  <c r="L92" i="16"/>
  <c r="E92" i="16"/>
  <c r="D92" i="16"/>
  <c r="C92" i="16"/>
  <c r="Z91" i="16"/>
  <c r="AC91" i="16" s="1"/>
  <c r="Y91" i="16"/>
  <c r="AB91" i="16" s="1"/>
  <c r="M91" i="16"/>
  <c r="L91" i="16"/>
  <c r="E91" i="16"/>
  <c r="D91" i="16"/>
  <c r="C91" i="16"/>
  <c r="P91" i="16" s="1"/>
  <c r="AC90" i="16"/>
  <c r="Z90" i="16"/>
  <c r="Y90" i="16"/>
  <c r="AB90" i="16" s="1"/>
  <c r="M90" i="16"/>
  <c r="L90" i="16"/>
  <c r="E90" i="16"/>
  <c r="D90" i="16"/>
  <c r="C90" i="16"/>
  <c r="P90" i="16" s="1"/>
  <c r="Z89" i="16"/>
  <c r="Y89" i="16"/>
  <c r="M89" i="16"/>
  <c r="L89" i="16"/>
  <c r="AB89" i="16" s="1"/>
  <c r="E89" i="16"/>
  <c r="D89" i="16"/>
  <c r="C89" i="16"/>
  <c r="P89" i="16" s="1"/>
  <c r="AC88" i="16"/>
  <c r="AB88" i="16"/>
  <c r="Z88" i="16"/>
  <c r="Y88" i="16"/>
  <c r="P88" i="16"/>
  <c r="M88" i="16"/>
  <c r="L88" i="16"/>
  <c r="E88" i="16"/>
  <c r="D88" i="16"/>
  <c r="C88" i="16"/>
  <c r="Z87" i="16"/>
  <c r="AC87" i="16" s="1"/>
  <c r="Y87" i="16"/>
  <c r="AB87" i="16" s="1"/>
  <c r="M87" i="16"/>
  <c r="L87" i="16"/>
  <c r="E87" i="16"/>
  <c r="D87" i="16"/>
  <c r="C87" i="16"/>
  <c r="P87" i="16" s="1"/>
  <c r="AC86" i="16"/>
  <c r="Z86" i="16"/>
  <c r="Y86" i="16"/>
  <c r="AB86" i="16" s="1"/>
  <c r="M86" i="16"/>
  <c r="L86" i="16"/>
  <c r="E86" i="16"/>
  <c r="D86" i="16"/>
  <c r="C86" i="16"/>
  <c r="P86" i="16" s="1"/>
  <c r="Z85" i="16"/>
  <c r="Y85" i="16"/>
  <c r="M85" i="16"/>
  <c r="L85" i="16"/>
  <c r="AB85" i="16" s="1"/>
  <c r="E85" i="16"/>
  <c r="D85" i="16"/>
  <c r="C85" i="16"/>
  <c r="P85" i="16" s="1"/>
  <c r="AC84" i="16"/>
  <c r="AB84" i="16"/>
  <c r="Z84" i="16"/>
  <c r="Y84" i="16"/>
  <c r="P84" i="16"/>
  <c r="M84" i="16"/>
  <c r="L84" i="16"/>
  <c r="E84" i="16"/>
  <c r="D84" i="16"/>
  <c r="C84" i="16"/>
  <c r="Z83" i="16"/>
  <c r="AC83" i="16" s="1"/>
  <c r="Y83" i="16"/>
  <c r="AB83" i="16" s="1"/>
  <c r="M83" i="16"/>
  <c r="L83" i="16"/>
  <c r="E83" i="16"/>
  <c r="D83" i="16"/>
  <c r="C83" i="16"/>
  <c r="P83" i="16" s="1"/>
  <c r="AC82" i="16"/>
  <c r="Z82" i="16"/>
  <c r="Y82" i="16"/>
  <c r="AB82" i="16" s="1"/>
  <c r="M82" i="16"/>
  <c r="L82" i="16"/>
  <c r="E82" i="16"/>
  <c r="D82" i="16"/>
  <c r="C82" i="16"/>
  <c r="P82" i="16" s="1"/>
  <c r="Z81" i="16"/>
  <c r="Y81" i="16"/>
  <c r="M81" i="16"/>
  <c r="L81" i="16"/>
  <c r="AB81" i="16" s="1"/>
  <c r="E81" i="16"/>
  <c r="D81" i="16"/>
  <c r="C81" i="16"/>
  <c r="P81" i="16" s="1"/>
  <c r="AC80" i="16"/>
  <c r="AB80" i="16"/>
  <c r="Z80" i="16"/>
  <c r="Y80" i="16"/>
  <c r="P80" i="16"/>
  <c r="M80" i="16"/>
  <c r="L80" i="16"/>
  <c r="E80" i="16"/>
  <c r="D80" i="16"/>
  <c r="C80" i="16"/>
  <c r="Z79" i="16"/>
  <c r="AC79" i="16" s="1"/>
  <c r="Y79" i="16"/>
  <c r="AB79" i="16" s="1"/>
  <c r="M79" i="16"/>
  <c r="L79" i="16"/>
  <c r="E79" i="16"/>
  <c r="D79" i="16"/>
  <c r="C79" i="16"/>
  <c r="P79" i="16" s="1"/>
  <c r="AC78" i="16"/>
  <c r="Z78" i="16"/>
  <c r="Y78" i="16"/>
  <c r="AB78" i="16" s="1"/>
  <c r="M78" i="16"/>
  <c r="L78" i="16"/>
  <c r="E78" i="16"/>
  <c r="D78" i="16"/>
  <c r="C78" i="16"/>
  <c r="P78" i="16" s="1"/>
  <c r="Z77" i="16"/>
  <c r="Y77" i="16"/>
  <c r="M77" i="16"/>
  <c r="L77" i="16"/>
  <c r="AB77" i="16" s="1"/>
  <c r="E77" i="16"/>
  <c r="D77" i="16"/>
  <c r="C77" i="16"/>
  <c r="P77" i="16" s="1"/>
  <c r="AC76" i="16"/>
  <c r="AB76" i="16"/>
  <c r="Z76" i="16"/>
  <c r="Y76" i="16"/>
  <c r="P76" i="16"/>
  <c r="M76" i="16"/>
  <c r="L76" i="16"/>
  <c r="E76" i="16"/>
  <c r="D76" i="16"/>
  <c r="C76" i="16"/>
  <c r="Z75" i="16"/>
  <c r="AC75" i="16" s="1"/>
  <c r="Y75" i="16"/>
  <c r="AB75" i="16" s="1"/>
  <c r="M75" i="16"/>
  <c r="L75" i="16"/>
  <c r="E75" i="16"/>
  <c r="D75" i="16"/>
  <c r="C75" i="16"/>
  <c r="P75" i="16" s="1"/>
  <c r="AC74" i="16"/>
  <c r="Z74" i="16"/>
  <c r="Y74" i="16"/>
  <c r="AB74" i="16" s="1"/>
  <c r="M74" i="16"/>
  <c r="L74" i="16"/>
  <c r="E74" i="16"/>
  <c r="D74" i="16"/>
  <c r="C74" i="16"/>
  <c r="P74" i="16" s="1"/>
  <c r="AB73" i="16"/>
  <c r="Z73" i="16"/>
  <c r="Y73" i="16"/>
  <c r="M73" i="16"/>
  <c r="L73" i="16"/>
  <c r="E73" i="16"/>
  <c r="D73" i="16"/>
  <c r="C73" i="16"/>
  <c r="P73" i="16" s="1"/>
  <c r="AC72" i="16"/>
  <c r="Z72" i="16"/>
  <c r="Y72" i="16"/>
  <c r="AB72" i="16" s="1"/>
  <c r="P72" i="16"/>
  <c r="M72" i="16"/>
  <c r="L72" i="16"/>
  <c r="E72" i="16"/>
  <c r="D72" i="16"/>
  <c r="C72" i="16"/>
  <c r="AB71" i="16"/>
  <c r="Z71" i="16"/>
  <c r="AC71" i="16" s="1"/>
  <c r="Y71" i="16"/>
  <c r="M71" i="16"/>
  <c r="L71" i="16"/>
  <c r="E71" i="16"/>
  <c r="D71" i="16"/>
  <c r="C71" i="16"/>
  <c r="P71" i="16" s="1"/>
  <c r="AC70" i="16"/>
  <c r="Z70" i="16"/>
  <c r="Y70" i="16"/>
  <c r="AB70" i="16" s="1"/>
  <c r="P70" i="16"/>
  <c r="M70" i="16"/>
  <c r="L70" i="16"/>
  <c r="E70" i="16"/>
  <c r="D70" i="16"/>
  <c r="C70" i="16"/>
  <c r="AB69" i="16"/>
  <c r="Z69" i="16"/>
  <c r="AC69" i="16" s="1"/>
  <c r="Y69" i="16"/>
  <c r="M69" i="16"/>
  <c r="L69" i="16"/>
  <c r="E69" i="16"/>
  <c r="D69" i="16"/>
  <c r="C69" i="16"/>
  <c r="P69" i="16" s="1"/>
  <c r="AC68" i="16"/>
  <c r="Z68" i="16"/>
  <c r="Y68" i="16"/>
  <c r="AB68" i="16" s="1"/>
  <c r="P68" i="16"/>
  <c r="M68" i="16"/>
  <c r="L68" i="16"/>
  <c r="E68" i="16"/>
  <c r="D68" i="16"/>
  <c r="C68" i="16"/>
  <c r="AB67" i="16"/>
  <c r="Z67" i="16"/>
  <c r="AC67" i="16" s="1"/>
  <c r="Y67" i="16"/>
  <c r="M67" i="16"/>
  <c r="L67" i="16"/>
  <c r="E67" i="16"/>
  <c r="D67" i="16"/>
  <c r="C67" i="16"/>
  <c r="P67" i="16" s="1"/>
  <c r="AC66" i="16"/>
  <c r="Z66" i="16"/>
  <c r="Y66" i="16"/>
  <c r="AB66" i="16" s="1"/>
  <c r="P66" i="16"/>
  <c r="M66" i="16"/>
  <c r="L66" i="16"/>
  <c r="E66" i="16"/>
  <c r="D66" i="16"/>
  <c r="C66" i="16"/>
  <c r="AB65" i="16"/>
  <c r="Z65" i="16"/>
  <c r="AC65" i="16" s="1"/>
  <c r="Y65" i="16"/>
  <c r="M65" i="16"/>
  <c r="L65" i="16"/>
  <c r="E65" i="16"/>
  <c r="D65" i="16"/>
  <c r="C65" i="16"/>
  <c r="P65" i="16" s="1"/>
  <c r="AC64" i="16"/>
  <c r="Z64" i="16"/>
  <c r="Y64" i="16"/>
  <c r="AB64" i="16" s="1"/>
  <c r="P64" i="16"/>
  <c r="M64" i="16"/>
  <c r="L64" i="16"/>
  <c r="E64" i="16"/>
  <c r="D64" i="16"/>
  <c r="C64" i="16"/>
  <c r="AB63" i="16"/>
  <c r="Z63" i="16"/>
  <c r="AC63" i="16" s="1"/>
  <c r="Y63" i="16"/>
  <c r="M63" i="16"/>
  <c r="L63" i="16"/>
  <c r="E63" i="16"/>
  <c r="D63" i="16"/>
  <c r="C63" i="16"/>
  <c r="P63" i="16" s="1"/>
  <c r="AC62" i="16"/>
  <c r="Z62" i="16"/>
  <c r="Y62" i="16"/>
  <c r="AB62" i="16" s="1"/>
  <c r="P62" i="16"/>
  <c r="M62" i="16"/>
  <c r="L62" i="16"/>
  <c r="E62" i="16"/>
  <c r="D62" i="16"/>
  <c r="C62" i="16"/>
  <c r="AB61" i="16"/>
  <c r="Z61" i="16"/>
  <c r="AC61" i="16" s="1"/>
  <c r="Y61" i="16"/>
  <c r="M61" i="16"/>
  <c r="L61" i="16"/>
  <c r="E61" i="16"/>
  <c r="D61" i="16"/>
  <c r="C61" i="16"/>
  <c r="P61" i="16" s="1"/>
  <c r="AC60" i="16"/>
  <c r="Z60" i="16"/>
  <c r="Y60" i="16"/>
  <c r="AB60" i="16" s="1"/>
  <c r="P60" i="16"/>
  <c r="M60" i="16"/>
  <c r="L60" i="16"/>
  <c r="E60" i="16"/>
  <c r="D60" i="16"/>
  <c r="C60" i="16"/>
  <c r="AB59" i="16"/>
  <c r="Z59" i="16"/>
  <c r="AC59" i="16" s="1"/>
  <c r="Y59" i="16"/>
  <c r="M59" i="16"/>
  <c r="L59" i="16"/>
  <c r="E59" i="16"/>
  <c r="D59" i="16"/>
  <c r="C59" i="16"/>
  <c r="P59" i="16" s="1"/>
  <c r="AC58" i="16"/>
  <c r="Z58" i="16"/>
  <c r="Y58" i="16"/>
  <c r="AB58" i="16" s="1"/>
  <c r="P58" i="16"/>
  <c r="M58" i="16"/>
  <c r="L58" i="16"/>
  <c r="E58" i="16"/>
  <c r="D58" i="16"/>
  <c r="C58" i="16"/>
  <c r="AB57" i="16"/>
  <c r="Z57" i="16"/>
  <c r="AC57" i="16" s="1"/>
  <c r="Y57" i="16"/>
  <c r="M57" i="16"/>
  <c r="L57" i="16"/>
  <c r="E57" i="16"/>
  <c r="D57" i="16"/>
  <c r="C57" i="16"/>
  <c r="P57" i="16" s="1"/>
  <c r="AC56" i="16"/>
  <c r="Z56" i="16"/>
  <c r="Y56" i="16"/>
  <c r="AB56" i="16" s="1"/>
  <c r="P56" i="16"/>
  <c r="M56" i="16"/>
  <c r="L56" i="16"/>
  <c r="E56" i="16"/>
  <c r="D56" i="16"/>
  <c r="C56" i="16"/>
  <c r="AB55" i="16"/>
  <c r="Z55" i="16"/>
  <c r="AC55" i="16" s="1"/>
  <c r="Y55" i="16"/>
  <c r="M55" i="16"/>
  <c r="L55" i="16"/>
  <c r="E55" i="16"/>
  <c r="D55" i="16"/>
  <c r="C55" i="16"/>
  <c r="P55" i="16" s="1"/>
  <c r="AC54" i="16"/>
  <c r="Z54" i="16"/>
  <c r="Y54" i="16"/>
  <c r="AB54" i="16" s="1"/>
  <c r="P54" i="16"/>
  <c r="M54" i="16"/>
  <c r="L54" i="16"/>
  <c r="E54" i="16"/>
  <c r="D54" i="16"/>
  <c r="C54" i="16"/>
  <c r="AB53" i="16"/>
  <c r="Z53" i="16"/>
  <c r="AC53" i="16" s="1"/>
  <c r="Y53" i="16"/>
  <c r="M53" i="16"/>
  <c r="L53" i="16"/>
  <c r="E53" i="16"/>
  <c r="D53" i="16"/>
  <c r="C53" i="16"/>
  <c r="P53" i="16" s="1"/>
  <c r="AC52" i="16"/>
  <c r="Z52" i="16"/>
  <c r="Y52" i="16"/>
  <c r="AB52" i="16" s="1"/>
  <c r="P52" i="16"/>
  <c r="M52" i="16"/>
  <c r="L52" i="16"/>
  <c r="E52" i="16"/>
  <c r="D52" i="16"/>
  <c r="C52" i="16"/>
  <c r="AB51" i="16"/>
  <c r="Z51" i="16"/>
  <c r="AC51" i="16" s="1"/>
  <c r="Y51" i="16"/>
  <c r="M51" i="16"/>
  <c r="L51" i="16"/>
  <c r="E51" i="16"/>
  <c r="D51" i="16"/>
  <c r="C51" i="16"/>
  <c r="P51" i="16" s="1"/>
  <c r="AC50" i="16"/>
  <c r="Z50" i="16"/>
  <c r="Y50" i="16"/>
  <c r="AB50" i="16" s="1"/>
  <c r="P50" i="16"/>
  <c r="M50" i="16"/>
  <c r="L50" i="16"/>
  <c r="E50" i="16"/>
  <c r="D50" i="16"/>
  <c r="C50" i="16"/>
  <c r="AB49" i="16"/>
  <c r="Z49" i="16"/>
  <c r="AC49" i="16" s="1"/>
  <c r="Y49" i="16"/>
  <c r="M49" i="16"/>
  <c r="L49" i="16"/>
  <c r="E49" i="16"/>
  <c r="D49" i="16"/>
  <c r="C49" i="16"/>
  <c r="P49" i="16" s="1"/>
  <c r="AC48" i="16"/>
  <c r="Z48" i="16"/>
  <c r="Y48" i="16"/>
  <c r="AB48" i="16" s="1"/>
  <c r="P48" i="16"/>
  <c r="M48" i="16"/>
  <c r="L48" i="16"/>
  <c r="E48" i="16"/>
  <c r="D48" i="16"/>
  <c r="C48" i="16"/>
  <c r="AB47" i="16"/>
  <c r="Z47" i="16"/>
  <c r="AC47" i="16" s="1"/>
  <c r="Y47" i="16"/>
  <c r="M47" i="16"/>
  <c r="L47" i="16"/>
  <c r="E47" i="16"/>
  <c r="D47" i="16"/>
  <c r="C47" i="16"/>
  <c r="P47" i="16" s="1"/>
  <c r="AC46" i="16"/>
  <c r="Z46" i="16"/>
  <c r="Y46" i="16"/>
  <c r="AB46" i="16" s="1"/>
  <c r="P46" i="16"/>
  <c r="M46" i="16"/>
  <c r="L46" i="16"/>
  <c r="E46" i="16"/>
  <c r="D46" i="16"/>
  <c r="C46" i="16"/>
  <c r="AB45" i="16"/>
  <c r="Z45" i="16"/>
  <c r="AC45" i="16" s="1"/>
  <c r="Y45" i="16"/>
  <c r="M45" i="16"/>
  <c r="L45" i="16"/>
  <c r="E45" i="16"/>
  <c r="D45" i="16"/>
  <c r="C45" i="16"/>
  <c r="P45" i="16" s="1"/>
  <c r="AC44" i="16"/>
  <c r="Z44" i="16"/>
  <c r="Y44" i="16"/>
  <c r="AB44" i="16" s="1"/>
  <c r="P44" i="16"/>
  <c r="M44" i="16"/>
  <c r="L44" i="16"/>
  <c r="E44" i="16"/>
  <c r="D44" i="16"/>
  <c r="C44" i="16"/>
  <c r="AB43" i="16"/>
  <c r="Z43" i="16"/>
  <c r="AC43" i="16" s="1"/>
  <c r="Y43" i="16"/>
  <c r="M43" i="16"/>
  <c r="L43" i="16"/>
  <c r="E43" i="16"/>
  <c r="D43" i="16"/>
  <c r="C43" i="16"/>
  <c r="P43" i="16" s="1"/>
  <c r="AC42" i="16"/>
  <c r="Z42" i="16"/>
  <c r="Y42" i="16"/>
  <c r="AB42" i="16" s="1"/>
  <c r="P42" i="16"/>
  <c r="M42" i="16"/>
  <c r="L42" i="16"/>
  <c r="E42" i="16"/>
  <c r="D42" i="16"/>
  <c r="C42" i="16"/>
  <c r="AB41" i="16"/>
  <c r="Z41" i="16"/>
  <c r="AC41" i="16" s="1"/>
  <c r="Y41" i="16"/>
  <c r="M41" i="16"/>
  <c r="L41" i="16"/>
  <c r="E41" i="16"/>
  <c r="D41" i="16"/>
  <c r="C41" i="16"/>
  <c r="P41" i="16" s="1"/>
  <c r="AC40" i="16"/>
  <c r="Z40" i="16"/>
  <c r="Y40" i="16"/>
  <c r="AB40" i="16" s="1"/>
  <c r="P40" i="16"/>
  <c r="M40" i="16"/>
  <c r="L40" i="16"/>
  <c r="E40" i="16"/>
  <c r="D40" i="16"/>
  <c r="C40" i="16"/>
  <c r="AB39" i="16"/>
  <c r="Z39" i="16"/>
  <c r="AC39" i="16" s="1"/>
  <c r="Y39" i="16"/>
  <c r="M39" i="16"/>
  <c r="L39" i="16"/>
  <c r="E39" i="16"/>
  <c r="D39" i="16"/>
  <c r="C39" i="16"/>
  <c r="P39" i="16" s="1"/>
  <c r="AC38" i="16"/>
  <c r="Z38" i="16"/>
  <c r="Y38" i="16"/>
  <c r="AB38" i="16" s="1"/>
  <c r="P38" i="16"/>
  <c r="M38" i="16"/>
  <c r="L38" i="16"/>
  <c r="E38" i="16"/>
  <c r="D38" i="16"/>
  <c r="C38" i="16"/>
  <c r="AB37" i="16"/>
  <c r="Z37" i="16"/>
  <c r="AC37" i="16" s="1"/>
  <c r="Y37" i="16"/>
  <c r="M37" i="16"/>
  <c r="L37" i="16"/>
  <c r="E37" i="16"/>
  <c r="D37" i="16"/>
  <c r="C37" i="16"/>
  <c r="P37" i="16" s="1"/>
  <c r="AC36" i="16"/>
  <c r="Z36" i="16"/>
  <c r="Y36" i="16"/>
  <c r="AB36" i="16" s="1"/>
  <c r="P36" i="16"/>
  <c r="M36" i="16"/>
  <c r="L36" i="16"/>
  <c r="E36" i="16"/>
  <c r="D36" i="16"/>
  <c r="C36" i="16"/>
  <c r="AB35" i="16"/>
  <c r="Z35" i="16"/>
  <c r="AC35" i="16" s="1"/>
  <c r="Y35" i="16"/>
  <c r="M35" i="16"/>
  <c r="L35" i="16"/>
  <c r="E35" i="16"/>
  <c r="D35" i="16"/>
  <c r="C35" i="16"/>
  <c r="P35" i="16" s="1"/>
  <c r="AC34" i="16"/>
  <c r="Z34" i="16"/>
  <c r="Y34" i="16"/>
  <c r="AB34" i="16" s="1"/>
  <c r="P34" i="16"/>
  <c r="M34" i="16"/>
  <c r="L34" i="16"/>
  <c r="E34" i="16"/>
  <c r="D34" i="16"/>
  <c r="C34" i="16"/>
  <c r="AB33" i="16"/>
  <c r="Z33" i="16"/>
  <c r="AC33" i="16" s="1"/>
  <c r="Y33" i="16"/>
  <c r="M33" i="16"/>
  <c r="L33" i="16"/>
  <c r="E33" i="16"/>
  <c r="D33" i="16"/>
  <c r="C33" i="16"/>
  <c r="P33" i="16" s="1"/>
  <c r="AC32" i="16"/>
  <c r="Z32" i="16"/>
  <c r="Y32" i="16"/>
  <c r="AB32" i="16" s="1"/>
  <c r="P32" i="16"/>
  <c r="M32" i="16"/>
  <c r="L32" i="16"/>
  <c r="E32" i="16"/>
  <c r="D32" i="16"/>
  <c r="C32" i="16"/>
  <c r="AB31" i="16"/>
  <c r="Z31" i="16"/>
  <c r="AC31" i="16" s="1"/>
  <c r="Y31" i="16"/>
  <c r="M31" i="16"/>
  <c r="L31" i="16"/>
  <c r="E31" i="16"/>
  <c r="D31" i="16"/>
  <c r="C31" i="16"/>
  <c r="P31" i="16" s="1"/>
  <c r="AC30" i="16"/>
  <c r="Z30" i="16"/>
  <c r="Y30" i="16"/>
  <c r="AB30" i="16" s="1"/>
  <c r="P30" i="16"/>
  <c r="M30" i="16"/>
  <c r="L30" i="16"/>
  <c r="E30" i="16"/>
  <c r="D30" i="16"/>
  <c r="C30" i="16"/>
  <c r="AB29" i="16"/>
  <c r="Z29" i="16"/>
  <c r="AC29" i="16" s="1"/>
  <c r="Y29" i="16"/>
  <c r="M29" i="16"/>
  <c r="L29" i="16"/>
  <c r="E29" i="16"/>
  <c r="D29" i="16"/>
  <c r="C29" i="16"/>
  <c r="P29" i="16" s="1"/>
  <c r="AC28" i="16"/>
  <c r="Z28" i="16"/>
  <c r="Y28" i="16"/>
  <c r="AB28" i="16" s="1"/>
  <c r="P28" i="16"/>
  <c r="M28" i="16"/>
  <c r="L28" i="16"/>
  <c r="E28" i="16"/>
  <c r="D28" i="16"/>
  <c r="C28" i="16"/>
  <c r="AB27" i="16"/>
  <c r="Z27" i="16"/>
  <c r="AC27" i="16" s="1"/>
  <c r="Y27" i="16"/>
  <c r="M27" i="16"/>
  <c r="L27" i="16"/>
  <c r="E27" i="16"/>
  <c r="D27" i="16"/>
  <c r="C27" i="16"/>
  <c r="P27" i="16" s="1"/>
  <c r="AC26" i="16"/>
  <c r="Z26" i="16"/>
  <c r="Y26" i="16"/>
  <c r="AB26" i="16" s="1"/>
  <c r="P26" i="16"/>
  <c r="M26" i="16"/>
  <c r="L26" i="16"/>
  <c r="E26" i="16"/>
  <c r="D26" i="16"/>
  <c r="C26" i="16"/>
  <c r="AB25" i="16"/>
  <c r="Z25" i="16"/>
  <c r="AC25" i="16" s="1"/>
  <c r="Y25" i="16"/>
  <c r="M25" i="16"/>
  <c r="L25" i="16"/>
  <c r="E25" i="16"/>
  <c r="D25" i="16"/>
  <c r="C25" i="16"/>
  <c r="P25" i="16" s="1"/>
  <c r="AC24" i="16"/>
  <c r="Z24" i="16"/>
  <c r="Y24" i="16"/>
  <c r="AB24" i="16" s="1"/>
  <c r="P24" i="16"/>
  <c r="M24" i="16"/>
  <c r="L24" i="16"/>
  <c r="E24" i="16"/>
  <c r="D24" i="16"/>
  <c r="C24" i="16"/>
  <c r="AB23" i="16"/>
  <c r="Z23" i="16"/>
  <c r="AC23" i="16" s="1"/>
  <c r="Y23" i="16"/>
  <c r="M23" i="16"/>
  <c r="L23" i="16"/>
  <c r="E23" i="16"/>
  <c r="D23" i="16"/>
  <c r="C23" i="16"/>
  <c r="P23" i="16" s="1"/>
  <c r="AC22" i="16"/>
  <c r="Z22" i="16"/>
  <c r="Y22" i="16"/>
  <c r="AB22" i="16" s="1"/>
  <c r="P22" i="16"/>
  <c r="M22" i="16"/>
  <c r="L22" i="16"/>
  <c r="E22" i="16"/>
  <c r="D22" i="16"/>
  <c r="C22" i="16"/>
  <c r="AB21" i="16"/>
  <c r="Z21" i="16"/>
  <c r="AC21" i="16" s="1"/>
  <c r="Y21" i="16"/>
  <c r="M21" i="16"/>
  <c r="L21" i="16"/>
  <c r="E21" i="16"/>
  <c r="D21" i="16"/>
  <c r="C21" i="16"/>
  <c r="P21" i="16" s="1"/>
  <c r="AC20" i="16"/>
  <c r="Z20" i="16"/>
  <c r="Y20" i="16"/>
  <c r="AB20" i="16" s="1"/>
  <c r="P20" i="16"/>
  <c r="M20" i="16"/>
  <c r="L20" i="16"/>
  <c r="E20" i="16"/>
  <c r="D20" i="16"/>
  <c r="C20" i="16"/>
  <c r="AB19" i="16"/>
  <c r="Z19" i="16"/>
  <c r="AC19" i="16" s="1"/>
  <c r="Y19" i="16"/>
  <c r="M19" i="16"/>
  <c r="L19" i="16"/>
  <c r="E19" i="16"/>
  <c r="D19" i="16"/>
  <c r="C19" i="16"/>
  <c r="P19" i="16" s="1"/>
  <c r="AC18" i="16"/>
  <c r="Z18" i="16"/>
  <c r="Y18" i="16"/>
  <c r="AB18" i="16" s="1"/>
  <c r="P18" i="16"/>
  <c r="M18" i="16"/>
  <c r="L18" i="16"/>
  <c r="E18" i="16"/>
  <c r="D18" i="16"/>
  <c r="C18" i="16"/>
  <c r="AB17" i="16"/>
  <c r="Z17" i="16"/>
  <c r="AC17" i="16" s="1"/>
  <c r="Y17" i="16"/>
  <c r="M17" i="16"/>
  <c r="L17" i="16"/>
  <c r="E17" i="16"/>
  <c r="D17" i="16"/>
  <c r="C17" i="16"/>
  <c r="P17" i="16" s="1"/>
  <c r="AC16" i="16"/>
  <c r="Z16" i="16"/>
  <c r="Y16" i="16"/>
  <c r="AB16" i="16" s="1"/>
  <c r="P16" i="16"/>
  <c r="M16" i="16"/>
  <c r="L16" i="16"/>
  <c r="E16" i="16"/>
  <c r="D16" i="16"/>
  <c r="C16" i="16"/>
  <c r="AB15" i="16"/>
  <c r="Z15" i="16"/>
  <c r="AC15" i="16" s="1"/>
  <c r="Y15" i="16"/>
  <c r="M15" i="16"/>
  <c r="L15" i="16"/>
  <c r="E15" i="16"/>
  <c r="D15" i="16"/>
  <c r="C15" i="16"/>
  <c r="P15" i="16" s="1"/>
  <c r="AC14" i="16"/>
  <c r="Z14" i="16"/>
  <c r="Y14" i="16"/>
  <c r="AB14" i="16" s="1"/>
  <c r="P14" i="16"/>
  <c r="M14" i="16"/>
  <c r="L14" i="16"/>
  <c r="E14" i="16"/>
  <c r="D14" i="16"/>
  <c r="C14" i="16"/>
  <c r="AB13" i="16"/>
  <c r="Z13" i="16"/>
  <c r="AC13" i="16" s="1"/>
  <c r="Y13" i="16"/>
  <c r="M13" i="16"/>
  <c r="L13" i="16"/>
  <c r="E13" i="16"/>
  <c r="D13" i="16"/>
  <c r="C13" i="16"/>
  <c r="P13" i="16" s="1"/>
  <c r="AC12" i="16"/>
  <c r="Z12" i="16"/>
  <c r="Y12" i="16"/>
  <c r="AB12" i="16" s="1"/>
  <c r="P12" i="16"/>
  <c r="M12" i="16"/>
  <c r="L12" i="16"/>
  <c r="E12" i="16"/>
  <c r="D12" i="16"/>
  <c r="C12" i="16"/>
  <c r="AB11" i="16"/>
  <c r="Z11" i="16"/>
  <c r="AC11" i="16" s="1"/>
  <c r="Y11" i="16"/>
  <c r="M11" i="16"/>
  <c r="L11" i="16"/>
  <c r="E11" i="16"/>
  <c r="D11" i="16"/>
  <c r="C11" i="16"/>
  <c r="P11" i="16" s="1"/>
  <c r="AC10" i="16"/>
  <c r="Z10" i="16"/>
  <c r="Y10" i="16"/>
  <c r="AB10" i="16" s="1"/>
  <c r="P10" i="16"/>
  <c r="M10" i="16"/>
  <c r="L10" i="16"/>
  <c r="E10" i="16"/>
  <c r="D10" i="16"/>
  <c r="C10" i="16"/>
  <c r="AB9" i="16"/>
  <c r="Z9" i="16"/>
  <c r="AC9" i="16" s="1"/>
  <c r="Y9" i="16"/>
  <c r="M9" i="16"/>
  <c r="L9" i="16"/>
  <c r="E9" i="16"/>
  <c r="D9" i="16"/>
  <c r="C9" i="16"/>
  <c r="P9" i="16" s="1"/>
  <c r="AC8" i="16"/>
  <c r="Z8" i="16"/>
  <c r="Y8" i="16"/>
  <c r="AB8" i="16" s="1"/>
  <c r="P8" i="16"/>
  <c r="M8" i="16"/>
  <c r="L8" i="16"/>
  <c r="E8" i="16"/>
  <c r="D8" i="16"/>
  <c r="C8" i="16"/>
  <c r="AB7" i="16"/>
  <c r="Z7" i="16"/>
  <c r="AC7" i="16" s="1"/>
  <c r="Y7" i="16"/>
  <c r="M7" i="16"/>
  <c r="L7" i="16"/>
  <c r="E7" i="16"/>
  <c r="D7" i="16"/>
  <c r="C7" i="16"/>
  <c r="P7" i="16" s="1"/>
  <c r="AC6" i="16"/>
  <c r="Z6" i="16"/>
  <c r="Y6" i="16"/>
  <c r="AB6" i="16" s="1"/>
  <c r="P6" i="16"/>
  <c r="M6" i="16"/>
  <c r="L6" i="16"/>
  <c r="E6" i="16"/>
  <c r="D6" i="16"/>
  <c r="C6" i="16"/>
  <c r="AB5" i="16"/>
  <c r="Z5" i="16"/>
  <c r="AC5" i="16" s="1"/>
  <c r="Y5" i="16"/>
  <c r="M5" i="16"/>
  <c r="L5" i="16"/>
  <c r="E5" i="16"/>
  <c r="D5" i="16"/>
  <c r="C5" i="16"/>
  <c r="P5" i="16" s="1"/>
  <c r="Z302" i="15"/>
  <c r="Y302" i="15"/>
  <c r="AB301" i="15"/>
  <c r="Z301" i="15"/>
  <c r="AC301" i="15" s="1"/>
  <c r="Y301" i="15"/>
  <c r="P301" i="15"/>
  <c r="AC300" i="15"/>
  <c r="Z300" i="15"/>
  <c r="Y300" i="15"/>
  <c r="P300" i="15"/>
  <c r="M300" i="15"/>
  <c r="L300" i="15"/>
  <c r="AB300" i="15" s="1"/>
  <c r="E300" i="15"/>
  <c r="D300" i="15"/>
  <c r="C300" i="15"/>
  <c r="Z299" i="15"/>
  <c r="Y299" i="15"/>
  <c r="P299" i="15"/>
  <c r="M299" i="15"/>
  <c r="L299" i="15"/>
  <c r="E299" i="15"/>
  <c r="D299" i="15"/>
  <c r="C299" i="15"/>
  <c r="AC298" i="15"/>
  <c r="Z298" i="15"/>
  <c r="Y298" i="15"/>
  <c r="P298" i="15"/>
  <c r="M298" i="15"/>
  <c r="L298" i="15"/>
  <c r="AB298" i="15" s="1"/>
  <c r="E298" i="15"/>
  <c r="D298" i="15"/>
  <c r="C298" i="15"/>
  <c r="Z297" i="15"/>
  <c r="Y297" i="15"/>
  <c r="P297" i="15"/>
  <c r="M297" i="15"/>
  <c r="L297" i="15"/>
  <c r="E297" i="15"/>
  <c r="D297" i="15"/>
  <c r="C297" i="15"/>
  <c r="AC296" i="15"/>
  <c r="Z296" i="15"/>
  <c r="Y296" i="15"/>
  <c r="P296" i="15"/>
  <c r="M296" i="15"/>
  <c r="L296" i="15"/>
  <c r="AB296" i="15" s="1"/>
  <c r="E296" i="15"/>
  <c r="D296" i="15"/>
  <c r="C296" i="15"/>
  <c r="Z295" i="15"/>
  <c r="AC295" i="15" s="1"/>
  <c r="Y295" i="15"/>
  <c r="M295" i="15"/>
  <c r="L295" i="15"/>
  <c r="E295" i="15"/>
  <c r="D295" i="15"/>
  <c r="C295" i="15"/>
  <c r="P295" i="15" s="1"/>
  <c r="AC294" i="15"/>
  <c r="AB294" i="15"/>
  <c r="Z294" i="15"/>
  <c r="Y294" i="15"/>
  <c r="P294" i="15"/>
  <c r="M294" i="15"/>
  <c r="L294" i="15"/>
  <c r="E294" i="15"/>
  <c r="D294" i="15"/>
  <c r="C294" i="15"/>
  <c r="Z293" i="15"/>
  <c r="Y293" i="15"/>
  <c r="AB293" i="15" s="1"/>
  <c r="M293" i="15"/>
  <c r="L293" i="15"/>
  <c r="E293" i="15"/>
  <c r="D293" i="15"/>
  <c r="C293" i="15"/>
  <c r="P293" i="15" s="1"/>
  <c r="AC292" i="15"/>
  <c r="AB292" i="15"/>
  <c r="Z292" i="15"/>
  <c r="Y292" i="15"/>
  <c r="P292" i="15"/>
  <c r="M292" i="15"/>
  <c r="L292" i="15"/>
  <c r="E292" i="15"/>
  <c r="D292" i="15"/>
  <c r="C292" i="15"/>
  <c r="Z291" i="15"/>
  <c r="AC291" i="15" s="1"/>
  <c r="Y291" i="15"/>
  <c r="AB291" i="15" s="1"/>
  <c r="M291" i="15"/>
  <c r="L291" i="15"/>
  <c r="E291" i="15"/>
  <c r="D291" i="15"/>
  <c r="C291" i="15"/>
  <c r="P291" i="15" s="1"/>
  <c r="AC290" i="15"/>
  <c r="AB290" i="15"/>
  <c r="Z290" i="15"/>
  <c r="Y290" i="15"/>
  <c r="P290" i="15"/>
  <c r="M290" i="15"/>
  <c r="L290" i="15"/>
  <c r="E290" i="15"/>
  <c r="D290" i="15"/>
  <c r="C290" i="15"/>
  <c r="Z289" i="15"/>
  <c r="Y289" i="15"/>
  <c r="M289" i="15"/>
  <c r="L289" i="15"/>
  <c r="E289" i="15"/>
  <c r="D289" i="15"/>
  <c r="C289" i="15"/>
  <c r="P289" i="15" s="1"/>
  <c r="AC288" i="15"/>
  <c r="AB288" i="15"/>
  <c r="Z288" i="15"/>
  <c r="Y288" i="15"/>
  <c r="P288" i="15"/>
  <c r="M288" i="15"/>
  <c r="L288" i="15"/>
  <c r="E288" i="15"/>
  <c r="D288" i="15"/>
  <c r="C288" i="15"/>
  <c r="Z287" i="15"/>
  <c r="AC287" i="15" s="1"/>
  <c r="Y287" i="15"/>
  <c r="M287" i="15"/>
  <c r="L287" i="15"/>
  <c r="E287" i="15"/>
  <c r="D287" i="15"/>
  <c r="C287" i="15"/>
  <c r="P287" i="15" s="1"/>
  <c r="AC286" i="15"/>
  <c r="AB286" i="15"/>
  <c r="Z286" i="15"/>
  <c r="Y286" i="15"/>
  <c r="P286" i="15"/>
  <c r="M286" i="15"/>
  <c r="L286" i="15"/>
  <c r="E286" i="15"/>
  <c r="D286" i="15"/>
  <c r="C286" i="15"/>
  <c r="Z285" i="15"/>
  <c r="Y285" i="15"/>
  <c r="AB285" i="15" s="1"/>
  <c r="M285" i="15"/>
  <c r="L285" i="15"/>
  <c r="E285" i="15"/>
  <c r="D285" i="15"/>
  <c r="C285" i="15"/>
  <c r="P285" i="15" s="1"/>
  <c r="AC284" i="15"/>
  <c r="AB284" i="15"/>
  <c r="Z284" i="15"/>
  <c r="Y284" i="15"/>
  <c r="P284" i="15"/>
  <c r="M284" i="15"/>
  <c r="L284" i="15"/>
  <c r="E284" i="15"/>
  <c r="D284" i="15"/>
  <c r="C284" i="15"/>
  <c r="Z283" i="15"/>
  <c r="AC283" i="15" s="1"/>
  <c r="Y283" i="15"/>
  <c r="AB283" i="15" s="1"/>
  <c r="M283" i="15"/>
  <c r="L283" i="15"/>
  <c r="E283" i="15"/>
  <c r="D283" i="15"/>
  <c r="C283" i="15"/>
  <c r="P283" i="15" s="1"/>
  <c r="AC282" i="15"/>
  <c r="AB282" i="15"/>
  <c r="Z282" i="15"/>
  <c r="Y282" i="15"/>
  <c r="P282" i="15"/>
  <c r="M282" i="15"/>
  <c r="L282" i="15"/>
  <c r="E282" i="15"/>
  <c r="D282" i="15"/>
  <c r="C282" i="15"/>
  <c r="Z281" i="15"/>
  <c r="Y281" i="15"/>
  <c r="M281" i="15"/>
  <c r="L281" i="15"/>
  <c r="E281" i="15"/>
  <c r="D281" i="15"/>
  <c r="C281" i="15"/>
  <c r="P281" i="15" s="1"/>
  <c r="AC280" i="15"/>
  <c r="AB280" i="15"/>
  <c r="Z280" i="15"/>
  <c r="Y280" i="15"/>
  <c r="P280" i="15"/>
  <c r="M280" i="15"/>
  <c r="L280" i="15"/>
  <c r="E280" i="15"/>
  <c r="D280" i="15"/>
  <c r="C280" i="15"/>
  <c r="Z279" i="15"/>
  <c r="AC279" i="15" s="1"/>
  <c r="Y279" i="15"/>
  <c r="M279" i="15"/>
  <c r="L279" i="15"/>
  <c r="E279" i="15"/>
  <c r="D279" i="15"/>
  <c r="C279" i="15"/>
  <c r="P279" i="15" s="1"/>
  <c r="AC278" i="15"/>
  <c r="AB278" i="15"/>
  <c r="Z278" i="15"/>
  <c r="Y278" i="15"/>
  <c r="P278" i="15"/>
  <c r="M278" i="15"/>
  <c r="L278" i="15"/>
  <c r="E278" i="15"/>
  <c r="D278" i="15"/>
  <c r="C278" i="15"/>
  <c r="Z277" i="15"/>
  <c r="Y277" i="15"/>
  <c r="AB277" i="15" s="1"/>
  <c r="M277" i="15"/>
  <c r="L277" i="15"/>
  <c r="E277" i="15"/>
  <c r="D277" i="15"/>
  <c r="C277" i="15"/>
  <c r="P277" i="15" s="1"/>
  <c r="AC276" i="15"/>
  <c r="AB276" i="15"/>
  <c r="Z276" i="15"/>
  <c r="Y276" i="15"/>
  <c r="P276" i="15"/>
  <c r="M276" i="15"/>
  <c r="L276" i="15"/>
  <c r="E276" i="15"/>
  <c r="D276" i="15"/>
  <c r="C276" i="15"/>
  <c r="Z275" i="15"/>
  <c r="AC275" i="15" s="1"/>
  <c r="Y275" i="15"/>
  <c r="AB275" i="15" s="1"/>
  <c r="M275" i="15"/>
  <c r="L275" i="15"/>
  <c r="E275" i="15"/>
  <c r="D275" i="15"/>
  <c r="C275" i="15"/>
  <c r="P275" i="15" s="1"/>
  <c r="AC274" i="15"/>
  <c r="AB274" i="15"/>
  <c r="Z274" i="15"/>
  <c r="Y274" i="15"/>
  <c r="P274" i="15"/>
  <c r="M274" i="15"/>
  <c r="L274" i="15"/>
  <c r="E274" i="15"/>
  <c r="D274" i="15"/>
  <c r="C274" i="15"/>
  <c r="Z273" i="15"/>
  <c r="Y273" i="15"/>
  <c r="M273" i="15"/>
  <c r="L273" i="15"/>
  <c r="E273" i="15"/>
  <c r="D273" i="15"/>
  <c r="C273" i="15"/>
  <c r="P273" i="15" s="1"/>
  <c r="AC272" i="15"/>
  <c r="AB272" i="15"/>
  <c r="Z272" i="15"/>
  <c r="Y272" i="15"/>
  <c r="P272" i="15"/>
  <c r="M272" i="15"/>
  <c r="L272" i="15"/>
  <c r="E272" i="15"/>
  <c r="D272" i="15"/>
  <c r="C272" i="15"/>
  <c r="Z271" i="15"/>
  <c r="AC271" i="15" s="1"/>
  <c r="Y271" i="15"/>
  <c r="M271" i="15"/>
  <c r="L271" i="15"/>
  <c r="E271" i="15"/>
  <c r="D271" i="15"/>
  <c r="C271" i="15"/>
  <c r="P271" i="15" s="1"/>
  <c r="AC270" i="15"/>
  <c r="AB270" i="15"/>
  <c r="Z270" i="15"/>
  <c r="Y270" i="15"/>
  <c r="P270" i="15"/>
  <c r="M270" i="15"/>
  <c r="L270" i="15"/>
  <c r="E270" i="15"/>
  <c r="D270" i="15"/>
  <c r="C270" i="15"/>
  <c r="Z269" i="15"/>
  <c r="Y269" i="15"/>
  <c r="AB269" i="15" s="1"/>
  <c r="M269" i="15"/>
  <c r="L269" i="15"/>
  <c r="E269" i="15"/>
  <c r="D269" i="15"/>
  <c r="C269" i="15"/>
  <c r="P269" i="15" s="1"/>
  <c r="AC268" i="15"/>
  <c r="AB268" i="15"/>
  <c r="Z268" i="15"/>
  <c r="Y268" i="15"/>
  <c r="P268" i="15"/>
  <c r="M268" i="15"/>
  <c r="L268" i="15"/>
  <c r="E268" i="15"/>
  <c r="D268" i="15"/>
  <c r="C268" i="15"/>
  <c r="Z267" i="15"/>
  <c r="AC267" i="15" s="1"/>
  <c r="Y267" i="15"/>
  <c r="AB267" i="15" s="1"/>
  <c r="M267" i="15"/>
  <c r="L267" i="15"/>
  <c r="E267" i="15"/>
  <c r="D267" i="15"/>
  <c r="C267" i="15"/>
  <c r="P267" i="15" s="1"/>
  <c r="AC266" i="15"/>
  <c r="AB266" i="15"/>
  <c r="Z266" i="15"/>
  <c r="Y266" i="15"/>
  <c r="P266" i="15"/>
  <c r="M266" i="15"/>
  <c r="L266" i="15"/>
  <c r="E266" i="15"/>
  <c r="D266" i="15"/>
  <c r="C266" i="15"/>
  <c r="Z265" i="15"/>
  <c r="Y265" i="15"/>
  <c r="M265" i="15"/>
  <c r="L265" i="15"/>
  <c r="E265" i="15"/>
  <c r="D265" i="15"/>
  <c r="C265" i="15"/>
  <c r="P265" i="15" s="1"/>
  <c r="AC264" i="15"/>
  <c r="AB264" i="15"/>
  <c r="Z264" i="15"/>
  <c r="Y264" i="15"/>
  <c r="P264" i="15"/>
  <c r="M264" i="15"/>
  <c r="L264" i="15"/>
  <c r="E264" i="15"/>
  <c r="D264" i="15"/>
  <c r="C264" i="15"/>
  <c r="Z263" i="15"/>
  <c r="AC263" i="15" s="1"/>
  <c r="Y263" i="15"/>
  <c r="M263" i="15"/>
  <c r="L263" i="15"/>
  <c r="E263" i="15"/>
  <c r="D263" i="15"/>
  <c r="C263" i="15"/>
  <c r="P263" i="15" s="1"/>
  <c r="AC262" i="15"/>
  <c r="AB262" i="15"/>
  <c r="Z262" i="15"/>
  <c r="Y262" i="15"/>
  <c r="P262" i="15"/>
  <c r="M262" i="15"/>
  <c r="L262" i="15"/>
  <c r="E262" i="15"/>
  <c r="D262" i="15"/>
  <c r="C262" i="15"/>
  <c r="Z261" i="15"/>
  <c r="Y261" i="15"/>
  <c r="AB261" i="15" s="1"/>
  <c r="M261" i="15"/>
  <c r="L261" i="15"/>
  <c r="E261" i="15"/>
  <c r="D261" i="15"/>
  <c r="C261" i="15"/>
  <c r="P261" i="15" s="1"/>
  <c r="AC260" i="15"/>
  <c r="AB260" i="15"/>
  <c r="Z260" i="15"/>
  <c r="Y260" i="15"/>
  <c r="P260" i="15"/>
  <c r="M260" i="15"/>
  <c r="L260" i="15"/>
  <c r="E260" i="15"/>
  <c r="D260" i="15"/>
  <c r="C260" i="15"/>
  <c r="Z259" i="15"/>
  <c r="AC259" i="15" s="1"/>
  <c r="Y259" i="15"/>
  <c r="AB259" i="15" s="1"/>
  <c r="M259" i="15"/>
  <c r="L259" i="15"/>
  <c r="E259" i="15"/>
  <c r="D259" i="15"/>
  <c r="C259" i="15"/>
  <c r="P259" i="15" s="1"/>
  <c r="AC258" i="15"/>
  <c r="AB258" i="15"/>
  <c r="Z258" i="15"/>
  <c r="Y258" i="15"/>
  <c r="P258" i="15"/>
  <c r="M258" i="15"/>
  <c r="L258" i="15"/>
  <c r="E258" i="15"/>
  <c r="D258" i="15"/>
  <c r="C258" i="15"/>
  <c r="Z257" i="15"/>
  <c r="Y257" i="15"/>
  <c r="M257" i="15"/>
  <c r="L257" i="15"/>
  <c r="E257" i="15"/>
  <c r="D257" i="15"/>
  <c r="C257" i="15"/>
  <c r="P257" i="15" s="1"/>
  <c r="AC256" i="15"/>
  <c r="AB256" i="15"/>
  <c r="Z256" i="15"/>
  <c r="Y256" i="15"/>
  <c r="P256" i="15"/>
  <c r="M256" i="15"/>
  <c r="L256" i="15"/>
  <c r="E256" i="15"/>
  <c r="D256" i="15"/>
  <c r="C256" i="15"/>
  <c r="Z255" i="15"/>
  <c r="AC255" i="15" s="1"/>
  <c r="Y255" i="15"/>
  <c r="M255" i="15"/>
  <c r="L255" i="15"/>
  <c r="E255" i="15"/>
  <c r="D255" i="15"/>
  <c r="C255" i="15"/>
  <c r="P255" i="15" s="1"/>
  <c r="AC254" i="15"/>
  <c r="AB254" i="15"/>
  <c r="Z254" i="15"/>
  <c r="Y254" i="15"/>
  <c r="P254" i="15"/>
  <c r="M254" i="15"/>
  <c r="L254" i="15"/>
  <c r="E254" i="15"/>
  <c r="D254" i="15"/>
  <c r="C254" i="15"/>
  <c r="Z253" i="15"/>
  <c r="Y253" i="15"/>
  <c r="AB253" i="15" s="1"/>
  <c r="M253" i="15"/>
  <c r="L253" i="15"/>
  <c r="E253" i="15"/>
  <c r="D253" i="15"/>
  <c r="C253" i="15"/>
  <c r="P253" i="15" s="1"/>
  <c r="AC252" i="15"/>
  <c r="AB252" i="15"/>
  <c r="Z252" i="15"/>
  <c r="Y252" i="15"/>
  <c r="P252" i="15"/>
  <c r="M252" i="15"/>
  <c r="L252" i="15"/>
  <c r="E252" i="15"/>
  <c r="D252" i="15"/>
  <c r="C252" i="15"/>
  <c r="Z251" i="15"/>
  <c r="AC251" i="15" s="1"/>
  <c r="Y251" i="15"/>
  <c r="AB251" i="15" s="1"/>
  <c r="M251" i="15"/>
  <c r="L251" i="15"/>
  <c r="E251" i="15"/>
  <c r="D251" i="15"/>
  <c r="C251" i="15"/>
  <c r="P251" i="15" s="1"/>
  <c r="AC250" i="15"/>
  <c r="AB250" i="15"/>
  <c r="Z250" i="15"/>
  <c r="Y250" i="15"/>
  <c r="P250" i="15"/>
  <c r="M250" i="15"/>
  <c r="L250" i="15"/>
  <c r="E250" i="15"/>
  <c r="D250" i="15"/>
  <c r="C250" i="15"/>
  <c r="Z249" i="15"/>
  <c r="Y249" i="15"/>
  <c r="M249" i="15"/>
  <c r="L249" i="15"/>
  <c r="E249" i="15"/>
  <c r="D249" i="15"/>
  <c r="C249" i="15"/>
  <c r="P249" i="15" s="1"/>
  <c r="AC248" i="15"/>
  <c r="AB248" i="15"/>
  <c r="Z248" i="15"/>
  <c r="Y248" i="15"/>
  <c r="P248" i="15"/>
  <c r="M248" i="15"/>
  <c r="L248" i="15"/>
  <c r="E248" i="15"/>
  <c r="D248" i="15"/>
  <c r="C248" i="15"/>
  <c r="Z247" i="15"/>
  <c r="AC247" i="15" s="1"/>
  <c r="Y247" i="15"/>
  <c r="M247" i="15"/>
  <c r="L247" i="15"/>
  <c r="E247" i="15"/>
  <c r="D247" i="15"/>
  <c r="C247" i="15"/>
  <c r="P247" i="15" s="1"/>
  <c r="AC246" i="15"/>
  <c r="AB246" i="15"/>
  <c r="Z246" i="15"/>
  <c r="Y246" i="15"/>
  <c r="M246" i="15"/>
  <c r="L246" i="15"/>
  <c r="E246" i="15"/>
  <c r="D246" i="15"/>
  <c r="C246" i="15"/>
  <c r="P246" i="15" s="1"/>
  <c r="Z245" i="15"/>
  <c r="Y245" i="15"/>
  <c r="AB245" i="15" s="1"/>
  <c r="M245" i="15"/>
  <c r="L245" i="15"/>
  <c r="E245" i="15"/>
  <c r="D245" i="15"/>
  <c r="C245" i="15"/>
  <c r="P245" i="15" s="1"/>
  <c r="AC244" i="15"/>
  <c r="AB244" i="15"/>
  <c r="Z244" i="15"/>
  <c r="Y244" i="15"/>
  <c r="P244" i="15"/>
  <c r="M244" i="15"/>
  <c r="L244" i="15"/>
  <c r="E244" i="15"/>
  <c r="D244" i="15"/>
  <c r="C244" i="15"/>
  <c r="Z243" i="15"/>
  <c r="AC243" i="15" s="1"/>
  <c r="Y243" i="15"/>
  <c r="AB243" i="15" s="1"/>
  <c r="M243" i="15"/>
  <c r="L243" i="15"/>
  <c r="E243" i="15"/>
  <c r="D243" i="15"/>
  <c r="C243" i="15"/>
  <c r="P243" i="15" s="1"/>
  <c r="AC242" i="15"/>
  <c r="AB242" i="15"/>
  <c r="Z242" i="15"/>
  <c r="Y242" i="15"/>
  <c r="M242" i="15"/>
  <c r="L242" i="15"/>
  <c r="E242" i="15"/>
  <c r="D242" i="15"/>
  <c r="C242" i="15"/>
  <c r="P242" i="15" s="1"/>
  <c r="Z241" i="15"/>
  <c r="Y241" i="15"/>
  <c r="M241" i="15"/>
  <c r="L241" i="15"/>
  <c r="E241" i="15"/>
  <c r="D241" i="15"/>
  <c r="C241" i="15"/>
  <c r="P241" i="15" s="1"/>
  <c r="AC240" i="15"/>
  <c r="AB240" i="15"/>
  <c r="Z240" i="15"/>
  <c r="Y240" i="15"/>
  <c r="P240" i="15"/>
  <c r="M240" i="15"/>
  <c r="L240" i="15"/>
  <c r="E240" i="15"/>
  <c r="D240" i="15"/>
  <c r="C240" i="15"/>
  <c r="Z239" i="15"/>
  <c r="AC239" i="15" s="1"/>
  <c r="Y239" i="15"/>
  <c r="M239" i="15"/>
  <c r="L239" i="15"/>
  <c r="E239" i="15"/>
  <c r="D239" i="15"/>
  <c r="C239" i="15"/>
  <c r="P239" i="15" s="1"/>
  <c r="AC238" i="15"/>
  <c r="AB238" i="15"/>
  <c r="Z238" i="15"/>
  <c r="Y238" i="15"/>
  <c r="M238" i="15"/>
  <c r="L238" i="15"/>
  <c r="E238" i="15"/>
  <c r="D238" i="15"/>
  <c r="C238" i="15"/>
  <c r="P238" i="15" s="1"/>
  <c r="Z237" i="15"/>
  <c r="Y237" i="15"/>
  <c r="AB237" i="15" s="1"/>
  <c r="M237" i="15"/>
  <c r="L237" i="15"/>
  <c r="E237" i="15"/>
  <c r="D237" i="15"/>
  <c r="C237" i="15"/>
  <c r="P237" i="15" s="1"/>
  <c r="AC236" i="15"/>
  <c r="AB236" i="15"/>
  <c r="Z236" i="15"/>
  <c r="Y236" i="15"/>
  <c r="P236" i="15"/>
  <c r="M236" i="15"/>
  <c r="L236" i="15"/>
  <c r="E236" i="15"/>
  <c r="D236" i="15"/>
  <c r="C236" i="15"/>
  <c r="Z235" i="15"/>
  <c r="AC235" i="15" s="1"/>
  <c r="Y235" i="15"/>
  <c r="AB235" i="15" s="1"/>
  <c r="M235" i="15"/>
  <c r="L235" i="15"/>
  <c r="E235" i="15"/>
  <c r="D235" i="15"/>
  <c r="C235" i="15"/>
  <c r="P235" i="15" s="1"/>
  <c r="AC234" i="15"/>
  <c r="AB234" i="15"/>
  <c r="Z234" i="15"/>
  <c r="Y234" i="15"/>
  <c r="M234" i="15"/>
  <c r="L234" i="15"/>
  <c r="E234" i="15"/>
  <c r="D234" i="15"/>
  <c r="C234" i="15"/>
  <c r="P234" i="15" s="1"/>
  <c r="Z233" i="15"/>
  <c r="AC233" i="15" s="1"/>
  <c r="Y233" i="15"/>
  <c r="M233" i="15"/>
  <c r="L233" i="15"/>
  <c r="AB233" i="15" s="1"/>
  <c r="E233" i="15"/>
  <c r="D233" i="15"/>
  <c r="C233" i="15"/>
  <c r="P233" i="15" s="1"/>
  <c r="AC232" i="15"/>
  <c r="Z232" i="15"/>
  <c r="Y232" i="15"/>
  <c r="AB232" i="15" s="1"/>
  <c r="M232" i="15"/>
  <c r="L232" i="15"/>
  <c r="E232" i="15"/>
  <c r="D232" i="15"/>
  <c r="C232" i="15"/>
  <c r="P232" i="15" s="1"/>
  <c r="Z231" i="15"/>
  <c r="AC231" i="15" s="1"/>
  <c r="Y231" i="15"/>
  <c r="AB231" i="15" s="1"/>
  <c r="M231" i="15"/>
  <c r="L231" i="15"/>
  <c r="E231" i="15"/>
  <c r="D231" i="15"/>
  <c r="C231" i="15"/>
  <c r="P231" i="15" s="1"/>
  <c r="AC230" i="15"/>
  <c r="AB230" i="15"/>
  <c r="Z230" i="15"/>
  <c r="Y230" i="15"/>
  <c r="M230" i="15"/>
  <c r="L230" i="15"/>
  <c r="E230" i="15"/>
  <c r="D230" i="15"/>
  <c r="C230" i="15"/>
  <c r="P230" i="15" s="1"/>
  <c r="Z229" i="15"/>
  <c r="AC229" i="15" s="1"/>
  <c r="Y229" i="15"/>
  <c r="M229" i="15"/>
  <c r="L229" i="15"/>
  <c r="AB229" i="15" s="1"/>
  <c r="E229" i="15"/>
  <c r="D229" i="15"/>
  <c r="C229" i="15"/>
  <c r="P229" i="15" s="1"/>
  <c r="AC228" i="15"/>
  <c r="Z228" i="15"/>
  <c r="Y228" i="15"/>
  <c r="AB228" i="15" s="1"/>
  <c r="M228" i="15"/>
  <c r="L228" i="15"/>
  <c r="E228" i="15"/>
  <c r="D228" i="15"/>
  <c r="C228" i="15"/>
  <c r="P228" i="15" s="1"/>
  <c r="Z227" i="15"/>
  <c r="AC227" i="15" s="1"/>
  <c r="Y227" i="15"/>
  <c r="AB227" i="15" s="1"/>
  <c r="M227" i="15"/>
  <c r="L227" i="15"/>
  <c r="E227" i="15"/>
  <c r="D227" i="15"/>
  <c r="C227" i="15"/>
  <c r="P227" i="15" s="1"/>
  <c r="AC226" i="15"/>
  <c r="AB226" i="15"/>
  <c r="Z226" i="15"/>
  <c r="Y226" i="15"/>
  <c r="M226" i="15"/>
  <c r="L226" i="15"/>
  <c r="E226" i="15"/>
  <c r="D226" i="15"/>
  <c r="C226" i="15"/>
  <c r="P226" i="15" s="1"/>
  <c r="Z225" i="15"/>
  <c r="AC225" i="15" s="1"/>
  <c r="Y225" i="15"/>
  <c r="M225" i="15"/>
  <c r="L225" i="15"/>
  <c r="AB225" i="15" s="1"/>
  <c r="E225" i="15"/>
  <c r="D225" i="15"/>
  <c r="C225" i="15"/>
  <c r="P225" i="15" s="1"/>
  <c r="AC224" i="15"/>
  <c r="Z224" i="15"/>
  <c r="Y224" i="15"/>
  <c r="AB224" i="15" s="1"/>
  <c r="M224" i="15"/>
  <c r="L224" i="15"/>
  <c r="E224" i="15"/>
  <c r="D224" i="15"/>
  <c r="C224" i="15"/>
  <c r="P224" i="15" s="1"/>
  <c r="Z223" i="15"/>
  <c r="AC223" i="15" s="1"/>
  <c r="Y223" i="15"/>
  <c r="AB223" i="15" s="1"/>
  <c r="M223" i="15"/>
  <c r="L223" i="15"/>
  <c r="E223" i="15"/>
  <c r="D223" i="15"/>
  <c r="C223" i="15"/>
  <c r="P223" i="15" s="1"/>
  <c r="AC222" i="15"/>
  <c r="AB222" i="15"/>
  <c r="Z222" i="15"/>
  <c r="Y222" i="15"/>
  <c r="M222" i="15"/>
  <c r="L222" i="15"/>
  <c r="E222" i="15"/>
  <c r="D222" i="15"/>
  <c r="C222" i="15"/>
  <c r="P222" i="15" s="1"/>
  <c r="Z221" i="15"/>
  <c r="AC221" i="15" s="1"/>
  <c r="Y221" i="15"/>
  <c r="M221" i="15"/>
  <c r="L221" i="15"/>
  <c r="AB221" i="15" s="1"/>
  <c r="E221" i="15"/>
  <c r="D221" i="15"/>
  <c r="C221" i="15"/>
  <c r="P221" i="15" s="1"/>
  <c r="AC220" i="15"/>
  <c r="Z220" i="15"/>
  <c r="Y220" i="15"/>
  <c r="AB220" i="15" s="1"/>
  <c r="M220" i="15"/>
  <c r="L220" i="15"/>
  <c r="E220" i="15"/>
  <c r="D220" i="15"/>
  <c r="C220" i="15"/>
  <c r="P220" i="15" s="1"/>
  <c r="Z219" i="15"/>
  <c r="AC219" i="15" s="1"/>
  <c r="Y219" i="15"/>
  <c r="AB219" i="15" s="1"/>
  <c r="M219" i="15"/>
  <c r="L219" i="15"/>
  <c r="E219" i="15"/>
  <c r="D219" i="15"/>
  <c r="C219" i="15"/>
  <c r="P219" i="15" s="1"/>
  <c r="AC218" i="15"/>
  <c r="AB218" i="15"/>
  <c r="Z218" i="15"/>
  <c r="Y218" i="15"/>
  <c r="M218" i="15"/>
  <c r="L218" i="15"/>
  <c r="E218" i="15"/>
  <c r="D218" i="15"/>
  <c r="C218" i="15"/>
  <c r="P218" i="15" s="1"/>
  <c r="Z217" i="15"/>
  <c r="AC217" i="15" s="1"/>
  <c r="Y217" i="15"/>
  <c r="M217" i="15"/>
  <c r="L217" i="15"/>
  <c r="AB217" i="15" s="1"/>
  <c r="E217" i="15"/>
  <c r="D217" i="15"/>
  <c r="C217" i="15"/>
  <c r="P217" i="15" s="1"/>
  <c r="AC216" i="15"/>
  <c r="Z216" i="15"/>
  <c r="Y216" i="15"/>
  <c r="AB216" i="15" s="1"/>
  <c r="M216" i="15"/>
  <c r="L216" i="15"/>
  <c r="E216" i="15"/>
  <c r="D216" i="15"/>
  <c r="C216" i="15"/>
  <c r="P216" i="15" s="1"/>
  <c r="Z215" i="15"/>
  <c r="AC215" i="15" s="1"/>
  <c r="Y215" i="15"/>
  <c r="AB215" i="15" s="1"/>
  <c r="M215" i="15"/>
  <c r="L215" i="15"/>
  <c r="E215" i="15"/>
  <c r="D215" i="15"/>
  <c r="C215" i="15"/>
  <c r="P215" i="15" s="1"/>
  <c r="AC214" i="15"/>
  <c r="AB214" i="15"/>
  <c r="Z214" i="15"/>
  <c r="Y214" i="15"/>
  <c r="M214" i="15"/>
  <c r="L214" i="15"/>
  <c r="E214" i="15"/>
  <c r="D214" i="15"/>
  <c r="C214" i="15"/>
  <c r="P214" i="15" s="1"/>
  <c r="Z213" i="15"/>
  <c r="Y213" i="15"/>
  <c r="P213" i="15"/>
  <c r="M213" i="15"/>
  <c r="L213" i="15"/>
  <c r="AB213" i="15" s="1"/>
  <c r="E213" i="15"/>
  <c r="D213" i="15"/>
  <c r="C213" i="15"/>
  <c r="Z212" i="15"/>
  <c r="AC212" i="15" s="1"/>
  <c r="Y212" i="15"/>
  <c r="P212" i="15"/>
  <c r="M212" i="15"/>
  <c r="L212" i="15"/>
  <c r="E212" i="15"/>
  <c r="D212" i="15"/>
  <c r="C212" i="15"/>
  <c r="AC211" i="15"/>
  <c r="Z211" i="15"/>
  <c r="Y211" i="15"/>
  <c r="P211" i="15"/>
  <c r="M211" i="15"/>
  <c r="L211" i="15"/>
  <c r="AB211" i="15" s="1"/>
  <c r="E211" i="15"/>
  <c r="D211" i="15"/>
  <c r="C211" i="15"/>
  <c r="Z210" i="15"/>
  <c r="Y210" i="15"/>
  <c r="AB210" i="15" s="1"/>
  <c r="P210" i="15"/>
  <c r="M210" i="15"/>
  <c r="L210" i="15"/>
  <c r="E210" i="15"/>
  <c r="D210" i="15"/>
  <c r="C210" i="15"/>
  <c r="AC209" i="15"/>
  <c r="Z209" i="15"/>
  <c r="Y209" i="15"/>
  <c r="P209" i="15"/>
  <c r="M209" i="15"/>
  <c r="L209" i="15"/>
  <c r="AB209" i="15" s="1"/>
  <c r="E209" i="15"/>
  <c r="D209" i="15"/>
  <c r="C209" i="15"/>
  <c r="Z208" i="15"/>
  <c r="Y208" i="15"/>
  <c r="AB208" i="15" s="1"/>
  <c r="P208" i="15"/>
  <c r="M208" i="15"/>
  <c r="L208" i="15"/>
  <c r="E208" i="15"/>
  <c r="D208" i="15"/>
  <c r="C208" i="15"/>
  <c r="AC207" i="15"/>
  <c r="Z207" i="15"/>
  <c r="Y207" i="15"/>
  <c r="P207" i="15"/>
  <c r="M207" i="15"/>
  <c r="L207" i="15"/>
  <c r="AB207" i="15" s="1"/>
  <c r="E207" i="15"/>
  <c r="D207" i="15"/>
  <c r="C207" i="15"/>
  <c r="Z206" i="15"/>
  <c r="Y206" i="15"/>
  <c r="AB206" i="15" s="1"/>
  <c r="P206" i="15"/>
  <c r="M206" i="15"/>
  <c r="L206" i="15"/>
  <c r="E206" i="15"/>
  <c r="D206" i="15"/>
  <c r="C206" i="15"/>
  <c r="AC205" i="15"/>
  <c r="Z205" i="15"/>
  <c r="Y205" i="15"/>
  <c r="P205" i="15"/>
  <c r="M205" i="15"/>
  <c r="L205" i="15"/>
  <c r="AB205" i="15" s="1"/>
  <c r="E205" i="15"/>
  <c r="D205" i="15"/>
  <c r="C205" i="15"/>
  <c r="Z204" i="15"/>
  <c r="AC204" i="15" s="1"/>
  <c r="Y204" i="15"/>
  <c r="P204" i="15"/>
  <c r="M204" i="15"/>
  <c r="L204" i="15"/>
  <c r="E204" i="15"/>
  <c r="D204" i="15"/>
  <c r="C204" i="15"/>
  <c r="AC203" i="15"/>
  <c r="Z203" i="15"/>
  <c r="Y203" i="15"/>
  <c r="P203" i="15"/>
  <c r="M203" i="15"/>
  <c r="L203" i="15"/>
  <c r="AB203" i="15" s="1"/>
  <c r="E203" i="15"/>
  <c r="D203" i="15"/>
  <c r="C203" i="15"/>
  <c r="Z202" i="15"/>
  <c r="Y202" i="15"/>
  <c r="AB202" i="15" s="1"/>
  <c r="P202" i="15"/>
  <c r="M202" i="15"/>
  <c r="L202" i="15"/>
  <c r="E202" i="15"/>
  <c r="D202" i="15"/>
  <c r="C202" i="15"/>
  <c r="AC201" i="15"/>
  <c r="Z201" i="15"/>
  <c r="Y201" i="15"/>
  <c r="P201" i="15"/>
  <c r="M201" i="15"/>
  <c r="L201" i="15"/>
  <c r="AB201" i="15" s="1"/>
  <c r="E201" i="15"/>
  <c r="D201" i="15"/>
  <c r="C201" i="15"/>
  <c r="Z200" i="15"/>
  <c r="Y200" i="15"/>
  <c r="AB200" i="15" s="1"/>
  <c r="P200" i="15"/>
  <c r="M200" i="15"/>
  <c r="L200" i="15"/>
  <c r="E200" i="15"/>
  <c r="D200" i="15"/>
  <c r="C200" i="15"/>
  <c r="AC199" i="15"/>
  <c r="Z199" i="15"/>
  <c r="Y199" i="15"/>
  <c r="P199" i="15"/>
  <c r="M199" i="15"/>
  <c r="L199" i="15"/>
  <c r="AB199" i="15" s="1"/>
  <c r="E199" i="15"/>
  <c r="D199" i="15"/>
  <c r="C199" i="15"/>
  <c r="Z198" i="15"/>
  <c r="Y198" i="15"/>
  <c r="AB198" i="15" s="1"/>
  <c r="P198" i="15"/>
  <c r="M198" i="15"/>
  <c r="L198" i="15"/>
  <c r="E198" i="15"/>
  <c r="D198" i="15"/>
  <c r="C198" i="15"/>
  <c r="AC197" i="15"/>
  <c r="Z197" i="15"/>
  <c r="Y197" i="15"/>
  <c r="P197" i="15"/>
  <c r="M197" i="15"/>
  <c r="L197" i="15"/>
  <c r="AB197" i="15" s="1"/>
  <c r="E197" i="15"/>
  <c r="D197" i="15"/>
  <c r="C197" i="15"/>
  <c r="Z196" i="15"/>
  <c r="AC196" i="15" s="1"/>
  <c r="Y196" i="15"/>
  <c r="P196" i="15"/>
  <c r="M196" i="15"/>
  <c r="L196" i="15"/>
  <c r="E196" i="15"/>
  <c r="D196" i="15"/>
  <c r="C196" i="15"/>
  <c r="AC195" i="15"/>
  <c r="Z195" i="15"/>
  <c r="Y195" i="15"/>
  <c r="P195" i="15"/>
  <c r="M195" i="15"/>
  <c r="L195" i="15"/>
  <c r="AB195" i="15" s="1"/>
  <c r="E195" i="15"/>
  <c r="D195" i="15"/>
  <c r="C195" i="15"/>
  <c r="Z194" i="15"/>
  <c r="Y194" i="15"/>
  <c r="AB194" i="15" s="1"/>
  <c r="P194" i="15"/>
  <c r="M194" i="15"/>
  <c r="L194" i="15"/>
  <c r="E194" i="15"/>
  <c r="D194" i="15"/>
  <c r="C194" i="15"/>
  <c r="AC193" i="15"/>
  <c r="Z193" i="15"/>
  <c r="Y193" i="15"/>
  <c r="P193" i="15"/>
  <c r="M193" i="15"/>
  <c r="L193" i="15"/>
  <c r="AB193" i="15" s="1"/>
  <c r="E193" i="15"/>
  <c r="D193" i="15"/>
  <c r="C193" i="15"/>
  <c r="Z192" i="15"/>
  <c r="Y192" i="15"/>
  <c r="AB192" i="15" s="1"/>
  <c r="P192" i="15"/>
  <c r="M192" i="15"/>
  <c r="L192" i="15"/>
  <c r="E192" i="15"/>
  <c r="D192" i="15"/>
  <c r="C192" i="15"/>
  <c r="AC191" i="15"/>
  <c r="Z191" i="15"/>
  <c r="Y191" i="15"/>
  <c r="P191" i="15"/>
  <c r="M191" i="15"/>
  <c r="L191" i="15"/>
  <c r="AB191" i="15" s="1"/>
  <c r="E191" i="15"/>
  <c r="D191" i="15"/>
  <c r="C191" i="15"/>
  <c r="Z190" i="15"/>
  <c r="Y190" i="15"/>
  <c r="AB190" i="15" s="1"/>
  <c r="P190" i="15"/>
  <c r="M190" i="15"/>
  <c r="L190" i="15"/>
  <c r="E190" i="15"/>
  <c r="D190" i="15"/>
  <c r="C190" i="15"/>
  <c r="AC189" i="15"/>
  <c r="Z189" i="15"/>
  <c r="Y189" i="15"/>
  <c r="P189" i="15"/>
  <c r="M189" i="15"/>
  <c r="L189" i="15"/>
  <c r="AB189" i="15" s="1"/>
  <c r="E189" i="15"/>
  <c r="D189" i="15"/>
  <c r="C189" i="15"/>
  <c r="Z188" i="15"/>
  <c r="AC188" i="15" s="1"/>
  <c r="Y188" i="15"/>
  <c r="P188" i="15"/>
  <c r="M188" i="15"/>
  <c r="L188" i="15"/>
  <c r="E188" i="15"/>
  <c r="D188" i="15"/>
  <c r="C188" i="15"/>
  <c r="AC187" i="15"/>
  <c r="Z187" i="15"/>
  <c r="Y187" i="15"/>
  <c r="P187" i="15"/>
  <c r="M187" i="15"/>
  <c r="L187" i="15"/>
  <c r="AB187" i="15" s="1"/>
  <c r="E187" i="15"/>
  <c r="D187" i="15"/>
  <c r="C187" i="15"/>
  <c r="Z186" i="15"/>
  <c r="Y186" i="15"/>
  <c r="AB186" i="15" s="1"/>
  <c r="P186" i="15"/>
  <c r="M186" i="15"/>
  <c r="L186" i="15"/>
  <c r="E186" i="15"/>
  <c r="D186" i="15"/>
  <c r="C186" i="15"/>
  <c r="AC185" i="15"/>
  <c r="Z185" i="15"/>
  <c r="Y185" i="15"/>
  <c r="P185" i="15"/>
  <c r="M185" i="15"/>
  <c r="L185" i="15"/>
  <c r="AB185" i="15" s="1"/>
  <c r="E185" i="15"/>
  <c r="D185" i="15"/>
  <c r="C185" i="15"/>
  <c r="Z184" i="15"/>
  <c r="Y184" i="15"/>
  <c r="AB184" i="15" s="1"/>
  <c r="P184" i="15"/>
  <c r="M184" i="15"/>
  <c r="L184" i="15"/>
  <c r="E184" i="15"/>
  <c r="D184" i="15"/>
  <c r="C184" i="15"/>
  <c r="AC183" i="15"/>
  <c r="Z183" i="15"/>
  <c r="Y183" i="15"/>
  <c r="P183" i="15"/>
  <c r="M183" i="15"/>
  <c r="L183" i="15"/>
  <c r="AB183" i="15" s="1"/>
  <c r="E183" i="15"/>
  <c r="D183" i="15"/>
  <c r="C183" i="15"/>
  <c r="Z182" i="15"/>
  <c r="Y182" i="15"/>
  <c r="AB182" i="15" s="1"/>
  <c r="P182" i="15"/>
  <c r="M182" i="15"/>
  <c r="L182" i="15"/>
  <c r="E182" i="15"/>
  <c r="D182" i="15"/>
  <c r="C182" i="15"/>
  <c r="AC181" i="15"/>
  <c r="Z181" i="15"/>
  <c r="Y181" i="15"/>
  <c r="P181" i="15"/>
  <c r="M181" i="15"/>
  <c r="L181" i="15"/>
  <c r="AB181" i="15" s="1"/>
  <c r="E181" i="15"/>
  <c r="D181" i="15"/>
  <c r="C181" i="15"/>
  <c r="Z180" i="15"/>
  <c r="AC180" i="15" s="1"/>
  <c r="Y180" i="15"/>
  <c r="P180" i="15"/>
  <c r="M180" i="15"/>
  <c r="L180" i="15"/>
  <c r="E180" i="15"/>
  <c r="D180" i="15"/>
  <c r="C180" i="15"/>
  <c r="AC179" i="15"/>
  <c r="Z179" i="15"/>
  <c r="Y179" i="15"/>
  <c r="P179" i="15"/>
  <c r="M179" i="15"/>
  <c r="L179" i="15"/>
  <c r="AB179" i="15" s="1"/>
  <c r="E179" i="15"/>
  <c r="D179" i="15"/>
  <c r="C179" i="15"/>
  <c r="Z178" i="15"/>
  <c r="Y178" i="15"/>
  <c r="AB178" i="15" s="1"/>
  <c r="P178" i="15"/>
  <c r="M178" i="15"/>
  <c r="L178" i="15"/>
  <c r="E178" i="15"/>
  <c r="D178" i="15"/>
  <c r="C178" i="15"/>
  <c r="AC177" i="15"/>
  <c r="Z177" i="15"/>
  <c r="Y177" i="15"/>
  <c r="P177" i="15"/>
  <c r="M177" i="15"/>
  <c r="L177" i="15"/>
  <c r="AB177" i="15" s="1"/>
  <c r="E177" i="15"/>
  <c r="D177" i="15"/>
  <c r="C177" i="15"/>
  <c r="Z176" i="15"/>
  <c r="Y176" i="15"/>
  <c r="AB176" i="15" s="1"/>
  <c r="P176" i="15"/>
  <c r="M176" i="15"/>
  <c r="L176" i="15"/>
  <c r="E176" i="15"/>
  <c r="D176" i="15"/>
  <c r="C176" i="15"/>
  <c r="AC175" i="15"/>
  <c r="Z175" i="15"/>
  <c r="Y175" i="15"/>
  <c r="P175" i="15"/>
  <c r="M175" i="15"/>
  <c r="L175" i="15"/>
  <c r="AB175" i="15" s="1"/>
  <c r="E175" i="15"/>
  <c r="D175" i="15"/>
  <c r="C175" i="15"/>
  <c r="Z174" i="15"/>
  <c r="Y174" i="15"/>
  <c r="AB174" i="15" s="1"/>
  <c r="P174" i="15"/>
  <c r="M174" i="15"/>
  <c r="L174" i="15"/>
  <c r="E174" i="15"/>
  <c r="D174" i="15"/>
  <c r="C174" i="15"/>
  <c r="AC173" i="15"/>
  <c r="Z173" i="15"/>
  <c r="Y173" i="15"/>
  <c r="P173" i="15"/>
  <c r="M173" i="15"/>
  <c r="L173" i="15"/>
  <c r="AB173" i="15" s="1"/>
  <c r="E173" i="15"/>
  <c r="D173" i="15"/>
  <c r="C173" i="15"/>
  <c r="Z172" i="15"/>
  <c r="AC172" i="15" s="1"/>
  <c r="Y172" i="15"/>
  <c r="P172" i="15"/>
  <c r="M172" i="15"/>
  <c r="L172" i="15"/>
  <c r="E172" i="15"/>
  <c r="D172" i="15"/>
  <c r="C172" i="15"/>
  <c r="AC171" i="15"/>
  <c r="Z171" i="15"/>
  <c r="Y171" i="15"/>
  <c r="P171" i="15"/>
  <c r="M171" i="15"/>
  <c r="L171" i="15"/>
  <c r="AB171" i="15" s="1"/>
  <c r="E171" i="15"/>
  <c r="D171" i="15"/>
  <c r="C171" i="15"/>
  <c r="Z170" i="15"/>
  <c r="Y170" i="15"/>
  <c r="AB170" i="15" s="1"/>
  <c r="P170" i="15"/>
  <c r="M170" i="15"/>
  <c r="L170" i="15"/>
  <c r="E170" i="15"/>
  <c r="D170" i="15"/>
  <c r="C170" i="15"/>
  <c r="AC169" i="15"/>
  <c r="Z169" i="15"/>
  <c r="Y169" i="15"/>
  <c r="P169" i="15"/>
  <c r="M169" i="15"/>
  <c r="L169" i="15"/>
  <c r="AB169" i="15" s="1"/>
  <c r="E169" i="15"/>
  <c r="D169" i="15"/>
  <c r="C169" i="15"/>
  <c r="Z168" i="15"/>
  <c r="Y168" i="15"/>
  <c r="AB168" i="15" s="1"/>
  <c r="P168" i="15"/>
  <c r="M168" i="15"/>
  <c r="L168" i="15"/>
  <c r="E168" i="15"/>
  <c r="D168" i="15"/>
  <c r="C168" i="15"/>
  <c r="AC167" i="15"/>
  <c r="Z167" i="15"/>
  <c r="Y167" i="15"/>
  <c r="P167" i="15"/>
  <c r="M167" i="15"/>
  <c r="L167" i="15"/>
  <c r="AB167" i="15" s="1"/>
  <c r="E167" i="15"/>
  <c r="D167" i="15"/>
  <c r="C167" i="15"/>
  <c r="Z166" i="15"/>
  <c r="Y166" i="15"/>
  <c r="AB166" i="15" s="1"/>
  <c r="P166" i="15"/>
  <c r="M166" i="15"/>
  <c r="L166" i="15"/>
  <c r="E166" i="15"/>
  <c r="D166" i="15"/>
  <c r="C166" i="15"/>
  <c r="AC165" i="15"/>
  <c r="Z165" i="15"/>
  <c r="Y165" i="15"/>
  <c r="P165" i="15"/>
  <c r="M165" i="15"/>
  <c r="L165" i="15"/>
  <c r="AB165" i="15" s="1"/>
  <c r="E165" i="15"/>
  <c r="D165" i="15"/>
  <c r="C165" i="15"/>
  <c r="Z164" i="15"/>
  <c r="AC164" i="15" s="1"/>
  <c r="Y164" i="15"/>
  <c r="P164" i="15"/>
  <c r="M164" i="15"/>
  <c r="L164" i="15"/>
  <c r="E164" i="15"/>
  <c r="D164" i="15"/>
  <c r="C164" i="15"/>
  <c r="AC163" i="15"/>
  <c r="Z163" i="15"/>
  <c r="Y163" i="15"/>
  <c r="AB163" i="15" s="1"/>
  <c r="P163" i="15"/>
  <c r="M163" i="15"/>
  <c r="L163" i="15"/>
  <c r="E163" i="15"/>
  <c r="D163" i="15"/>
  <c r="C163" i="15"/>
  <c r="Z162" i="15"/>
  <c r="Y162" i="15"/>
  <c r="AB162" i="15" s="1"/>
  <c r="P162" i="15"/>
  <c r="M162" i="15"/>
  <c r="L162" i="15"/>
  <c r="E162" i="15"/>
  <c r="D162" i="15"/>
  <c r="C162" i="15"/>
  <c r="AC161" i="15"/>
  <c r="Z161" i="15"/>
  <c r="Y161" i="15"/>
  <c r="P161" i="15"/>
  <c r="M161" i="15"/>
  <c r="L161" i="15"/>
  <c r="AB161" i="15" s="1"/>
  <c r="E161" i="15"/>
  <c r="D161" i="15"/>
  <c r="C161" i="15"/>
  <c r="Z160" i="15"/>
  <c r="Y160" i="15"/>
  <c r="AB160" i="15" s="1"/>
  <c r="P160" i="15"/>
  <c r="M160" i="15"/>
  <c r="L160" i="15"/>
  <c r="E160" i="15"/>
  <c r="D160" i="15"/>
  <c r="C160" i="15"/>
  <c r="AC159" i="15"/>
  <c r="Z159" i="15"/>
  <c r="Y159" i="15"/>
  <c r="P159" i="15"/>
  <c r="M159" i="15"/>
  <c r="L159" i="15"/>
  <c r="AB159" i="15" s="1"/>
  <c r="E159" i="15"/>
  <c r="D159" i="15"/>
  <c r="C159" i="15"/>
  <c r="Z158" i="15"/>
  <c r="Y158" i="15"/>
  <c r="AB158" i="15" s="1"/>
  <c r="P158" i="15"/>
  <c r="M158" i="15"/>
  <c r="L158" i="15"/>
  <c r="E158" i="15"/>
  <c r="D158" i="15"/>
  <c r="C158" i="15"/>
  <c r="AC157" i="15"/>
  <c r="Z157" i="15"/>
  <c r="Y157" i="15"/>
  <c r="P157" i="15"/>
  <c r="M157" i="15"/>
  <c r="L157" i="15"/>
  <c r="AB157" i="15" s="1"/>
  <c r="E157" i="15"/>
  <c r="D157" i="15"/>
  <c r="C157" i="15"/>
  <c r="Z156" i="15"/>
  <c r="AC156" i="15" s="1"/>
  <c r="Y156" i="15"/>
  <c r="P156" i="15"/>
  <c r="M156" i="15"/>
  <c r="L156" i="15"/>
  <c r="E156" i="15"/>
  <c r="D156" i="15"/>
  <c r="C156" i="15"/>
  <c r="AC155" i="15"/>
  <c r="Z155" i="15"/>
  <c r="Y155" i="15"/>
  <c r="P155" i="15"/>
  <c r="M155" i="15"/>
  <c r="L155" i="15"/>
  <c r="AB155" i="15" s="1"/>
  <c r="E155" i="15"/>
  <c r="D155" i="15"/>
  <c r="C155" i="15"/>
  <c r="Z154" i="15"/>
  <c r="Y154" i="15"/>
  <c r="AB154" i="15" s="1"/>
  <c r="P154" i="15"/>
  <c r="M154" i="15"/>
  <c r="L154" i="15"/>
  <c r="E154" i="15"/>
  <c r="D154" i="15"/>
  <c r="C154" i="15"/>
  <c r="AC153" i="15"/>
  <c r="Z153" i="15"/>
  <c r="Y153" i="15"/>
  <c r="P153" i="15"/>
  <c r="M153" i="15"/>
  <c r="L153" i="15"/>
  <c r="AB153" i="15" s="1"/>
  <c r="E153" i="15"/>
  <c r="D153" i="15"/>
  <c r="C153" i="15"/>
  <c r="Z152" i="15"/>
  <c r="Y152" i="15"/>
  <c r="AB152" i="15" s="1"/>
  <c r="P152" i="15"/>
  <c r="M152" i="15"/>
  <c r="L152" i="15"/>
  <c r="E152" i="15"/>
  <c r="D152" i="15"/>
  <c r="C152" i="15"/>
  <c r="AC151" i="15"/>
  <c r="Z151" i="15"/>
  <c r="Y151" i="15"/>
  <c r="P151" i="15"/>
  <c r="M151" i="15"/>
  <c r="L151" i="15"/>
  <c r="AB151" i="15" s="1"/>
  <c r="E151" i="15"/>
  <c r="D151" i="15"/>
  <c r="C151" i="15"/>
  <c r="Z150" i="15"/>
  <c r="Y150" i="15"/>
  <c r="AB150" i="15" s="1"/>
  <c r="P150" i="15"/>
  <c r="M150" i="15"/>
  <c r="L150" i="15"/>
  <c r="E150" i="15"/>
  <c r="D150" i="15"/>
  <c r="C150" i="15"/>
  <c r="AC149" i="15"/>
  <c r="Z149" i="15"/>
  <c r="Y149" i="15"/>
  <c r="P149" i="15"/>
  <c r="M149" i="15"/>
  <c r="L149" i="15"/>
  <c r="AB149" i="15" s="1"/>
  <c r="E149" i="15"/>
  <c r="D149" i="15"/>
  <c r="C149" i="15"/>
  <c r="Z148" i="15"/>
  <c r="AC148" i="15" s="1"/>
  <c r="Y148" i="15"/>
  <c r="P148" i="15"/>
  <c r="M148" i="15"/>
  <c r="L148" i="15"/>
  <c r="E148" i="15"/>
  <c r="D148" i="15"/>
  <c r="C148" i="15"/>
  <c r="AC147" i="15"/>
  <c r="Z147" i="15"/>
  <c r="Y147" i="15"/>
  <c r="P147" i="15"/>
  <c r="M147" i="15"/>
  <c r="L147" i="15"/>
  <c r="AB147" i="15" s="1"/>
  <c r="E147" i="15"/>
  <c r="D147" i="15"/>
  <c r="C147" i="15"/>
  <c r="Z146" i="15"/>
  <c r="Y146" i="15"/>
  <c r="AB146" i="15" s="1"/>
  <c r="P146" i="15"/>
  <c r="M146" i="15"/>
  <c r="L146" i="15"/>
  <c r="E146" i="15"/>
  <c r="D146" i="15"/>
  <c r="C146" i="15"/>
  <c r="AC145" i="15"/>
  <c r="Z145" i="15"/>
  <c r="Y145" i="15"/>
  <c r="P145" i="15"/>
  <c r="M145" i="15"/>
  <c r="L145" i="15"/>
  <c r="AB145" i="15" s="1"/>
  <c r="E145" i="15"/>
  <c r="D145" i="15"/>
  <c r="C145" i="15"/>
  <c r="Z144" i="15"/>
  <c r="Y144" i="15"/>
  <c r="AB144" i="15" s="1"/>
  <c r="P144" i="15"/>
  <c r="M144" i="15"/>
  <c r="L144" i="15"/>
  <c r="E144" i="15"/>
  <c r="D144" i="15"/>
  <c r="C144" i="15"/>
  <c r="AC143" i="15"/>
  <c r="Z143" i="15"/>
  <c r="Y143" i="15"/>
  <c r="P143" i="15"/>
  <c r="M143" i="15"/>
  <c r="L143" i="15"/>
  <c r="AB143" i="15" s="1"/>
  <c r="E143" i="15"/>
  <c r="D143" i="15"/>
  <c r="C143" i="15"/>
  <c r="Z142" i="15"/>
  <c r="Y142" i="15"/>
  <c r="AB142" i="15" s="1"/>
  <c r="P142" i="15"/>
  <c r="M142" i="15"/>
  <c r="L142" i="15"/>
  <c r="E142" i="15"/>
  <c r="D142" i="15"/>
  <c r="C142" i="15"/>
  <c r="AC141" i="15"/>
  <c r="Z141" i="15"/>
  <c r="Y141" i="15"/>
  <c r="P141" i="15"/>
  <c r="M141" i="15"/>
  <c r="L141" i="15"/>
  <c r="AB141" i="15" s="1"/>
  <c r="E141" i="15"/>
  <c r="D141" i="15"/>
  <c r="C141" i="15"/>
  <c r="Z140" i="15"/>
  <c r="AC140" i="15" s="1"/>
  <c r="Y140" i="15"/>
  <c r="P140" i="15"/>
  <c r="M140" i="15"/>
  <c r="L140" i="15"/>
  <c r="E140" i="15"/>
  <c r="D140" i="15"/>
  <c r="C140" i="15"/>
  <c r="AC139" i="15"/>
  <c r="Z139" i="15"/>
  <c r="Y139" i="15"/>
  <c r="P139" i="15"/>
  <c r="M139" i="15"/>
  <c r="L139" i="15"/>
  <c r="AB139" i="15" s="1"/>
  <c r="E139" i="15"/>
  <c r="D139" i="15"/>
  <c r="C139" i="15"/>
  <c r="Z138" i="15"/>
  <c r="Y138" i="15"/>
  <c r="AB138" i="15" s="1"/>
  <c r="P138" i="15"/>
  <c r="M138" i="15"/>
  <c r="L138" i="15"/>
  <c r="E138" i="15"/>
  <c r="D138" i="15"/>
  <c r="C138" i="15"/>
  <c r="AC137" i="15"/>
  <c r="Z137" i="15"/>
  <c r="Y137" i="15"/>
  <c r="P137" i="15"/>
  <c r="M137" i="15"/>
  <c r="L137" i="15"/>
  <c r="AB137" i="15" s="1"/>
  <c r="E137" i="15"/>
  <c r="D137" i="15"/>
  <c r="C137" i="15"/>
  <c r="Z136" i="15"/>
  <c r="Y136" i="15"/>
  <c r="AB136" i="15" s="1"/>
  <c r="P136" i="15"/>
  <c r="M136" i="15"/>
  <c r="L136" i="15"/>
  <c r="E136" i="15"/>
  <c r="D136" i="15"/>
  <c r="C136" i="15"/>
  <c r="AC135" i="15"/>
  <c r="Z135" i="15"/>
  <c r="Y135" i="15"/>
  <c r="P135" i="15"/>
  <c r="M135" i="15"/>
  <c r="L135" i="15"/>
  <c r="AB135" i="15" s="1"/>
  <c r="E135" i="15"/>
  <c r="D135" i="15"/>
  <c r="C135" i="15"/>
  <c r="Z134" i="15"/>
  <c r="Y134" i="15"/>
  <c r="AB134" i="15" s="1"/>
  <c r="P134" i="15"/>
  <c r="M134" i="15"/>
  <c r="L134" i="15"/>
  <c r="E134" i="15"/>
  <c r="D134" i="15"/>
  <c r="C134" i="15"/>
  <c r="AC133" i="15"/>
  <c r="Z133" i="15"/>
  <c r="Y133" i="15"/>
  <c r="P133" i="15"/>
  <c r="M133" i="15"/>
  <c r="L133" i="15"/>
  <c r="AB133" i="15" s="1"/>
  <c r="E133" i="15"/>
  <c r="D133" i="15"/>
  <c r="C133" i="15"/>
  <c r="Z132" i="15"/>
  <c r="AC132" i="15" s="1"/>
  <c r="Y132" i="15"/>
  <c r="P132" i="15"/>
  <c r="M132" i="15"/>
  <c r="L132" i="15"/>
  <c r="E132" i="15"/>
  <c r="D132" i="15"/>
  <c r="C132" i="15"/>
  <c r="AC131" i="15"/>
  <c r="Z131" i="15"/>
  <c r="Y131" i="15"/>
  <c r="P131" i="15"/>
  <c r="M131" i="15"/>
  <c r="L131" i="15"/>
  <c r="AB131" i="15" s="1"/>
  <c r="E131" i="15"/>
  <c r="D131" i="15"/>
  <c r="C131" i="15"/>
  <c r="Z130" i="15"/>
  <c r="Y130" i="15"/>
  <c r="AB130" i="15" s="1"/>
  <c r="P130" i="15"/>
  <c r="M130" i="15"/>
  <c r="L130" i="15"/>
  <c r="E130" i="15"/>
  <c r="D130" i="15"/>
  <c r="C130" i="15"/>
  <c r="AC129" i="15"/>
  <c r="Z129" i="15"/>
  <c r="Y129" i="15"/>
  <c r="P129" i="15"/>
  <c r="M129" i="15"/>
  <c r="L129" i="15"/>
  <c r="AB129" i="15" s="1"/>
  <c r="E129" i="15"/>
  <c r="D129" i="15"/>
  <c r="C129" i="15"/>
  <c r="Z128" i="15"/>
  <c r="Y128" i="15"/>
  <c r="AB128" i="15" s="1"/>
  <c r="P128" i="15"/>
  <c r="M128" i="15"/>
  <c r="L128" i="15"/>
  <c r="E128" i="15"/>
  <c r="D128" i="15"/>
  <c r="C128" i="15"/>
  <c r="AC127" i="15"/>
  <c r="Z127" i="15"/>
  <c r="Y127" i="15"/>
  <c r="P127" i="15"/>
  <c r="M127" i="15"/>
  <c r="L127" i="15"/>
  <c r="AB127" i="15" s="1"/>
  <c r="E127" i="15"/>
  <c r="D127" i="15"/>
  <c r="C127" i="15"/>
  <c r="Z126" i="15"/>
  <c r="Y126" i="15"/>
  <c r="AB126" i="15" s="1"/>
  <c r="P126" i="15"/>
  <c r="M126" i="15"/>
  <c r="L126" i="15"/>
  <c r="E126" i="15"/>
  <c r="D126" i="15"/>
  <c r="C126" i="15"/>
  <c r="AC125" i="15"/>
  <c r="Z125" i="15"/>
  <c r="Y125" i="15"/>
  <c r="P125" i="15"/>
  <c r="M125" i="15"/>
  <c r="L125" i="15"/>
  <c r="AB125" i="15" s="1"/>
  <c r="E125" i="15"/>
  <c r="D125" i="15"/>
  <c r="C125" i="15"/>
  <c r="Z124" i="15"/>
  <c r="AC124" i="15" s="1"/>
  <c r="Y124" i="15"/>
  <c r="P124" i="15"/>
  <c r="M124" i="15"/>
  <c r="L124" i="15"/>
  <c r="E124" i="15"/>
  <c r="D124" i="15"/>
  <c r="C124" i="15"/>
  <c r="AC123" i="15"/>
  <c r="Z123" i="15"/>
  <c r="Y123" i="15"/>
  <c r="P123" i="15"/>
  <c r="M123" i="15"/>
  <c r="L123" i="15"/>
  <c r="AB123" i="15" s="1"/>
  <c r="E123" i="15"/>
  <c r="D123" i="15"/>
  <c r="C123" i="15"/>
  <c r="Z122" i="15"/>
  <c r="Y122" i="15"/>
  <c r="AB122" i="15" s="1"/>
  <c r="P122" i="15"/>
  <c r="M122" i="15"/>
  <c r="L122" i="15"/>
  <c r="E122" i="15"/>
  <c r="D122" i="15"/>
  <c r="C122" i="15"/>
  <c r="AC121" i="15"/>
  <c r="Z121" i="15"/>
  <c r="Y121" i="15"/>
  <c r="P121" i="15"/>
  <c r="M121" i="15"/>
  <c r="L121" i="15"/>
  <c r="AB121" i="15" s="1"/>
  <c r="E121" i="15"/>
  <c r="D121" i="15"/>
  <c r="C121" i="15"/>
  <c r="Z120" i="15"/>
  <c r="AC120" i="15" s="1"/>
  <c r="Y120" i="15"/>
  <c r="AB120" i="15" s="1"/>
  <c r="M120" i="15"/>
  <c r="L120" i="15"/>
  <c r="E120" i="15"/>
  <c r="D120" i="15"/>
  <c r="C120" i="15"/>
  <c r="P120" i="15" s="1"/>
  <c r="AC119" i="15"/>
  <c r="Z119" i="15"/>
  <c r="Y119" i="15"/>
  <c r="AB119" i="15" s="1"/>
  <c r="P119" i="15"/>
  <c r="M119" i="15"/>
  <c r="L119" i="15"/>
  <c r="E119" i="15"/>
  <c r="D119" i="15"/>
  <c r="C119" i="15"/>
  <c r="Z118" i="15"/>
  <c r="Y118" i="15"/>
  <c r="AB118" i="15" s="1"/>
  <c r="P118" i="15"/>
  <c r="M118" i="15"/>
  <c r="L118" i="15"/>
  <c r="E118" i="15"/>
  <c r="D118" i="15"/>
  <c r="C118" i="15"/>
  <c r="AC117" i="15"/>
  <c r="Z117" i="15"/>
  <c r="Y117" i="15"/>
  <c r="AB117" i="15" s="1"/>
  <c r="P117" i="15"/>
  <c r="M117" i="15"/>
  <c r="L117" i="15"/>
  <c r="E117" i="15"/>
  <c r="D117" i="15"/>
  <c r="C117" i="15"/>
  <c r="Z116" i="15"/>
  <c r="Y116" i="15"/>
  <c r="AB116" i="15" s="1"/>
  <c r="P116" i="15"/>
  <c r="M116" i="15"/>
  <c r="L116" i="15"/>
  <c r="E116" i="15"/>
  <c r="D116" i="15"/>
  <c r="C116" i="15"/>
  <c r="AC115" i="15"/>
  <c r="Z115" i="15"/>
  <c r="Y115" i="15"/>
  <c r="AB115" i="15" s="1"/>
  <c r="P115" i="15"/>
  <c r="M115" i="15"/>
  <c r="L115" i="15"/>
  <c r="E115" i="15"/>
  <c r="D115" i="15"/>
  <c r="C115" i="15"/>
  <c r="Z114" i="15"/>
  <c r="AC114" i="15" s="1"/>
  <c r="Y114" i="15"/>
  <c r="P114" i="15"/>
  <c r="M114" i="15"/>
  <c r="L114" i="15"/>
  <c r="E114" i="15"/>
  <c r="D114" i="15"/>
  <c r="C114" i="15"/>
  <c r="AC113" i="15"/>
  <c r="Z113" i="15"/>
  <c r="Y113" i="15"/>
  <c r="AB113" i="15" s="1"/>
  <c r="P113" i="15"/>
  <c r="M113" i="15"/>
  <c r="L113" i="15"/>
  <c r="E113" i="15"/>
  <c r="D113" i="15"/>
  <c r="C113" i="15"/>
  <c r="Z112" i="15"/>
  <c r="Y112" i="15"/>
  <c r="AB112" i="15" s="1"/>
  <c r="P112" i="15"/>
  <c r="M112" i="15"/>
  <c r="L112" i="15"/>
  <c r="E112" i="15"/>
  <c r="D112" i="15"/>
  <c r="C112" i="15"/>
  <c r="AC111" i="15"/>
  <c r="Z111" i="15"/>
  <c r="Y111" i="15"/>
  <c r="AB111" i="15" s="1"/>
  <c r="P111" i="15"/>
  <c r="M111" i="15"/>
  <c r="L111" i="15"/>
  <c r="E111" i="15"/>
  <c r="D111" i="15"/>
  <c r="C111" i="15"/>
  <c r="Z110" i="15"/>
  <c r="Y110" i="15"/>
  <c r="AB110" i="15" s="1"/>
  <c r="P110" i="15"/>
  <c r="M110" i="15"/>
  <c r="L110" i="15"/>
  <c r="E110" i="15"/>
  <c r="D110" i="15"/>
  <c r="C110" i="15"/>
  <c r="Z109" i="15"/>
  <c r="Y109" i="15"/>
  <c r="AB109" i="15" s="1"/>
  <c r="P109" i="15"/>
  <c r="M109" i="15"/>
  <c r="L109" i="15"/>
  <c r="AC109" i="15" s="1"/>
  <c r="E109" i="15"/>
  <c r="D109" i="15"/>
  <c r="C109" i="15"/>
  <c r="Z108" i="15"/>
  <c r="AC108" i="15" s="1"/>
  <c r="Y108" i="15"/>
  <c r="P108" i="15"/>
  <c r="M108" i="15"/>
  <c r="L108" i="15"/>
  <c r="E108" i="15"/>
  <c r="D108" i="15"/>
  <c r="C108" i="15"/>
  <c r="AC107" i="15"/>
  <c r="Z107" i="15"/>
  <c r="Y107" i="15"/>
  <c r="AB107" i="15" s="1"/>
  <c r="P107" i="15"/>
  <c r="M107" i="15"/>
  <c r="L107" i="15"/>
  <c r="E107" i="15"/>
  <c r="D107" i="15"/>
  <c r="C107" i="15"/>
  <c r="Z106" i="15"/>
  <c r="AC106" i="15" s="1"/>
  <c r="Y106" i="15"/>
  <c r="AB106" i="15" s="1"/>
  <c r="P106" i="15"/>
  <c r="M106" i="15"/>
  <c r="L106" i="15"/>
  <c r="E106" i="15"/>
  <c r="D106" i="15"/>
  <c r="C106" i="15"/>
  <c r="Z105" i="15"/>
  <c r="AC105" i="15" s="1"/>
  <c r="Y105" i="15"/>
  <c r="AB105" i="15" s="1"/>
  <c r="P105" i="15"/>
  <c r="M105" i="15"/>
  <c r="L105" i="15"/>
  <c r="E105" i="15"/>
  <c r="D105" i="15"/>
  <c r="C105" i="15"/>
  <c r="Z104" i="15"/>
  <c r="AC104" i="15" s="1"/>
  <c r="Y104" i="15"/>
  <c r="P104" i="15"/>
  <c r="M104" i="15"/>
  <c r="L104" i="15"/>
  <c r="E104" i="15"/>
  <c r="D104" i="15"/>
  <c r="C104" i="15"/>
  <c r="AC103" i="15"/>
  <c r="Z103" i="15"/>
  <c r="Y103" i="15"/>
  <c r="AB103" i="15" s="1"/>
  <c r="P103" i="15"/>
  <c r="M103" i="15"/>
  <c r="L103" i="15"/>
  <c r="E103" i="15"/>
  <c r="D103" i="15"/>
  <c r="C103" i="15"/>
  <c r="Z102" i="15"/>
  <c r="AC102" i="15" s="1"/>
  <c r="Y102" i="15"/>
  <c r="AB102" i="15" s="1"/>
  <c r="P102" i="15"/>
  <c r="M102" i="15"/>
  <c r="L102" i="15"/>
  <c r="E102" i="15"/>
  <c r="D102" i="15"/>
  <c r="C102" i="15"/>
  <c r="Z101" i="15"/>
  <c r="AC101" i="15" s="1"/>
  <c r="Y101" i="15"/>
  <c r="AB101" i="15" s="1"/>
  <c r="P101" i="15"/>
  <c r="M101" i="15"/>
  <c r="L101" i="15"/>
  <c r="E101" i="15"/>
  <c r="D101" i="15"/>
  <c r="C101" i="15"/>
  <c r="Z100" i="15"/>
  <c r="AC100" i="15" s="1"/>
  <c r="Y100" i="15"/>
  <c r="M100" i="15"/>
  <c r="L100" i="15"/>
  <c r="E100" i="15"/>
  <c r="D100" i="15"/>
  <c r="C100" i="15"/>
  <c r="P100" i="15" s="1"/>
  <c r="AC99" i="15"/>
  <c r="Z99" i="15"/>
  <c r="Y99" i="15"/>
  <c r="AB99" i="15" s="1"/>
  <c r="P99" i="15"/>
  <c r="M99" i="15"/>
  <c r="L99" i="15"/>
  <c r="E99" i="15"/>
  <c r="D99" i="15"/>
  <c r="C99" i="15"/>
  <c r="Z98" i="15"/>
  <c r="AC98" i="15" s="1"/>
  <c r="Y98" i="15"/>
  <c r="M98" i="15"/>
  <c r="L98" i="15"/>
  <c r="AB98" i="15" s="1"/>
  <c r="E98" i="15"/>
  <c r="D98" i="15"/>
  <c r="C98" i="15"/>
  <c r="P98" i="15" s="1"/>
  <c r="AC97" i="15"/>
  <c r="Z97" i="15"/>
  <c r="Y97" i="15"/>
  <c r="AB97" i="15" s="1"/>
  <c r="P97" i="15"/>
  <c r="M97" i="15"/>
  <c r="L97" i="15"/>
  <c r="E97" i="15"/>
  <c r="D97" i="15"/>
  <c r="C97" i="15"/>
  <c r="Z96" i="15"/>
  <c r="AC96" i="15" s="1"/>
  <c r="Y96" i="15"/>
  <c r="M96" i="15"/>
  <c r="L96" i="15"/>
  <c r="AB96" i="15" s="1"/>
  <c r="E96" i="15"/>
  <c r="D96" i="15"/>
  <c r="C96" i="15"/>
  <c r="P96" i="15" s="1"/>
  <c r="AC95" i="15"/>
  <c r="Z95" i="15"/>
  <c r="Y95" i="15"/>
  <c r="AB95" i="15" s="1"/>
  <c r="P95" i="15"/>
  <c r="M95" i="15"/>
  <c r="L95" i="15"/>
  <c r="E95" i="15"/>
  <c r="D95" i="15"/>
  <c r="C95" i="15"/>
  <c r="Z94" i="15"/>
  <c r="AC94" i="15" s="1"/>
  <c r="Y94" i="15"/>
  <c r="M94" i="15"/>
  <c r="L94" i="15"/>
  <c r="AB94" i="15" s="1"/>
  <c r="E94" i="15"/>
  <c r="D94" i="15"/>
  <c r="C94" i="15"/>
  <c r="P94" i="15" s="1"/>
  <c r="AC93" i="15"/>
  <c r="Z93" i="15"/>
  <c r="Y93" i="15"/>
  <c r="AB93" i="15" s="1"/>
  <c r="P93" i="15"/>
  <c r="M93" i="15"/>
  <c r="L93" i="15"/>
  <c r="E93" i="15"/>
  <c r="D93" i="15"/>
  <c r="C93" i="15"/>
  <c r="Z92" i="15"/>
  <c r="AC92" i="15" s="1"/>
  <c r="Y92" i="15"/>
  <c r="M92" i="15"/>
  <c r="L92" i="15"/>
  <c r="AB92" i="15" s="1"/>
  <c r="E92" i="15"/>
  <c r="D92" i="15"/>
  <c r="C92" i="15"/>
  <c r="P92" i="15" s="1"/>
  <c r="AC91" i="15"/>
  <c r="Z91" i="15"/>
  <c r="Y91" i="15"/>
  <c r="AB91" i="15" s="1"/>
  <c r="P91" i="15"/>
  <c r="M91" i="15"/>
  <c r="L91" i="15"/>
  <c r="E91" i="15"/>
  <c r="D91" i="15"/>
  <c r="C91" i="15"/>
  <c r="Z90" i="15"/>
  <c r="AC90" i="15" s="1"/>
  <c r="Y90" i="15"/>
  <c r="M90" i="15"/>
  <c r="L90" i="15"/>
  <c r="AB90" i="15" s="1"/>
  <c r="E90" i="15"/>
  <c r="D90" i="15"/>
  <c r="C90" i="15"/>
  <c r="P90" i="15" s="1"/>
  <c r="AC89" i="15"/>
  <c r="Z89" i="15"/>
  <c r="Y89" i="15"/>
  <c r="AB89" i="15" s="1"/>
  <c r="P89" i="15"/>
  <c r="M89" i="15"/>
  <c r="L89" i="15"/>
  <c r="E89" i="15"/>
  <c r="D89" i="15"/>
  <c r="C89" i="15"/>
  <c r="Z88" i="15"/>
  <c r="AC88" i="15" s="1"/>
  <c r="Y88" i="15"/>
  <c r="M88" i="15"/>
  <c r="L88" i="15"/>
  <c r="AB88" i="15" s="1"/>
  <c r="E88" i="15"/>
  <c r="D88" i="15"/>
  <c r="C88" i="15"/>
  <c r="P88" i="15" s="1"/>
  <c r="AC87" i="15"/>
  <c r="Z87" i="15"/>
  <c r="Y87" i="15"/>
  <c r="AB87" i="15" s="1"/>
  <c r="P87" i="15"/>
  <c r="M87" i="15"/>
  <c r="L87" i="15"/>
  <c r="E87" i="15"/>
  <c r="D87" i="15"/>
  <c r="C87" i="15"/>
  <c r="Z86" i="15"/>
  <c r="AC86" i="15" s="1"/>
  <c r="Y86" i="15"/>
  <c r="M86" i="15"/>
  <c r="L86" i="15"/>
  <c r="AB86" i="15" s="1"/>
  <c r="E86" i="15"/>
  <c r="D86" i="15"/>
  <c r="C86" i="15"/>
  <c r="P86" i="15" s="1"/>
  <c r="AC85" i="15"/>
  <c r="Z85" i="15"/>
  <c r="Y85" i="15"/>
  <c r="AB85" i="15" s="1"/>
  <c r="P85" i="15"/>
  <c r="M85" i="15"/>
  <c r="L85" i="15"/>
  <c r="E85" i="15"/>
  <c r="D85" i="15"/>
  <c r="C85" i="15"/>
  <c r="Z84" i="15"/>
  <c r="AC84" i="15" s="1"/>
  <c r="Y84" i="15"/>
  <c r="M84" i="15"/>
  <c r="L84" i="15"/>
  <c r="AB84" i="15" s="1"/>
  <c r="E84" i="15"/>
  <c r="D84" i="15"/>
  <c r="C84" i="15"/>
  <c r="P84" i="15" s="1"/>
  <c r="AC83" i="15"/>
  <c r="Z83" i="15"/>
  <c r="Y83" i="15"/>
  <c r="AB83" i="15" s="1"/>
  <c r="P83" i="15"/>
  <c r="M83" i="15"/>
  <c r="L83" i="15"/>
  <c r="E83" i="15"/>
  <c r="D83" i="15"/>
  <c r="C83" i="15"/>
  <c r="Z82" i="15"/>
  <c r="AC82" i="15" s="1"/>
  <c r="Y82" i="15"/>
  <c r="M82" i="15"/>
  <c r="L82" i="15"/>
  <c r="AB82" i="15" s="1"/>
  <c r="E82" i="15"/>
  <c r="D82" i="15"/>
  <c r="C82" i="15"/>
  <c r="P82" i="15" s="1"/>
  <c r="AC81" i="15"/>
  <c r="Z81" i="15"/>
  <c r="Y81" i="15"/>
  <c r="AB81" i="15" s="1"/>
  <c r="P81" i="15"/>
  <c r="M81" i="15"/>
  <c r="L81" i="15"/>
  <c r="E81" i="15"/>
  <c r="D81" i="15"/>
  <c r="C81" i="15"/>
  <c r="Z80" i="15"/>
  <c r="AC80" i="15" s="1"/>
  <c r="Y80" i="15"/>
  <c r="M80" i="15"/>
  <c r="L80" i="15"/>
  <c r="AB80" i="15" s="1"/>
  <c r="E80" i="15"/>
  <c r="D80" i="15"/>
  <c r="C80" i="15"/>
  <c r="P80" i="15" s="1"/>
  <c r="AC79" i="15"/>
  <c r="Z79" i="15"/>
  <c r="Y79" i="15"/>
  <c r="AB79" i="15" s="1"/>
  <c r="P79" i="15"/>
  <c r="M79" i="15"/>
  <c r="L79" i="15"/>
  <c r="E79" i="15"/>
  <c r="D79" i="15"/>
  <c r="C79" i="15"/>
  <c r="Z78" i="15"/>
  <c r="AC78" i="15" s="1"/>
  <c r="Y78" i="15"/>
  <c r="M78" i="15"/>
  <c r="L78" i="15"/>
  <c r="AB78" i="15" s="1"/>
  <c r="E78" i="15"/>
  <c r="D78" i="15"/>
  <c r="C78" i="15"/>
  <c r="P78" i="15" s="1"/>
  <c r="AC77" i="15"/>
  <c r="Z77" i="15"/>
  <c r="Y77" i="15"/>
  <c r="AB77" i="15" s="1"/>
  <c r="P77" i="15"/>
  <c r="M77" i="15"/>
  <c r="L77" i="15"/>
  <c r="E77" i="15"/>
  <c r="D77" i="15"/>
  <c r="C77" i="15"/>
  <c r="Z76" i="15"/>
  <c r="AC76" i="15" s="1"/>
  <c r="Y76" i="15"/>
  <c r="M76" i="15"/>
  <c r="L76" i="15"/>
  <c r="AB76" i="15" s="1"/>
  <c r="E76" i="15"/>
  <c r="D76" i="15"/>
  <c r="C76" i="15"/>
  <c r="P76" i="15" s="1"/>
  <c r="AC75" i="15"/>
  <c r="Z75" i="15"/>
  <c r="Y75" i="15"/>
  <c r="AB75" i="15" s="1"/>
  <c r="P75" i="15"/>
  <c r="M75" i="15"/>
  <c r="L75" i="15"/>
  <c r="E75" i="15"/>
  <c r="D75" i="15"/>
  <c r="C75" i="15"/>
  <c r="Z74" i="15"/>
  <c r="AC74" i="15" s="1"/>
  <c r="Y74" i="15"/>
  <c r="M74" i="15"/>
  <c r="L74" i="15"/>
  <c r="AB74" i="15" s="1"/>
  <c r="E74" i="15"/>
  <c r="D74" i="15"/>
  <c r="C74" i="15"/>
  <c r="P74" i="15" s="1"/>
  <c r="AC73" i="15"/>
  <c r="Z73" i="15"/>
  <c r="Y73" i="15"/>
  <c r="AB73" i="15" s="1"/>
  <c r="P73" i="15"/>
  <c r="M73" i="15"/>
  <c r="L73" i="15"/>
  <c r="E73" i="15"/>
  <c r="D73" i="15"/>
  <c r="C73" i="15"/>
  <c r="Z72" i="15"/>
  <c r="AC72" i="15" s="1"/>
  <c r="Y72" i="15"/>
  <c r="M72" i="15"/>
  <c r="L72" i="15"/>
  <c r="AB72" i="15" s="1"/>
  <c r="E72" i="15"/>
  <c r="D72" i="15"/>
  <c r="C72" i="15"/>
  <c r="P72" i="15" s="1"/>
  <c r="AC71" i="15"/>
  <c r="Z71" i="15"/>
  <c r="Y71" i="15"/>
  <c r="AB71" i="15" s="1"/>
  <c r="P71" i="15"/>
  <c r="M71" i="15"/>
  <c r="L71" i="15"/>
  <c r="E71" i="15"/>
  <c r="D71" i="15"/>
  <c r="C71" i="15"/>
  <c r="Z70" i="15"/>
  <c r="AC70" i="15" s="1"/>
  <c r="Y70" i="15"/>
  <c r="M70" i="15"/>
  <c r="L70" i="15"/>
  <c r="AB70" i="15" s="1"/>
  <c r="E70" i="15"/>
  <c r="D70" i="15"/>
  <c r="C70" i="15"/>
  <c r="P70" i="15" s="1"/>
  <c r="AC69" i="15"/>
  <c r="Z69" i="15"/>
  <c r="Y69" i="15"/>
  <c r="AB69" i="15" s="1"/>
  <c r="P69" i="15"/>
  <c r="M69" i="15"/>
  <c r="L69" i="15"/>
  <c r="E69" i="15"/>
  <c r="D69" i="15"/>
  <c r="C69" i="15"/>
  <c r="Z68" i="15"/>
  <c r="AC68" i="15" s="1"/>
  <c r="Y68" i="15"/>
  <c r="M68" i="15"/>
  <c r="L68" i="15"/>
  <c r="AB68" i="15" s="1"/>
  <c r="E68" i="15"/>
  <c r="D68" i="15"/>
  <c r="C68" i="15"/>
  <c r="P68" i="15" s="1"/>
  <c r="AC67" i="15"/>
  <c r="Z67" i="15"/>
  <c r="Y67" i="15"/>
  <c r="AB67" i="15" s="1"/>
  <c r="P67" i="15"/>
  <c r="M67" i="15"/>
  <c r="L67" i="15"/>
  <c r="E67" i="15"/>
  <c r="D67" i="15"/>
  <c r="C67" i="15"/>
  <c r="Z66" i="15"/>
  <c r="AC66" i="15" s="1"/>
  <c r="Y66" i="15"/>
  <c r="M66" i="15"/>
  <c r="L66" i="15"/>
  <c r="AB66" i="15" s="1"/>
  <c r="E66" i="15"/>
  <c r="D66" i="15"/>
  <c r="C66" i="15"/>
  <c r="P66" i="15" s="1"/>
  <c r="AC65" i="15"/>
  <c r="Z65" i="15"/>
  <c r="Y65" i="15"/>
  <c r="AB65" i="15" s="1"/>
  <c r="P65" i="15"/>
  <c r="M65" i="15"/>
  <c r="L65" i="15"/>
  <c r="E65" i="15"/>
  <c r="D65" i="15"/>
  <c r="C65" i="15"/>
  <c r="Z64" i="15"/>
  <c r="AC64" i="15" s="1"/>
  <c r="Y64" i="15"/>
  <c r="M64" i="15"/>
  <c r="L64" i="15"/>
  <c r="AB64" i="15" s="1"/>
  <c r="E64" i="15"/>
  <c r="D64" i="15"/>
  <c r="C64" i="15"/>
  <c r="P64" i="15" s="1"/>
  <c r="AC63" i="15"/>
  <c r="Z63" i="15"/>
  <c r="Y63" i="15"/>
  <c r="AB63" i="15" s="1"/>
  <c r="P63" i="15"/>
  <c r="M63" i="15"/>
  <c r="L63" i="15"/>
  <c r="E63" i="15"/>
  <c r="D63" i="15"/>
  <c r="C63" i="15"/>
  <c r="Z62" i="15"/>
  <c r="AC62" i="15" s="1"/>
  <c r="Y62" i="15"/>
  <c r="M62" i="15"/>
  <c r="L62" i="15"/>
  <c r="AB62" i="15" s="1"/>
  <c r="E62" i="15"/>
  <c r="D62" i="15"/>
  <c r="C62" i="15"/>
  <c r="P62" i="15" s="1"/>
  <c r="AC61" i="15"/>
  <c r="Z61" i="15"/>
  <c r="Y61" i="15"/>
  <c r="AB61" i="15" s="1"/>
  <c r="P61" i="15"/>
  <c r="M61" i="15"/>
  <c r="L61" i="15"/>
  <c r="E61" i="15"/>
  <c r="D61" i="15"/>
  <c r="C61" i="15"/>
  <c r="Z60" i="15"/>
  <c r="AC60" i="15" s="1"/>
  <c r="Y60" i="15"/>
  <c r="M60" i="15"/>
  <c r="L60" i="15"/>
  <c r="AB60" i="15" s="1"/>
  <c r="E60" i="15"/>
  <c r="D60" i="15"/>
  <c r="C60" i="15"/>
  <c r="P60" i="15" s="1"/>
  <c r="AC59" i="15"/>
  <c r="Z59" i="15"/>
  <c r="Y59" i="15"/>
  <c r="AB59" i="15" s="1"/>
  <c r="P59" i="15"/>
  <c r="M59" i="15"/>
  <c r="L59" i="15"/>
  <c r="E59" i="15"/>
  <c r="D59" i="15"/>
  <c r="C59" i="15"/>
  <c r="Z58" i="15"/>
  <c r="AC58" i="15" s="1"/>
  <c r="Y58" i="15"/>
  <c r="M58" i="15"/>
  <c r="L58" i="15"/>
  <c r="AB58" i="15" s="1"/>
  <c r="E58" i="15"/>
  <c r="D58" i="15"/>
  <c r="C58" i="15"/>
  <c r="P58" i="15" s="1"/>
  <c r="AC57" i="15"/>
  <c r="Z57" i="15"/>
  <c r="Y57" i="15"/>
  <c r="AB57" i="15" s="1"/>
  <c r="P57" i="15"/>
  <c r="M57" i="15"/>
  <c r="L57" i="15"/>
  <c r="E57" i="15"/>
  <c r="D57" i="15"/>
  <c r="C57" i="15"/>
  <c r="Z56" i="15"/>
  <c r="AC56" i="15" s="1"/>
  <c r="Y56" i="15"/>
  <c r="M56" i="15"/>
  <c r="L56" i="15"/>
  <c r="AB56" i="15" s="1"/>
  <c r="E56" i="15"/>
  <c r="D56" i="15"/>
  <c r="C56" i="15"/>
  <c r="P56" i="15" s="1"/>
  <c r="AC55" i="15"/>
  <c r="Z55" i="15"/>
  <c r="Y55" i="15"/>
  <c r="AB55" i="15" s="1"/>
  <c r="P55" i="15"/>
  <c r="M55" i="15"/>
  <c r="L55" i="15"/>
  <c r="E55" i="15"/>
  <c r="D55" i="15"/>
  <c r="C55" i="15"/>
  <c r="Z54" i="15"/>
  <c r="AC54" i="15" s="1"/>
  <c r="Y54" i="15"/>
  <c r="M54" i="15"/>
  <c r="L54" i="15"/>
  <c r="AB54" i="15" s="1"/>
  <c r="E54" i="15"/>
  <c r="D54" i="15"/>
  <c r="C54" i="15"/>
  <c r="P54" i="15" s="1"/>
  <c r="AC53" i="15"/>
  <c r="Z53" i="15"/>
  <c r="Y53" i="15"/>
  <c r="AB53" i="15" s="1"/>
  <c r="P53" i="15"/>
  <c r="M53" i="15"/>
  <c r="L53" i="15"/>
  <c r="E53" i="15"/>
  <c r="D53" i="15"/>
  <c r="C53" i="15"/>
  <c r="Z52" i="15"/>
  <c r="AC52" i="15" s="1"/>
  <c r="Y52" i="15"/>
  <c r="M52" i="15"/>
  <c r="L52" i="15"/>
  <c r="AB52" i="15" s="1"/>
  <c r="E52" i="15"/>
  <c r="D52" i="15"/>
  <c r="C52" i="15"/>
  <c r="P52" i="15" s="1"/>
  <c r="AC51" i="15"/>
  <c r="Z51" i="15"/>
  <c r="Y51" i="15"/>
  <c r="AB51" i="15" s="1"/>
  <c r="P51" i="15"/>
  <c r="M51" i="15"/>
  <c r="L51" i="15"/>
  <c r="E51" i="15"/>
  <c r="D51" i="15"/>
  <c r="C51" i="15"/>
  <c r="Z50" i="15"/>
  <c r="AC50" i="15" s="1"/>
  <c r="Y50" i="15"/>
  <c r="M50" i="15"/>
  <c r="L50" i="15"/>
  <c r="AB50" i="15" s="1"/>
  <c r="E50" i="15"/>
  <c r="D50" i="15"/>
  <c r="C50" i="15"/>
  <c r="P50" i="15" s="1"/>
  <c r="AC49" i="15"/>
  <c r="Z49" i="15"/>
  <c r="Y49" i="15"/>
  <c r="AB49" i="15" s="1"/>
  <c r="P49" i="15"/>
  <c r="M49" i="15"/>
  <c r="L49" i="15"/>
  <c r="E49" i="15"/>
  <c r="D49" i="15"/>
  <c r="C49" i="15"/>
  <c r="Z48" i="15"/>
  <c r="AC48" i="15" s="1"/>
  <c r="Y48" i="15"/>
  <c r="M48" i="15"/>
  <c r="L48" i="15"/>
  <c r="AB48" i="15" s="1"/>
  <c r="E48" i="15"/>
  <c r="D48" i="15"/>
  <c r="C48" i="15"/>
  <c r="P48" i="15" s="1"/>
  <c r="AC47" i="15"/>
  <c r="Z47" i="15"/>
  <c r="Y47" i="15"/>
  <c r="AB47" i="15" s="1"/>
  <c r="P47" i="15"/>
  <c r="M47" i="15"/>
  <c r="L47" i="15"/>
  <c r="E47" i="15"/>
  <c r="D47" i="15"/>
  <c r="C47" i="15"/>
  <c r="Z46" i="15"/>
  <c r="AC46" i="15" s="1"/>
  <c r="Y46" i="15"/>
  <c r="M46" i="15"/>
  <c r="L46" i="15"/>
  <c r="AB46" i="15" s="1"/>
  <c r="E46" i="15"/>
  <c r="D46" i="15"/>
  <c r="C46" i="15"/>
  <c r="P46" i="15" s="1"/>
  <c r="AC45" i="15"/>
  <c r="Z45" i="15"/>
  <c r="Y45" i="15"/>
  <c r="AB45" i="15" s="1"/>
  <c r="P45" i="15"/>
  <c r="M45" i="15"/>
  <c r="L45" i="15"/>
  <c r="E45" i="15"/>
  <c r="D45" i="15"/>
  <c r="C45" i="15"/>
  <c r="Z44" i="15"/>
  <c r="AC44" i="15" s="1"/>
  <c r="Y44" i="15"/>
  <c r="M44" i="15"/>
  <c r="L44" i="15"/>
  <c r="AB44" i="15" s="1"/>
  <c r="E44" i="15"/>
  <c r="D44" i="15"/>
  <c r="C44" i="15"/>
  <c r="P44" i="15" s="1"/>
  <c r="AC43" i="15"/>
  <c r="Z43" i="15"/>
  <c r="Y43" i="15"/>
  <c r="AB43" i="15" s="1"/>
  <c r="P43" i="15"/>
  <c r="M43" i="15"/>
  <c r="L43" i="15"/>
  <c r="E43" i="15"/>
  <c r="D43" i="15"/>
  <c r="C43" i="15"/>
  <c r="Z42" i="15"/>
  <c r="AC42" i="15" s="1"/>
  <c r="Y42" i="15"/>
  <c r="M42" i="15"/>
  <c r="L42" i="15"/>
  <c r="AB42" i="15" s="1"/>
  <c r="E42" i="15"/>
  <c r="D42" i="15"/>
  <c r="C42" i="15"/>
  <c r="P42" i="15" s="1"/>
  <c r="AC41" i="15"/>
  <c r="Z41" i="15"/>
  <c r="Y41" i="15"/>
  <c r="AB41" i="15" s="1"/>
  <c r="P41" i="15"/>
  <c r="M41" i="15"/>
  <c r="L41" i="15"/>
  <c r="E41" i="15"/>
  <c r="D41" i="15"/>
  <c r="C41" i="15"/>
  <c r="Z40" i="15"/>
  <c r="AC40" i="15" s="1"/>
  <c r="Y40" i="15"/>
  <c r="M40" i="15"/>
  <c r="L40" i="15"/>
  <c r="AB40" i="15" s="1"/>
  <c r="E40" i="15"/>
  <c r="D40" i="15"/>
  <c r="C40" i="15"/>
  <c r="P40" i="15" s="1"/>
  <c r="AC39" i="15"/>
  <c r="Z39" i="15"/>
  <c r="Y39" i="15"/>
  <c r="AB39" i="15" s="1"/>
  <c r="P39" i="15"/>
  <c r="M39" i="15"/>
  <c r="L39" i="15"/>
  <c r="E39" i="15"/>
  <c r="D39" i="15"/>
  <c r="C39" i="15"/>
  <c r="Z38" i="15"/>
  <c r="AC38" i="15" s="1"/>
  <c r="Y38" i="15"/>
  <c r="M38" i="15"/>
  <c r="L38" i="15"/>
  <c r="AB38" i="15" s="1"/>
  <c r="E38" i="15"/>
  <c r="D38" i="15"/>
  <c r="C38" i="15"/>
  <c r="P38" i="15" s="1"/>
  <c r="AC37" i="15"/>
  <c r="Z37" i="15"/>
  <c r="Y37" i="15"/>
  <c r="AB37" i="15" s="1"/>
  <c r="P37" i="15"/>
  <c r="M37" i="15"/>
  <c r="L37" i="15"/>
  <c r="E37" i="15"/>
  <c r="D37" i="15"/>
  <c r="C37" i="15"/>
  <c r="Z36" i="15"/>
  <c r="AC36" i="15" s="1"/>
  <c r="Y36" i="15"/>
  <c r="M36" i="15"/>
  <c r="L36" i="15"/>
  <c r="AB36" i="15" s="1"/>
  <c r="E36" i="15"/>
  <c r="D36" i="15"/>
  <c r="C36" i="15"/>
  <c r="P36" i="15" s="1"/>
  <c r="AC35" i="15"/>
  <c r="Z35" i="15"/>
  <c r="Y35" i="15"/>
  <c r="AB35" i="15" s="1"/>
  <c r="P35" i="15"/>
  <c r="M35" i="15"/>
  <c r="L35" i="15"/>
  <c r="E35" i="15"/>
  <c r="D35" i="15"/>
  <c r="C35" i="15"/>
  <c r="Z34" i="15"/>
  <c r="AC34" i="15" s="1"/>
  <c r="Y34" i="15"/>
  <c r="M34" i="15"/>
  <c r="L34" i="15"/>
  <c r="AB34" i="15" s="1"/>
  <c r="E34" i="15"/>
  <c r="D34" i="15"/>
  <c r="C34" i="15"/>
  <c r="P34" i="15" s="1"/>
  <c r="AC33" i="15"/>
  <c r="Z33" i="15"/>
  <c r="Y33" i="15"/>
  <c r="AB33" i="15" s="1"/>
  <c r="P33" i="15"/>
  <c r="M33" i="15"/>
  <c r="L33" i="15"/>
  <c r="E33" i="15"/>
  <c r="D33" i="15"/>
  <c r="C33" i="15"/>
  <c r="Z32" i="15"/>
  <c r="AC32" i="15" s="1"/>
  <c r="Y32" i="15"/>
  <c r="M32" i="15"/>
  <c r="L32" i="15"/>
  <c r="AB32" i="15" s="1"/>
  <c r="E32" i="15"/>
  <c r="D32" i="15"/>
  <c r="C32" i="15"/>
  <c r="P32" i="15" s="1"/>
  <c r="AC31" i="15"/>
  <c r="Z31" i="15"/>
  <c r="Y31" i="15"/>
  <c r="AB31" i="15" s="1"/>
  <c r="P31" i="15"/>
  <c r="M31" i="15"/>
  <c r="L31" i="15"/>
  <c r="E31" i="15"/>
  <c r="D31" i="15"/>
  <c r="C31" i="15"/>
  <c r="Z30" i="15"/>
  <c r="AC30" i="15" s="1"/>
  <c r="Y30" i="15"/>
  <c r="M30" i="15"/>
  <c r="L30" i="15"/>
  <c r="AB30" i="15" s="1"/>
  <c r="E30" i="15"/>
  <c r="D30" i="15"/>
  <c r="C30" i="15"/>
  <c r="P30" i="15" s="1"/>
  <c r="AC29" i="15"/>
  <c r="Z29" i="15"/>
  <c r="Y29" i="15"/>
  <c r="AB29" i="15" s="1"/>
  <c r="P29" i="15"/>
  <c r="M29" i="15"/>
  <c r="L29" i="15"/>
  <c r="E29" i="15"/>
  <c r="D29" i="15"/>
  <c r="C29" i="15"/>
  <c r="Z28" i="15"/>
  <c r="AC28" i="15" s="1"/>
  <c r="Y28" i="15"/>
  <c r="M28" i="15"/>
  <c r="L28" i="15"/>
  <c r="AB28" i="15" s="1"/>
  <c r="E28" i="15"/>
  <c r="D28" i="15"/>
  <c r="C28" i="15"/>
  <c r="P28" i="15" s="1"/>
  <c r="AC27" i="15"/>
  <c r="Z27" i="15"/>
  <c r="Y27" i="15"/>
  <c r="AB27" i="15" s="1"/>
  <c r="P27" i="15"/>
  <c r="M27" i="15"/>
  <c r="L27" i="15"/>
  <c r="E27" i="15"/>
  <c r="D27" i="15"/>
  <c r="C27" i="15"/>
  <c r="Z26" i="15"/>
  <c r="AC26" i="15" s="1"/>
  <c r="Y26" i="15"/>
  <c r="M26" i="15"/>
  <c r="L26" i="15"/>
  <c r="AB26" i="15" s="1"/>
  <c r="E26" i="15"/>
  <c r="D26" i="15"/>
  <c r="C26" i="15"/>
  <c r="P26" i="15" s="1"/>
  <c r="AC25" i="15"/>
  <c r="Z25" i="15"/>
  <c r="Y25" i="15"/>
  <c r="AB25" i="15" s="1"/>
  <c r="P25" i="15"/>
  <c r="M25" i="15"/>
  <c r="L25" i="15"/>
  <c r="E25" i="15"/>
  <c r="D25" i="15"/>
  <c r="C25" i="15"/>
  <c r="Z24" i="15"/>
  <c r="AC24" i="15" s="1"/>
  <c r="Y24" i="15"/>
  <c r="M24" i="15"/>
  <c r="L24" i="15"/>
  <c r="AB24" i="15" s="1"/>
  <c r="E24" i="15"/>
  <c r="D24" i="15"/>
  <c r="C24" i="15"/>
  <c r="P24" i="15" s="1"/>
  <c r="AC23" i="15"/>
  <c r="Z23" i="15"/>
  <c r="Y23" i="15"/>
  <c r="AB23" i="15" s="1"/>
  <c r="P23" i="15"/>
  <c r="M23" i="15"/>
  <c r="L23" i="15"/>
  <c r="E23" i="15"/>
  <c r="D23" i="15"/>
  <c r="C23" i="15"/>
  <c r="Z22" i="15"/>
  <c r="AC22" i="15" s="1"/>
  <c r="Y22" i="15"/>
  <c r="M22" i="15"/>
  <c r="L22" i="15"/>
  <c r="AB22" i="15" s="1"/>
  <c r="E22" i="15"/>
  <c r="D22" i="15"/>
  <c r="C22" i="15"/>
  <c r="P22" i="15" s="1"/>
  <c r="AC21" i="15"/>
  <c r="Z21" i="15"/>
  <c r="Y21" i="15"/>
  <c r="AB21" i="15" s="1"/>
  <c r="P21" i="15"/>
  <c r="M21" i="15"/>
  <c r="L21" i="15"/>
  <c r="E21" i="15"/>
  <c r="D21" i="15"/>
  <c r="C21" i="15"/>
  <c r="Z20" i="15"/>
  <c r="AC20" i="15" s="1"/>
  <c r="Y20" i="15"/>
  <c r="M20" i="15"/>
  <c r="L20" i="15"/>
  <c r="AB20" i="15" s="1"/>
  <c r="E20" i="15"/>
  <c r="D20" i="15"/>
  <c r="C20" i="15"/>
  <c r="P20" i="15" s="1"/>
  <c r="AC19" i="15"/>
  <c r="Z19" i="15"/>
  <c r="Y19" i="15"/>
  <c r="AB19" i="15" s="1"/>
  <c r="P19" i="15"/>
  <c r="M19" i="15"/>
  <c r="L19" i="15"/>
  <c r="E19" i="15"/>
  <c r="D19" i="15"/>
  <c r="C19" i="15"/>
  <c r="Z18" i="15"/>
  <c r="AC18" i="15" s="1"/>
  <c r="Y18" i="15"/>
  <c r="M18" i="15"/>
  <c r="L18" i="15"/>
  <c r="AB18" i="15" s="1"/>
  <c r="E18" i="15"/>
  <c r="D18" i="15"/>
  <c r="C18" i="15"/>
  <c r="P18" i="15" s="1"/>
  <c r="AC17" i="15"/>
  <c r="Z17" i="15"/>
  <c r="Y17" i="15"/>
  <c r="AB17" i="15" s="1"/>
  <c r="P17" i="15"/>
  <c r="M17" i="15"/>
  <c r="L17" i="15"/>
  <c r="E17" i="15"/>
  <c r="D17" i="15"/>
  <c r="C17" i="15"/>
  <c r="Z16" i="15"/>
  <c r="AC16" i="15" s="1"/>
  <c r="Y16" i="15"/>
  <c r="M16" i="15"/>
  <c r="L16" i="15"/>
  <c r="AB16" i="15" s="1"/>
  <c r="E16" i="15"/>
  <c r="D16" i="15"/>
  <c r="C16" i="15"/>
  <c r="P16" i="15" s="1"/>
  <c r="AC15" i="15"/>
  <c r="Z15" i="15"/>
  <c r="Y15" i="15"/>
  <c r="AB15" i="15" s="1"/>
  <c r="P15" i="15"/>
  <c r="M15" i="15"/>
  <c r="L15" i="15"/>
  <c r="E15" i="15"/>
  <c r="D15" i="15"/>
  <c r="C15" i="15"/>
  <c r="Z14" i="15"/>
  <c r="AC14" i="15" s="1"/>
  <c r="Y14" i="15"/>
  <c r="M14" i="15"/>
  <c r="L14" i="15"/>
  <c r="AB14" i="15" s="1"/>
  <c r="E14" i="15"/>
  <c r="D14" i="15"/>
  <c r="C14" i="15"/>
  <c r="P14" i="15" s="1"/>
  <c r="AC13" i="15"/>
  <c r="Z13" i="15"/>
  <c r="Y13" i="15"/>
  <c r="AB13" i="15" s="1"/>
  <c r="P13" i="15"/>
  <c r="M13" i="15"/>
  <c r="L13" i="15"/>
  <c r="E13" i="15"/>
  <c r="D13" i="15"/>
  <c r="C13" i="15"/>
  <c r="Z12" i="15"/>
  <c r="AC12" i="15" s="1"/>
  <c r="Y12" i="15"/>
  <c r="M12" i="15"/>
  <c r="L12" i="15"/>
  <c r="AB12" i="15" s="1"/>
  <c r="E12" i="15"/>
  <c r="D12" i="15"/>
  <c r="C12" i="15"/>
  <c r="P12" i="15" s="1"/>
  <c r="AC11" i="15"/>
  <c r="Z11" i="15"/>
  <c r="Y11" i="15"/>
  <c r="AB11" i="15" s="1"/>
  <c r="P11" i="15"/>
  <c r="M11" i="15"/>
  <c r="L11" i="15"/>
  <c r="E11" i="15"/>
  <c r="D11" i="15"/>
  <c r="C11" i="15"/>
  <c r="Z10" i="15"/>
  <c r="AC10" i="15" s="1"/>
  <c r="Y10" i="15"/>
  <c r="M10" i="15"/>
  <c r="L10" i="15"/>
  <c r="AB10" i="15" s="1"/>
  <c r="E10" i="15"/>
  <c r="D10" i="15"/>
  <c r="C10" i="15"/>
  <c r="P10" i="15" s="1"/>
  <c r="AC9" i="15"/>
  <c r="Z9" i="15"/>
  <c r="Y9" i="15"/>
  <c r="AB9" i="15" s="1"/>
  <c r="P9" i="15"/>
  <c r="M9" i="15"/>
  <c r="L9" i="15"/>
  <c r="E9" i="15"/>
  <c r="D9" i="15"/>
  <c r="C9" i="15"/>
  <c r="Z8" i="15"/>
  <c r="AC8" i="15" s="1"/>
  <c r="Y8" i="15"/>
  <c r="M8" i="15"/>
  <c r="L8" i="15"/>
  <c r="AB8" i="15" s="1"/>
  <c r="E8" i="15"/>
  <c r="D8" i="15"/>
  <c r="C8" i="15"/>
  <c r="P8" i="15" s="1"/>
  <c r="AC7" i="15"/>
  <c r="Z7" i="15"/>
  <c r="Y7" i="15"/>
  <c r="AB7" i="15" s="1"/>
  <c r="P7" i="15"/>
  <c r="M7" i="15"/>
  <c r="L7" i="15"/>
  <c r="E7" i="15"/>
  <c r="D7" i="15"/>
  <c r="C7" i="15"/>
  <c r="Z6" i="15"/>
  <c r="AC6" i="15" s="1"/>
  <c r="Y6" i="15"/>
  <c r="M6" i="15"/>
  <c r="L6" i="15"/>
  <c r="AB6" i="15" s="1"/>
  <c r="E6" i="15"/>
  <c r="D6" i="15"/>
  <c r="C6" i="15"/>
  <c r="P6" i="15" s="1"/>
  <c r="AC5" i="15"/>
  <c r="Z5" i="15"/>
  <c r="Y5" i="15"/>
  <c r="AB5" i="15" s="1"/>
  <c r="P5" i="15"/>
  <c r="M5" i="15"/>
  <c r="L5" i="15"/>
  <c r="E5" i="15"/>
  <c r="D5" i="15"/>
  <c r="C5" i="15"/>
  <c r="Z302" i="14"/>
  <c r="Y302" i="14"/>
  <c r="AB301" i="14"/>
  <c r="Z301" i="14"/>
  <c r="AC301" i="14" s="1"/>
  <c r="Y301" i="14"/>
  <c r="P301" i="14"/>
  <c r="AC300" i="14"/>
  <c r="Z300" i="14"/>
  <c r="Y300" i="14"/>
  <c r="P300" i="14"/>
  <c r="M300" i="14"/>
  <c r="L300" i="14"/>
  <c r="AB300" i="14" s="1"/>
  <c r="E300" i="14"/>
  <c r="D300" i="14"/>
  <c r="C300" i="14"/>
  <c r="Z299" i="14"/>
  <c r="AC299" i="14" s="1"/>
  <c r="Y299" i="14"/>
  <c r="M299" i="14"/>
  <c r="L299" i="14"/>
  <c r="E299" i="14"/>
  <c r="D299" i="14"/>
  <c r="C299" i="14"/>
  <c r="P299" i="14" s="1"/>
  <c r="AC298" i="14"/>
  <c r="AB298" i="14"/>
  <c r="Z298" i="14"/>
  <c r="Y298" i="14"/>
  <c r="P298" i="14"/>
  <c r="M298" i="14"/>
  <c r="L298" i="14"/>
  <c r="E298" i="14"/>
  <c r="D298" i="14"/>
  <c r="C298" i="14"/>
  <c r="Z297" i="14"/>
  <c r="Y297" i="14"/>
  <c r="M297" i="14"/>
  <c r="L297" i="14"/>
  <c r="E297" i="14"/>
  <c r="D297" i="14"/>
  <c r="C297" i="14"/>
  <c r="P297" i="14" s="1"/>
  <c r="AC296" i="14"/>
  <c r="AB296" i="14"/>
  <c r="Z296" i="14"/>
  <c r="Y296" i="14"/>
  <c r="P296" i="14"/>
  <c r="M296" i="14"/>
  <c r="L296" i="14"/>
  <c r="E296" i="14"/>
  <c r="D296" i="14"/>
  <c r="C296" i="14"/>
  <c r="Z295" i="14"/>
  <c r="AC295" i="14" s="1"/>
  <c r="Y295" i="14"/>
  <c r="AB295" i="14" s="1"/>
  <c r="M295" i="14"/>
  <c r="L295" i="14"/>
  <c r="E295" i="14"/>
  <c r="D295" i="14"/>
  <c r="C295" i="14"/>
  <c r="P295" i="14" s="1"/>
  <c r="AC294" i="14"/>
  <c r="AB294" i="14"/>
  <c r="Z294" i="14"/>
  <c r="Y294" i="14"/>
  <c r="P294" i="14"/>
  <c r="M294" i="14"/>
  <c r="L294" i="14"/>
  <c r="E294" i="14"/>
  <c r="D294" i="14"/>
  <c r="C294" i="14"/>
  <c r="Z293" i="14"/>
  <c r="AC293" i="14" s="1"/>
  <c r="Y293" i="14"/>
  <c r="AB293" i="14" s="1"/>
  <c r="M293" i="14"/>
  <c r="L293" i="14"/>
  <c r="E293" i="14"/>
  <c r="D293" i="14"/>
  <c r="C293" i="14"/>
  <c r="P293" i="14" s="1"/>
  <c r="AC292" i="14"/>
  <c r="AB292" i="14"/>
  <c r="Z292" i="14"/>
  <c r="Y292" i="14"/>
  <c r="P292" i="14"/>
  <c r="M292" i="14"/>
  <c r="L292" i="14"/>
  <c r="E292" i="14"/>
  <c r="D292" i="14"/>
  <c r="C292" i="14"/>
  <c r="Z291" i="14"/>
  <c r="AC291" i="14" s="1"/>
  <c r="Y291" i="14"/>
  <c r="M291" i="14"/>
  <c r="L291" i="14"/>
  <c r="E291" i="14"/>
  <c r="D291" i="14"/>
  <c r="C291" i="14"/>
  <c r="P291" i="14" s="1"/>
  <c r="AC290" i="14"/>
  <c r="AB290" i="14"/>
  <c r="Z290" i="14"/>
  <c r="Y290" i="14"/>
  <c r="P290" i="14"/>
  <c r="M290" i="14"/>
  <c r="L290" i="14"/>
  <c r="E290" i="14"/>
  <c r="D290" i="14"/>
  <c r="C290" i="14"/>
  <c r="Z289" i="14"/>
  <c r="Y289" i="14"/>
  <c r="M289" i="14"/>
  <c r="L289" i="14"/>
  <c r="E289" i="14"/>
  <c r="D289" i="14"/>
  <c r="C289" i="14"/>
  <c r="P289" i="14" s="1"/>
  <c r="AC288" i="14"/>
  <c r="AB288" i="14"/>
  <c r="Z288" i="14"/>
  <c r="Y288" i="14"/>
  <c r="P288" i="14"/>
  <c r="M288" i="14"/>
  <c r="L288" i="14"/>
  <c r="E288" i="14"/>
  <c r="D288" i="14"/>
  <c r="C288" i="14"/>
  <c r="Z287" i="14"/>
  <c r="AC287" i="14" s="1"/>
  <c r="Y287" i="14"/>
  <c r="AB287" i="14" s="1"/>
  <c r="M287" i="14"/>
  <c r="L287" i="14"/>
  <c r="E287" i="14"/>
  <c r="D287" i="14"/>
  <c r="C287" i="14"/>
  <c r="P287" i="14" s="1"/>
  <c r="AC286" i="14"/>
  <c r="AB286" i="14"/>
  <c r="Z286" i="14"/>
  <c r="Y286" i="14"/>
  <c r="P286" i="14"/>
  <c r="M286" i="14"/>
  <c r="L286" i="14"/>
  <c r="E286" i="14"/>
  <c r="D286" i="14"/>
  <c r="C286" i="14"/>
  <c r="Z285" i="14"/>
  <c r="AC285" i="14" s="1"/>
  <c r="Y285" i="14"/>
  <c r="AB285" i="14" s="1"/>
  <c r="M285" i="14"/>
  <c r="L285" i="14"/>
  <c r="E285" i="14"/>
  <c r="D285" i="14"/>
  <c r="C285" i="14"/>
  <c r="P285" i="14" s="1"/>
  <c r="AC284" i="14"/>
  <c r="AB284" i="14"/>
  <c r="Z284" i="14"/>
  <c r="Y284" i="14"/>
  <c r="P284" i="14"/>
  <c r="M284" i="14"/>
  <c r="L284" i="14"/>
  <c r="E284" i="14"/>
  <c r="D284" i="14"/>
  <c r="C284" i="14"/>
  <c r="Z283" i="14"/>
  <c r="AC283" i="14" s="1"/>
  <c r="Y283" i="14"/>
  <c r="M283" i="14"/>
  <c r="L283" i="14"/>
  <c r="E283" i="14"/>
  <c r="D283" i="14"/>
  <c r="C283" i="14"/>
  <c r="P283" i="14" s="1"/>
  <c r="AC282" i="14"/>
  <c r="AB282" i="14"/>
  <c r="Z282" i="14"/>
  <c r="Y282" i="14"/>
  <c r="P282" i="14"/>
  <c r="M282" i="14"/>
  <c r="L282" i="14"/>
  <c r="E282" i="14"/>
  <c r="D282" i="14"/>
  <c r="C282" i="14"/>
  <c r="Z281" i="14"/>
  <c r="Y281" i="14"/>
  <c r="M281" i="14"/>
  <c r="L281" i="14"/>
  <c r="E281" i="14"/>
  <c r="D281" i="14"/>
  <c r="C281" i="14"/>
  <c r="P281" i="14" s="1"/>
  <c r="AC280" i="14"/>
  <c r="AB280" i="14"/>
  <c r="Z280" i="14"/>
  <c r="Y280" i="14"/>
  <c r="P280" i="14"/>
  <c r="M280" i="14"/>
  <c r="L280" i="14"/>
  <c r="E280" i="14"/>
  <c r="D280" i="14"/>
  <c r="C280" i="14"/>
  <c r="Z279" i="14"/>
  <c r="AC279" i="14" s="1"/>
  <c r="Y279" i="14"/>
  <c r="AB279" i="14" s="1"/>
  <c r="M279" i="14"/>
  <c r="L279" i="14"/>
  <c r="E279" i="14"/>
  <c r="D279" i="14"/>
  <c r="C279" i="14"/>
  <c r="P279" i="14" s="1"/>
  <c r="AC278" i="14"/>
  <c r="AB278" i="14"/>
  <c r="Z278" i="14"/>
  <c r="Y278" i="14"/>
  <c r="P278" i="14"/>
  <c r="M278" i="14"/>
  <c r="L278" i="14"/>
  <c r="E278" i="14"/>
  <c r="D278" i="14"/>
  <c r="C278" i="14"/>
  <c r="Z277" i="14"/>
  <c r="AC277" i="14" s="1"/>
  <c r="Y277" i="14"/>
  <c r="AB277" i="14" s="1"/>
  <c r="M277" i="14"/>
  <c r="L277" i="14"/>
  <c r="E277" i="14"/>
  <c r="D277" i="14"/>
  <c r="C277" i="14"/>
  <c r="P277" i="14" s="1"/>
  <c r="AC276" i="14"/>
  <c r="AB276" i="14"/>
  <c r="Z276" i="14"/>
  <c r="Y276" i="14"/>
  <c r="P276" i="14"/>
  <c r="M276" i="14"/>
  <c r="L276" i="14"/>
  <c r="E276" i="14"/>
  <c r="D276" i="14"/>
  <c r="C276" i="14"/>
  <c r="Z275" i="14"/>
  <c r="AC275" i="14" s="1"/>
  <c r="Y275" i="14"/>
  <c r="M275" i="14"/>
  <c r="L275" i="14"/>
  <c r="E275" i="14"/>
  <c r="D275" i="14"/>
  <c r="C275" i="14"/>
  <c r="P275" i="14" s="1"/>
  <c r="AC274" i="14"/>
  <c r="AB274" i="14"/>
  <c r="Z274" i="14"/>
  <c r="Y274" i="14"/>
  <c r="P274" i="14"/>
  <c r="M274" i="14"/>
  <c r="L274" i="14"/>
  <c r="E274" i="14"/>
  <c r="D274" i="14"/>
  <c r="C274" i="14"/>
  <c r="Z273" i="14"/>
  <c r="Y273" i="14"/>
  <c r="M273" i="14"/>
  <c r="L273" i="14"/>
  <c r="E273" i="14"/>
  <c r="D273" i="14"/>
  <c r="C273" i="14"/>
  <c r="P273" i="14" s="1"/>
  <c r="AC272" i="14"/>
  <c r="AB272" i="14"/>
  <c r="Z272" i="14"/>
  <c r="Y272" i="14"/>
  <c r="P272" i="14"/>
  <c r="M272" i="14"/>
  <c r="L272" i="14"/>
  <c r="E272" i="14"/>
  <c r="D272" i="14"/>
  <c r="C272" i="14"/>
  <c r="Z271" i="14"/>
  <c r="AC271" i="14" s="1"/>
  <c r="Y271" i="14"/>
  <c r="AB271" i="14" s="1"/>
  <c r="M271" i="14"/>
  <c r="L271" i="14"/>
  <c r="E271" i="14"/>
  <c r="D271" i="14"/>
  <c r="C271" i="14"/>
  <c r="P271" i="14" s="1"/>
  <c r="AC270" i="14"/>
  <c r="AB270" i="14"/>
  <c r="Z270" i="14"/>
  <c r="Y270" i="14"/>
  <c r="P270" i="14"/>
  <c r="M270" i="14"/>
  <c r="L270" i="14"/>
  <c r="E270" i="14"/>
  <c r="D270" i="14"/>
  <c r="C270" i="14"/>
  <c r="Z269" i="14"/>
  <c r="AC269" i="14" s="1"/>
  <c r="Y269" i="14"/>
  <c r="AB269" i="14" s="1"/>
  <c r="M269" i="14"/>
  <c r="L269" i="14"/>
  <c r="E269" i="14"/>
  <c r="D269" i="14"/>
  <c r="C269" i="14"/>
  <c r="P269" i="14" s="1"/>
  <c r="AC268" i="14"/>
  <c r="AB268" i="14"/>
  <c r="Z268" i="14"/>
  <c r="Y268" i="14"/>
  <c r="P268" i="14"/>
  <c r="M268" i="14"/>
  <c r="L268" i="14"/>
  <c r="E268" i="14"/>
  <c r="D268" i="14"/>
  <c r="C268" i="14"/>
  <c r="Z267" i="14"/>
  <c r="AC267" i="14" s="1"/>
  <c r="Y267" i="14"/>
  <c r="M267" i="14"/>
  <c r="L267" i="14"/>
  <c r="E267" i="14"/>
  <c r="D267" i="14"/>
  <c r="C267" i="14"/>
  <c r="P267" i="14" s="1"/>
  <c r="AC266" i="14"/>
  <c r="AB266" i="14"/>
  <c r="Z266" i="14"/>
  <c r="Y266" i="14"/>
  <c r="P266" i="14"/>
  <c r="M266" i="14"/>
  <c r="L266" i="14"/>
  <c r="E266" i="14"/>
  <c r="D266" i="14"/>
  <c r="C266" i="14"/>
  <c r="Z265" i="14"/>
  <c r="Y265" i="14"/>
  <c r="M265" i="14"/>
  <c r="L265" i="14"/>
  <c r="E265" i="14"/>
  <c r="D265" i="14"/>
  <c r="C265" i="14"/>
  <c r="P265" i="14" s="1"/>
  <c r="AC264" i="14"/>
  <c r="AB264" i="14"/>
  <c r="Z264" i="14"/>
  <c r="Y264" i="14"/>
  <c r="P264" i="14"/>
  <c r="M264" i="14"/>
  <c r="L264" i="14"/>
  <c r="E264" i="14"/>
  <c r="D264" i="14"/>
  <c r="C264" i="14"/>
  <c r="Z263" i="14"/>
  <c r="AC263" i="14" s="1"/>
  <c r="Y263" i="14"/>
  <c r="AB263" i="14" s="1"/>
  <c r="M263" i="14"/>
  <c r="L263" i="14"/>
  <c r="E263" i="14"/>
  <c r="D263" i="14"/>
  <c r="C263" i="14"/>
  <c r="P263" i="14" s="1"/>
  <c r="AC262" i="14"/>
  <c r="AB262" i="14"/>
  <c r="Z262" i="14"/>
  <c r="Y262" i="14"/>
  <c r="P262" i="14"/>
  <c r="M262" i="14"/>
  <c r="L262" i="14"/>
  <c r="E262" i="14"/>
  <c r="D262" i="14"/>
  <c r="C262" i="14"/>
  <c r="Z261" i="14"/>
  <c r="AC261" i="14" s="1"/>
  <c r="Y261" i="14"/>
  <c r="AB261" i="14" s="1"/>
  <c r="M261" i="14"/>
  <c r="L261" i="14"/>
  <c r="E261" i="14"/>
  <c r="D261" i="14"/>
  <c r="C261" i="14"/>
  <c r="P261" i="14" s="1"/>
  <c r="AC260" i="14"/>
  <c r="AB260" i="14"/>
  <c r="Z260" i="14"/>
  <c r="Y260" i="14"/>
  <c r="P260" i="14"/>
  <c r="M260" i="14"/>
  <c r="L260" i="14"/>
  <c r="E260" i="14"/>
  <c r="D260" i="14"/>
  <c r="C260" i="14"/>
  <c r="Z259" i="14"/>
  <c r="AC259" i="14" s="1"/>
  <c r="Y259" i="14"/>
  <c r="M259" i="14"/>
  <c r="L259" i="14"/>
  <c r="E259" i="14"/>
  <c r="D259" i="14"/>
  <c r="C259" i="14"/>
  <c r="P259" i="14" s="1"/>
  <c r="AC258" i="14"/>
  <c r="AB258" i="14"/>
  <c r="Z258" i="14"/>
  <c r="Y258" i="14"/>
  <c r="M258" i="14"/>
  <c r="L258" i="14"/>
  <c r="E258" i="14"/>
  <c r="D258" i="14"/>
  <c r="C258" i="14"/>
  <c r="P258" i="14" s="1"/>
  <c r="Z257" i="14"/>
  <c r="Y257" i="14"/>
  <c r="M257" i="14"/>
  <c r="L257" i="14"/>
  <c r="E257" i="14"/>
  <c r="D257" i="14"/>
  <c r="C257" i="14"/>
  <c r="P257" i="14" s="1"/>
  <c r="AC256" i="14"/>
  <c r="AB256" i="14"/>
  <c r="Z256" i="14"/>
  <c r="Y256" i="14"/>
  <c r="P256" i="14"/>
  <c r="M256" i="14"/>
  <c r="L256" i="14"/>
  <c r="E256" i="14"/>
  <c r="D256" i="14"/>
  <c r="C256" i="14"/>
  <c r="Z255" i="14"/>
  <c r="AC255" i="14" s="1"/>
  <c r="Y255" i="14"/>
  <c r="AB255" i="14" s="1"/>
  <c r="M255" i="14"/>
  <c r="L255" i="14"/>
  <c r="E255" i="14"/>
  <c r="D255" i="14"/>
  <c r="C255" i="14"/>
  <c r="P255" i="14" s="1"/>
  <c r="AC254" i="14"/>
  <c r="AB254" i="14"/>
  <c r="Z254" i="14"/>
  <c r="Y254" i="14"/>
  <c r="M254" i="14"/>
  <c r="L254" i="14"/>
  <c r="E254" i="14"/>
  <c r="D254" i="14"/>
  <c r="C254" i="14"/>
  <c r="P254" i="14" s="1"/>
  <c r="Z253" i="14"/>
  <c r="AC253" i="14" s="1"/>
  <c r="Y253" i="14"/>
  <c r="AB253" i="14" s="1"/>
  <c r="M253" i="14"/>
  <c r="L253" i="14"/>
  <c r="E253" i="14"/>
  <c r="D253" i="14"/>
  <c r="C253" i="14"/>
  <c r="P253" i="14" s="1"/>
  <c r="AC252" i="14"/>
  <c r="AB252" i="14"/>
  <c r="Z252" i="14"/>
  <c r="Y252" i="14"/>
  <c r="M252" i="14"/>
  <c r="L252" i="14"/>
  <c r="E252" i="14"/>
  <c r="D252" i="14"/>
  <c r="C252" i="14"/>
  <c r="P252" i="14" s="1"/>
  <c r="Z251" i="14"/>
  <c r="AC251" i="14" s="1"/>
  <c r="Y251" i="14"/>
  <c r="M251" i="14"/>
  <c r="L251" i="14"/>
  <c r="E251" i="14"/>
  <c r="D251" i="14"/>
  <c r="C251" i="14"/>
  <c r="P251" i="14" s="1"/>
  <c r="AC250" i="14"/>
  <c r="AB250" i="14"/>
  <c r="Z250" i="14"/>
  <c r="Y250" i="14"/>
  <c r="M250" i="14"/>
  <c r="L250" i="14"/>
  <c r="E250" i="14"/>
  <c r="D250" i="14"/>
  <c r="C250" i="14"/>
  <c r="P250" i="14" s="1"/>
  <c r="Z249" i="14"/>
  <c r="Y249" i="14"/>
  <c r="M249" i="14"/>
  <c r="L249" i="14"/>
  <c r="E249" i="14"/>
  <c r="D249" i="14"/>
  <c r="C249" i="14"/>
  <c r="P249" i="14" s="1"/>
  <c r="AC248" i="14"/>
  <c r="AB248" i="14"/>
  <c r="Z248" i="14"/>
  <c r="Y248" i="14"/>
  <c r="P248" i="14"/>
  <c r="M248" i="14"/>
  <c r="L248" i="14"/>
  <c r="E248" i="14"/>
  <c r="D248" i="14"/>
  <c r="C248" i="14"/>
  <c r="Z247" i="14"/>
  <c r="AC247" i="14" s="1"/>
  <c r="Y247" i="14"/>
  <c r="AB247" i="14" s="1"/>
  <c r="M247" i="14"/>
  <c r="L247" i="14"/>
  <c r="E247" i="14"/>
  <c r="D247" i="14"/>
  <c r="C247" i="14"/>
  <c r="P247" i="14" s="1"/>
  <c r="AC246" i="14"/>
  <c r="AB246" i="14"/>
  <c r="Z246" i="14"/>
  <c r="Y246" i="14"/>
  <c r="M246" i="14"/>
  <c r="L246" i="14"/>
  <c r="E246" i="14"/>
  <c r="D246" i="14"/>
  <c r="C246" i="14"/>
  <c r="P246" i="14" s="1"/>
  <c r="Z245" i="14"/>
  <c r="AC245" i="14" s="1"/>
  <c r="Y245" i="14"/>
  <c r="AB245" i="14" s="1"/>
  <c r="M245" i="14"/>
  <c r="L245" i="14"/>
  <c r="E245" i="14"/>
  <c r="D245" i="14"/>
  <c r="C245" i="14"/>
  <c r="P245" i="14" s="1"/>
  <c r="AC244" i="14"/>
  <c r="AB244" i="14"/>
  <c r="Z244" i="14"/>
  <c r="Y244" i="14"/>
  <c r="M244" i="14"/>
  <c r="L244" i="14"/>
  <c r="E244" i="14"/>
  <c r="D244" i="14"/>
  <c r="C244" i="14"/>
  <c r="P244" i="14" s="1"/>
  <c r="Z243" i="14"/>
  <c r="AC243" i="14" s="1"/>
  <c r="Y243" i="14"/>
  <c r="M243" i="14"/>
  <c r="L243" i="14"/>
  <c r="E243" i="14"/>
  <c r="D243" i="14"/>
  <c r="C243" i="14"/>
  <c r="P243" i="14" s="1"/>
  <c r="AC242" i="14"/>
  <c r="AB242" i="14"/>
  <c r="Z242" i="14"/>
  <c r="Y242" i="14"/>
  <c r="M242" i="14"/>
  <c r="L242" i="14"/>
  <c r="E242" i="14"/>
  <c r="D242" i="14"/>
  <c r="C242" i="14"/>
  <c r="P242" i="14" s="1"/>
  <c r="Z241" i="14"/>
  <c r="Y241" i="14"/>
  <c r="M241" i="14"/>
  <c r="L241" i="14"/>
  <c r="E241" i="14"/>
  <c r="D241" i="14"/>
  <c r="C241" i="14"/>
  <c r="P241" i="14" s="1"/>
  <c r="AC240" i="14"/>
  <c r="AB240" i="14"/>
  <c r="Z240" i="14"/>
  <c r="Y240" i="14"/>
  <c r="P240" i="14"/>
  <c r="M240" i="14"/>
  <c r="L240" i="14"/>
  <c r="E240" i="14"/>
  <c r="D240" i="14"/>
  <c r="C240" i="14"/>
  <c r="Z239" i="14"/>
  <c r="AC239" i="14" s="1"/>
  <c r="Y239" i="14"/>
  <c r="AB239" i="14" s="1"/>
  <c r="M239" i="14"/>
  <c r="L239" i="14"/>
  <c r="E239" i="14"/>
  <c r="D239" i="14"/>
  <c r="C239" i="14"/>
  <c r="P239" i="14" s="1"/>
  <c r="AC238" i="14"/>
  <c r="AB238" i="14"/>
  <c r="Z238" i="14"/>
  <c r="Y238" i="14"/>
  <c r="M238" i="14"/>
  <c r="L238" i="14"/>
  <c r="E238" i="14"/>
  <c r="D238" i="14"/>
  <c r="C238" i="14"/>
  <c r="P238" i="14" s="1"/>
  <c r="Z237" i="14"/>
  <c r="AC237" i="14" s="1"/>
  <c r="Y237" i="14"/>
  <c r="AB237" i="14" s="1"/>
  <c r="M237" i="14"/>
  <c r="L237" i="14"/>
  <c r="E237" i="14"/>
  <c r="D237" i="14"/>
  <c r="C237" i="14"/>
  <c r="P237" i="14" s="1"/>
  <c r="AC236" i="14"/>
  <c r="AB236" i="14"/>
  <c r="Z236" i="14"/>
  <c r="Y236" i="14"/>
  <c r="M236" i="14"/>
  <c r="L236" i="14"/>
  <c r="E236" i="14"/>
  <c r="D236" i="14"/>
  <c r="C236" i="14"/>
  <c r="P236" i="14" s="1"/>
  <c r="Z235" i="14"/>
  <c r="AC235" i="14" s="1"/>
  <c r="Y235" i="14"/>
  <c r="M235" i="14"/>
  <c r="L235" i="14"/>
  <c r="E235" i="14"/>
  <c r="D235" i="14"/>
  <c r="C235" i="14"/>
  <c r="P235" i="14" s="1"/>
  <c r="AC234" i="14"/>
  <c r="AB234" i="14"/>
  <c r="Z234" i="14"/>
  <c r="Y234" i="14"/>
  <c r="M234" i="14"/>
  <c r="L234" i="14"/>
  <c r="E234" i="14"/>
  <c r="D234" i="14"/>
  <c r="C234" i="14"/>
  <c r="P234" i="14" s="1"/>
  <c r="Z233" i="14"/>
  <c r="AC233" i="14" s="1"/>
  <c r="Y233" i="14"/>
  <c r="AB233" i="14" s="1"/>
  <c r="M233" i="14"/>
  <c r="L233" i="14"/>
  <c r="E233" i="14"/>
  <c r="D233" i="14"/>
  <c r="C233" i="14"/>
  <c r="P233" i="14" s="1"/>
  <c r="AC232" i="14"/>
  <c r="Z232" i="14"/>
  <c r="Y232" i="14"/>
  <c r="AB232" i="14" s="1"/>
  <c r="M232" i="14"/>
  <c r="L232" i="14"/>
  <c r="E232" i="14"/>
  <c r="D232" i="14"/>
  <c r="C232" i="14"/>
  <c r="P232" i="14" s="1"/>
  <c r="Z231" i="14"/>
  <c r="AC231" i="14" s="1"/>
  <c r="Y231" i="14"/>
  <c r="M231" i="14"/>
  <c r="L231" i="14"/>
  <c r="AB231" i="14" s="1"/>
  <c r="E231" i="14"/>
  <c r="D231" i="14"/>
  <c r="C231" i="14"/>
  <c r="P231" i="14" s="1"/>
  <c r="AC230" i="14"/>
  <c r="AB230" i="14"/>
  <c r="Z230" i="14"/>
  <c r="Y230" i="14"/>
  <c r="M230" i="14"/>
  <c r="L230" i="14"/>
  <c r="E230" i="14"/>
  <c r="D230" i="14"/>
  <c r="C230" i="14"/>
  <c r="P230" i="14" s="1"/>
  <c r="Z229" i="14"/>
  <c r="AC229" i="14" s="1"/>
  <c r="Y229" i="14"/>
  <c r="AB229" i="14" s="1"/>
  <c r="M229" i="14"/>
  <c r="L229" i="14"/>
  <c r="E229" i="14"/>
  <c r="D229" i="14"/>
  <c r="C229" i="14"/>
  <c r="P229" i="14" s="1"/>
  <c r="AC228" i="14"/>
  <c r="Z228" i="14"/>
  <c r="Y228" i="14"/>
  <c r="AB228" i="14" s="1"/>
  <c r="M228" i="14"/>
  <c r="L228" i="14"/>
  <c r="E228" i="14"/>
  <c r="D228" i="14"/>
  <c r="C228" i="14"/>
  <c r="P228" i="14" s="1"/>
  <c r="Z227" i="14"/>
  <c r="AC227" i="14" s="1"/>
  <c r="Y227" i="14"/>
  <c r="M227" i="14"/>
  <c r="L227" i="14"/>
  <c r="AB227" i="14" s="1"/>
  <c r="E227" i="14"/>
  <c r="D227" i="14"/>
  <c r="C227" i="14"/>
  <c r="P227" i="14" s="1"/>
  <c r="AC226" i="14"/>
  <c r="AB226" i="14"/>
  <c r="Z226" i="14"/>
  <c r="Y226" i="14"/>
  <c r="M226" i="14"/>
  <c r="L226" i="14"/>
  <c r="E226" i="14"/>
  <c r="D226" i="14"/>
  <c r="C226" i="14"/>
  <c r="P226" i="14" s="1"/>
  <c r="Z225" i="14"/>
  <c r="AC225" i="14" s="1"/>
  <c r="Y225" i="14"/>
  <c r="AB225" i="14" s="1"/>
  <c r="M225" i="14"/>
  <c r="L225" i="14"/>
  <c r="E225" i="14"/>
  <c r="D225" i="14"/>
  <c r="C225" i="14"/>
  <c r="P225" i="14" s="1"/>
  <c r="AC224" i="14"/>
  <c r="Z224" i="14"/>
  <c r="Y224" i="14"/>
  <c r="AB224" i="14" s="1"/>
  <c r="M224" i="14"/>
  <c r="L224" i="14"/>
  <c r="E224" i="14"/>
  <c r="D224" i="14"/>
  <c r="C224" i="14"/>
  <c r="P224" i="14" s="1"/>
  <c r="Z223" i="14"/>
  <c r="AC223" i="14" s="1"/>
  <c r="Y223" i="14"/>
  <c r="M223" i="14"/>
  <c r="L223" i="14"/>
  <c r="AB223" i="14" s="1"/>
  <c r="E223" i="14"/>
  <c r="D223" i="14"/>
  <c r="C223" i="14"/>
  <c r="P223" i="14" s="1"/>
  <c r="AC222" i="14"/>
  <c r="AB222" i="14"/>
  <c r="Z222" i="14"/>
  <c r="Y222" i="14"/>
  <c r="M222" i="14"/>
  <c r="L222" i="14"/>
  <c r="E222" i="14"/>
  <c r="D222" i="14"/>
  <c r="C222" i="14"/>
  <c r="P222" i="14" s="1"/>
  <c r="Z221" i="14"/>
  <c r="AC221" i="14" s="1"/>
  <c r="Y221" i="14"/>
  <c r="AB221" i="14" s="1"/>
  <c r="M221" i="14"/>
  <c r="L221" i="14"/>
  <c r="E221" i="14"/>
  <c r="D221" i="14"/>
  <c r="C221" i="14"/>
  <c r="P221" i="14" s="1"/>
  <c r="AC220" i="14"/>
  <c r="Z220" i="14"/>
  <c r="Y220" i="14"/>
  <c r="AB220" i="14" s="1"/>
  <c r="M220" i="14"/>
  <c r="L220" i="14"/>
  <c r="E220" i="14"/>
  <c r="D220" i="14"/>
  <c r="C220" i="14"/>
  <c r="P220" i="14" s="1"/>
  <c r="Z219" i="14"/>
  <c r="AC219" i="14" s="1"/>
  <c r="Y219" i="14"/>
  <c r="M219" i="14"/>
  <c r="L219" i="14"/>
  <c r="AB219" i="14" s="1"/>
  <c r="E219" i="14"/>
  <c r="D219" i="14"/>
  <c r="C219" i="14"/>
  <c r="P219" i="14" s="1"/>
  <c r="AC218" i="14"/>
  <c r="AB218" i="14"/>
  <c r="Z218" i="14"/>
  <c r="Y218" i="14"/>
  <c r="M218" i="14"/>
  <c r="L218" i="14"/>
  <c r="E218" i="14"/>
  <c r="D218" i="14"/>
  <c r="C218" i="14"/>
  <c r="P218" i="14" s="1"/>
  <c r="Z217" i="14"/>
  <c r="AC217" i="14" s="1"/>
  <c r="Y217" i="14"/>
  <c r="AB217" i="14" s="1"/>
  <c r="M217" i="14"/>
  <c r="L217" i="14"/>
  <c r="E217" i="14"/>
  <c r="D217" i="14"/>
  <c r="C217" i="14"/>
  <c r="P217" i="14" s="1"/>
  <c r="AC216" i="14"/>
  <c r="Z216" i="14"/>
  <c r="Y216" i="14"/>
  <c r="AB216" i="14" s="1"/>
  <c r="M216" i="14"/>
  <c r="L216" i="14"/>
  <c r="E216" i="14"/>
  <c r="D216" i="14"/>
  <c r="C216" i="14"/>
  <c r="P216" i="14" s="1"/>
  <c r="Z215" i="14"/>
  <c r="Y215" i="14"/>
  <c r="P215" i="14"/>
  <c r="M215" i="14"/>
  <c r="L215" i="14"/>
  <c r="AB215" i="14" s="1"/>
  <c r="E215" i="14"/>
  <c r="D215" i="14"/>
  <c r="C215" i="14"/>
  <c r="AC214" i="14"/>
  <c r="Z214" i="14"/>
  <c r="Y214" i="14"/>
  <c r="AB214" i="14" s="1"/>
  <c r="P214" i="14"/>
  <c r="M214" i="14"/>
  <c r="L214" i="14"/>
  <c r="E214" i="14"/>
  <c r="D214" i="14"/>
  <c r="C214" i="14"/>
  <c r="Z213" i="14"/>
  <c r="Y213" i="14"/>
  <c r="P213" i="14"/>
  <c r="M213" i="14"/>
  <c r="L213" i="14"/>
  <c r="AB213" i="14" s="1"/>
  <c r="E213" i="14"/>
  <c r="D213" i="14"/>
  <c r="C213" i="14"/>
  <c r="AC212" i="14"/>
  <c r="Z212" i="14"/>
  <c r="Y212" i="14"/>
  <c r="AB212" i="14" s="1"/>
  <c r="P212" i="14"/>
  <c r="M212" i="14"/>
  <c r="L212" i="14"/>
  <c r="E212" i="14"/>
  <c r="D212" i="14"/>
  <c r="C212" i="14"/>
  <c r="Z211" i="14"/>
  <c r="Y211" i="14"/>
  <c r="P211" i="14"/>
  <c r="M211" i="14"/>
  <c r="L211" i="14"/>
  <c r="AB211" i="14" s="1"/>
  <c r="E211" i="14"/>
  <c r="D211" i="14"/>
  <c r="C211" i="14"/>
  <c r="AC210" i="14"/>
  <c r="Z210" i="14"/>
  <c r="Y210" i="14"/>
  <c r="AB210" i="14" s="1"/>
  <c r="P210" i="14"/>
  <c r="M210" i="14"/>
  <c r="L210" i="14"/>
  <c r="E210" i="14"/>
  <c r="D210" i="14"/>
  <c r="C210" i="14"/>
  <c r="Z209" i="14"/>
  <c r="Y209" i="14"/>
  <c r="P209" i="14"/>
  <c r="M209" i="14"/>
  <c r="L209" i="14"/>
  <c r="AB209" i="14" s="1"/>
  <c r="E209" i="14"/>
  <c r="D209" i="14"/>
  <c r="C209" i="14"/>
  <c r="AC208" i="14"/>
  <c r="Z208" i="14"/>
  <c r="Y208" i="14"/>
  <c r="AB208" i="14" s="1"/>
  <c r="P208" i="14"/>
  <c r="M208" i="14"/>
  <c r="L208" i="14"/>
  <c r="E208" i="14"/>
  <c r="D208" i="14"/>
  <c r="C208" i="14"/>
  <c r="Z207" i="14"/>
  <c r="Y207" i="14"/>
  <c r="P207" i="14"/>
  <c r="M207" i="14"/>
  <c r="L207" i="14"/>
  <c r="AB207" i="14" s="1"/>
  <c r="E207" i="14"/>
  <c r="D207" i="14"/>
  <c r="C207" i="14"/>
  <c r="AC206" i="14"/>
  <c r="Z206" i="14"/>
  <c r="Y206" i="14"/>
  <c r="AB206" i="14" s="1"/>
  <c r="P206" i="14"/>
  <c r="M206" i="14"/>
  <c r="L206" i="14"/>
  <c r="E206" i="14"/>
  <c r="D206" i="14"/>
  <c r="C206" i="14"/>
  <c r="Z205" i="14"/>
  <c r="Y205" i="14"/>
  <c r="P205" i="14"/>
  <c r="M205" i="14"/>
  <c r="L205" i="14"/>
  <c r="AB205" i="14" s="1"/>
  <c r="E205" i="14"/>
  <c r="D205" i="14"/>
  <c r="C205" i="14"/>
  <c r="AC204" i="14"/>
  <c r="Z204" i="14"/>
  <c r="Y204" i="14"/>
  <c r="AB204" i="14" s="1"/>
  <c r="P204" i="14"/>
  <c r="M204" i="14"/>
  <c r="L204" i="14"/>
  <c r="E204" i="14"/>
  <c r="D204" i="14"/>
  <c r="C204" i="14"/>
  <c r="Z203" i="14"/>
  <c r="Y203" i="14"/>
  <c r="P203" i="14"/>
  <c r="M203" i="14"/>
  <c r="L203" i="14"/>
  <c r="AB203" i="14" s="1"/>
  <c r="E203" i="14"/>
  <c r="D203" i="14"/>
  <c r="C203" i="14"/>
  <c r="AC202" i="14"/>
  <c r="Z202" i="14"/>
  <c r="Y202" i="14"/>
  <c r="AB202" i="14" s="1"/>
  <c r="P202" i="14"/>
  <c r="M202" i="14"/>
  <c r="L202" i="14"/>
  <c r="E202" i="14"/>
  <c r="D202" i="14"/>
  <c r="C202" i="14"/>
  <c r="Z201" i="14"/>
  <c r="Y201" i="14"/>
  <c r="P201" i="14"/>
  <c r="M201" i="14"/>
  <c r="L201" i="14"/>
  <c r="AB201" i="14" s="1"/>
  <c r="E201" i="14"/>
  <c r="D201" i="14"/>
  <c r="C201" i="14"/>
  <c r="AC200" i="14"/>
  <c r="Z200" i="14"/>
  <c r="Y200" i="14"/>
  <c r="AB200" i="14" s="1"/>
  <c r="P200" i="14"/>
  <c r="M200" i="14"/>
  <c r="L200" i="14"/>
  <c r="E200" i="14"/>
  <c r="D200" i="14"/>
  <c r="C200" i="14"/>
  <c r="Z199" i="14"/>
  <c r="Y199" i="14"/>
  <c r="P199" i="14"/>
  <c r="M199" i="14"/>
  <c r="L199" i="14"/>
  <c r="AB199" i="14" s="1"/>
  <c r="E199" i="14"/>
  <c r="D199" i="14"/>
  <c r="C199" i="14"/>
  <c r="AC198" i="14"/>
  <c r="Z198" i="14"/>
  <c r="Y198" i="14"/>
  <c r="AB198" i="14" s="1"/>
  <c r="P198" i="14"/>
  <c r="M198" i="14"/>
  <c r="L198" i="14"/>
  <c r="E198" i="14"/>
  <c r="D198" i="14"/>
  <c r="C198" i="14"/>
  <c r="Z197" i="14"/>
  <c r="Y197" i="14"/>
  <c r="P197" i="14"/>
  <c r="M197" i="14"/>
  <c r="L197" i="14"/>
  <c r="AB197" i="14" s="1"/>
  <c r="E197" i="14"/>
  <c r="D197" i="14"/>
  <c r="C197" i="14"/>
  <c r="AC196" i="14"/>
  <c r="Z196" i="14"/>
  <c r="Y196" i="14"/>
  <c r="AB196" i="14" s="1"/>
  <c r="P196" i="14"/>
  <c r="M196" i="14"/>
  <c r="L196" i="14"/>
  <c r="E196" i="14"/>
  <c r="D196" i="14"/>
  <c r="C196" i="14"/>
  <c r="Z195" i="14"/>
  <c r="Y195" i="14"/>
  <c r="P195" i="14"/>
  <c r="M195" i="14"/>
  <c r="L195" i="14"/>
  <c r="E195" i="14"/>
  <c r="D195" i="14"/>
  <c r="C195" i="14"/>
  <c r="AC194" i="14"/>
  <c r="Z194" i="14"/>
  <c r="Y194" i="14"/>
  <c r="AB194" i="14" s="1"/>
  <c r="P194" i="14"/>
  <c r="M194" i="14"/>
  <c r="L194" i="14"/>
  <c r="E194" i="14"/>
  <c r="D194" i="14"/>
  <c r="C194" i="14"/>
  <c r="Z193" i="14"/>
  <c r="Y193" i="14"/>
  <c r="P193" i="14"/>
  <c r="M193" i="14"/>
  <c r="L193" i="14"/>
  <c r="E193" i="14"/>
  <c r="D193" i="14"/>
  <c r="C193" i="14"/>
  <c r="AC192" i="14"/>
  <c r="Z192" i="14"/>
  <c r="Y192" i="14"/>
  <c r="AB192" i="14" s="1"/>
  <c r="P192" i="14"/>
  <c r="M192" i="14"/>
  <c r="L192" i="14"/>
  <c r="E192" i="14"/>
  <c r="D192" i="14"/>
  <c r="C192" i="14"/>
  <c r="Z191" i="14"/>
  <c r="Y191" i="14"/>
  <c r="P191" i="14"/>
  <c r="M191" i="14"/>
  <c r="L191" i="14"/>
  <c r="E191" i="14"/>
  <c r="D191" i="14"/>
  <c r="C191" i="14"/>
  <c r="AC190" i="14"/>
  <c r="Z190" i="14"/>
  <c r="Y190" i="14"/>
  <c r="AB190" i="14" s="1"/>
  <c r="P190" i="14"/>
  <c r="M190" i="14"/>
  <c r="L190" i="14"/>
  <c r="E190" i="14"/>
  <c r="D190" i="14"/>
  <c r="C190" i="14"/>
  <c r="Z189" i="14"/>
  <c r="Y189" i="14"/>
  <c r="AB189" i="14" s="1"/>
  <c r="P189" i="14"/>
  <c r="M189" i="14"/>
  <c r="L189" i="14"/>
  <c r="E189" i="14"/>
  <c r="D189" i="14"/>
  <c r="C189" i="14"/>
  <c r="AC188" i="14"/>
  <c r="Z188" i="14"/>
  <c r="Y188" i="14"/>
  <c r="AB188" i="14" s="1"/>
  <c r="P188" i="14"/>
  <c r="M188" i="14"/>
  <c r="L188" i="14"/>
  <c r="E188" i="14"/>
  <c r="D188" i="14"/>
  <c r="C188" i="14"/>
  <c r="Z187" i="14"/>
  <c r="Y187" i="14"/>
  <c r="P187" i="14"/>
  <c r="M187" i="14"/>
  <c r="L187" i="14"/>
  <c r="E187" i="14"/>
  <c r="D187" i="14"/>
  <c r="C187" i="14"/>
  <c r="AC186" i="14"/>
  <c r="Z186" i="14"/>
  <c r="Y186" i="14"/>
  <c r="AB186" i="14" s="1"/>
  <c r="P186" i="14"/>
  <c r="M186" i="14"/>
  <c r="L186" i="14"/>
  <c r="E186" i="14"/>
  <c r="D186" i="14"/>
  <c r="C186" i="14"/>
  <c r="Z185" i="14"/>
  <c r="Y185" i="14"/>
  <c r="P185" i="14"/>
  <c r="M185" i="14"/>
  <c r="L185" i="14"/>
  <c r="E185" i="14"/>
  <c r="D185" i="14"/>
  <c r="C185" i="14"/>
  <c r="AC184" i="14"/>
  <c r="Z184" i="14"/>
  <c r="Y184" i="14"/>
  <c r="AB184" i="14" s="1"/>
  <c r="P184" i="14"/>
  <c r="M184" i="14"/>
  <c r="L184" i="14"/>
  <c r="E184" i="14"/>
  <c r="D184" i="14"/>
  <c r="C184" i="14"/>
  <c r="Z183" i="14"/>
  <c r="Y183" i="14"/>
  <c r="P183" i="14"/>
  <c r="M183" i="14"/>
  <c r="L183" i="14"/>
  <c r="E183" i="14"/>
  <c r="D183" i="14"/>
  <c r="C183" i="14"/>
  <c r="AC182" i="14"/>
  <c r="Z182" i="14"/>
  <c r="Y182" i="14"/>
  <c r="P182" i="14"/>
  <c r="M182" i="14"/>
  <c r="L182" i="14"/>
  <c r="AB182" i="14" s="1"/>
  <c r="E182" i="14"/>
  <c r="D182" i="14"/>
  <c r="C182" i="14"/>
  <c r="Z181" i="14"/>
  <c r="Y181" i="14"/>
  <c r="AB181" i="14" s="1"/>
  <c r="M181" i="14"/>
  <c r="L181" i="14"/>
  <c r="E181" i="14"/>
  <c r="D181" i="14"/>
  <c r="C181" i="14"/>
  <c r="P181" i="14" s="1"/>
  <c r="AC180" i="14"/>
  <c r="AB180" i="14"/>
  <c r="Z180" i="14"/>
  <c r="Y180" i="14"/>
  <c r="P180" i="14"/>
  <c r="M180" i="14"/>
  <c r="L180" i="14"/>
  <c r="E180" i="14"/>
  <c r="D180" i="14"/>
  <c r="C180" i="14"/>
  <c r="Z179" i="14"/>
  <c r="AC179" i="14" s="1"/>
  <c r="Y179" i="14"/>
  <c r="AB179" i="14" s="1"/>
  <c r="M179" i="14"/>
  <c r="L179" i="14"/>
  <c r="E179" i="14"/>
  <c r="D179" i="14"/>
  <c r="C179" i="14"/>
  <c r="P179" i="14" s="1"/>
  <c r="AC178" i="14"/>
  <c r="AB178" i="14"/>
  <c r="Z178" i="14"/>
  <c r="Y178" i="14"/>
  <c r="P178" i="14"/>
  <c r="M178" i="14"/>
  <c r="L178" i="14"/>
  <c r="E178" i="14"/>
  <c r="D178" i="14"/>
  <c r="C178" i="14"/>
  <c r="Z177" i="14"/>
  <c r="Y177" i="14"/>
  <c r="M177" i="14"/>
  <c r="L177" i="14"/>
  <c r="E177" i="14"/>
  <c r="D177" i="14"/>
  <c r="C177" i="14"/>
  <c r="P177" i="14" s="1"/>
  <c r="AC176" i="14"/>
  <c r="AB176" i="14"/>
  <c r="Z176" i="14"/>
  <c r="Y176" i="14"/>
  <c r="P176" i="14"/>
  <c r="M176" i="14"/>
  <c r="L176" i="14"/>
  <c r="E176" i="14"/>
  <c r="D176" i="14"/>
  <c r="C176" i="14"/>
  <c r="Z175" i="14"/>
  <c r="Y175" i="14"/>
  <c r="M175" i="14"/>
  <c r="L175" i="14"/>
  <c r="E175" i="14"/>
  <c r="D175" i="14"/>
  <c r="C175" i="14"/>
  <c r="P175" i="14" s="1"/>
  <c r="AC174" i="14"/>
  <c r="AB174" i="14"/>
  <c r="Z174" i="14"/>
  <c r="Y174" i="14"/>
  <c r="P174" i="14"/>
  <c r="M174" i="14"/>
  <c r="L174" i="14"/>
  <c r="E174" i="14"/>
  <c r="D174" i="14"/>
  <c r="C174" i="14"/>
  <c r="Z173" i="14"/>
  <c r="Y173" i="14"/>
  <c r="AB173" i="14" s="1"/>
  <c r="M173" i="14"/>
  <c r="L173" i="14"/>
  <c r="E173" i="14"/>
  <c r="D173" i="14"/>
  <c r="C173" i="14"/>
  <c r="P173" i="14" s="1"/>
  <c r="AC172" i="14"/>
  <c r="AB172" i="14"/>
  <c r="Z172" i="14"/>
  <c r="Y172" i="14"/>
  <c r="P172" i="14"/>
  <c r="M172" i="14"/>
  <c r="L172" i="14"/>
  <c r="E172" i="14"/>
  <c r="D172" i="14"/>
  <c r="C172" i="14"/>
  <c r="Z171" i="14"/>
  <c r="AC171" i="14" s="1"/>
  <c r="Y171" i="14"/>
  <c r="AB171" i="14" s="1"/>
  <c r="M171" i="14"/>
  <c r="L171" i="14"/>
  <c r="E171" i="14"/>
  <c r="D171" i="14"/>
  <c r="C171" i="14"/>
  <c r="P171" i="14" s="1"/>
  <c r="AC170" i="14"/>
  <c r="AB170" i="14"/>
  <c r="Z170" i="14"/>
  <c r="Y170" i="14"/>
  <c r="P170" i="14"/>
  <c r="M170" i="14"/>
  <c r="L170" i="14"/>
  <c r="E170" i="14"/>
  <c r="D170" i="14"/>
  <c r="C170" i="14"/>
  <c r="Z169" i="14"/>
  <c r="Y169" i="14"/>
  <c r="M169" i="14"/>
  <c r="L169" i="14"/>
  <c r="E169" i="14"/>
  <c r="D169" i="14"/>
  <c r="C169" i="14"/>
  <c r="P169" i="14" s="1"/>
  <c r="AC168" i="14"/>
  <c r="AB168" i="14"/>
  <c r="Z168" i="14"/>
  <c r="Y168" i="14"/>
  <c r="P168" i="14"/>
  <c r="M168" i="14"/>
  <c r="L168" i="14"/>
  <c r="E168" i="14"/>
  <c r="D168" i="14"/>
  <c r="C168" i="14"/>
  <c r="Z167" i="14"/>
  <c r="Y167" i="14"/>
  <c r="M167" i="14"/>
  <c r="L167" i="14"/>
  <c r="E167" i="14"/>
  <c r="D167" i="14"/>
  <c r="C167" i="14"/>
  <c r="P167" i="14" s="1"/>
  <c r="AC166" i="14"/>
  <c r="AB166" i="14"/>
  <c r="Z166" i="14"/>
  <c r="Y166" i="14"/>
  <c r="P166" i="14"/>
  <c r="M166" i="14"/>
  <c r="L166" i="14"/>
  <c r="E166" i="14"/>
  <c r="D166" i="14"/>
  <c r="C166" i="14"/>
  <c r="Z165" i="14"/>
  <c r="Y165" i="14"/>
  <c r="AB165" i="14" s="1"/>
  <c r="M165" i="14"/>
  <c r="L165" i="14"/>
  <c r="E165" i="14"/>
  <c r="D165" i="14"/>
  <c r="C165" i="14"/>
  <c r="P165" i="14" s="1"/>
  <c r="AC164" i="14"/>
  <c r="AB164" i="14"/>
  <c r="Z164" i="14"/>
  <c r="Y164" i="14"/>
  <c r="P164" i="14"/>
  <c r="M164" i="14"/>
  <c r="L164" i="14"/>
  <c r="E164" i="14"/>
  <c r="D164" i="14"/>
  <c r="C164" i="14"/>
  <c r="Z163" i="14"/>
  <c r="AC163" i="14" s="1"/>
  <c r="Y163" i="14"/>
  <c r="AB163" i="14" s="1"/>
  <c r="M163" i="14"/>
  <c r="L163" i="14"/>
  <c r="E163" i="14"/>
  <c r="D163" i="14"/>
  <c r="C163" i="14"/>
  <c r="P163" i="14" s="1"/>
  <c r="AC162" i="14"/>
  <c r="AB162" i="14"/>
  <c r="Z162" i="14"/>
  <c r="Y162" i="14"/>
  <c r="P162" i="14"/>
  <c r="M162" i="14"/>
  <c r="L162" i="14"/>
  <c r="E162" i="14"/>
  <c r="D162" i="14"/>
  <c r="C162" i="14"/>
  <c r="Z161" i="14"/>
  <c r="Y161" i="14"/>
  <c r="M161" i="14"/>
  <c r="L161" i="14"/>
  <c r="E161" i="14"/>
  <c r="D161" i="14"/>
  <c r="C161" i="14"/>
  <c r="P161" i="14" s="1"/>
  <c r="AC160" i="14"/>
  <c r="AB160" i="14"/>
  <c r="Z160" i="14"/>
  <c r="Y160" i="14"/>
  <c r="P160" i="14"/>
  <c r="M160" i="14"/>
  <c r="L160" i="14"/>
  <c r="E160" i="14"/>
  <c r="D160" i="14"/>
  <c r="C160" i="14"/>
  <c r="Z159" i="14"/>
  <c r="Y159" i="14"/>
  <c r="M159" i="14"/>
  <c r="L159" i="14"/>
  <c r="E159" i="14"/>
  <c r="D159" i="14"/>
  <c r="C159" i="14"/>
  <c r="P159" i="14" s="1"/>
  <c r="AC158" i="14"/>
  <c r="AB158" i="14"/>
  <c r="Z158" i="14"/>
  <c r="Y158" i="14"/>
  <c r="P158" i="14"/>
  <c r="M158" i="14"/>
  <c r="L158" i="14"/>
  <c r="E158" i="14"/>
  <c r="D158" i="14"/>
  <c r="C158" i="14"/>
  <c r="Z157" i="14"/>
  <c r="Y157" i="14"/>
  <c r="AB157" i="14" s="1"/>
  <c r="M157" i="14"/>
  <c r="L157" i="14"/>
  <c r="E157" i="14"/>
  <c r="D157" i="14"/>
  <c r="C157" i="14"/>
  <c r="P157" i="14" s="1"/>
  <c r="AC156" i="14"/>
  <c r="AB156" i="14"/>
  <c r="Z156" i="14"/>
  <c r="Y156" i="14"/>
  <c r="P156" i="14"/>
  <c r="M156" i="14"/>
  <c r="L156" i="14"/>
  <c r="E156" i="14"/>
  <c r="D156" i="14"/>
  <c r="C156" i="14"/>
  <c r="Z155" i="14"/>
  <c r="AC155" i="14" s="1"/>
  <c r="Y155" i="14"/>
  <c r="AB155" i="14" s="1"/>
  <c r="M155" i="14"/>
  <c r="L155" i="14"/>
  <c r="E155" i="14"/>
  <c r="D155" i="14"/>
  <c r="C155" i="14"/>
  <c r="P155" i="14" s="1"/>
  <c r="AC154" i="14"/>
  <c r="AB154" i="14"/>
  <c r="Z154" i="14"/>
  <c r="Y154" i="14"/>
  <c r="P154" i="14"/>
  <c r="M154" i="14"/>
  <c r="L154" i="14"/>
  <c r="E154" i="14"/>
  <c r="D154" i="14"/>
  <c r="C154" i="14"/>
  <c r="Z153" i="14"/>
  <c r="Y153" i="14"/>
  <c r="M153" i="14"/>
  <c r="L153" i="14"/>
  <c r="E153" i="14"/>
  <c r="D153" i="14"/>
  <c r="C153" i="14"/>
  <c r="P153" i="14" s="1"/>
  <c r="AC152" i="14"/>
  <c r="AB152" i="14"/>
  <c r="Z152" i="14"/>
  <c r="Y152" i="14"/>
  <c r="P152" i="14"/>
  <c r="M152" i="14"/>
  <c r="L152" i="14"/>
  <c r="E152" i="14"/>
  <c r="D152" i="14"/>
  <c r="C152" i="14"/>
  <c r="Z151" i="14"/>
  <c r="Y151" i="14"/>
  <c r="M151" i="14"/>
  <c r="L151" i="14"/>
  <c r="E151" i="14"/>
  <c r="D151" i="14"/>
  <c r="C151" i="14"/>
  <c r="P151" i="14" s="1"/>
  <c r="AC150" i="14"/>
  <c r="AB150" i="14"/>
  <c r="Z150" i="14"/>
  <c r="Y150" i="14"/>
  <c r="P150" i="14"/>
  <c r="M150" i="14"/>
  <c r="L150" i="14"/>
  <c r="E150" i="14"/>
  <c r="D150" i="14"/>
  <c r="C150" i="14"/>
  <c r="Z149" i="14"/>
  <c r="Y149" i="14"/>
  <c r="AB149" i="14" s="1"/>
  <c r="M149" i="14"/>
  <c r="L149" i="14"/>
  <c r="E149" i="14"/>
  <c r="D149" i="14"/>
  <c r="C149" i="14"/>
  <c r="P149" i="14" s="1"/>
  <c r="AC148" i="14"/>
  <c r="AB148" i="14"/>
  <c r="Z148" i="14"/>
  <c r="Y148" i="14"/>
  <c r="P148" i="14"/>
  <c r="M148" i="14"/>
  <c r="L148" i="14"/>
  <c r="E148" i="14"/>
  <c r="D148" i="14"/>
  <c r="C148" i="14"/>
  <c r="Z147" i="14"/>
  <c r="AC147" i="14" s="1"/>
  <c r="Y147" i="14"/>
  <c r="AB147" i="14" s="1"/>
  <c r="M147" i="14"/>
  <c r="L147" i="14"/>
  <c r="E147" i="14"/>
  <c r="D147" i="14"/>
  <c r="C147" i="14"/>
  <c r="P147" i="14" s="1"/>
  <c r="AC146" i="14"/>
  <c r="AB146" i="14"/>
  <c r="Z146" i="14"/>
  <c r="Y146" i="14"/>
  <c r="P146" i="14"/>
  <c r="M146" i="14"/>
  <c r="L146" i="14"/>
  <c r="E146" i="14"/>
  <c r="D146" i="14"/>
  <c r="C146" i="14"/>
  <c r="Z145" i="14"/>
  <c r="Y145" i="14"/>
  <c r="M145" i="14"/>
  <c r="L145" i="14"/>
  <c r="E145" i="14"/>
  <c r="D145" i="14"/>
  <c r="C145" i="14"/>
  <c r="P145" i="14" s="1"/>
  <c r="AC144" i="14"/>
  <c r="AB144" i="14"/>
  <c r="Z144" i="14"/>
  <c r="Y144" i="14"/>
  <c r="P144" i="14"/>
  <c r="M144" i="14"/>
  <c r="L144" i="14"/>
  <c r="E144" i="14"/>
  <c r="D144" i="14"/>
  <c r="C144" i="14"/>
  <c r="Z143" i="14"/>
  <c r="Y143" i="14"/>
  <c r="M143" i="14"/>
  <c r="L143" i="14"/>
  <c r="E143" i="14"/>
  <c r="D143" i="14"/>
  <c r="C143" i="14"/>
  <c r="P143" i="14" s="1"/>
  <c r="AC142" i="14"/>
  <c r="AB142" i="14"/>
  <c r="Z142" i="14"/>
  <c r="Y142" i="14"/>
  <c r="P142" i="14"/>
  <c r="M142" i="14"/>
  <c r="L142" i="14"/>
  <c r="E142" i="14"/>
  <c r="D142" i="14"/>
  <c r="C142" i="14"/>
  <c r="Z141" i="14"/>
  <c r="Y141" i="14"/>
  <c r="AB141" i="14" s="1"/>
  <c r="M141" i="14"/>
  <c r="L141" i="14"/>
  <c r="E141" i="14"/>
  <c r="D141" i="14"/>
  <c r="C141" i="14"/>
  <c r="P141" i="14" s="1"/>
  <c r="AC140" i="14"/>
  <c r="AB140" i="14"/>
  <c r="Z140" i="14"/>
  <c r="Y140" i="14"/>
  <c r="P140" i="14"/>
  <c r="M140" i="14"/>
  <c r="L140" i="14"/>
  <c r="E140" i="14"/>
  <c r="D140" i="14"/>
  <c r="C140" i="14"/>
  <c r="Z139" i="14"/>
  <c r="AC139" i="14" s="1"/>
  <c r="Y139" i="14"/>
  <c r="AB139" i="14" s="1"/>
  <c r="M139" i="14"/>
  <c r="L139" i="14"/>
  <c r="E139" i="14"/>
  <c r="D139" i="14"/>
  <c r="C139" i="14"/>
  <c r="P139" i="14" s="1"/>
  <c r="AC138" i="14"/>
  <c r="AB138" i="14"/>
  <c r="Z138" i="14"/>
  <c r="Y138" i="14"/>
  <c r="P138" i="14"/>
  <c r="M138" i="14"/>
  <c r="L138" i="14"/>
  <c r="E138" i="14"/>
  <c r="D138" i="14"/>
  <c r="C138" i="14"/>
  <c r="Z137" i="14"/>
  <c r="Y137" i="14"/>
  <c r="M137" i="14"/>
  <c r="L137" i="14"/>
  <c r="E137" i="14"/>
  <c r="D137" i="14"/>
  <c r="C137" i="14"/>
  <c r="P137" i="14" s="1"/>
  <c r="AC136" i="14"/>
  <c r="AB136" i="14"/>
  <c r="Z136" i="14"/>
  <c r="Y136" i="14"/>
  <c r="P136" i="14"/>
  <c r="M136" i="14"/>
  <c r="L136" i="14"/>
  <c r="E136" i="14"/>
  <c r="D136" i="14"/>
  <c r="C136" i="14"/>
  <c r="Z135" i="14"/>
  <c r="Y135" i="14"/>
  <c r="M135" i="14"/>
  <c r="L135" i="14"/>
  <c r="E135" i="14"/>
  <c r="D135" i="14"/>
  <c r="C135" i="14"/>
  <c r="P135" i="14" s="1"/>
  <c r="AC134" i="14"/>
  <c r="AB134" i="14"/>
  <c r="Z134" i="14"/>
  <c r="Y134" i="14"/>
  <c r="P134" i="14"/>
  <c r="M134" i="14"/>
  <c r="L134" i="14"/>
  <c r="E134" i="14"/>
  <c r="D134" i="14"/>
  <c r="C134" i="14"/>
  <c r="Z133" i="14"/>
  <c r="Y133" i="14"/>
  <c r="AB133" i="14" s="1"/>
  <c r="M133" i="14"/>
  <c r="L133" i="14"/>
  <c r="E133" i="14"/>
  <c r="D133" i="14"/>
  <c r="C133" i="14"/>
  <c r="P133" i="14" s="1"/>
  <c r="AC132" i="14"/>
  <c r="AB132" i="14"/>
  <c r="Z132" i="14"/>
  <c r="Y132" i="14"/>
  <c r="P132" i="14"/>
  <c r="M132" i="14"/>
  <c r="L132" i="14"/>
  <c r="E132" i="14"/>
  <c r="D132" i="14"/>
  <c r="C132" i="14"/>
  <c r="Z131" i="14"/>
  <c r="AC131" i="14" s="1"/>
  <c r="Y131" i="14"/>
  <c r="AB131" i="14" s="1"/>
  <c r="M131" i="14"/>
  <c r="L131" i="14"/>
  <c r="E131" i="14"/>
  <c r="D131" i="14"/>
  <c r="C131" i="14"/>
  <c r="P131" i="14" s="1"/>
  <c r="AC130" i="14"/>
  <c r="AB130" i="14"/>
  <c r="Z130" i="14"/>
  <c r="Y130" i="14"/>
  <c r="P130" i="14"/>
  <c r="M130" i="14"/>
  <c r="L130" i="14"/>
  <c r="E130" i="14"/>
  <c r="D130" i="14"/>
  <c r="C130" i="14"/>
  <c r="Z129" i="14"/>
  <c r="Y129" i="14"/>
  <c r="M129" i="14"/>
  <c r="L129" i="14"/>
  <c r="E129" i="14"/>
  <c r="D129" i="14"/>
  <c r="C129" i="14"/>
  <c r="P129" i="14" s="1"/>
  <c r="AC128" i="14"/>
  <c r="AB128" i="14"/>
  <c r="Z128" i="14"/>
  <c r="Y128" i="14"/>
  <c r="P128" i="14"/>
  <c r="M128" i="14"/>
  <c r="L128" i="14"/>
  <c r="E128" i="14"/>
  <c r="D128" i="14"/>
  <c r="C128" i="14"/>
  <c r="Z127" i="14"/>
  <c r="Y127" i="14"/>
  <c r="M127" i="14"/>
  <c r="L127" i="14"/>
  <c r="E127" i="14"/>
  <c r="D127" i="14"/>
  <c r="C127" i="14"/>
  <c r="P127" i="14" s="1"/>
  <c r="AC126" i="14"/>
  <c r="AB126" i="14"/>
  <c r="Z126" i="14"/>
  <c r="Y126" i="14"/>
  <c r="P126" i="14"/>
  <c r="M126" i="14"/>
  <c r="L126" i="14"/>
  <c r="E126" i="14"/>
  <c r="D126" i="14"/>
  <c r="C126" i="14"/>
  <c r="Z125" i="14"/>
  <c r="Y125" i="14"/>
  <c r="AB125" i="14" s="1"/>
  <c r="M125" i="14"/>
  <c r="L125" i="14"/>
  <c r="E125" i="14"/>
  <c r="D125" i="14"/>
  <c r="C125" i="14"/>
  <c r="P125" i="14" s="1"/>
  <c r="AC124" i="14"/>
  <c r="AB124" i="14"/>
  <c r="Z124" i="14"/>
  <c r="Y124" i="14"/>
  <c r="P124" i="14"/>
  <c r="M124" i="14"/>
  <c r="L124" i="14"/>
  <c r="E124" i="14"/>
  <c r="D124" i="14"/>
  <c r="C124" i="14"/>
  <c r="Z123" i="14"/>
  <c r="AC123" i="14" s="1"/>
  <c r="Y123" i="14"/>
  <c r="AB123" i="14" s="1"/>
  <c r="M123" i="14"/>
  <c r="L123" i="14"/>
  <c r="E123" i="14"/>
  <c r="D123" i="14"/>
  <c r="C123" i="14"/>
  <c r="P123" i="14" s="1"/>
  <c r="AC122" i="14"/>
  <c r="AB122" i="14"/>
  <c r="Z122" i="14"/>
  <c r="Y122" i="14"/>
  <c r="P122" i="14"/>
  <c r="M122" i="14"/>
  <c r="L122" i="14"/>
  <c r="E122" i="14"/>
  <c r="D122" i="14"/>
  <c r="C122" i="14"/>
  <c r="Z121" i="14"/>
  <c r="Y121" i="14"/>
  <c r="M121" i="14"/>
  <c r="L121" i="14"/>
  <c r="E121" i="14"/>
  <c r="D121" i="14"/>
  <c r="C121" i="14"/>
  <c r="P121" i="14" s="1"/>
  <c r="AC120" i="14"/>
  <c r="AB120" i="14"/>
  <c r="Z120" i="14"/>
  <c r="Y120" i="14"/>
  <c r="P120" i="14"/>
  <c r="M120" i="14"/>
  <c r="L120" i="14"/>
  <c r="E120" i="14"/>
  <c r="D120" i="14"/>
  <c r="C120" i="14"/>
  <c r="Z119" i="14"/>
  <c r="Y119" i="14"/>
  <c r="M119" i="14"/>
  <c r="L119" i="14"/>
  <c r="E119" i="14"/>
  <c r="D119" i="14"/>
  <c r="C119" i="14"/>
  <c r="P119" i="14" s="1"/>
  <c r="AC118" i="14"/>
  <c r="AB118" i="14"/>
  <c r="Z118" i="14"/>
  <c r="Y118" i="14"/>
  <c r="P118" i="14"/>
  <c r="M118" i="14"/>
  <c r="L118" i="14"/>
  <c r="E118" i="14"/>
  <c r="D118" i="14"/>
  <c r="C118" i="14"/>
  <c r="Z117" i="14"/>
  <c r="Y117" i="14"/>
  <c r="AB117" i="14" s="1"/>
  <c r="M117" i="14"/>
  <c r="L117" i="14"/>
  <c r="E117" i="14"/>
  <c r="D117" i="14"/>
  <c r="C117" i="14"/>
  <c r="P117" i="14" s="1"/>
  <c r="AC116" i="14"/>
  <c r="AB116" i="14"/>
  <c r="Z116" i="14"/>
  <c r="Y116" i="14"/>
  <c r="P116" i="14"/>
  <c r="M116" i="14"/>
  <c r="L116" i="14"/>
  <c r="E116" i="14"/>
  <c r="D116" i="14"/>
  <c r="C116" i="14"/>
  <c r="Z115" i="14"/>
  <c r="AC115" i="14" s="1"/>
  <c r="Y115" i="14"/>
  <c r="AB115" i="14" s="1"/>
  <c r="M115" i="14"/>
  <c r="L115" i="14"/>
  <c r="E115" i="14"/>
  <c r="D115" i="14"/>
  <c r="C115" i="14"/>
  <c r="P115" i="14" s="1"/>
  <c r="AC114" i="14"/>
  <c r="AB114" i="14"/>
  <c r="Z114" i="14"/>
  <c r="Y114" i="14"/>
  <c r="P114" i="14"/>
  <c r="M114" i="14"/>
  <c r="L114" i="14"/>
  <c r="E114" i="14"/>
  <c r="D114" i="14"/>
  <c r="C114" i="14"/>
  <c r="Z113" i="14"/>
  <c r="Y113" i="14"/>
  <c r="M113" i="14"/>
  <c r="L113" i="14"/>
  <c r="E113" i="14"/>
  <c r="D113" i="14"/>
  <c r="C113" i="14"/>
  <c r="P113" i="14" s="1"/>
  <c r="AC112" i="14"/>
  <c r="AB112" i="14"/>
  <c r="Z112" i="14"/>
  <c r="Y112" i="14"/>
  <c r="P112" i="14"/>
  <c r="M112" i="14"/>
  <c r="L112" i="14"/>
  <c r="E112" i="14"/>
  <c r="D112" i="14"/>
  <c r="C112" i="14"/>
  <c r="Z111" i="14"/>
  <c r="Y111" i="14"/>
  <c r="M111" i="14"/>
  <c r="L111" i="14"/>
  <c r="E111" i="14"/>
  <c r="D111" i="14"/>
  <c r="C111" i="14"/>
  <c r="P111" i="14" s="1"/>
  <c r="AC110" i="14"/>
  <c r="AB110" i="14"/>
  <c r="Z110" i="14"/>
  <c r="Y110" i="14"/>
  <c r="P110" i="14"/>
  <c r="M110" i="14"/>
  <c r="L110" i="14"/>
  <c r="E110" i="14"/>
  <c r="D110" i="14"/>
  <c r="C110" i="14"/>
  <c r="Z109" i="14"/>
  <c r="Y109" i="14"/>
  <c r="AB109" i="14" s="1"/>
  <c r="M109" i="14"/>
  <c r="L109" i="14"/>
  <c r="E109" i="14"/>
  <c r="D109" i="14"/>
  <c r="C109" i="14"/>
  <c r="P109" i="14" s="1"/>
  <c r="AC108" i="14"/>
  <c r="AB108" i="14"/>
  <c r="Z108" i="14"/>
  <c r="Y108" i="14"/>
  <c r="P108" i="14"/>
  <c r="M108" i="14"/>
  <c r="L108" i="14"/>
  <c r="E108" i="14"/>
  <c r="D108" i="14"/>
  <c r="C108" i="14"/>
  <c r="Z107" i="14"/>
  <c r="AC107" i="14" s="1"/>
  <c r="Y107" i="14"/>
  <c r="AB107" i="14" s="1"/>
  <c r="M107" i="14"/>
  <c r="L107" i="14"/>
  <c r="E107" i="14"/>
  <c r="D107" i="14"/>
  <c r="C107" i="14"/>
  <c r="P107" i="14" s="1"/>
  <c r="AC106" i="14"/>
  <c r="AB106" i="14"/>
  <c r="Z106" i="14"/>
  <c r="Y106" i="14"/>
  <c r="M106" i="14"/>
  <c r="L106" i="14"/>
  <c r="E106" i="14"/>
  <c r="D106" i="14"/>
  <c r="C106" i="14"/>
  <c r="P106" i="14" s="1"/>
  <c r="Z105" i="14"/>
  <c r="Y105" i="14"/>
  <c r="M105" i="14"/>
  <c r="L105" i="14"/>
  <c r="E105" i="14"/>
  <c r="D105" i="14"/>
  <c r="C105" i="14"/>
  <c r="P105" i="14" s="1"/>
  <c r="AC104" i="14"/>
  <c r="AB104" i="14"/>
  <c r="Z104" i="14"/>
  <c r="Y104" i="14"/>
  <c r="P104" i="14"/>
  <c r="M104" i="14"/>
  <c r="L104" i="14"/>
  <c r="E104" i="14"/>
  <c r="D104" i="14"/>
  <c r="C104" i="14"/>
  <c r="Z103" i="14"/>
  <c r="Y103" i="14"/>
  <c r="M103" i="14"/>
  <c r="L103" i="14"/>
  <c r="E103" i="14"/>
  <c r="D103" i="14"/>
  <c r="C103" i="14"/>
  <c r="P103" i="14" s="1"/>
  <c r="AC102" i="14"/>
  <c r="AB102" i="14"/>
  <c r="Z102" i="14"/>
  <c r="Y102" i="14"/>
  <c r="P102" i="14"/>
  <c r="M102" i="14"/>
  <c r="L102" i="14"/>
  <c r="E102" i="14"/>
  <c r="D102" i="14"/>
  <c r="C102" i="14"/>
  <c r="Z101" i="14"/>
  <c r="Y101" i="14"/>
  <c r="AB101" i="14" s="1"/>
  <c r="M101" i="14"/>
  <c r="L101" i="14"/>
  <c r="E101" i="14"/>
  <c r="D101" i="14"/>
  <c r="C101" i="14"/>
  <c r="P101" i="14" s="1"/>
  <c r="AC100" i="14"/>
  <c r="AB100" i="14"/>
  <c r="Z100" i="14"/>
  <c r="Y100" i="14"/>
  <c r="P100" i="14"/>
  <c r="M100" i="14"/>
  <c r="L100" i="14"/>
  <c r="E100" i="14"/>
  <c r="D100" i="14"/>
  <c r="C100" i="14"/>
  <c r="Z99" i="14"/>
  <c r="AC99" i="14" s="1"/>
  <c r="Y99" i="14"/>
  <c r="AB99" i="14" s="1"/>
  <c r="M99" i="14"/>
  <c r="L99" i="14"/>
  <c r="E99" i="14"/>
  <c r="D99" i="14"/>
  <c r="C99" i="14"/>
  <c r="P99" i="14" s="1"/>
  <c r="AC98" i="14"/>
  <c r="AB98" i="14"/>
  <c r="Z98" i="14"/>
  <c r="Y98" i="14"/>
  <c r="M98" i="14"/>
  <c r="L98" i="14"/>
  <c r="E98" i="14"/>
  <c r="D98" i="14"/>
  <c r="C98" i="14"/>
  <c r="P98" i="14" s="1"/>
  <c r="Z97" i="14"/>
  <c r="Y97" i="14"/>
  <c r="M97" i="14"/>
  <c r="L97" i="14"/>
  <c r="E97" i="14"/>
  <c r="D97" i="14"/>
  <c r="C97" i="14"/>
  <c r="P97" i="14" s="1"/>
  <c r="AC96" i="14"/>
  <c r="AB96" i="14"/>
  <c r="Z96" i="14"/>
  <c r="Y96" i="14"/>
  <c r="P96" i="14"/>
  <c r="M96" i="14"/>
  <c r="L96" i="14"/>
  <c r="E96" i="14"/>
  <c r="D96" i="14"/>
  <c r="C96" i="14"/>
  <c r="Z95" i="14"/>
  <c r="Y95" i="14"/>
  <c r="M95" i="14"/>
  <c r="L95" i="14"/>
  <c r="E95" i="14"/>
  <c r="D95" i="14"/>
  <c r="C95" i="14"/>
  <c r="P95" i="14" s="1"/>
  <c r="AC94" i="14"/>
  <c r="AB94" i="14"/>
  <c r="Z94" i="14"/>
  <c r="Y94" i="14"/>
  <c r="P94" i="14"/>
  <c r="M94" i="14"/>
  <c r="L94" i="14"/>
  <c r="E94" i="14"/>
  <c r="D94" i="14"/>
  <c r="C94" i="14"/>
  <c r="Z93" i="14"/>
  <c r="Y93" i="14"/>
  <c r="AB93" i="14" s="1"/>
  <c r="M93" i="14"/>
  <c r="L93" i="14"/>
  <c r="E93" i="14"/>
  <c r="D93" i="14"/>
  <c r="C93" i="14"/>
  <c r="P93" i="14" s="1"/>
  <c r="AC92" i="14"/>
  <c r="AB92" i="14"/>
  <c r="Z92" i="14"/>
  <c r="Y92" i="14"/>
  <c r="P92" i="14"/>
  <c r="M92" i="14"/>
  <c r="L92" i="14"/>
  <c r="E92" i="14"/>
  <c r="D92" i="14"/>
  <c r="C92" i="14"/>
  <c r="Z91" i="14"/>
  <c r="AC91" i="14" s="1"/>
  <c r="Y91" i="14"/>
  <c r="AB91" i="14" s="1"/>
  <c r="M91" i="14"/>
  <c r="L91" i="14"/>
  <c r="E91" i="14"/>
  <c r="D91" i="14"/>
  <c r="C91" i="14"/>
  <c r="P91" i="14" s="1"/>
  <c r="AC90" i="14"/>
  <c r="AB90" i="14"/>
  <c r="Z90" i="14"/>
  <c r="Y90" i="14"/>
  <c r="M90" i="14"/>
  <c r="L90" i="14"/>
  <c r="E90" i="14"/>
  <c r="D90" i="14"/>
  <c r="C90" i="14"/>
  <c r="P90" i="14" s="1"/>
  <c r="Z89" i="14"/>
  <c r="Y89" i="14"/>
  <c r="M89" i="14"/>
  <c r="L89" i="14"/>
  <c r="E89" i="14"/>
  <c r="D89" i="14"/>
  <c r="C89" i="14"/>
  <c r="P89" i="14" s="1"/>
  <c r="AC88" i="14"/>
  <c r="AB88" i="14"/>
  <c r="Z88" i="14"/>
  <c r="Y88" i="14"/>
  <c r="P88" i="14"/>
  <c r="M88" i="14"/>
  <c r="L88" i="14"/>
  <c r="E88" i="14"/>
  <c r="D88" i="14"/>
  <c r="C88" i="14"/>
  <c r="Z87" i="14"/>
  <c r="Y87" i="14"/>
  <c r="M87" i="14"/>
  <c r="L87" i="14"/>
  <c r="E87" i="14"/>
  <c r="D87" i="14"/>
  <c r="C87" i="14"/>
  <c r="P87" i="14" s="1"/>
  <c r="AC86" i="14"/>
  <c r="AB86" i="14"/>
  <c r="Z86" i="14"/>
  <c r="Y86" i="14"/>
  <c r="P86" i="14"/>
  <c r="M86" i="14"/>
  <c r="L86" i="14"/>
  <c r="E86" i="14"/>
  <c r="D86" i="14"/>
  <c r="C86" i="14"/>
  <c r="Z85" i="14"/>
  <c r="Y85" i="14"/>
  <c r="AB85" i="14" s="1"/>
  <c r="M85" i="14"/>
  <c r="L85" i="14"/>
  <c r="E85" i="14"/>
  <c r="D85" i="14"/>
  <c r="C85" i="14"/>
  <c r="P85" i="14" s="1"/>
  <c r="AC84" i="14"/>
  <c r="AB84" i="14"/>
  <c r="Z84" i="14"/>
  <c r="Y84" i="14"/>
  <c r="P84" i="14"/>
  <c r="M84" i="14"/>
  <c r="L84" i="14"/>
  <c r="E84" i="14"/>
  <c r="D84" i="14"/>
  <c r="C84" i="14"/>
  <c r="Z83" i="14"/>
  <c r="AC83" i="14" s="1"/>
  <c r="Y83" i="14"/>
  <c r="AB83" i="14" s="1"/>
  <c r="M83" i="14"/>
  <c r="L83" i="14"/>
  <c r="E83" i="14"/>
  <c r="D83" i="14"/>
  <c r="C83" i="14"/>
  <c r="P83" i="14" s="1"/>
  <c r="AC82" i="14"/>
  <c r="AB82" i="14"/>
  <c r="Z82" i="14"/>
  <c r="Y82" i="14"/>
  <c r="M82" i="14"/>
  <c r="L82" i="14"/>
  <c r="E82" i="14"/>
  <c r="D82" i="14"/>
  <c r="C82" i="14"/>
  <c r="P82" i="14" s="1"/>
  <c r="Z81" i="14"/>
  <c r="Y81" i="14"/>
  <c r="M81" i="14"/>
  <c r="L81" i="14"/>
  <c r="E81" i="14"/>
  <c r="D81" i="14"/>
  <c r="C81" i="14"/>
  <c r="P81" i="14" s="1"/>
  <c r="AC80" i="14"/>
  <c r="AB80" i="14"/>
  <c r="Z80" i="14"/>
  <c r="Y80" i="14"/>
  <c r="P80" i="14"/>
  <c r="M80" i="14"/>
  <c r="L80" i="14"/>
  <c r="E80" i="14"/>
  <c r="D80" i="14"/>
  <c r="C80" i="14"/>
  <c r="Z79" i="14"/>
  <c r="Y79" i="14"/>
  <c r="AB79" i="14" s="1"/>
  <c r="M79" i="14"/>
  <c r="L79" i="14"/>
  <c r="E79" i="14"/>
  <c r="D79" i="14"/>
  <c r="C79" i="14"/>
  <c r="P79" i="14" s="1"/>
  <c r="AC78" i="14"/>
  <c r="Z78" i="14"/>
  <c r="Y78" i="14"/>
  <c r="AB78" i="14" s="1"/>
  <c r="P78" i="14"/>
  <c r="M78" i="14"/>
  <c r="L78" i="14"/>
  <c r="E78" i="14"/>
  <c r="D78" i="14"/>
  <c r="C78" i="14"/>
  <c r="Z77" i="14"/>
  <c r="Y77" i="14"/>
  <c r="M77" i="14"/>
  <c r="L77" i="14"/>
  <c r="AB77" i="14" s="1"/>
  <c r="E77" i="14"/>
  <c r="D77" i="14"/>
  <c r="C77" i="14"/>
  <c r="P77" i="14" s="1"/>
  <c r="AC76" i="14"/>
  <c r="AB76" i="14"/>
  <c r="Z76" i="14"/>
  <c r="Y76" i="14"/>
  <c r="P76" i="14"/>
  <c r="M76" i="14"/>
  <c r="L76" i="14"/>
  <c r="E76" i="14"/>
  <c r="D76" i="14"/>
  <c r="C76" i="14"/>
  <c r="Z75" i="14"/>
  <c r="AC75" i="14" s="1"/>
  <c r="Y75" i="14"/>
  <c r="AB75" i="14" s="1"/>
  <c r="M75" i="14"/>
  <c r="L75" i="14"/>
  <c r="E75" i="14"/>
  <c r="D75" i="14"/>
  <c r="C75" i="14"/>
  <c r="P75" i="14" s="1"/>
  <c r="AC74" i="14"/>
  <c r="Z74" i="14"/>
  <c r="Y74" i="14"/>
  <c r="AB74" i="14" s="1"/>
  <c r="M74" i="14"/>
  <c r="L74" i="14"/>
  <c r="E74" i="14"/>
  <c r="D74" i="14"/>
  <c r="C74" i="14"/>
  <c r="P74" i="14" s="1"/>
  <c r="Z73" i="14"/>
  <c r="Y73" i="14"/>
  <c r="M73" i="14"/>
  <c r="L73" i="14"/>
  <c r="AB73" i="14" s="1"/>
  <c r="E73" i="14"/>
  <c r="D73" i="14"/>
  <c r="C73" i="14"/>
  <c r="P73" i="14" s="1"/>
  <c r="AC72" i="14"/>
  <c r="AB72" i="14"/>
  <c r="Z72" i="14"/>
  <c r="Y72" i="14"/>
  <c r="P72" i="14"/>
  <c r="M72" i="14"/>
  <c r="L72" i="14"/>
  <c r="E72" i="14"/>
  <c r="D72" i="14"/>
  <c r="C72" i="14"/>
  <c r="Z71" i="14"/>
  <c r="AC71" i="14" s="1"/>
  <c r="Y71" i="14"/>
  <c r="AB71" i="14" s="1"/>
  <c r="M71" i="14"/>
  <c r="L71" i="14"/>
  <c r="E71" i="14"/>
  <c r="D71" i="14"/>
  <c r="C71" i="14"/>
  <c r="P71" i="14" s="1"/>
  <c r="AC70" i="14"/>
  <c r="Z70" i="14"/>
  <c r="Y70" i="14"/>
  <c r="AB70" i="14" s="1"/>
  <c r="M70" i="14"/>
  <c r="L70" i="14"/>
  <c r="E70" i="14"/>
  <c r="D70" i="14"/>
  <c r="C70" i="14"/>
  <c r="P70" i="14" s="1"/>
  <c r="Z69" i="14"/>
  <c r="Y69" i="14"/>
  <c r="M69" i="14"/>
  <c r="L69" i="14"/>
  <c r="AB69" i="14" s="1"/>
  <c r="E69" i="14"/>
  <c r="D69" i="14"/>
  <c r="C69" i="14"/>
  <c r="P69" i="14" s="1"/>
  <c r="AC68" i="14"/>
  <c r="AB68" i="14"/>
  <c r="Z68" i="14"/>
  <c r="Y68" i="14"/>
  <c r="P68" i="14"/>
  <c r="M68" i="14"/>
  <c r="L68" i="14"/>
  <c r="E68" i="14"/>
  <c r="D68" i="14"/>
  <c r="C68" i="14"/>
  <c r="Z67" i="14"/>
  <c r="AC67" i="14" s="1"/>
  <c r="Y67" i="14"/>
  <c r="AB67" i="14" s="1"/>
  <c r="M67" i="14"/>
  <c r="L67" i="14"/>
  <c r="E67" i="14"/>
  <c r="D67" i="14"/>
  <c r="C67" i="14"/>
  <c r="P67" i="14" s="1"/>
  <c r="AC66" i="14"/>
  <c r="Z66" i="14"/>
  <c r="Y66" i="14"/>
  <c r="AB66" i="14" s="1"/>
  <c r="M66" i="14"/>
  <c r="L66" i="14"/>
  <c r="E66" i="14"/>
  <c r="D66" i="14"/>
  <c r="C66" i="14"/>
  <c r="P66" i="14" s="1"/>
  <c r="Z65" i="14"/>
  <c r="Y65" i="14"/>
  <c r="M65" i="14"/>
  <c r="L65" i="14"/>
  <c r="AB65" i="14" s="1"/>
  <c r="E65" i="14"/>
  <c r="D65" i="14"/>
  <c r="C65" i="14"/>
  <c r="P65" i="14" s="1"/>
  <c r="AC64" i="14"/>
  <c r="AB64" i="14"/>
  <c r="Z64" i="14"/>
  <c r="Y64" i="14"/>
  <c r="P64" i="14"/>
  <c r="M64" i="14"/>
  <c r="L64" i="14"/>
  <c r="E64" i="14"/>
  <c r="D64" i="14"/>
  <c r="C64" i="14"/>
  <c r="Z63" i="14"/>
  <c r="AC63" i="14" s="1"/>
  <c r="Y63" i="14"/>
  <c r="AB63" i="14" s="1"/>
  <c r="M63" i="14"/>
  <c r="L63" i="14"/>
  <c r="E63" i="14"/>
  <c r="D63" i="14"/>
  <c r="C63" i="14"/>
  <c r="P63" i="14" s="1"/>
  <c r="AC62" i="14"/>
  <c r="Z62" i="14"/>
  <c r="Y62" i="14"/>
  <c r="AB62" i="14" s="1"/>
  <c r="M62" i="14"/>
  <c r="L62" i="14"/>
  <c r="E62" i="14"/>
  <c r="D62" i="14"/>
  <c r="C62" i="14"/>
  <c r="P62" i="14" s="1"/>
  <c r="Z61" i="14"/>
  <c r="Y61" i="14"/>
  <c r="M61" i="14"/>
  <c r="L61" i="14"/>
  <c r="AB61" i="14" s="1"/>
  <c r="E61" i="14"/>
  <c r="D61" i="14"/>
  <c r="C61" i="14"/>
  <c r="P61" i="14" s="1"/>
  <c r="AC60" i="14"/>
  <c r="AB60" i="14"/>
  <c r="Z60" i="14"/>
  <c r="Y60" i="14"/>
  <c r="P60" i="14"/>
  <c r="M60" i="14"/>
  <c r="L60" i="14"/>
  <c r="E60" i="14"/>
  <c r="D60" i="14"/>
  <c r="C60" i="14"/>
  <c r="Z59" i="14"/>
  <c r="AC59" i="14" s="1"/>
  <c r="Y59" i="14"/>
  <c r="AB59" i="14" s="1"/>
  <c r="M59" i="14"/>
  <c r="L59" i="14"/>
  <c r="E59" i="14"/>
  <c r="D59" i="14"/>
  <c r="C59" i="14"/>
  <c r="P59" i="14" s="1"/>
  <c r="AC58" i="14"/>
  <c r="Z58" i="14"/>
  <c r="Y58" i="14"/>
  <c r="AB58" i="14" s="1"/>
  <c r="M58" i="14"/>
  <c r="L58" i="14"/>
  <c r="E58" i="14"/>
  <c r="D58" i="14"/>
  <c r="C58" i="14"/>
  <c r="P58" i="14" s="1"/>
  <c r="Z57" i="14"/>
  <c r="Y57" i="14"/>
  <c r="M57" i="14"/>
  <c r="L57" i="14"/>
  <c r="AB57" i="14" s="1"/>
  <c r="E57" i="14"/>
  <c r="D57" i="14"/>
  <c r="C57" i="14"/>
  <c r="P57" i="14" s="1"/>
  <c r="AC56" i="14"/>
  <c r="AB56" i="14"/>
  <c r="Z56" i="14"/>
  <c r="Y56" i="14"/>
  <c r="P56" i="14"/>
  <c r="M56" i="14"/>
  <c r="L56" i="14"/>
  <c r="E56" i="14"/>
  <c r="D56" i="14"/>
  <c r="C56" i="14"/>
  <c r="Z55" i="14"/>
  <c r="AC55" i="14" s="1"/>
  <c r="Y55" i="14"/>
  <c r="AB55" i="14" s="1"/>
  <c r="M55" i="14"/>
  <c r="L55" i="14"/>
  <c r="E55" i="14"/>
  <c r="D55" i="14"/>
  <c r="C55" i="14"/>
  <c r="P55" i="14" s="1"/>
  <c r="AC54" i="14"/>
  <c r="Z54" i="14"/>
  <c r="Y54" i="14"/>
  <c r="AB54" i="14" s="1"/>
  <c r="M54" i="14"/>
  <c r="L54" i="14"/>
  <c r="E54" i="14"/>
  <c r="D54" i="14"/>
  <c r="C54" i="14"/>
  <c r="P54" i="14" s="1"/>
  <c r="Z53" i="14"/>
  <c r="Y53" i="14"/>
  <c r="M53" i="14"/>
  <c r="L53" i="14"/>
  <c r="AB53" i="14" s="1"/>
  <c r="E53" i="14"/>
  <c r="D53" i="14"/>
  <c r="C53" i="14"/>
  <c r="P53" i="14" s="1"/>
  <c r="AC52" i="14"/>
  <c r="AB52" i="14"/>
  <c r="Z52" i="14"/>
  <c r="Y52" i="14"/>
  <c r="P52" i="14"/>
  <c r="M52" i="14"/>
  <c r="L52" i="14"/>
  <c r="E52" i="14"/>
  <c r="D52" i="14"/>
  <c r="C52" i="14"/>
  <c r="Z51" i="14"/>
  <c r="AC51" i="14" s="1"/>
  <c r="Y51" i="14"/>
  <c r="AB51" i="14" s="1"/>
  <c r="M51" i="14"/>
  <c r="L51" i="14"/>
  <c r="E51" i="14"/>
  <c r="D51" i="14"/>
  <c r="C51" i="14"/>
  <c r="P51" i="14" s="1"/>
  <c r="AC50" i="14"/>
  <c r="Z50" i="14"/>
  <c r="Y50" i="14"/>
  <c r="AB50" i="14" s="1"/>
  <c r="M50" i="14"/>
  <c r="L50" i="14"/>
  <c r="E50" i="14"/>
  <c r="D50" i="14"/>
  <c r="C50" i="14"/>
  <c r="P50" i="14" s="1"/>
  <c r="Z49" i="14"/>
  <c r="Y49" i="14"/>
  <c r="M49" i="14"/>
  <c r="L49" i="14"/>
  <c r="AB49" i="14" s="1"/>
  <c r="E49" i="14"/>
  <c r="D49" i="14"/>
  <c r="C49" i="14"/>
  <c r="P49" i="14" s="1"/>
  <c r="AC48" i="14"/>
  <c r="AB48" i="14"/>
  <c r="Z48" i="14"/>
  <c r="Y48" i="14"/>
  <c r="P48" i="14"/>
  <c r="M48" i="14"/>
  <c r="L48" i="14"/>
  <c r="E48" i="14"/>
  <c r="D48" i="14"/>
  <c r="C48" i="14"/>
  <c r="Z47" i="14"/>
  <c r="AC47" i="14" s="1"/>
  <c r="Y47" i="14"/>
  <c r="AB47" i="14" s="1"/>
  <c r="M47" i="14"/>
  <c r="L47" i="14"/>
  <c r="E47" i="14"/>
  <c r="D47" i="14"/>
  <c r="C47" i="14"/>
  <c r="P47" i="14" s="1"/>
  <c r="AC46" i="14"/>
  <c r="Z46" i="14"/>
  <c r="Y46" i="14"/>
  <c r="AB46" i="14" s="1"/>
  <c r="M46" i="14"/>
  <c r="L46" i="14"/>
  <c r="E46" i="14"/>
  <c r="D46" i="14"/>
  <c r="C46" i="14"/>
  <c r="P46" i="14" s="1"/>
  <c r="Z45" i="14"/>
  <c r="Y45" i="14"/>
  <c r="M45" i="14"/>
  <c r="L45" i="14"/>
  <c r="AB45" i="14" s="1"/>
  <c r="E45" i="14"/>
  <c r="D45" i="14"/>
  <c r="C45" i="14"/>
  <c r="P45" i="14" s="1"/>
  <c r="AC44" i="14"/>
  <c r="AB44" i="14"/>
  <c r="Z44" i="14"/>
  <c r="Y44" i="14"/>
  <c r="P44" i="14"/>
  <c r="M44" i="14"/>
  <c r="L44" i="14"/>
  <c r="E44" i="14"/>
  <c r="D44" i="14"/>
  <c r="C44" i="14"/>
  <c r="Z43" i="14"/>
  <c r="AC43" i="14" s="1"/>
  <c r="Y43" i="14"/>
  <c r="AB43" i="14" s="1"/>
  <c r="M43" i="14"/>
  <c r="L43" i="14"/>
  <c r="E43" i="14"/>
  <c r="D43" i="14"/>
  <c r="C43" i="14"/>
  <c r="P43" i="14" s="1"/>
  <c r="AC42" i="14"/>
  <c r="AB42" i="14"/>
  <c r="Z42" i="14"/>
  <c r="Y42" i="14"/>
  <c r="P42" i="14"/>
  <c r="M42" i="14"/>
  <c r="L42" i="14"/>
  <c r="E42" i="14"/>
  <c r="D42" i="14"/>
  <c r="C42" i="14"/>
  <c r="Z41" i="14"/>
  <c r="AC41" i="14" s="1"/>
  <c r="Y41" i="14"/>
  <c r="AB41" i="14" s="1"/>
  <c r="M41" i="14"/>
  <c r="L41" i="14"/>
  <c r="E41" i="14"/>
  <c r="D41" i="14"/>
  <c r="C41" i="14"/>
  <c r="P41" i="14" s="1"/>
  <c r="AC40" i="14"/>
  <c r="AB40" i="14"/>
  <c r="Z40" i="14"/>
  <c r="Y40" i="14"/>
  <c r="P40" i="14"/>
  <c r="M40" i="14"/>
  <c r="L40" i="14"/>
  <c r="E40" i="14"/>
  <c r="D40" i="14"/>
  <c r="C40" i="14"/>
  <c r="Z39" i="14"/>
  <c r="AC39" i="14" s="1"/>
  <c r="Y39" i="14"/>
  <c r="AB39" i="14" s="1"/>
  <c r="M39" i="14"/>
  <c r="L39" i="14"/>
  <c r="E39" i="14"/>
  <c r="D39" i="14"/>
  <c r="C39" i="14"/>
  <c r="P39" i="14" s="1"/>
  <c r="AC38" i="14"/>
  <c r="AB38" i="14"/>
  <c r="Z38" i="14"/>
  <c r="Y38" i="14"/>
  <c r="P38" i="14"/>
  <c r="M38" i="14"/>
  <c r="L38" i="14"/>
  <c r="E38" i="14"/>
  <c r="D38" i="14"/>
  <c r="C38" i="14"/>
  <c r="Z37" i="14"/>
  <c r="AC37" i="14" s="1"/>
  <c r="Y37" i="14"/>
  <c r="AB37" i="14" s="1"/>
  <c r="M37" i="14"/>
  <c r="L37" i="14"/>
  <c r="E37" i="14"/>
  <c r="D37" i="14"/>
  <c r="C37" i="14"/>
  <c r="P37" i="14" s="1"/>
  <c r="AC36" i="14"/>
  <c r="AB36" i="14"/>
  <c r="Z36" i="14"/>
  <c r="Y36" i="14"/>
  <c r="P36" i="14"/>
  <c r="M36" i="14"/>
  <c r="L36" i="14"/>
  <c r="E36" i="14"/>
  <c r="D36" i="14"/>
  <c r="C36" i="14"/>
  <c r="Z35" i="14"/>
  <c r="AC35" i="14" s="1"/>
  <c r="Y35" i="14"/>
  <c r="AB35" i="14" s="1"/>
  <c r="M35" i="14"/>
  <c r="L35" i="14"/>
  <c r="E35" i="14"/>
  <c r="D35" i="14"/>
  <c r="C35" i="14"/>
  <c r="P35" i="14" s="1"/>
  <c r="AC34" i="14"/>
  <c r="AB34" i="14"/>
  <c r="Z34" i="14"/>
  <c r="Y34" i="14"/>
  <c r="P34" i="14"/>
  <c r="M34" i="14"/>
  <c r="L34" i="14"/>
  <c r="E34" i="14"/>
  <c r="D34" i="14"/>
  <c r="C34" i="14"/>
  <c r="Z33" i="14"/>
  <c r="AC33" i="14" s="1"/>
  <c r="Y33" i="14"/>
  <c r="AB33" i="14" s="1"/>
  <c r="M33" i="14"/>
  <c r="L33" i="14"/>
  <c r="E33" i="14"/>
  <c r="D33" i="14"/>
  <c r="C33" i="14"/>
  <c r="P33" i="14" s="1"/>
  <c r="AC32" i="14"/>
  <c r="AB32" i="14"/>
  <c r="Z32" i="14"/>
  <c r="Y32" i="14"/>
  <c r="P32" i="14"/>
  <c r="M32" i="14"/>
  <c r="L32" i="14"/>
  <c r="E32" i="14"/>
  <c r="D32" i="14"/>
  <c r="C32" i="14"/>
  <c r="Z31" i="14"/>
  <c r="AC31" i="14" s="1"/>
  <c r="Y31" i="14"/>
  <c r="AB31" i="14" s="1"/>
  <c r="M31" i="14"/>
  <c r="L31" i="14"/>
  <c r="E31" i="14"/>
  <c r="D31" i="14"/>
  <c r="C31" i="14"/>
  <c r="P31" i="14" s="1"/>
  <c r="AC30" i="14"/>
  <c r="AB30" i="14"/>
  <c r="Z30" i="14"/>
  <c r="Y30" i="14"/>
  <c r="P30" i="14"/>
  <c r="M30" i="14"/>
  <c r="L30" i="14"/>
  <c r="E30" i="14"/>
  <c r="D30" i="14"/>
  <c r="C30" i="14"/>
  <c r="Z29" i="14"/>
  <c r="AC29" i="14" s="1"/>
  <c r="Y29" i="14"/>
  <c r="AB29" i="14" s="1"/>
  <c r="M29" i="14"/>
  <c r="L29" i="14"/>
  <c r="E29" i="14"/>
  <c r="D29" i="14"/>
  <c r="C29" i="14"/>
  <c r="P29" i="14" s="1"/>
  <c r="AC28" i="14"/>
  <c r="AB28" i="14"/>
  <c r="Z28" i="14"/>
  <c r="Y28" i="14"/>
  <c r="P28" i="14"/>
  <c r="M28" i="14"/>
  <c r="L28" i="14"/>
  <c r="E28" i="14"/>
  <c r="D28" i="14"/>
  <c r="C28" i="14"/>
  <c r="Z27" i="14"/>
  <c r="AC27" i="14" s="1"/>
  <c r="Y27" i="14"/>
  <c r="AB27" i="14" s="1"/>
  <c r="M27" i="14"/>
  <c r="L27" i="14"/>
  <c r="E27" i="14"/>
  <c r="D27" i="14"/>
  <c r="C27" i="14"/>
  <c r="P27" i="14" s="1"/>
  <c r="AC26" i="14"/>
  <c r="AB26" i="14"/>
  <c r="Z26" i="14"/>
  <c r="Y26" i="14"/>
  <c r="P26" i="14"/>
  <c r="M26" i="14"/>
  <c r="L26" i="14"/>
  <c r="E26" i="14"/>
  <c r="D26" i="14"/>
  <c r="C26" i="14"/>
  <c r="Z25" i="14"/>
  <c r="AC25" i="14" s="1"/>
  <c r="Y25" i="14"/>
  <c r="AB25" i="14" s="1"/>
  <c r="M25" i="14"/>
  <c r="L25" i="14"/>
  <c r="E25" i="14"/>
  <c r="D25" i="14"/>
  <c r="C25" i="14"/>
  <c r="P25" i="14" s="1"/>
  <c r="AC24" i="14"/>
  <c r="AB24" i="14"/>
  <c r="Z24" i="14"/>
  <c r="Y24" i="14"/>
  <c r="P24" i="14"/>
  <c r="M24" i="14"/>
  <c r="L24" i="14"/>
  <c r="E24" i="14"/>
  <c r="D24" i="14"/>
  <c r="C24" i="14"/>
  <c r="Z23" i="14"/>
  <c r="AC23" i="14" s="1"/>
  <c r="Y23" i="14"/>
  <c r="AB23" i="14" s="1"/>
  <c r="M23" i="14"/>
  <c r="L23" i="14"/>
  <c r="E23" i="14"/>
  <c r="D23" i="14"/>
  <c r="C23" i="14"/>
  <c r="P23" i="14" s="1"/>
  <c r="AC22" i="14"/>
  <c r="AB22" i="14"/>
  <c r="Z22" i="14"/>
  <c r="Y22" i="14"/>
  <c r="P22" i="14"/>
  <c r="M22" i="14"/>
  <c r="L22" i="14"/>
  <c r="E22" i="14"/>
  <c r="D22" i="14"/>
  <c r="C22" i="14"/>
  <c r="Z21" i="14"/>
  <c r="AC21" i="14" s="1"/>
  <c r="Y21" i="14"/>
  <c r="AB21" i="14" s="1"/>
  <c r="M21" i="14"/>
  <c r="L21" i="14"/>
  <c r="E21" i="14"/>
  <c r="D21" i="14"/>
  <c r="C21" i="14"/>
  <c r="P21" i="14" s="1"/>
  <c r="AC20" i="14"/>
  <c r="AB20" i="14"/>
  <c r="Z20" i="14"/>
  <c r="Y20" i="14"/>
  <c r="P20" i="14"/>
  <c r="M20" i="14"/>
  <c r="L20" i="14"/>
  <c r="E20" i="14"/>
  <c r="D20" i="14"/>
  <c r="C20" i="14"/>
  <c r="AB19" i="14"/>
  <c r="Z19" i="14"/>
  <c r="AC19" i="14" s="1"/>
  <c r="Y19" i="14"/>
  <c r="M19" i="14"/>
  <c r="L19" i="14"/>
  <c r="E19" i="14"/>
  <c r="D19" i="14"/>
  <c r="C19" i="14"/>
  <c r="P19" i="14" s="1"/>
  <c r="AC18" i="14"/>
  <c r="Z18" i="14"/>
  <c r="Y18" i="14"/>
  <c r="AB18" i="14" s="1"/>
  <c r="P18" i="14"/>
  <c r="M18" i="14"/>
  <c r="L18" i="14"/>
  <c r="E18" i="14"/>
  <c r="D18" i="14"/>
  <c r="C18" i="14"/>
  <c r="AB17" i="14"/>
  <c r="Z17" i="14"/>
  <c r="AC17" i="14" s="1"/>
  <c r="Y17" i="14"/>
  <c r="M17" i="14"/>
  <c r="L17" i="14"/>
  <c r="E17" i="14"/>
  <c r="D17" i="14"/>
  <c r="C17" i="14"/>
  <c r="P17" i="14" s="1"/>
  <c r="AC16" i="14"/>
  <c r="Z16" i="14"/>
  <c r="Y16" i="14"/>
  <c r="AB16" i="14" s="1"/>
  <c r="P16" i="14"/>
  <c r="M16" i="14"/>
  <c r="L16" i="14"/>
  <c r="E16" i="14"/>
  <c r="D16" i="14"/>
  <c r="C16" i="14"/>
  <c r="AB15" i="14"/>
  <c r="Z15" i="14"/>
  <c r="AC15" i="14" s="1"/>
  <c r="Y15" i="14"/>
  <c r="M15" i="14"/>
  <c r="L15" i="14"/>
  <c r="E15" i="14"/>
  <c r="D15" i="14"/>
  <c r="C15" i="14"/>
  <c r="P15" i="14" s="1"/>
  <c r="AC14" i="14"/>
  <c r="Z14" i="14"/>
  <c r="Y14" i="14"/>
  <c r="AB14" i="14" s="1"/>
  <c r="P14" i="14"/>
  <c r="M14" i="14"/>
  <c r="L14" i="14"/>
  <c r="E14" i="14"/>
  <c r="D14" i="14"/>
  <c r="C14" i="14"/>
  <c r="AB13" i="14"/>
  <c r="Z13" i="14"/>
  <c r="AC13" i="14" s="1"/>
  <c r="Y13" i="14"/>
  <c r="M13" i="14"/>
  <c r="L13" i="14"/>
  <c r="E13" i="14"/>
  <c r="D13" i="14"/>
  <c r="C13" i="14"/>
  <c r="P13" i="14" s="1"/>
  <c r="AC12" i="14"/>
  <c r="Z12" i="14"/>
  <c r="Y12" i="14"/>
  <c r="AB12" i="14" s="1"/>
  <c r="P12" i="14"/>
  <c r="M12" i="14"/>
  <c r="L12" i="14"/>
  <c r="E12" i="14"/>
  <c r="D12" i="14"/>
  <c r="C12" i="14"/>
  <c r="AB11" i="14"/>
  <c r="Z11" i="14"/>
  <c r="AC11" i="14" s="1"/>
  <c r="Y11" i="14"/>
  <c r="M11" i="14"/>
  <c r="L11" i="14"/>
  <c r="E11" i="14"/>
  <c r="D11" i="14"/>
  <c r="C11" i="14"/>
  <c r="P11" i="14" s="1"/>
  <c r="AC10" i="14"/>
  <c r="Z10" i="14"/>
  <c r="Y10" i="14"/>
  <c r="AB10" i="14" s="1"/>
  <c r="P10" i="14"/>
  <c r="M10" i="14"/>
  <c r="L10" i="14"/>
  <c r="E10" i="14"/>
  <c r="D10" i="14"/>
  <c r="C10" i="14"/>
  <c r="AB9" i="14"/>
  <c r="Z9" i="14"/>
  <c r="AC9" i="14" s="1"/>
  <c r="Y9" i="14"/>
  <c r="M9" i="14"/>
  <c r="L9" i="14"/>
  <c r="E9" i="14"/>
  <c r="D9" i="14"/>
  <c r="C9" i="14"/>
  <c r="P9" i="14" s="1"/>
  <c r="AC8" i="14"/>
  <c r="Z8" i="14"/>
  <c r="Y8" i="14"/>
  <c r="AB8" i="14" s="1"/>
  <c r="P8" i="14"/>
  <c r="M8" i="14"/>
  <c r="L8" i="14"/>
  <c r="E8" i="14"/>
  <c r="D8" i="14"/>
  <c r="C8" i="14"/>
  <c r="AB7" i="14"/>
  <c r="Z7" i="14"/>
  <c r="AC7" i="14" s="1"/>
  <c r="Y7" i="14"/>
  <c r="M7" i="14"/>
  <c r="L7" i="14"/>
  <c r="E7" i="14"/>
  <c r="D7" i="14"/>
  <c r="C7" i="14"/>
  <c r="P7" i="14" s="1"/>
  <c r="AC6" i="14"/>
  <c r="Z6" i="14"/>
  <c r="Y6" i="14"/>
  <c r="AB6" i="14" s="1"/>
  <c r="P6" i="14"/>
  <c r="M6" i="14"/>
  <c r="L6" i="14"/>
  <c r="E6" i="14"/>
  <c r="D6" i="14"/>
  <c r="C6" i="14"/>
  <c r="AB5" i="14"/>
  <c r="Z5" i="14"/>
  <c r="AC5" i="14" s="1"/>
  <c r="Y5" i="14"/>
  <c r="M5" i="14"/>
  <c r="L5" i="14"/>
  <c r="E5" i="14"/>
  <c r="D5" i="14"/>
  <c r="C5" i="14"/>
  <c r="P5" i="14" s="1"/>
  <c r="Z302" i="12"/>
  <c r="Y302" i="12"/>
  <c r="AB301" i="12"/>
  <c r="Z301" i="12"/>
  <c r="AC301" i="12" s="1"/>
  <c r="Y301" i="12"/>
  <c r="P301" i="12"/>
  <c r="AC300" i="12"/>
  <c r="Z300" i="12"/>
  <c r="Y300" i="12"/>
  <c r="P300" i="12"/>
  <c r="M300" i="12"/>
  <c r="L300" i="12"/>
  <c r="AB300" i="12" s="1"/>
  <c r="E300" i="12"/>
  <c r="D300" i="12"/>
  <c r="C300" i="12"/>
  <c r="Z299" i="12"/>
  <c r="Y299" i="12"/>
  <c r="P299" i="12"/>
  <c r="M299" i="12"/>
  <c r="L299" i="12"/>
  <c r="E299" i="12"/>
  <c r="D299" i="12"/>
  <c r="C299" i="12"/>
  <c r="AC298" i="12"/>
  <c r="Z298" i="12"/>
  <c r="Y298" i="12"/>
  <c r="P298" i="12"/>
  <c r="M298" i="12"/>
  <c r="L298" i="12"/>
  <c r="AB298" i="12" s="1"/>
  <c r="E298" i="12"/>
  <c r="D298" i="12"/>
  <c r="C298" i="12"/>
  <c r="Z297" i="12"/>
  <c r="Y297" i="12"/>
  <c r="P297" i="12"/>
  <c r="M297" i="12"/>
  <c r="L297" i="12"/>
  <c r="E297" i="12"/>
  <c r="D297" i="12"/>
  <c r="C297" i="12"/>
  <c r="AC296" i="12"/>
  <c r="Z296" i="12"/>
  <c r="Y296" i="12"/>
  <c r="P296" i="12"/>
  <c r="M296" i="12"/>
  <c r="L296" i="12"/>
  <c r="AB296" i="12" s="1"/>
  <c r="E296" i="12"/>
  <c r="D296" i="12"/>
  <c r="C296" i="12"/>
  <c r="Z295" i="12"/>
  <c r="AC295" i="12" s="1"/>
  <c r="Y295" i="12"/>
  <c r="M295" i="12"/>
  <c r="L295" i="12"/>
  <c r="E295" i="12"/>
  <c r="D295" i="12"/>
  <c r="C295" i="12"/>
  <c r="P295" i="12" s="1"/>
  <c r="AC294" i="12"/>
  <c r="AB294" i="12"/>
  <c r="Z294" i="12"/>
  <c r="Y294" i="12"/>
  <c r="P294" i="12"/>
  <c r="M294" i="12"/>
  <c r="L294" i="12"/>
  <c r="E294" i="12"/>
  <c r="D294" i="12"/>
  <c r="C294" i="12"/>
  <c r="Z293" i="12"/>
  <c r="Y293" i="12"/>
  <c r="AB293" i="12" s="1"/>
  <c r="M293" i="12"/>
  <c r="L293" i="12"/>
  <c r="E293" i="12"/>
  <c r="D293" i="12"/>
  <c r="C293" i="12"/>
  <c r="P293" i="12" s="1"/>
  <c r="AC292" i="12"/>
  <c r="AB292" i="12"/>
  <c r="Z292" i="12"/>
  <c r="Y292" i="12"/>
  <c r="P292" i="12"/>
  <c r="M292" i="12"/>
  <c r="L292" i="12"/>
  <c r="E292" i="12"/>
  <c r="D292" i="12"/>
  <c r="C292" i="12"/>
  <c r="Z291" i="12"/>
  <c r="AC291" i="12" s="1"/>
  <c r="Y291" i="12"/>
  <c r="AB291" i="12" s="1"/>
  <c r="M291" i="12"/>
  <c r="L291" i="12"/>
  <c r="E291" i="12"/>
  <c r="D291" i="12"/>
  <c r="C291" i="12"/>
  <c r="P291" i="12" s="1"/>
  <c r="AC290" i="12"/>
  <c r="AB290" i="12"/>
  <c r="Z290" i="12"/>
  <c r="Y290" i="12"/>
  <c r="P290" i="12"/>
  <c r="M290" i="12"/>
  <c r="L290" i="12"/>
  <c r="E290" i="12"/>
  <c r="D290" i="12"/>
  <c r="C290" i="12"/>
  <c r="Z289" i="12"/>
  <c r="Y289" i="12"/>
  <c r="M289" i="12"/>
  <c r="L289" i="12"/>
  <c r="E289" i="12"/>
  <c r="D289" i="12"/>
  <c r="C289" i="12"/>
  <c r="P289" i="12" s="1"/>
  <c r="AC288" i="12"/>
  <c r="AB288" i="12"/>
  <c r="Z288" i="12"/>
  <c r="Y288" i="12"/>
  <c r="P288" i="12"/>
  <c r="M288" i="12"/>
  <c r="L288" i="12"/>
  <c r="E288" i="12"/>
  <c r="D288" i="12"/>
  <c r="C288" i="12"/>
  <c r="Z287" i="12"/>
  <c r="AC287" i="12" s="1"/>
  <c r="Y287" i="12"/>
  <c r="M287" i="12"/>
  <c r="L287" i="12"/>
  <c r="E287" i="12"/>
  <c r="D287" i="12"/>
  <c r="C287" i="12"/>
  <c r="P287" i="12" s="1"/>
  <c r="AC286" i="12"/>
  <c r="AB286" i="12"/>
  <c r="Z286" i="12"/>
  <c r="Y286" i="12"/>
  <c r="P286" i="12"/>
  <c r="M286" i="12"/>
  <c r="L286" i="12"/>
  <c r="E286" i="12"/>
  <c r="D286" i="12"/>
  <c r="C286" i="12"/>
  <c r="Z285" i="12"/>
  <c r="Y285" i="12"/>
  <c r="AB285" i="12" s="1"/>
  <c r="M285" i="12"/>
  <c r="L285" i="12"/>
  <c r="E285" i="12"/>
  <c r="D285" i="12"/>
  <c r="C285" i="12"/>
  <c r="P285" i="12" s="1"/>
  <c r="AC284" i="12"/>
  <c r="AB284" i="12"/>
  <c r="Z284" i="12"/>
  <c r="Y284" i="12"/>
  <c r="P284" i="12"/>
  <c r="M284" i="12"/>
  <c r="L284" i="12"/>
  <c r="E284" i="12"/>
  <c r="D284" i="12"/>
  <c r="C284" i="12"/>
  <c r="Z283" i="12"/>
  <c r="AC283" i="12" s="1"/>
  <c r="Y283" i="12"/>
  <c r="AB283" i="12" s="1"/>
  <c r="M283" i="12"/>
  <c r="L283" i="12"/>
  <c r="E283" i="12"/>
  <c r="D283" i="12"/>
  <c r="C283" i="12"/>
  <c r="P283" i="12" s="1"/>
  <c r="AC282" i="12"/>
  <c r="AB282" i="12"/>
  <c r="Z282" i="12"/>
  <c r="Y282" i="12"/>
  <c r="P282" i="12"/>
  <c r="M282" i="12"/>
  <c r="L282" i="12"/>
  <c r="E282" i="12"/>
  <c r="D282" i="12"/>
  <c r="C282" i="12"/>
  <c r="Z281" i="12"/>
  <c r="Y281" i="12"/>
  <c r="M281" i="12"/>
  <c r="L281" i="12"/>
  <c r="E281" i="12"/>
  <c r="D281" i="12"/>
  <c r="C281" i="12"/>
  <c r="P281" i="12" s="1"/>
  <c r="AC280" i="12"/>
  <c r="AB280" i="12"/>
  <c r="Z280" i="12"/>
  <c r="Y280" i="12"/>
  <c r="P280" i="12"/>
  <c r="M280" i="12"/>
  <c r="L280" i="12"/>
  <c r="E280" i="12"/>
  <c r="D280" i="12"/>
  <c r="C280" i="12"/>
  <c r="Z279" i="12"/>
  <c r="AC279" i="12" s="1"/>
  <c r="Y279" i="12"/>
  <c r="M279" i="12"/>
  <c r="L279" i="12"/>
  <c r="E279" i="12"/>
  <c r="D279" i="12"/>
  <c r="C279" i="12"/>
  <c r="P279" i="12" s="1"/>
  <c r="AC278" i="12"/>
  <c r="AB278" i="12"/>
  <c r="Z278" i="12"/>
  <c r="Y278" i="12"/>
  <c r="P278" i="12"/>
  <c r="M278" i="12"/>
  <c r="L278" i="12"/>
  <c r="E278" i="12"/>
  <c r="D278" i="12"/>
  <c r="C278" i="12"/>
  <c r="Z277" i="12"/>
  <c r="Y277" i="12"/>
  <c r="AB277" i="12" s="1"/>
  <c r="M277" i="12"/>
  <c r="L277" i="12"/>
  <c r="E277" i="12"/>
  <c r="D277" i="12"/>
  <c r="C277" i="12"/>
  <c r="P277" i="12" s="1"/>
  <c r="AC276" i="12"/>
  <c r="AB276" i="12"/>
  <c r="Z276" i="12"/>
  <c r="Y276" i="12"/>
  <c r="P276" i="12"/>
  <c r="M276" i="12"/>
  <c r="L276" i="12"/>
  <c r="E276" i="12"/>
  <c r="D276" i="12"/>
  <c r="C276" i="12"/>
  <c r="Z275" i="12"/>
  <c r="AC275" i="12" s="1"/>
  <c r="Y275" i="12"/>
  <c r="AB275" i="12" s="1"/>
  <c r="M275" i="12"/>
  <c r="L275" i="12"/>
  <c r="E275" i="12"/>
  <c r="D275" i="12"/>
  <c r="C275" i="12"/>
  <c r="P275" i="12" s="1"/>
  <c r="AC274" i="12"/>
  <c r="AB274" i="12"/>
  <c r="Z274" i="12"/>
  <c r="Y274" i="12"/>
  <c r="P274" i="12"/>
  <c r="M274" i="12"/>
  <c r="L274" i="12"/>
  <c r="E274" i="12"/>
  <c r="D274" i="12"/>
  <c r="C274" i="12"/>
  <c r="Z273" i="12"/>
  <c r="Y273" i="12"/>
  <c r="M273" i="12"/>
  <c r="L273" i="12"/>
  <c r="E273" i="12"/>
  <c r="D273" i="12"/>
  <c r="C273" i="12"/>
  <c r="P273" i="12" s="1"/>
  <c r="AC272" i="12"/>
  <c r="AB272" i="12"/>
  <c r="Z272" i="12"/>
  <c r="Y272" i="12"/>
  <c r="P272" i="12"/>
  <c r="M272" i="12"/>
  <c r="L272" i="12"/>
  <c r="E272" i="12"/>
  <c r="D272" i="12"/>
  <c r="C272" i="12"/>
  <c r="Z271" i="12"/>
  <c r="AC271" i="12" s="1"/>
  <c r="Y271" i="12"/>
  <c r="M271" i="12"/>
  <c r="L271" i="12"/>
  <c r="E271" i="12"/>
  <c r="D271" i="12"/>
  <c r="C271" i="12"/>
  <c r="P271" i="12" s="1"/>
  <c r="AC270" i="12"/>
  <c r="AB270" i="12"/>
  <c r="Z270" i="12"/>
  <c r="Y270" i="12"/>
  <c r="P270" i="12"/>
  <c r="M270" i="12"/>
  <c r="L270" i="12"/>
  <c r="E270" i="12"/>
  <c r="D270" i="12"/>
  <c r="C270" i="12"/>
  <c r="Z269" i="12"/>
  <c r="Y269" i="12"/>
  <c r="AB269" i="12" s="1"/>
  <c r="M269" i="12"/>
  <c r="L269" i="12"/>
  <c r="E269" i="12"/>
  <c r="D269" i="12"/>
  <c r="C269" i="12"/>
  <c r="P269" i="12" s="1"/>
  <c r="AC268" i="12"/>
  <c r="AB268" i="12"/>
  <c r="Z268" i="12"/>
  <c r="Y268" i="12"/>
  <c r="P268" i="12"/>
  <c r="M268" i="12"/>
  <c r="L268" i="12"/>
  <c r="E268" i="12"/>
  <c r="D268" i="12"/>
  <c r="C268" i="12"/>
  <c r="Z267" i="12"/>
  <c r="AC267" i="12" s="1"/>
  <c r="Y267" i="12"/>
  <c r="AB267" i="12" s="1"/>
  <c r="M267" i="12"/>
  <c r="L267" i="12"/>
  <c r="E267" i="12"/>
  <c r="D267" i="12"/>
  <c r="C267" i="12"/>
  <c r="P267" i="12" s="1"/>
  <c r="AC266" i="12"/>
  <c r="AB266" i="12"/>
  <c r="Z266" i="12"/>
  <c r="Y266" i="12"/>
  <c r="P266" i="12"/>
  <c r="M266" i="12"/>
  <c r="L266" i="12"/>
  <c r="E266" i="12"/>
  <c r="D266" i="12"/>
  <c r="C266" i="12"/>
  <c r="Z265" i="12"/>
  <c r="Y265" i="12"/>
  <c r="M265" i="12"/>
  <c r="L265" i="12"/>
  <c r="E265" i="12"/>
  <c r="D265" i="12"/>
  <c r="C265" i="12"/>
  <c r="P265" i="12" s="1"/>
  <c r="AC264" i="12"/>
  <c r="AB264" i="12"/>
  <c r="Z264" i="12"/>
  <c r="Y264" i="12"/>
  <c r="P264" i="12"/>
  <c r="M264" i="12"/>
  <c r="L264" i="12"/>
  <c r="E264" i="12"/>
  <c r="D264" i="12"/>
  <c r="C264" i="12"/>
  <c r="Z263" i="12"/>
  <c r="AC263" i="12" s="1"/>
  <c r="Y263" i="12"/>
  <c r="M263" i="12"/>
  <c r="L263" i="12"/>
  <c r="E263" i="12"/>
  <c r="D263" i="12"/>
  <c r="C263" i="12"/>
  <c r="P263" i="12" s="1"/>
  <c r="AC262" i="12"/>
  <c r="AB262" i="12"/>
  <c r="Z262" i="12"/>
  <c r="Y262" i="12"/>
  <c r="P262" i="12"/>
  <c r="M262" i="12"/>
  <c r="L262" i="12"/>
  <c r="E262" i="12"/>
  <c r="D262" i="12"/>
  <c r="C262" i="12"/>
  <c r="Z261" i="12"/>
  <c r="Y261" i="12"/>
  <c r="AB261" i="12" s="1"/>
  <c r="M261" i="12"/>
  <c r="L261" i="12"/>
  <c r="E261" i="12"/>
  <c r="D261" i="12"/>
  <c r="C261" i="12"/>
  <c r="P261" i="12" s="1"/>
  <c r="AC260" i="12"/>
  <c r="AB260" i="12"/>
  <c r="Z260" i="12"/>
  <c r="Y260" i="12"/>
  <c r="P260" i="12"/>
  <c r="M260" i="12"/>
  <c r="L260" i="12"/>
  <c r="E260" i="12"/>
  <c r="D260" i="12"/>
  <c r="C260" i="12"/>
  <c r="Z259" i="12"/>
  <c r="AC259" i="12" s="1"/>
  <c r="Y259" i="12"/>
  <c r="AB259" i="12" s="1"/>
  <c r="M259" i="12"/>
  <c r="L259" i="12"/>
  <c r="E259" i="12"/>
  <c r="D259" i="12"/>
  <c r="C259" i="12"/>
  <c r="P259" i="12" s="1"/>
  <c r="AC258" i="12"/>
  <c r="AB258" i="12"/>
  <c r="Z258" i="12"/>
  <c r="Y258" i="12"/>
  <c r="P258" i="12"/>
  <c r="M258" i="12"/>
  <c r="L258" i="12"/>
  <c r="E258" i="12"/>
  <c r="D258" i="12"/>
  <c r="C258" i="12"/>
  <c r="Z257" i="12"/>
  <c r="Y257" i="12"/>
  <c r="M257" i="12"/>
  <c r="L257" i="12"/>
  <c r="E257" i="12"/>
  <c r="D257" i="12"/>
  <c r="C257" i="12"/>
  <c r="P257" i="12" s="1"/>
  <c r="AC256" i="12"/>
  <c r="AB256" i="12"/>
  <c r="Z256" i="12"/>
  <c r="Y256" i="12"/>
  <c r="P256" i="12"/>
  <c r="M256" i="12"/>
  <c r="L256" i="12"/>
  <c r="E256" i="12"/>
  <c r="D256" i="12"/>
  <c r="C256" i="12"/>
  <c r="Z255" i="12"/>
  <c r="AC255" i="12" s="1"/>
  <c r="Y255" i="12"/>
  <c r="M255" i="12"/>
  <c r="L255" i="12"/>
  <c r="E255" i="12"/>
  <c r="D255" i="12"/>
  <c r="C255" i="12"/>
  <c r="P255" i="12" s="1"/>
  <c r="AC254" i="12"/>
  <c r="AB254" i="12"/>
  <c r="Z254" i="12"/>
  <c r="Y254" i="12"/>
  <c r="P254" i="12"/>
  <c r="M254" i="12"/>
  <c r="L254" i="12"/>
  <c r="E254" i="12"/>
  <c r="D254" i="12"/>
  <c r="C254" i="12"/>
  <c r="Z253" i="12"/>
  <c r="Y253" i="12"/>
  <c r="AB253" i="12" s="1"/>
  <c r="M253" i="12"/>
  <c r="L253" i="12"/>
  <c r="E253" i="12"/>
  <c r="D253" i="12"/>
  <c r="C253" i="12"/>
  <c r="P253" i="12" s="1"/>
  <c r="AC252" i="12"/>
  <c r="AB252" i="12"/>
  <c r="Z252" i="12"/>
  <c r="Y252" i="12"/>
  <c r="P252" i="12"/>
  <c r="M252" i="12"/>
  <c r="L252" i="12"/>
  <c r="E252" i="12"/>
  <c r="D252" i="12"/>
  <c r="C252" i="12"/>
  <c r="Z251" i="12"/>
  <c r="AC251" i="12" s="1"/>
  <c r="Y251" i="12"/>
  <c r="AB251" i="12" s="1"/>
  <c r="M251" i="12"/>
  <c r="L251" i="12"/>
  <c r="E251" i="12"/>
  <c r="D251" i="12"/>
  <c r="C251" i="12"/>
  <c r="P251" i="12" s="1"/>
  <c r="AC250" i="12"/>
  <c r="AB250" i="12"/>
  <c r="Z250" i="12"/>
  <c r="Y250" i="12"/>
  <c r="P250" i="12"/>
  <c r="M250" i="12"/>
  <c r="L250" i="12"/>
  <c r="E250" i="12"/>
  <c r="D250" i="12"/>
  <c r="C250" i="12"/>
  <c r="Z249" i="12"/>
  <c r="Y249" i="12"/>
  <c r="M249" i="12"/>
  <c r="L249" i="12"/>
  <c r="E249" i="12"/>
  <c r="D249" i="12"/>
  <c r="C249" i="12"/>
  <c r="P249" i="12" s="1"/>
  <c r="AC248" i="12"/>
  <c r="AB248" i="12"/>
  <c r="Z248" i="12"/>
  <c r="Y248" i="12"/>
  <c r="P248" i="12"/>
  <c r="M248" i="12"/>
  <c r="L248" i="12"/>
  <c r="E248" i="12"/>
  <c r="D248" i="12"/>
  <c r="C248" i="12"/>
  <c r="Z247" i="12"/>
  <c r="AC247" i="12" s="1"/>
  <c r="Y247" i="12"/>
  <c r="M247" i="12"/>
  <c r="L247" i="12"/>
  <c r="E247" i="12"/>
  <c r="D247" i="12"/>
  <c r="C247" i="12"/>
  <c r="P247" i="12" s="1"/>
  <c r="AC246" i="12"/>
  <c r="AB246" i="12"/>
  <c r="Z246" i="12"/>
  <c r="Y246" i="12"/>
  <c r="M246" i="12"/>
  <c r="L246" i="12"/>
  <c r="E246" i="12"/>
  <c r="D246" i="12"/>
  <c r="C246" i="12"/>
  <c r="P246" i="12" s="1"/>
  <c r="Z245" i="12"/>
  <c r="Y245" i="12"/>
  <c r="AB245" i="12" s="1"/>
  <c r="M245" i="12"/>
  <c r="L245" i="12"/>
  <c r="E245" i="12"/>
  <c r="D245" i="12"/>
  <c r="C245" i="12"/>
  <c r="P245" i="12" s="1"/>
  <c r="AC244" i="12"/>
  <c r="AB244" i="12"/>
  <c r="Z244" i="12"/>
  <c r="Y244" i="12"/>
  <c r="P244" i="12"/>
  <c r="M244" i="12"/>
  <c r="L244" i="12"/>
  <c r="E244" i="12"/>
  <c r="D244" i="12"/>
  <c r="C244" i="12"/>
  <c r="Z243" i="12"/>
  <c r="AC243" i="12" s="1"/>
  <c r="Y243" i="12"/>
  <c r="AB243" i="12" s="1"/>
  <c r="M243" i="12"/>
  <c r="L243" i="12"/>
  <c r="E243" i="12"/>
  <c r="D243" i="12"/>
  <c r="C243" i="12"/>
  <c r="P243" i="12" s="1"/>
  <c r="AC242" i="12"/>
  <c r="AB242" i="12"/>
  <c r="Z242" i="12"/>
  <c r="Y242" i="12"/>
  <c r="M242" i="12"/>
  <c r="L242" i="12"/>
  <c r="E242" i="12"/>
  <c r="D242" i="12"/>
  <c r="C242" i="12"/>
  <c r="P242" i="12" s="1"/>
  <c r="Z241" i="12"/>
  <c r="Y241" i="12"/>
  <c r="M241" i="12"/>
  <c r="L241" i="12"/>
  <c r="E241" i="12"/>
  <c r="D241" i="12"/>
  <c r="C241" i="12"/>
  <c r="P241" i="12" s="1"/>
  <c r="AC240" i="12"/>
  <c r="AB240" i="12"/>
  <c r="Z240" i="12"/>
  <c r="Y240" i="12"/>
  <c r="P240" i="12"/>
  <c r="M240" i="12"/>
  <c r="L240" i="12"/>
  <c r="E240" i="12"/>
  <c r="D240" i="12"/>
  <c r="C240" i="12"/>
  <c r="Z239" i="12"/>
  <c r="AC239" i="12" s="1"/>
  <c r="Y239" i="12"/>
  <c r="M239" i="12"/>
  <c r="L239" i="12"/>
  <c r="E239" i="12"/>
  <c r="D239" i="12"/>
  <c r="C239" i="12"/>
  <c r="P239" i="12" s="1"/>
  <c r="AC238" i="12"/>
  <c r="AB238" i="12"/>
  <c r="Z238" i="12"/>
  <c r="Y238" i="12"/>
  <c r="M238" i="12"/>
  <c r="L238" i="12"/>
  <c r="E238" i="12"/>
  <c r="D238" i="12"/>
  <c r="C238" i="12"/>
  <c r="P238" i="12" s="1"/>
  <c r="Z237" i="12"/>
  <c r="Y237" i="12"/>
  <c r="AB237" i="12" s="1"/>
  <c r="M237" i="12"/>
  <c r="L237" i="12"/>
  <c r="E237" i="12"/>
  <c r="D237" i="12"/>
  <c r="C237" i="12"/>
  <c r="P237" i="12" s="1"/>
  <c r="AC236" i="12"/>
  <c r="Z236" i="12"/>
  <c r="Y236" i="12"/>
  <c r="AB236" i="12" s="1"/>
  <c r="P236" i="12"/>
  <c r="M236" i="12"/>
  <c r="L236" i="12"/>
  <c r="E236" i="12"/>
  <c r="D236" i="12"/>
  <c r="C236" i="12"/>
  <c r="Z235" i="12"/>
  <c r="Y235" i="12"/>
  <c r="M235" i="12"/>
  <c r="L235" i="12"/>
  <c r="AB235" i="12" s="1"/>
  <c r="E235" i="12"/>
  <c r="D235" i="12"/>
  <c r="C235" i="12"/>
  <c r="P235" i="12" s="1"/>
  <c r="AC234" i="12"/>
  <c r="AB234" i="12"/>
  <c r="Z234" i="12"/>
  <c r="Y234" i="12"/>
  <c r="P234" i="12"/>
  <c r="M234" i="12"/>
  <c r="L234" i="12"/>
  <c r="E234" i="12"/>
  <c r="D234" i="12"/>
  <c r="C234" i="12"/>
  <c r="Z233" i="12"/>
  <c r="Y233" i="12"/>
  <c r="AB233" i="12" s="1"/>
  <c r="M233" i="12"/>
  <c r="L233" i="12"/>
  <c r="E233" i="12"/>
  <c r="D233" i="12"/>
  <c r="C233" i="12"/>
  <c r="P233" i="12" s="1"/>
  <c r="AC232" i="12"/>
  <c r="Z232" i="12"/>
  <c r="Y232" i="12"/>
  <c r="AB232" i="12" s="1"/>
  <c r="P232" i="12"/>
  <c r="M232" i="12"/>
  <c r="L232" i="12"/>
  <c r="E232" i="12"/>
  <c r="D232" i="12"/>
  <c r="C232" i="12"/>
  <c r="Z231" i="12"/>
  <c r="Y231" i="12"/>
  <c r="M231" i="12"/>
  <c r="L231" i="12"/>
  <c r="AB231" i="12" s="1"/>
  <c r="E231" i="12"/>
  <c r="D231" i="12"/>
  <c r="C231" i="12"/>
  <c r="P231" i="12" s="1"/>
  <c r="AC230" i="12"/>
  <c r="AB230" i="12"/>
  <c r="Z230" i="12"/>
  <c r="Y230" i="12"/>
  <c r="P230" i="12"/>
  <c r="M230" i="12"/>
  <c r="L230" i="12"/>
  <c r="E230" i="12"/>
  <c r="D230" i="12"/>
  <c r="C230" i="12"/>
  <c r="Z229" i="12"/>
  <c r="Y229" i="12"/>
  <c r="AB229" i="12" s="1"/>
  <c r="M229" i="12"/>
  <c r="L229" i="12"/>
  <c r="E229" i="12"/>
  <c r="D229" i="12"/>
  <c r="C229" i="12"/>
  <c r="P229" i="12" s="1"/>
  <c r="AC228" i="12"/>
  <c r="Z228" i="12"/>
  <c r="Y228" i="12"/>
  <c r="AB228" i="12" s="1"/>
  <c r="P228" i="12"/>
  <c r="M228" i="12"/>
  <c r="L228" i="12"/>
  <c r="E228" i="12"/>
  <c r="D228" i="12"/>
  <c r="C228" i="12"/>
  <c r="Z227" i="12"/>
  <c r="Y227" i="12"/>
  <c r="M227" i="12"/>
  <c r="L227" i="12"/>
  <c r="AB227" i="12" s="1"/>
  <c r="E227" i="12"/>
  <c r="D227" i="12"/>
  <c r="C227" i="12"/>
  <c r="P227" i="12" s="1"/>
  <c r="AC226" i="12"/>
  <c r="AB226" i="12"/>
  <c r="Z226" i="12"/>
  <c r="Y226" i="12"/>
  <c r="P226" i="12"/>
  <c r="M226" i="12"/>
  <c r="L226" i="12"/>
  <c r="E226" i="12"/>
  <c r="D226" i="12"/>
  <c r="C226" i="12"/>
  <c r="Z225" i="12"/>
  <c r="Y225" i="12"/>
  <c r="AB225" i="12" s="1"/>
  <c r="M225" i="12"/>
  <c r="L225" i="12"/>
  <c r="E225" i="12"/>
  <c r="D225" i="12"/>
  <c r="C225" i="12"/>
  <c r="P225" i="12" s="1"/>
  <c r="AC224" i="12"/>
  <c r="Z224" i="12"/>
  <c r="Y224" i="12"/>
  <c r="AB224" i="12" s="1"/>
  <c r="M224" i="12"/>
  <c r="L224" i="12"/>
  <c r="E224" i="12"/>
  <c r="D224" i="12"/>
  <c r="C224" i="12"/>
  <c r="P224" i="12" s="1"/>
  <c r="Z223" i="12"/>
  <c r="Y223" i="12"/>
  <c r="M223" i="12"/>
  <c r="L223" i="12"/>
  <c r="AB223" i="12" s="1"/>
  <c r="E223" i="12"/>
  <c r="D223" i="12"/>
  <c r="C223" i="12"/>
  <c r="P223" i="12" s="1"/>
  <c r="AC222" i="12"/>
  <c r="AB222" i="12"/>
  <c r="Z222" i="12"/>
  <c r="Y222" i="12"/>
  <c r="P222" i="12"/>
  <c r="M222" i="12"/>
  <c r="L222" i="12"/>
  <c r="E222" i="12"/>
  <c r="D222" i="12"/>
  <c r="C222" i="12"/>
  <c r="Z221" i="12"/>
  <c r="AC221" i="12" s="1"/>
  <c r="Y221" i="12"/>
  <c r="AB221" i="12" s="1"/>
  <c r="M221" i="12"/>
  <c r="L221" i="12"/>
  <c r="E221" i="12"/>
  <c r="D221" i="12"/>
  <c r="C221" i="12"/>
  <c r="P221" i="12" s="1"/>
  <c r="AC220" i="12"/>
  <c r="Z220" i="12"/>
  <c r="Y220" i="12"/>
  <c r="AB220" i="12" s="1"/>
  <c r="M220" i="12"/>
  <c r="L220" i="12"/>
  <c r="E220" i="12"/>
  <c r="D220" i="12"/>
  <c r="C220" i="12"/>
  <c r="P220" i="12" s="1"/>
  <c r="Z219" i="12"/>
  <c r="Y219" i="12"/>
  <c r="M219" i="12"/>
  <c r="L219" i="12"/>
  <c r="AB219" i="12" s="1"/>
  <c r="E219" i="12"/>
  <c r="D219" i="12"/>
  <c r="C219" i="12"/>
  <c r="P219" i="12" s="1"/>
  <c r="AC218" i="12"/>
  <c r="AB218" i="12"/>
  <c r="Z218" i="12"/>
  <c r="Y218" i="12"/>
  <c r="P218" i="12"/>
  <c r="M218" i="12"/>
  <c r="L218" i="12"/>
  <c r="E218" i="12"/>
  <c r="D218" i="12"/>
  <c r="C218" i="12"/>
  <c r="Z217" i="12"/>
  <c r="AC217" i="12" s="1"/>
  <c r="Y217" i="12"/>
  <c r="AB217" i="12" s="1"/>
  <c r="M217" i="12"/>
  <c r="L217" i="12"/>
  <c r="E217" i="12"/>
  <c r="D217" i="12"/>
  <c r="C217" i="12"/>
  <c r="P217" i="12" s="1"/>
  <c r="AC216" i="12"/>
  <c r="Z216" i="12"/>
  <c r="Y216" i="12"/>
  <c r="AB216" i="12" s="1"/>
  <c r="M216" i="12"/>
  <c r="L216" i="12"/>
  <c r="E216" i="12"/>
  <c r="D216" i="12"/>
  <c r="C216" i="12"/>
  <c r="P216" i="12" s="1"/>
  <c r="Z215" i="12"/>
  <c r="Y215" i="12"/>
  <c r="M215" i="12"/>
  <c r="L215" i="12"/>
  <c r="AB215" i="12" s="1"/>
  <c r="E215" i="12"/>
  <c r="D215" i="12"/>
  <c r="C215" i="12"/>
  <c r="P215" i="12" s="1"/>
  <c r="AC214" i="12"/>
  <c r="AB214" i="12"/>
  <c r="Z214" i="12"/>
  <c r="Y214" i="12"/>
  <c r="P214" i="12"/>
  <c r="M214" i="12"/>
  <c r="L214" i="12"/>
  <c r="E214" i="12"/>
  <c r="D214" i="12"/>
  <c r="C214" i="12"/>
  <c r="Z213" i="12"/>
  <c r="Y213" i="12"/>
  <c r="AB213" i="12" s="1"/>
  <c r="P213" i="12"/>
  <c r="M213" i="12"/>
  <c r="L213" i="12"/>
  <c r="E213" i="12"/>
  <c r="D213" i="12"/>
  <c r="C213" i="12"/>
  <c r="AB212" i="12"/>
  <c r="Z212" i="12"/>
  <c r="AC212" i="12" s="1"/>
  <c r="Y212" i="12"/>
  <c r="M212" i="12"/>
  <c r="L212" i="12"/>
  <c r="E212" i="12"/>
  <c r="D212" i="12"/>
  <c r="C212" i="12"/>
  <c r="P212" i="12" s="1"/>
  <c r="AC211" i="12"/>
  <c r="Z211" i="12"/>
  <c r="Y211" i="12"/>
  <c r="AB211" i="12" s="1"/>
  <c r="P211" i="12"/>
  <c r="M211" i="12"/>
  <c r="L211" i="12"/>
  <c r="E211" i="12"/>
  <c r="D211" i="12"/>
  <c r="C211" i="12"/>
  <c r="AB210" i="12"/>
  <c r="Z210" i="12"/>
  <c r="AC210" i="12" s="1"/>
  <c r="Y210" i="12"/>
  <c r="M210" i="12"/>
  <c r="L210" i="12"/>
  <c r="E210" i="12"/>
  <c r="D210" i="12"/>
  <c r="C210" i="12"/>
  <c r="P210" i="12" s="1"/>
  <c r="AC209" i="12"/>
  <c r="Z209" i="12"/>
  <c r="Y209" i="12"/>
  <c r="AB209" i="12" s="1"/>
  <c r="P209" i="12"/>
  <c r="M209" i="12"/>
  <c r="L209" i="12"/>
  <c r="E209" i="12"/>
  <c r="D209" i="12"/>
  <c r="C209" i="12"/>
  <c r="AB208" i="12"/>
  <c r="Z208" i="12"/>
  <c r="AC208" i="12" s="1"/>
  <c r="Y208" i="12"/>
  <c r="M208" i="12"/>
  <c r="L208" i="12"/>
  <c r="E208" i="12"/>
  <c r="D208" i="12"/>
  <c r="C208" i="12"/>
  <c r="P208" i="12" s="1"/>
  <c r="AC207" i="12"/>
  <c r="Z207" i="12"/>
  <c r="Y207" i="12"/>
  <c r="AB207" i="12" s="1"/>
  <c r="P207" i="12"/>
  <c r="M207" i="12"/>
  <c r="L207" i="12"/>
  <c r="E207" i="12"/>
  <c r="D207" i="12"/>
  <c r="C207" i="12"/>
  <c r="AB206" i="12"/>
  <c r="Z206" i="12"/>
  <c r="AC206" i="12" s="1"/>
  <c r="Y206" i="12"/>
  <c r="M206" i="12"/>
  <c r="L206" i="12"/>
  <c r="E206" i="12"/>
  <c r="D206" i="12"/>
  <c r="C206" i="12"/>
  <c r="P206" i="12" s="1"/>
  <c r="AC205" i="12"/>
  <c r="Z205" i="12"/>
  <c r="Y205" i="12"/>
  <c r="AB205" i="12" s="1"/>
  <c r="P205" i="12"/>
  <c r="M205" i="12"/>
  <c r="L205" i="12"/>
  <c r="E205" i="12"/>
  <c r="D205" i="12"/>
  <c r="C205" i="12"/>
  <c r="AB204" i="12"/>
  <c r="Z204" i="12"/>
  <c r="AC204" i="12" s="1"/>
  <c r="Y204" i="12"/>
  <c r="M204" i="12"/>
  <c r="L204" i="12"/>
  <c r="E204" i="12"/>
  <c r="D204" i="12"/>
  <c r="C204" i="12"/>
  <c r="P204" i="12" s="1"/>
  <c r="AC203" i="12"/>
  <c r="Z203" i="12"/>
  <c r="Y203" i="12"/>
  <c r="AB203" i="12" s="1"/>
  <c r="P203" i="12"/>
  <c r="M203" i="12"/>
  <c r="L203" i="12"/>
  <c r="E203" i="12"/>
  <c r="D203" i="12"/>
  <c r="C203" i="12"/>
  <c r="AB202" i="12"/>
  <c r="Z202" i="12"/>
  <c r="AC202" i="12" s="1"/>
  <c r="Y202" i="12"/>
  <c r="M202" i="12"/>
  <c r="L202" i="12"/>
  <c r="E202" i="12"/>
  <c r="D202" i="12"/>
  <c r="C202" i="12"/>
  <c r="P202" i="12" s="1"/>
  <c r="AC201" i="12"/>
  <c r="Z201" i="12"/>
  <c r="Y201" i="12"/>
  <c r="AB201" i="12" s="1"/>
  <c r="P201" i="12"/>
  <c r="M201" i="12"/>
  <c r="L201" i="12"/>
  <c r="E201" i="12"/>
  <c r="D201" i="12"/>
  <c r="C201" i="12"/>
  <c r="AB200" i="12"/>
  <c r="Z200" i="12"/>
  <c r="AC200" i="12" s="1"/>
  <c r="Y200" i="12"/>
  <c r="M200" i="12"/>
  <c r="L200" i="12"/>
  <c r="E200" i="12"/>
  <c r="D200" i="12"/>
  <c r="C200" i="12"/>
  <c r="P200" i="12" s="1"/>
  <c r="AC199" i="12"/>
  <c r="Z199" i="12"/>
  <c r="Y199" i="12"/>
  <c r="AB199" i="12" s="1"/>
  <c r="P199" i="12"/>
  <c r="M199" i="12"/>
  <c r="L199" i="12"/>
  <c r="E199" i="12"/>
  <c r="D199" i="12"/>
  <c r="C199" i="12"/>
  <c r="AB198" i="12"/>
  <c r="Z198" i="12"/>
  <c r="AC198" i="12" s="1"/>
  <c r="Y198" i="12"/>
  <c r="M198" i="12"/>
  <c r="L198" i="12"/>
  <c r="E198" i="12"/>
  <c r="D198" i="12"/>
  <c r="C198" i="12"/>
  <c r="P198" i="12" s="1"/>
  <c r="AC197" i="12"/>
  <c r="Z197" i="12"/>
  <c r="Y197" i="12"/>
  <c r="AB197" i="12" s="1"/>
  <c r="P197" i="12"/>
  <c r="M197" i="12"/>
  <c r="L197" i="12"/>
  <c r="E197" i="12"/>
  <c r="D197" i="12"/>
  <c r="C197" i="12"/>
  <c r="AB196" i="12"/>
  <c r="Z196" i="12"/>
  <c r="AC196" i="12" s="1"/>
  <c r="Y196" i="12"/>
  <c r="M196" i="12"/>
  <c r="L196" i="12"/>
  <c r="E196" i="12"/>
  <c r="D196" i="12"/>
  <c r="C196" i="12"/>
  <c r="P196" i="12" s="1"/>
  <c r="AC195" i="12"/>
  <c r="Z195" i="12"/>
  <c r="Y195" i="12"/>
  <c r="AB195" i="12" s="1"/>
  <c r="P195" i="12"/>
  <c r="M195" i="12"/>
  <c r="L195" i="12"/>
  <c r="E195" i="12"/>
  <c r="D195" i="12"/>
  <c r="C195" i="12"/>
  <c r="AB194" i="12"/>
  <c r="Z194" i="12"/>
  <c r="AC194" i="12" s="1"/>
  <c r="Y194" i="12"/>
  <c r="M194" i="12"/>
  <c r="L194" i="12"/>
  <c r="E194" i="12"/>
  <c r="D194" i="12"/>
  <c r="C194" i="12"/>
  <c r="P194" i="12" s="1"/>
  <c r="AC193" i="12"/>
  <c r="Z193" i="12"/>
  <c r="Y193" i="12"/>
  <c r="AB193" i="12" s="1"/>
  <c r="P193" i="12"/>
  <c r="M193" i="12"/>
  <c r="L193" i="12"/>
  <c r="E193" i="12"/>
  <c r="D193" i="12"/>
  <c r="C193" i="12"/>
  <c r="AB192" i="12"/>
  <c r="Z192" i="12"/>
  <c r="AC192" i="12" s="1"/>
  <c r="Y192" i="12"/>
  <c r="M192" i="12"/>
  <c r="L192" i="12"/>
  <c r="E192" i="12"/>
  <c r="D192" i="12"/>
  <c r="C192" i="12"/>
  <c r="P192" i="12" s="1"/>
  <c r="AC191" i="12"/>
  <c r="Z191" i="12"/>
  <c r="Y191" i="12"/>
  <c r="AB191" i="12" s="1"/>
  <c r="P191" i="12"/>
  <c r="M191" i="12"/>
  <c r="L191" i="12"/>
  <c r="E191" i="12"/>
  <c r="D191" i="12"/>
  <c r="C191" i="12"/>
  <c r="AB190" i="12"/>
  <c r="Z190" i="12"/>
  <c r="AC190" i="12" s="1"/>
  <c r="Y190" i="12"/>
  <c r="M190" i="12"/>
  <c r="L190" i="12"/>
  <c r="E190" i="12"/>
  <c r="D190" i="12"/>
  <c r="C190" i="12"/>
  <c r="P190" i="12" s="1"/>
  <c r="AC189" i="12"/>
  <c r="Z189" i="12"/>
  <c r="Y189" i="12"/>
  <c r="AB189" i="12" s="1"/>
  <c r="P189" i="12"/>
  <c r="M189" i="12"/>
  <c r="L189" i="12"/>
  <c r="E189" i="12"/>
  <c r="D189" i="12"/>
  <c r="C189" i="12"/>
  <c r="AB188" i="12"/>
  <c r="Z188" i="12"/>
  <c r="AC188" i="12" s="1"/>
  <c r="Y188" i="12"/>
  <c r="M188" i="12"/>
  <c r="L188" i="12"/>
  <c r="E188" i="12"/>
  <c r="D188" i="12"/>
  <c r="C188" i="12"/>
  <c r="P188" i="12" s="1"/>
  <c r="AC187" i="12"/>
  <c r="Z187" i="12"/>
  <c r="Y187" i="12"/>
  <c r="AB187" i="12" s="1"/>
  <c r="P187" i="12"/>
  <c r="M187" i="12"/>
  <c r="L187" i="12"/>
  <c r="E187" i="12"/>
  <c r="D187" i="12"/>
  <c r="C187" i="12"/>
  <c r="AB186" i="12"/>
  <c r="Z186" i="12"/>
  <c r="AC186" i="12" s="1"/>
  <c r="Y186" i="12"/>
  <c r="M186" i="12"/>
  <c r="L186" i="12"/>
  <c r="E186" i="12"/>
  <c r="D186" i="12"/>
  <c r="C186" i="12"/>
  <c r="P186" i="12" s="1"/>
  <c r="AC185" i="12"/>
  <c r="Z185" i="12"/>
  <c r="Y185" i="12"/>
  <c r="AB185" i="12" s="1"/>
  <c r="P185" i="12"/>
  <c r="M185" i="12"/>
  <c r="L185" i="12"/>
  <c r="E185" i="12"/>
  <c r="D185" i="12"/>
  <c r="C185" i="12"/>
  <c r="AB184" i="12"/>
  <c r="Z184" i="12"/>
  <c r="AC184" i="12" s="1"/>
  <c r="Y184" i="12"/>
  <c r="M184" i="12"/>
  <c r="L184" i="12"/>
  <c r="E184" i="12"/>
  <c r="D184" i="12"/>
  <c r="C184" i="12"/>
  <c r="P184" i="12" s="1"/>
  <c r="AC183" i="12"/>
  <c r="Z183" i="12"/>
  <c r="Y183" i="12"/>
  <c r="AB183" i="12" s="1"/>
  <c r="P183" i="12"/>
  <c r="M183" i="12"/>
  <c r="L183" i="12"/>
  <c r="E183" i="12"/>
  <c r="D183" i="12"/>
  <c r="C183" i="12"/>
  <c r="AB182" i="12"/>
  <c r="Z182" i="12"/>
  <c r="AC182" i="12" s="1"/>
  <c r="Y182" i="12"/>
  <c r="M182" i="12"/>
  <c r="L182" i="12"/>
  <c r="E182" i="12"/>
  <c r="D182" i="12"/>
  <c r="C182" i="12"/>
  <c r="P182" i="12" s="1"/>
  <c r="AC181" i="12"/>
  <c r="Z181" i="12"/>
  <c r="Y181" i="12"/>
  <c r="AB181" i="12" s="1"/>
  <c r="P181" i="12"/>
  <c r="M181" i="12"/>
  <c r="L181" i="12"/>
  <c r="E181" i="12"/>
  <c r="D181" i="12"/>
  <c r="C181" i="12"/>
  <c r="AB180" i="12"/>
  <c r="Z180" i="12"/>
  <c r="AC180" i="12" s="1"/>
  <c r="Y180" i="12"/>
  <c r="M180" i="12"/>
  <c r="L180" i="12"/>
  <c r="E180" i="12"/>
  <c r="D180" i="12"/>
  <c r="C180" i="12"/>
  <c r="P180" i="12" s="1"/>
  <c r="AC179" i="12"/>
  <c r="Z179" i="12"/>
  <c r="Y179" i="12"/>
  <c r="AB179" i="12" s="1"/>
  <c r="P179" i="12"/>
  <c r="M179" i="12"/>
  <c r="L179" i="12"/>
  <c r="E179" i="12"/>
  <c r="D179" i="12"/>
  <c r="C179" i="12"/>
  <c r="AB178" i="12"/>
  <c r="Z178" i="12"/>
  <c r="AC178" i="12" s="1"/>
  <c r="Y178" i="12"/>
  <c r="M178" i="12"/>
  <c r="L178" i="12"/>
  <c r="E178" i="12"/>
  <c r="D178" i="12"/>
  <c r="C178" i="12"/>
  <c r="P178" i="12" s="1"/>
  <c r="AC177" i="12"/>
  <c r="Z177" i="12"/>
  <c r="Y177" i="12"/>
  <c r="AB177" i="12" s="1"/>
  <c r="P177" i="12"/>
  <c r="M177" i="12"/>
  <c r="L177" i="12"/>
  <c r="E177" i="12"/>
  <c r="D177" i="12"/>
  <c r="C177" i="12"/>
  <c r="AB176" i="12"/>
  <c r="Z176" i="12"/>
  <c r="AC176" i="12" s="1"/>
  <c r="Y176" i="12"/>
  <c r="M176" i="12"/>
  <c r="L176" i="12"/>
  <c r="E176" i="12"/>
  <c r="D176" i="12"/>
  <c r="C176" i="12"/>
  <c r="P176" i="12" s="1"/>
  <c r="AC175" i="12"/>
  <c r="Z175" i="12"/>
  <c r="Y175" i="12"/>
  <c r="AB175" i="12" s="1"/>
  <c r="P175" i="12"/>
  <c r="M175" i="12"/>
  <c r="L175" i="12"/>
  <c r="E175" i="12"/>
  <c r="D175" i="12"/>
  <c r="C175" i="12"/>
  <c r="Z174" i="12"/>
  <c r="Y174" i="12"/>
  <c r="M174" i="12"/>
  <c r="L174" i="12"/>
  <c r="AB174" i="12" s="1"/>
  <c r="E174" i="12"/>
  <c r="D174" i="12"/>
  <c r="C174" i="12"/>
  <c r="P174" i="12" s="1"/>
  <c r="AC173" i="12"/>
  <c r="Z173" i="12"/>
  <c r="Y173" i="12"/>
  <c r="AB173" i="12" s="1"/>
  <c r="P173" i="12"/>
  <c r="M173" i="12"/>
  <c r="L173" i="12"/>
  <c r="E173" i="12"/>
  <c r="D173" i="12"/>
  <c r="C173" i="12"/>
  <c r="Z172" i="12"/>
  <c r="AC172" i="12" s="1"/>
  <c r="Y172" i="12"/>
  <c r="M172" i="12"/>
  <c r="L172" i="12"/>
  <c r="AB172" i="12" s="1"/>
  <c r="E172" i="12"/>
  <c r="D172" i="12"/>
  <c r="C172" i="12"/>
  <c r="P172" i="12" s="1"/>
  <c r="AC171" i="12"/>
  <c r="Z171" i="12"/>
  <c r="Y171" i="12"/>
  <c r="AB171" i="12" s="1"/>
  <c r="P171" i="12"/>
  <c r="M171" i="12"/>
  <c r="L171" i="12"/>
  <c r="E171" i="12"/>
  <c r="D171" i="12"/>
  <c r="C171" i="12"/>
  <c r="Z170" i="12"/>
  <c r="Y170" i="12"/>
  <c r="M170" i="12"/>
  <c r="L170" i="12"/>
  <c r="AB170" i="12" s="1"/>
  <c r="E170" i="12"/>
  <c r="D170" i="12"/>
  <c r="C170" i="12"/>
  <c r="P170" i="12" s="1"/>
  <c r="AC169" i="12"/>
  <c r="AB169" i="12"/>
  <c r="Z169" i="12"/>
  <c r="Y169" i="12"/>
  <c r="P169" i="12"/>
  <c r="M169" i="12"/>
  <c r="L169" i="12"/>
  <c r="E169" i="12"/>
  <c r="D169" i="12"/>
  <c r="C169" i="12"/>
  <c r="Z168" i="12"/>
  <c r="Y168" i="12"/>
  <c r="M168" i="12"/>
  <c r="L168" i="12"/>
  <c r="AB168" i="12" s="1"/>
  <c r="E168" i="12"/>
  <c r="D168" i="12"/>
  <c r="C168" i="12"/>
  <c r="P168" i="12" s="1"/>
  <c r="AC167" i="12"/>
  <c r="Z167" i="12"/>
  <c r="Y167" i="12"/>
  <c r="AB167" i="12" s="1"/>
  <c r="P167" i="12"/>
  <c r="M167" i="12"/>
  <c r="L167" i="12"/>
  <c r="E167" i="12"/>
  <c r="D167" i="12"/>
  <c r="C167" i="12"/>
  <c r="Z166" i="12"/>
  <c r="Y166" i="12"/>
  <c r="AB166" i="12" s="1"/>
  <c r="M166" i="12"/>
  <c r="L166" i="12"/>
  <c r="E166" i="12"/>
  <c r="D166" i="12"/>
  <c r="C166" i="12"/>
  <c r="P166" i="12" s="1"/>
  <c r="AC165" i="12"/>
  <c r="AB165" i="12"/>
  <c r="Z165" i="12"/>
  <c r="Y165" i="12"/>
  <c r="M165" i="12"/>
  <c r="L165" i="12"/>
  <c r="E165" i="12"/>
  <c r="D165" i="12"/>
  <c r="C165" i="12"/>
  <c r="P165" i="12" s="1"/>
  <c r="Z164" i="12"/>
  <c r="Y164" i="12"/>
  <c r="M164" i="12"/>
  <c r="L164" i="12"/>
  <c r="AB164" i="12" s="1"/>
  <c r="E164" i="12"/>
  <c r="D164" i="12"/>
  <c r="C164" i="12"/>
  <c r="P164" i="12" s="1"/>
  <c r="AC163" i="12"/>
  <c r="Z163" i="12"/>
  <c r="Y163" i="12"/>
  <c r="AB163" i="12" s="1"/>
  <c r="P163" i="12"/>
  <c r="M163" i="12"/>
  <c r="L163" i="12"/>
  <c r="E163" i="12"/>
  <c r="D163" i="12"/>
  <c r="C163" i="12"/>
  <c r="Z162" i="12"/>
  <c r="AC162" i="12" s="1"/>
  <c r="Y162" i="12"/>
  <c r="AB162" i="12" s="1"/>
  <c r="M162" i="12"/>
  <c r="L162" i="12"/>
  <c r="E162" i="12"/>
  <c r="D162" i="12"/>
  <c r="C162" i="12"/>
  <c r="P162" i="12" s="1"/>
  <c r="AC161" i="12"/>
  <c r="AB161" i="12"/>
  <c r="Z161" i="12"/>
  <c r="Y161" i="12"/>
  <c r="M161" i="12"/>
  <c r="L161" i="12"/>
  <c r="E161" i="12"/>
  <c r="D161" i="12"/>
  <c r="C161" i="12"/>
  <c r="P161" i="12" s="1"/>
  <c r="Z160" i="12"/>
  <c r="Y160" i="12"/>
  <c r="M160" i="12"/>
  <c r="L160" i="12"/>
  <c r="AB160" i="12" s="1"/>
  <c r="E160" i="12"/>
  <c r="D160" i="12"/>
  <c r="C160" i="12"/>
  <c r="P160" i="12" s="1"/>
  <c r="AC159" i="12"/>
  <c r="Z159" i="12"/>
  <c r="Y159" i="12"/>
  <c r="AB159" i="12" s="1"/>
  <c r="P159" i="12"/>
  <c r="M159" i="12"/>
  <c r="L159" i="12"/>
  <c r="E159" i="12"/>
  <c r="D159" i="12"/>
  <c r="C159" i="12"/>
  <c r="Z158" i="12"/>
  <c r="AC158" i="12" s="1"/>
  <c r="Y158" i="12"/>
  <c r="AB158" i="12" s="1"/>
  <c r="M158" i="12"/>
  <c r="L158" i="12"/>
  <c r="E158" i="12"/>
  <c r="D158" i="12"/>
  <c r="C158" i="12"/>
  <c r="P158" i="12" s="1"/>
  <c r="AC157" i="12"/>
  <c r="AB157" i="12"/>
  <c r="Z157" i="12"/>
  <c r="Y157" i="12"/>
  <c r="M157" i="12"/>
  <c r="L157" i="12"/>
  <c r="E157" i="12"/>
  <c r="D157" i="12"/>
  <c r="C157" i="12"/>
  <c r="P157" i="12" s="1"/>
  <c r="Z156" i="12"/>
  <c r="Y156" i="12"/>
  <c r="M156" i="12"/>
  <c r="L156" i="12"/>
  <c r="AB156" i="12" s="1"/>
  <c r="E156" i="12"/>
  <c r="D156" i="12"/>
  <c r="C156" i="12"/>
  <c r="P156" i="12" s="1"/>
  <c r="AC155" i="12"/>
  <c r="Z155" i="12"/>
  <c r="Y155" i="12"/>
  <c r="AB155" i="12" s="1"/>
  <c r="P155" i="12"/>
  <c r="M155" i="12"/>
  <c r="L155" i="12"/>
  <c r="E155" i="12"/>
  <c r="D155" i="12"/>
  <c r="C155" i="12"/>
  <c r="Z154" i="12"/>
  <c r="AC154" i="12" s="1"/>
  <c r="Y154" i="12"/>
  <c r="M154" i="12"/>
  <c r="L154" i="12"/>
  <c r="AB154" i="12" s="1"/>
  <c r="E154" i="12"/>
  <c r="D154" i="12"/>
  <c r="C154" i="12"/>
  <c r="P154" i="12" s="1"/>
  <c r="AC153" i="12"/>
  <c r="Z153" i="12"/>
  <c r="Y153" i="12"/>
  <c r="AB153" i="12" s="1"/>
  <c r="P153" i="12"/>
  <c r="M153" i="12"/>
  <c r="L153" i="12"/>
  <c r="E153" i="12"/>
  <c r="D153" i="12"/>
  <c r="C153" i="12"/>
  <c r="Z152" i="12"/>
  <c r="AC152" i="12" s="1"/>
  <c r="Y152" i="12"/>
  <c r="M152" i="12"/>
  <c r="L152" i="12"/>
  <c r="AB152" i="12" s="1"/>
  <c r="E152" i="12"/>
  <c r="D152" i="12"/>
  <c r="C152" i="12"/>
  <c r="P152" i="12" s="1"/>
  <c r="AC151" i="12"/>
  <c r="Z151" i="12"/>
  <c r="Y151" i="12"/>
  <c r="AB151" i="12" s="1"/>
  <c r="P151" i="12"/>
  <c r="M151" i="12"/>
  <c r="L151" i="12"/>
  <c r="E151" i="12"/>
  <c r="D151" i="12"/>
  <c r="C151" i="12"/>
  <c r="Z150" i="12"/>
  <c r="AC150" i="12" s="1"/>
  <c r="Y150" i="12"/>
  <c r="M150" i="12"/>
  <c r="L150" i="12"/>
  <c r="AB150" i="12" s="1"/>
  <c r="E150" i="12"/>
  <c r="D150" i="12"/>
  <c r="C150" i="12"/>
  <c r="P150" i="12" s="1"/>
  <c r="AC149" i="12"/>
  <c r="Z149" i="12"/>
  <c r="Y149" i="12"/>
  <c r="AB149" i="12" s="1"/>
  <c r="P149" i="12"/>
  <c r="M149" i="12"/>
  <c r="L149" i="12"/>
  <c r="E149" i="12"/>
  <c r="D149" i="12"/>
  <c r="C149" i="12"/>
  <c r="Z148" i="12"/>
  <c r="AC148" i="12" s="1"/>
  <c r="Y148" i="12"/>
  <c r="M148" i="12"/>
  <c r="L148" i="12"/>
  <c r="AB148" i="12" s="1"/>
  <c r="E148" i="12"/>
  <c r="D148" i="12"/>
  <c r="C148" i="12"/>
  <c r="P148" i="12" s="1"/>
  <c r="AC147" i="12"/>
  <c r="Z147" i="12"/>
  <c r="Y147" i="12"/>
  <c r="AB147" i="12" s="1"/>
  <c r="P147" i="12"/>
  <c r="M147" i="12"/>
  <c r="L147" i="12"/>
  <c r="E147" i="12"/>
  <c r="D147" i="12"/>
  <c r="C147" i="12"/>
  <c r="Z146" i="12"/>
  <c r="AC146" i="12" s="1"/>
  <c r="Y146" i="12"/>
  <c r="M146" i="12"/>
  <c r="L146" i="12"/>
  <c r="AB146" i="12" s="1"/>
  <c r="E146" i="12"/>
  <c r="D146" i="12"/>
  <c r="C146" i="12"/>
  <c r="P146" i="12" s="1"/>
  <c r="AC145" i="12"/>
  <c r="Z145" i="12"/>
  <c r="Y145" i="12"/>
  <c r="AB145" i="12" s="1"/>
  <c r="P145" i="12"/>
  <c r="M145" i="12"/>
  <c r="L145" i="12"/>
  <c r="E145" i="12"/>
  <c r="D145" i="12"/>
  <c r="C145" i="12"/>
  <c r="Z144" i="12"/>
  <c r="AC144" i="12" s="1"/>
  <c r="Y144" i="12"/>
  <c r="M144" i="12"/>
  <c r="L144" i="12"/>
  <c r="AB144" i="12" s="1"/>
  <c r="E144" i="12"/>
  <c r="D144" i="12"/>
  <c r="C144" i="12"/>
  <c r="P144" i="12" s="1"/>
  <c r="AC143" i="12"/>
  <c r="Z143" i="12"/>
  <c r="Y143" i="12"/>
  <c r="AB143" i="12" s="1"/>
  <c r="P143" i="12"/>
  <c r="M143" i="12"/>
  <c r="L143" i="12"/>
  <c r="E143" i="12"/>
  <c r="D143" i="12"/>
  <c r="C143" i="12"/>
  <c r="Z142" i="12"/>
  <c r="AC142" i="12" s="1"/>
  <c r="Y142" i="12"/>
  <c r="M142" i="12"/>
  <c r="L142" i="12"/>
  <c r="AB142" i="12" s="1"/>
  <c r="E142" i="12"/>
  <c r="D142" i="12"/>
  <c r="C142" i="12"/>
  <c r="P142" i="12" s="1"/>
  <c r="AC141" i="12"/>
  <c r="Z141" i="12"/>
  <c r="Y141" i="12"/>
  <c r="AB141" i="12" s="1"/>
  <c r="P141" i="12"/>
  <c r="M141" i="12"/>
  <c r="L141" i="12"/>
  <c r="E141" i="12"/>
  <c r="D141" i="12"/>
  <c r="C141" i="12"/>
  <c r="Z140" i="12"/>
  <c r="AC140" i="12" s="1"/>
  <c r="Y140" i="12"/>
  <c r="M140" i="12"/>
  <c r="L140" i="12"/>
  <c r="AB140" i="12" s="1"/>
  <c r="E140" i="12"/>
  <c r="D140" i="12"/>
  <c r="C140" i="12"/>
  <c r="P140" i="12" s="1"/>
  <c r="AC139" i="12"/>
  <c r="Z139" i="12"/>
  <c r="Y139" i="12"/>
  <c r="AB139" i="12" s="1"/>
  <c r="P139" i="12"/>
  <c r="M139" i="12"/>
  <c r="L139" i="12"/>
  <c r="E139" i="12"/>
  <c r="D139" i="12"/>
  <c r="C139" i="12"/>
  <c r="Z138" i="12"/>
  <c r="AC138" i="12" s="1"/>
  <c r="Y138" i="12"/>
  <c r="M138" i="12"/>
  <c r="L138" i="12"/>
  <c r="AB138" i="12" s="1"/>
  <c r="E138" i="12"/>
  <c r="D138" i="12"/>
  <c r="C138" i="12"/>
  <c r="P138" i="12" s="1"/>
  <c r="AC137" i="12"/>
  <c r="Z137" i="12"/>
  <c r="Y137" i="12"/>
  <c r="AB137" i="12" s="1"/>
  <c r="P137" i="12"/>
  <c r="M137" i="12"/>
  <c r="L137" i="12"/>
  <c r="E137" i="12"/>
  <c r="D137" i="12"/>
  <c r="C137" i="12"/>
  <c r="Z136" i="12"/>
  <c r="AC136" i="12" s="1"/>
  <c r="Y136" i="12"/>
  <c r="M136" i="12"/>
  <c r="L136" i="12"/>
  <c r="AB136" i="12" s="1"/>
  <c r="E136" i="12"/>
  <c r="D136" i="12"/>
  <c r="C136" i="12"/>
  <c r="P136" i="12" s="1"/>
  <c r="AC135" i="12"/>
  <c r="Z135" i="12"/>
  <c r="Y135" i="12"/>
  <c r="AB135" i="12" s="1"/>
  <c r="P135" i="12"/>
  <c r="M135" i="12"/>
  <c r="L135" i="12"/>
  <c r="E135" i="12"/>
  <c r="D135" i="12"/>
  <c r="C135" i="12"/>
  <c r="Z134" i="12"/>
  <c r="AC134" i="12" s="1"/>
  <c r="Y134" i="12"/>
  <c r="M134" i="12"/>
  <c r="L134" i="12"/>
  <c r="AB134" i="12" s="1"/>
  <c r="E134" i="12"/>
  <c r="D134" i="12"/>
  <c r="C134" i="12"/>
  <c r="P134" i="12" s="1"/>
  <c r="AC133" i="12"/>
  <c r="Z133" i="12"/>
  <c r="Y133" i="12"/>
  <c r="AB133" i="12" s="1"/>
  <c r="P133" i="12"/>
  <c r="M133" i="12"/>
  <c r="L133" i="12"/>
  <c r="E133" i="12"/>
  <c r="D133" i="12"/>
  <c r="C133" i="12"/>
  <c r="Z132" i="12"/>
  <c r="AC132" i="12" s="1"/>
  <c r="Y132" i="12"/>
  <c r="M132" i="12"/>
  <c r="L132" i="12"/>
  <c r="AB132" i="12" s="1"/>
  <c r="E132" i="12"/>
  <c r="D132" i="12"/>
  <c r="C132" i="12"/>
  <c r="P132" i="12" s="1"/>
  <c r="AC131" i="12"/>
  <c r="Z131" i="12"/>
  <c r="Y131" i="12"/>
  <c r="AB131" i="12" s="1"/>
  <c r="P131" i="12"/>
  <c r="M131" i="12"/>
  <c r="L131" i="12"/>
  <c r="E131" i="12"/>
  <c r="D131" i="12"/>
  <c r="C131" i="12"/>
  <c r="Z130" i="12"/>
  <c r="AC130" i="12" s="1"/>
  <c r="Y130" i="12"/>
  <c r="M130" i="12"/>
  <c r="L130" i="12"/>
  <c r="AB130" i="12" s="1"/>
  <c r="E130" i="12"/>
  <c r="D130" i="12"/>
  <c r="C130" i="12"/>
  <c r="P130" i="12" s="1"/>
  <c r="AC129" i="12"/>
  <c r="Z129" i="12"/>
  <c r="Y129" i="12"/>
  <c r="AB129" i="12" s="1"/>
  <c r="P129" i="12"/>
  <c r="M129" i="12"/>
  <c r="L129" i="12"/>
  <c r="E129" i="12"/>
  <c r="D129" i="12"/>
  <c r="C129" i="12"/>
  <c r="Z128" i="12"/>
  <c r="AC128" i="12" s="1"/>
  <c r="Y128" i="12"/>
  <c r="M128" i="12"/>
  <c r="L128" i="12"/>
  <c r="AB128" i="12" s="1"/>
  <c r="E128" i="12"/>
  <c r="D128" i="12"/>
  <c r="C128" i="12"/>
  <c r="P128" i="12" s="1"/>
  <c r="AC127" i="12"/>
  <c r="Z127" i="12"/>
  <c r="Y127" i="12"/>
  <c r="AB127" i="12" s="1"/>
  <c r="P127" i="12"/>
  <c r="M127" i="12"/>
  <c r="L127" i="12"/>
  <c r="E127" i="12"/>
  <c r="D127" i="12"/>
  <c r="C127" i="12"/>
  <c r="Z126" i="12"/>
  <c r="AC126" i="12" s="1"/>
  <c r="Y126" i="12"/>
  <c r="M126" i="12"/>
  <c r="L126" i="12"/>
  <c r="AB126" i="12" s="1"/>
  <c r="E126" i="12"/>
  <c r="D126" i="12"/>
  <c r="C126" i="12"/>
  <c r="P126" i="12" s="1"/>
  <c r="AC125" i="12"/>
  <c r="Z125" i="12"/>
  <c r="Y125" i="12"/>
  <c r="AB125" i="12" s="1"/>
  <c r="P125" i="12"/>
  <c r="M125" i="12"/>
  <c r="L125" i="12"/>
  <c r="E125" i="12"/>
  <c r="D125" i="12"/>
  <c r="C125" i="12"/>
  <c r="Z124" i="12"/>
  <c r="AC124" i="12" s="1"/>
  <c r="Y124" i="12"/>
  <c r="M124" i="12"/>
  <c r="L124" i="12"/>
  <c r="AB124" i="12" s="1"/>
  <c r="E124" i="12"/>
  <c r="D124" i="12"/>
  <c r="C124" i="12"/>
  <c r="P124" i="12" s="1"/>
  <c r="AC123" i="12"/>
  <c r="Z123" i="12"/>
  <c r="Y123" i="12"/>
  <c r="AB123" i="12" s="1"/>
  <c r="P123" i="12"/>
  <c r="M123" i="12"/>
  <c r="L123" i="12"/>
  <c r="E123" i="12"/>
  <c r="D123" i="12"/>
  <c r="C123" i="12"/>
  <c r="Z122" i="12"/>
  <c r="AC122" i="12" s="1"/>
  <c r="Y122" i="12"/>
  <c r="M122" i="12"/>
  <c r="L122" i="12"/>
  <c r="AB122" i="12" s="1"/>
  <c r="E122" i="12"/>
  <c r="D122" i="12"/>
  <c r="C122" i="12"/>
  <c r="P122" i="12" s="1"/>
  <c r="AC121" i="12"/>
  <c r="Z121" i="12"/>
  <c r="Y121" i="12"/>
  <c r="AB121" i="12" s="1"/>
  <c r="P121" i="12"/>
  <c r="M121" i="12"/>
  <c r="L121" i="12"/>
  <c r="E121" i="12"/>
  <c r="D121" i="12"/>
  <c r="C121" i="12"/>
  <c r="Z120" i="12"/>
  <c r="AC120" i="12" s="1"/>
  <c r="Y120" i="12"/>
  <c r="M120" i="12"/>
  <c r="L120" i="12"/>
  <c r="AB120" i="12" s="1"/>
  <c r="E120" i="12"/>
  <c r="D120" i="12"/>
  <c r="C120" i="12"/>
  <c r="P120" i="12" s="1"/>
  <c r="AC119" i="12"/>
  <c r="Z119" i="12"/>
  <c r="Y119" i="12"/>
  <c r="AB119" i="12" s="1"/>
  <c r="P119" i="12"/>
  <c r="M119" i="12"/>
  <c r="L119" i="12"/>
  <c r="E119" i="12"/>
  <c r="D119" i="12"/>
  <c r="C119" i="12"/>
  <c r="Z118" i="12"/>
  <c r="AC118" i="12" s="1"/>
  <c r="Y118" i="12"/>
  <c r="M118" i="12"/>
  <c r="L118" i="12"/>
  <c r="AB118" i="12" s="1"/>
  <c r="E118" i="12"/>
  <c r="D118" i="12"/>
  <c r="C118" i="12"/>
  <c r="P118" i="12" s="1"/>
  <c r="AC117" i="12"/>
  <c r="Z117" i="12"/>
  <c r="Y117" i="12"/>
  <c r="AB117" i="12" s="1"/>
  <c r="P117" i="12"/>
  <c r="M117" i="12"/>
  <c r="L117" i="12"/>
  <c r="E117" i="12"/>
  <c r="D117" i="12"/>
  <c r="C117" i="12"/>
  <c r="Z116" i="12"/>
  <c r="AC116" i="12" s="1"/>
  <c r="Y116" i="12"/>
  <c r="M116" i="12"/>
  <c r="L116" i="12"/>
  <c r="AB116" i="12" s="1"/>
  <c r="E116" i="12"/>
  <c r="D116" i="12"/>
  <c r="C116" i="12"/>
  <c r="P116" i="12" s="1"/>
  <c r="AC115" i="12"/>
  <c r="Z115" i="12"/>
  <c r="Y115" i="12"/>
  <c r="AB115" i="12" s="1"/>
  <c r="P115" i="12"/>
  <c r="M115" i="12"/>
  <c r="L115" i="12"/>
  <c r="E115" i="12"/>
  <c r="D115" i="12"/>
  <c r="C115" i="12"/>
  <c r="Z114" i="12"/>
  <c r="AC114" i="12" s="1"/>
  <c r="Y114" i="12"/>
  <c r="M114" i="12"/>
  <c r="L114" i="12"/>
  <c r="AB114" i="12" s="1"/>
  <c r="E114" i="12"/>
  <c r="D114" i="12"/>
  <c r="C114" i="12"/>
  <c r="P114" i="12" s="1"/>
  <c r="AC113" i="12"/>
  <c r="Z113" i="12"/>
  <c r="Y113" i="12"/>
  <c r="AB113" i="12" s="1"/>
  <c r="P113" i="12"/>
  <c r="M113" i="12"/>
  <c r="L113" i="12"/>
  <c r="E113" i="12"/>
  <c r="D113" i="12"/>
  <c r="C113" i="12"/>
  <c r="Z112" i="12"/>
  <c r="AC112" i="12" s="1"/>
  <c r="Y112" i="12"/>
  <c r="M112" i="12"/>
  <c r="L112" i="12"/>
  <c r="AB112" i="12" s="1"/>
  <c r="E112" i="12"/>
  <c r="D112" i="12"/>
  <c r="C112" i="12"/>
  <c r="P112" i="12" s="1"/>
  <c r="AC111" i="12"/>
  <c r="Z111" i="12"/>
  <c r="Y111" i="12"/>
  <c r="AB111" i="12" s="1"/>
  <c r="P111" i="12"/>
  <c r="M111" i="12"/>
  <c r="L111" i="12"/>
  <c r="E111" i="12"/>
  <c r="D111" i="12"/>
  <c r="C111" i="12"/>
  <c r="Z110" i="12"/>
  <c r="AC110" i="12" s="1"/>
  <c r="Y110" i="12"/>
  <c r="M110" i="12"/>
  <c r="L110" i="12"/>
  <c r="AB110" i="12" s="1"/>
  <c r="E110" i="12"/>
  <c r="D110" i="12"/>
  <c r="C110" i="12"/>
  <c r="P110" i="12" s="1"/>
  <c r="AC109" i="12"/>
  <c r="Z109" i="12"/>
  <c r="Y109" i="12"/>
  <c r="AB109" i="12" s="1"/>
  <c r="P109" i="12"/>
  <c r="M109" i="12"/>
  <c r="L109" i="12"/>
  <c r="E109" i="12"/>
  <c r="D109" i="12"/>
  <c r="C109" i="12"/>
  <c r="Z108" i="12"/>
  <c r="AC108" i="12" s="1"/>
  <c r="Y108" i="12"/>
  <c r="M108" i="12"/>
  <c r="L108" i="12"/>
  <c r="AB108" i="12" s="1"/>
  <c r="E108" i="12"/>
  <c r="D108" i="12"/>
  <c r="C108" i="12"/>
  <c r="P108" i="12" s="1"/>
  <c r="AC107" i="12"/>
  <c r="Z107" i="12"/>
  <c r="Y107" i="12"/>
  <c r="AB107" i="12" s="1"/>
  <c r="P107" i="12"/>
  <c r="M107" i="12"/>
  <c r="L107" i="12"/>
  <c r="E107" i="12"/>
  <c r="D107" i="12"/>
  <c r="C107" i="12"/>
  <c r="Z106" i="12"/>
  <c r="AC106" i="12" s="1"/>
  <c r="Y106" i="12"/>
  <c r="M106" i="12"/>
  <c r="L106" i="12"/>
  <c r="AB106" i="12" s="1"/>
  <c r="E106" i="12"/>
  <c r="D106" i="12"/>
  <c r="C106" i="12"/>
  <c r="P106" i="12" s="1"/>
  <c r="AC105" i="12"/>
  <c r="Z105" i="12"/>
  <c r="Y105" i="12"/>
  <c r="AB105" i="12" s="1"/>
  <c r="P105" i="12"/>
  <c r="M105" i="12"/>
  <c r="L105" i="12"/>
  <c r="E105" i="12"/>
  <c r="D105" i="12"/>
  <c r="C105" i="12"/>
  <c r="Z104" i="12"/>
  <c r="AC104" i="12" s="1"/>
  <c r="Y104" i="12"/>
  <c r="M104" i="12"/>
  <c r="L104" i="12"/>
  <c r="AB104" i="12" s="1"/>
  <c r="E104" i="12"/>
  <c r="D104" i="12"/>
  <c r="C104" i="12"/>
  <c r="P104" i="12" s="1"/>
  <c r="AC103" i="12"/>
  <c r="Z103" i="12"/>
  <c r="Y103" i="12"/>
  <c r="AB103" i="12" s="1"/>
  <c r="P103" i="12"/>
  <c r="M103" i="12"/>
  <c r="L103" i="12"/>
  <c r="E103" i="12"/>
  <c r="D103" i="12"/>
  <c r="C103" i="12"/>
  <c r="Z102" i="12"/>
  <c r="AC102" i="12" s="1"/>
  <c r="Y102" i="12"/>
  <c r="M102" i="12"/>
  <c r="L102" i="12"/>
  <c r="AB102" i="12" s="1"/>
  <c r="E102" i="12"/>
  <c r="D102" i="12"/>
  <c r="C102" i="12"/>
  <c r="P102" i="12" s="1"/>
  <c r="AC101" i="12"/>
  <c r="Z101" i="12"/>
  <c r="Y101" i="12"/>
  <c r="AB101" i="12" s="1"/>
  <c r="P101" i="12"/>
  <c r="M101" i="12"/>
  <c r="L101" i="12"/>
  <c r="E101" i="12"/>
  <c r="D101" i="12"/>
  <c r="C101" i="12"/>
  <c r="Z100" i="12"/>
  <c r="AC100" i="12" s="1"/>
  <c r="Y100" i="12"/>
  <c r="M100" i="12"/>
  <c r="L100" i="12"/>
  <c r="AB100" i="12" s="1"/>
  <c r="E100" i="12"/>
  <c r="D100" i="12"/>
  <c r="C100" i="12"/>
  <c r="P100" i="12" s="1"/>
  <c r="AC99" i="12"/>
  <c r="Z99" i="12"/>
  <c r="Y99" i="12"/>
  <c r="AB99" i="12" s="1"/>
  <c r="P99" i="12"/>
  <c r="M99" i="12"/>
  <c r="L99" i="12"/>
  <c r="E99" i="12"/>
  <c r="D99" i="12"/>
  <c r="C99" i="12"/>
  <c r="Z98" i="12"/>
  <c r="AC98" i="12" s="1"/>
  <c r="Y98" i="12"/>
  <c r="M98" i="12"/>
  <c r="L98" i="12"/>
  <c r="AB98" i="12" s="1"/>
  <c r="E98" i="12"/>
  <c r="D98" i="12"/>
  <c r="C98" i="12"/>
  <c r="P98" i="12" s="1"/>
  <c r="AC97" i="12"/>
  <c r="Z97" i="12"/>
  <c r="Y97" i="12"/>
  <c r="AB97" i="12" s="1"/>
  <c r="P97" i="12"/>
  <c r="M97" i="12"/>
  <c r="L97" i="12"/>
  <c r="E97" i="12"/>
  <c r="D97" i="12"/>
  <c r="C97" i="12"/>
  <c r="Z96" i="12"/>
  <c r="AC96" i="12" s="1"/>
  <c r="Y96" i="12"/>
  <c r="M96" i="12"/>
  <c r="L96" i="12"/>
  <c r="AB96" i="12" s="1"/>
  <c r="E96" i="12"/>
  <c r="D96" i="12"/>
  <c r="C96" i="12"/>
  <c r="P96" i="12" s="1"/>
  <c r="AC95" i="12"/>
  <c r="Z95" i="12"/>
  <c r="Y95" i="12"/>
  <c r="AB95" i="12" s="1"/>
  <c r="P95" i="12"/>
  <c r="M95" i="12"/>
  <c r="L95" i="12"/>
  <c r="E95" i="12"/>
  <c r="D95" i="12"/>
  <c r="C95" i="12"/>
  <c r="Z94" i="12"/>
  <c r="AC94" i="12" s="1"/>
  <c r="Y94" i="12"/>
  <c r="AB94" i="12" s="1"/>
  <c r="M94" i="12"/>
  <c r="L94" i="12"/>
  <c r="E94" i="12"/>
  <c r="D94" i="12"/>
  <c r="C94" i="12"/>
  <c r="P94" i="12" s="1"/>
  <c r="AC93" i="12"/>
  <c r="Z93" i="12"/>
  <c r="Y93" i="12"/>
  <c r="AB93" i="12" s="1"/>
  <c r="P93" i="12"/>
  <c r="M93" i="12"/>
  <c r="L93" i="12"/>
  <c r="E93" i="12"/>
  <c r="D93" i="12"/>
  <c r="C93" i="12"/>
  <c r="Z92" i="12"/>
  <c r="AC92" i="12" s="1"/>
  <c r="Y92" i="12"/>
  <c r="AB92" i="12" s="1"/>
  <c r="M92" i="12"/>
  <c r="L92" i="12"/>
  <c r="E92" i="12"/>
  <c r="D92" i="12"/>
  <c r="C92" i="12"/>
  <c r="P92" i="12" s="1"/>
  <c r="AC91" i="12"/>
  <c r="Z91" i="12"/>
  <c r="Y91" i="12"/>
  <c r="AB91" i="12" s="1"/>
  <c r="P91" i="12"/>
  <c r="M91" i="12"/>
  <c r="L91" i="12"/>
  <c r="E91" i="12"/>
  <c r="D91" i="12"/>
  <c r="C91" i="12"/>
  <c r="Z90" i="12"/>
  <c r="AC90" i="12" s="1"/>
  <c r="Y90" i="12"/>
  <c r="AB90" i="12" s="1"/>
  <c r="M90" i="12"/>
  <c r="L90" i="12"/>
  <c r="E90" i="12"/>
  <c r="D90" i="12"/>
  <c r="C90" i="12"/>
  <c r="P90" i="12" s="1"/>
  <c r="AC89" i="12"/>
  <c r="Z89" i="12"/>
  <c r="Y89" i="12"/>
  <c r="AB89" i="12" s="1"/>
  <c r="P89" i="12"/>
  <c r="M89" i="12"/>
  <c r="L89" i="12"/>
  <c r="E89" i="12"/>
  <c r="D89" i="12"/>
  <c r="C89" i="12"/>
  <c r="Z88" i="12"/>
  <c r="AC88" i="12" s="1"/>
  <c r="Y88" i="12"/>
  <c r="AB88" i="12" s="1"/>
  <c r="M88" i="12"/>
  <c r="L88" i="12"/>
  <c r="E88" i="12"/>
  <c r="D88" i="12"/>
  <c r="C88" i="12"/>
  <c r="P88" i="12" s="1"/>
  <c r="AC87" i="12"/>
  <c r="Z87" i="12"/>
  <c r="Y87" i="12"/>
  <c r="AB87" i="12" s="1"/>
  <c r="P87" i="12"/>
  <c r="M87" i="12"/>
  <c r="L87" i="12"/>
  <c r="E87" i="12"/>
  <c r="D87" i="12"/>
  <c r="C87" i="12"/>
  <c r="Z86" i="12"/>
  <c r="AC86" i="12" s="1"/>
  <c r="Y86" i="12"/>
  <c r="AB86" i="12" s="1"/>
  <c r="M86" i="12"/>
  <c r="L86" i="12"/>
  <c r="E86" i="12"/>
  <c r="D86" i="12"/>
  <c r="C86" i="12"/>
  <c r="P86" i="12" s="1"/>
  <c r="AC85" i="12"/>
  <c r="Z85" i="12"/>
  <c r="Y85" i="12"/>
  <c r="AB85" i="12" s="1"/>
  <c r="P85" i="12"/>
  <c r="M85" i="12"/>
  <c r="L85" i="12"/>
  <c r="E85" i="12"/>
  <c r="D85" i="12"/>
  <c r="C85" i="12"/>
  <c r="Z84" i="12"/>
  <c r="AC84" i="12" s="1"/>
  <c r="Y84" i="12"/>
  <c r="AB84" i="12" s="1"/>
  <c r="M84" i="12"/>
  <c r="L84" i="12"/>
  <c r="E84" i="12"/>
  <c r="D84" i="12"/>
  <c r="C84" i="12"/>
  <c r="P84" i="12" s="1"/>
  <c r="AC83" i="12"/>
  <c r="Z83" i="12"/>
  <c r="Y83" i="12"/>
  <c r="AB83" i="12" s="1"/>
  <c r="P83" i="12"/>
  <c r="M83" i="12"/>
  <c r="L83" i="12"/>
  <c r="E83" i="12"/>
  <c r="D83" i="12"/>
  <c r="C83" i="12"/>
  <c r="Z82" i="12"/>
  <c r="AC82" i="12" s="1"/>
  <c r="Y82" i="12"/>
  <c r="AB82" i="12" s="1"/>
  <c r="M82" i="12"/>
  <c r="L82" i="12"/>
  <c r="E82" i="12"/>
  <c r="D82" i="12"/>
  <c r="C82" i="12"/>
  <c r="P82" i="12" s="1"/>
  <c r="AC81" i="12"/>
  <c r="Z81" i="12"/>
  <c r="Y81" i="12"/>
  <c r="AB81" i="12" s="1"/>
  <c r="P81" i="12"/>
  <c r="M81" i="12"/>
  <c r="L81" i="12"/>
  <c r="E81" i="12"/>
  <c r="D81" i="12"/>
  <c r="C81" i="12"/>
  <c r="Z80" i="12"/>
  <c r="AC80" i="12" s="1"/>
  <c r="Y80" i="12"/>
  <c r="AB80" i="12" s="1"/>
  <c r="M80" i="12"/>
  <c r="L80" i="12"/>
  <c r="E80" i="12"/>
  <c r="D80" i="12"/>
  <c r="C80" i="12"/>
  <c r="P80" i="12" s="1"/>
  <c r="AC79" i="12"/>
  <c r="Z79" i="12"/>
  <c r="Y79" i="12"/>
  <c r="AB79" i="12" s="1"/>
  <c r="P79" i="12"/>
  <c r="M79" i="12"/>
  <c r="L79" i="12"/>
  <c r="E79" i="12"/>
  <c r="D79" i="12"/>
  <c r="C79" i="12"/>
  <c r="Z78" i="12"/>
  <c r="AC78" i="12" s="1"/>
  <c r="Y78" i="12"/>
  <c r="AB78" i="12" s="1"/>
  <c r="M78" i="12"/>
  <c r="L78" i="12"/>
  <c r="E78" i="12"/>
  <c r="D78" i="12"/>
  <c r="C78" i="12"/>
  <c r="P78" i="12" s="1"/>
  <c r="AC77" i="12"/>
  <c r="Z77" i="12"/>
  <c r="Y77" i="12"/>
  <c r="AB77" i="12" s="1"/>
  <c r="P77" i="12"/>
  <c r="M77" i="12"/>
  <c r="L77" i="12"/>
  <c r="E77" i="12"/>
  <c r="D77" i="12"/>
  <c r="C77" i="12"/>
  <c r="Z76" i="12"/>
  <c r="AC76" i="12" s="1"/>
  <c r="Y76" i="12"/>
  <c r="AB76" i="12" s="1"/>
  <c r="M76" i="12"/>
  <c r="L76" i="12"/>
  <c r="E76" i="12"/>
  <c r="D76" i="12"/>
  <c r="C76" i="12"/>
  <c r="P76" i="12" s="1"/>
  <c r="AC75" i="12"/>
  <c r="Z75" i="12"/>
  <c r="Y75" i="12"/>
  <c r="AB75" i="12" s="1"/>
  <c r="P75" i="12"/>
  <c r="M75" i="12"/>
  <c r="L75" i="12"/>
  <c r="E75" i="12"/>
  <c r="D75" i="12"/>
  <c r="C75" i="12"/>
  <c r="Z74" i="12"/>
  <c r="AC74" i="12" s="1"/>
  <c r="Y74" i="12"/>
  <c r="AB74" i="12" s="1"/>
  <c r="M74" i="12"/>
  <c r="L74" i="12"/>
  <c r="E74" i="12"/>
  <c r="D74" i="12"/>
  <c r="C74" i="12"/>
  <c r="P74" i="12" s="1"/>
  <c r="AC73" i="12"/>
  <c r="Z73" i="12"/>
  <c r="Y73" i="12"/>
  <c r="AB73" i="12" s="1"/>
  <c r="P73" i="12"/>
  <c r="M73" i="12"/>
  <c r="L73" i="12"/>
  <c r="E73" i="12"/>
  <c r="D73" i="12"/>
  <c r="C73" i="12"/>
  <c r="Z72" i="12"/>
  <c r="AC72" i="12" s="1"/>
  <c r="Y72" i="12"/>
  <c r="AB72" i="12" s="1"/>
  <c r="M72" i="12"/>
  <c r="L72" i="12"/>
  <c r="E72" i="12"/>
  <c r="D72" i="12"/>
  <c r="C72" i="12"/>
  <c r="P72" i="12" s="1"/>
  <c r="AC71" i="12"/>
  <c r="AB71" i="12"/>
  <c r="Z71" i="12"/>
  <c r="Y71" i="12"/>
  <c r="P71" i="12"/>
  <c r="M71" i="12"/>
  <c r="L71" i="12"/>
  <c r="E71" i="12"/>
  <c r="D71" i="12"/>
  <c r="C71" i="12"/>
  <c r="Z70" i="12"/>
  <c r="AC70" i="12" s="1"/>
  <c r="Y70" i="12"/>
  <c r="AB70" i="12" s="1"/>
  <c r="M70" i="12"/>
  <c r="L70" i="12"/>
  <c r="E70" i="12"/>
  <c r="D70" i="12"/>
  <c r="C70" i="12"/>
  <c r="P70" i="12" s="1"/>
  <c r="AC69" i="12"/>
  <c r="AB69" i="12"/>
  <c r="Z69" i="12"/>
  <c r="Y69" i="12"/>
  <c r="P69" i="12"/>
  <c r="M69" i="12"/>
  <c r="L69" i="12"/>
  <c r="E69" i="12"/>
  <c r="D69" i="12"/>
  <c r="C69" i="12"/>
  <c r="Z68" i="12"/>
  <c r="AC68" i="12" s="1"/>
  <c r="Y68" i="12"/>
  <c r="AB68" i="12" s="1"/>
  <c r="M68" i="12"/>
  <c r="L68" i="12"/>
  <c r="E68" i="12"/>
  <c r="D68" i="12"/>
  <c r="C68" i="12"/>
  <c r="P68" i="12" s="1"/>
  <c r="AC67" i="12"/>
  <c r="AB67" i="12"/>
  <c r="Z67" i="12"/>
  <c r="Y67" i="12"/>
  <c r="P67" i="12"/>
  <c r="M67" i="12"/>
  <c r="L67" i="12"/>
  <c r="E67" i="12"/>
  <c r="D67" i="12"/>
  <c r="C67" i="12"/>
  <c r="Z66" i="12"/>
  <c r="AC66" i="12" s="1"/>
  <c r="Y66" i="12"/>
  <c r="AB66" i="12" s="1"/>
  <c r="M66" i="12"/>
  <c r="L66" i="12"/>
  <c r="E66" i="12"/>
  <c r="D66" i="12"/>
  <c r="C66" i="12"/>
  <c r="P66" i="12" s="1"/>
  <c r="AC65" i="12"/>
  <c r="AB65" i="12"/>
  <c r="Z65" i="12"/>
  <c r="Y65" i="12"/>
  <c r="P65" i="12"/>
  <c r="M65" i="12"/>
  <c r="L65" i="12"/>
  <c r="E65" i="12"/>
  <c r="D65" i="12"/>
  <c r="C65" i="12"/>
  <c r="Z64" i="12"/>
  <c r="AC64" i="12" s="1"/>
  <c r="Y64" i="12"/>
  <c r="AB64" i="12" s="1"/>
  <c r="M64" i="12"/>
  <c r="L64" i="12"/>
  <c r="E64" i="12"/>
  <c r="D64" i="12"/>
  <c r="C64" i="12"/>
  <c r="P64" i="12" s="1"/>
  <c r="AC63" i="12"/>
  <c r="AB63" i="12"/>
  <c r="Z63" i="12"/>
  <c r="Y63" i="12"/>
  <c r="P63" i="12"/>
  <c r="M63" i="12"/>
  <c r="L63" i="12"/>
  <c r="E63" i="12"/>
  <c r="D63" i="12"/>
  <c r="C63" i="12"/>
  <c r="Z62" i="12"/>
  <c r="AC62" i="12" s="1"/>
  <c r="Y62" i="12"/>
  <c r="AB62" i="12" s="1"/>
  <c r="M62" i="12"/>
  <c r="L62" i="12"/>
  <c r="E62" i="12"/>
  <c r="D62" i="12"/>
  <c r="C62" i="12"/>
  <c r="P62" i="12" s="1"/>
  <c r="AC61" i="12"/>
  <c r="AB61" i="12"/>
  <c r="Z61" i="12"/>
  <c r="Y61" i="12"/>
  <c r="P61" i="12"/>
  <c r="M61" i="12"/>
  <c r="L61" i="12"/>
  <c r="E61" i="12"/>
  <c r="D61" i="12"/>
  <c r="C61" i="12"/>
  <c r="Z60" i="12"/>
  <c r="AC60" i="12" s="1"/>
  <c r="Y60" i="12"/>
  <c r="AB60" i="12" s="1"/>
  <c r="M60" i="12"/>
  <c r="L60" i="12"/>
  <c r="E60" i="12"/>
  <c r="D60" i="12"/>
  <c r="C60" i="12"/>
  <c r="P60" i="12" s="1"/>
  <c r="AC59" i="12"/>
  <c r="AB59" i="12"/>
  <c r="Z59" i="12"/>
  <c r="Y59" i="12"/>
  <c r="P59" i="12"/>
  <c r="M59" i="12"/>
  <c r="L59" i="12"/>
  <c r="E59" i="12"/>
  <c r="D59" i="12"/>
  <c r="C59" i="12"/>
  <c r="Z58" i="12"/>
  <c r="AC58" i="12" s="1"/>
  <c r="Y58" i="12"/>
  <c r="AB58" i="12" s="1"/>
  <c r="M58" i="12"/>
  <c r="L58" i="12"/>
  <c r="E58" i="12"/>
  <c r="D58" i="12"/>
  <c r="C58" i="12"/>
  <c r="P58" i="12" s="1"/>
  <c r="AC57" i="12"/>
  <c r="AB57" i="12"/>
  <c r="Z57" i="12"/>
  <c r="Y57" i="12"/>
  <c r="P57" i="12"/>
  <c r="M57" i="12"/>
  <c r="L57" i="12"/>
  <c r="E57" i="12"/>
  <c r="D57" i="12"/>
  <c r="C57" i="12"/>
  <c r="Z56" i="12"/>
  <c r="AC56" i="12" s="1"/>
  <c r="Y56" i="12"/>
  <c r="AB56" i="12" s="1"/>
  <c r="M56" i="12"/>
  <c r="L56" i="12"/>
  <c r="E56" i="12"/>
  <c r="D56" i="12"/>
  <c r="C56" i="12"/>
  <c r="P56" i="12" s="1"/>
  <c r="AC55" i="12"/>
  <c r="AB55" i="12"/>
  <c r="Z55" i="12"/>
  <c r="Y55" i="12"/>
  <c r="P55" i="12"/>
  <c r="M55" i="12"/>
  <c r="L55" i="12"/>
  <c r="E55" i="12"/>
  <c r="D55" i="12"/>
  <c r="C55" i="12"/>
  <c r="Z54" i="12"/>
  <c r="AC54" i="12" s="1"/>
  <c r="Y54" i="12"/>
  <c r="AB54" i="12" s="1"/>
  <c r="M54" i="12"/>
  <c r="L54" i="12"/>
  <c r="E54" i="12"/>
  <c r="D54" i="12"/>
  <c r="C54" i="12"/>
  <c r="P54" i="12" s="1"/>
  <c r="AC53" i="12"/>
  <c r="AB53" i="12"/>
  <c r="Z53" i="12"/>
  <c r="Y53" i="12"/>
  <c r="P53" i="12"/>
  <c r="M53" i="12"/>
  <c r="L53" i="12"/>
  <c r="E53" i="12"/>
  <c r="D53" i="12"/>
  <c r="C53" i="12"/>
  <c r="Z52" i="12"/>
  <c r="AC52" i="12" s="1"/>
  <c r="Y52" i="12"/>
  <c r="AB52" i="12" s="1"/>
  <c r="M52" i="12"/>
  <c r="L52" i="12"/>
  <c r="E52" i="12"/>
  <c r="D52" i="12"/>
  <c r="C52" i="12"/>
  <c r="P52" i="12" s="1"/>
  <c r="AC51" i="12"/>
  <c r="AB51" i="12"/>
  <c r="Z51" i="12"/>
  <c r="Y51" i="12"/>
  <c r="P51" i="12"/>
  <c r="M51" i="12"/>
  <c r="L51" i="12"/>
  <c r="E51" i="12"/>
  <c r="D51" i="12"/>
  <c r="C51" i="12"/>
  <c r="Z50" i="12"/>
  <c r="AC50" i="12" s="1"/>
  <c r="Y50" i="12"/>
  <c r="AB50" i="12" s="1"/>
  <c r="M50" i="12"/>
  <c r="L50" i="12"/>
  <c r="E50" i="12"/>
  <c r="D50" i="12"/>
  <c r="C50" i="12"/>
  <c r="P50" i="12" s="1"/>
  <c r="AC49" i="12"/>
  <c r="AB49" i="12"/>
  <c r="Z49" i="12"/>
  <c r="Y49" i="12"/>
  <c r="P49" i="12"/>
  <c r="M49" i="12"/>
  <c r="L49" i="12"/>
  <c r="E49" i="12"/>
  <c r="D49" i="12"/>
  <c r="C49" i="12"/>
  <c r="Z48" i="12"/>
  <c r="AC48" i="12" s="1"/>
  <c r="Y48" i="12"/>
  <c r="AB48" i="12" s="1"/>
  <c r="M48" i="12"/>
  <c r="L48" i="12"/>
  <c r="E48" i="12"/>
  <c r="D48" i="12"/>
  <c r="C48" i="12"/>
  <c r="P48" i="12" s="1"/>
  <c r="AC47" i="12"/>
  <c r="AB47" i="12"/>
  <c r="Z47" i="12"/>
  <c r="Y47" i="12"/>
  <c r="P47" i="12"/>
  <c r="M47" i="12"/>
  <c r="L47" i="12"/>
  <c r="E47" i="12"/>
  <c r="D47" i="12"/>
  <c r="C47" i="12"/>
  <c r="Z46" i="12"/>
  <c r="AC46" i="12" s="1"/>
  <c r="Y46" i="12"/>
  <c r="AB46" i="12" s="1"/>
  <c r="M46" i="12"/>
  <c r="L46" i="12"/>
  <c r="E46" i="12"/>
  <c r="D46" i="12"/>
  <c r="C46" i="12"/>
  <c r="P46" i="12" s="1"/>
  <c r="AC45" i="12"/>
  <c r="AB45" i="12"/>
  <c r="Z45" i="12"/>
  <c r="Y45" i="12"/>
  <c r="P45" i="12"/>
  <c r="M45" i="12"/>
  <c r="L45" i="12"/>
  <c r="E45" i="12"/>
  <c r="D45" i="12"/>
  <c r="C45" i="12"/>
  <c r="Z44" i="12"/>
  <c r="AC44" i="12" s="1"/>
  <c r="Y44" i="12"/>
  <c r="AB44" i="12" s="1"/>
  <c r="M44" i="12"/>
  <c r="L44" i="12"/>
  <c r="E44" i="12"/>
  <c r="D44" i="12"/>
  <c r="C44" i="12"/>
  <c r="P44" i="12" s="1"/>
  <c r="AC43" i="12"/>
  <c r="AB43" i="12"/>
  <c r="Z43" i="12"/>
  <c r="Y43" i="12"/>
  <c r="P43" i="12"/>
  <c r="M43" i="12"/>
  <c r="L43" i="12"/>
  <c r="E43" i="12"/>
  <c r="D43" i="12"/>
  <c r="C43" i="12"/>
  <c r="Z42" i="12"/>
  <c r="AC42" i="12" s="1"/>
  <c r="Y42" i="12"/>
  <c r="AB42" i="12" s="1"/>
  <c r="M42" i="12"/>
  <c r="L42" i="12"/>
  <c r="E42" i="12"/>
  <c r="D42" i="12"/>
  <c r="C42" i="12"/>
  <c r="P42" i="12" s="1"/>
  <c r="AC41" i="12"/>
  <c r="AB41" i="12"/>
  <c r="Z41" i="12"/>
  <c r="Y41" i="12"/>
  <c r="P41" i="12"/>
  <c r="M41" i="12"/>
  <c r="L41" i="12"/>
  <c r="E41" i="12"/>
  <c r="D41" i="12"/>
  <c r="C41" i="12"/>
  <c r="Z40" i="12"/>
  <c r="AC40" i="12" s="1"/>
  <c r="Y40" i="12"/>
  <c r="AB40" i="12" s="1"/>
  <c r="M40" i="12"/>
  <c r="L40" i="12"/>
  <c r="E40" i="12"/>
  <c r="D40" i="12"/>
  <c r="C40" i="12"/>
  <c r="P40" i="12" s="1"/>
  <c r="AC39" i="12"/>
  <c r="AB39" i="12"/>
  <c r="Z39" i="12"/>
  <c r="Y39" i="12"/>
  <c r="P39" i="12"/>
  <c r="M39" i="12"/>
  <c r="L39" i="12"/>
  <c r="E39" i="12"/>
  <c r="D39" i="12"/>
  <c r="C39" i="12"/>
  <c r="Z38" i="12"/>
  <c r="AC38" i="12" s="1"/>
  <c r="Y38" i="12"/>
  <c r="AB38" i="12" s="1"/>
  <c r="M38" i="12"/>
  <c r="L38" i="12"/>
  <c r="E38" i="12"/>
  <c r="D38" i="12"/>
  <c r="C38" i="12"/>
  <c r="P38" i="12" s="1"/>
  <c r="AC37" i="12"/>
  <c r="AB37" i="12"/>
  <c r="Z37" i="12"/>
  <c r="Y37" i="12"/>
  <c r="P37" i="12"/>
  <c r="M37" i="12"/>
  <c r="L37" i="12"/>
  <c r="E37" i="12"/>
  <c r="D37" i="12"/>
  <c r="C37" i="12"/>
  <c r="Z36" i="12"/>
  <c r="AC36" i="12" s="1"/>
  <c r="Y36" i="12"/>
  <c r="AB36" i="12" s="1"/>
  <c r="M36" i="12"/>
  <c r="L36" i="12"/>
  <c r="E36" i="12"/>
  <c r="D36" i="12"/>
  <c r="C36" i="12"/>
  <c r="P36" i="12" s="1"/>
  <c r="AC35" i="12"/>
  <c r="AB35" i="12"/>
  <c r="Z35" i="12"/>
  <c r="Y35" i="12"/>
  <c r="P35" i="12"/>
  <c r="M35" i="12"/>
  <c r="L35" i="12"/>
  <c r="E35" i="12"/>
  <c r="D35" i="12"/>
  <c r="C35" i="12"/>
  <c r="Z34" i="12"/>
  <c r="AC34" i="12" s="1"/>
  <c r="Y34" i="12"/>
  <c r="AB34" i="12" s="1"/>
  <c r="M34" i="12"/>
  <c r="L34" i="12"/>
  <c r="E34" i="12"/>
  <c r="D34" i="12"/>
  <c r="C34" i="12"/>
  <c r="P34" i="12" s="1"/>
  <c r="AC33" i="12"/>
  <c r="AB33" i="12"/>
  <c r="Z33" i="12"/>
  <c r="Y33" i="12"/>
  <c r="P33" i="12"/>
  <c r="M33" i="12"/>
  <c r="L33" i="12"/>
  <c r="E33" i="12"/>
  <c r="D33" i="12"/>
  <c r="C33" i="12"/>
  <c r="Z32" i="12"/>
  <c r="AC32" i="12" s="1"/>
  <c r="Y32" i="12"/>
  <c r="AB32" i="12" s="1"/>
  <c r="M32" i="12"/>
  <c r="L32" i="12"/>
  <c r="E32" i="12"/>
  <c r="D32" i="12"/>
  <c r="C32" i="12"/>
  <c r="P32" i="12" s="1"/>
  <c r="AC31" i="12"/>
  <c r="AB31" i="12"/>
  <c r="Z31" i="12"/>
  <c r="Y31" i="12"/>
  <c r="P31" i="12"/>
  <c r="M31" i="12"/>
  <c r="L31" i="12"/>
  <c r="E31" i="12"/>
  <c r="D31" i="12"/>
  <c r="C31" i="12"/>
  <c r="Z30" i="12"/>
  <c r="AC30" i="12" s="1"/>
  <c r="Y30" i="12"/>
  <c r="AB30" i="12" s="1"/>
  <c r="M30" i="12"/>
  <c r="L30" i="12"/>
  <c r="E30" i="12"/>
  <c r="D30" i="12"/>
  <c r="C30" i="12"/>
  <c r="P30" i="12" s="1"/>
  <c r="AC29" i="12"/>
  <c r="AB29" i="12"/>
  <c r="Z29" i="12"/>
  <c r="Y29" i="12"/>
  <c r="P29" i="12"/>
  <c r="M29" i="12"/>
  <c r="L29" i="12"/>
  <c r="E29" i="12"/>
  <c r="D29" i="12"/>
  <c r="C29" i="12"/>
  <c r="Z28" i="12"/>
  <c r="AC28" i="12" s="1"/>
  <c r="Y28" i="12"/>
  <c r="AB28" i="12" s="1"/>
  <c r="M28" i="12"/>
  <c r="L28" i="12"/>
  <c r="E28" i="12"/>
  <c r="D28" i="12"/>
  <c r="C28" i="12"/>
  <c r="P28" i="12" s="1"/>
  <c r="AC27" i="12"/>
  <c r="AB27" i="12"/>
  <c r="Z27" i="12"/>
  <c r="Y27" i="12"/>
  <c r="P27" i="12"/>
  <c r="M27" i="12"/>
  <c r="L27" i="12"/>
  <c r="E27" i="12"/>
  <c r="D27" i="12"/>
  <c r="C27" i="12"/>
  <c r="Z26" i="12"/>
  <c r="AC26" i="12" s="1"/>
  <c r="Y26" i="12"/>
  <c r="AB26" i="12" s="1"/>
  <c r="M26" i="12"/>
  <c r="L26" i="12"/>
  <c r="E26" i="12"/>
  <c r="D26" i="12"/>
  <c r="C26" i="12"/>
  <c r="P26" i="12" s="1"/>
  <c r="AC25" i="12"/>
  <c r="AB25" i="12"/>
  <c r="Z25" i="12"/>
  <c r="Y25" i="12"/>
  <c r="P25" i="12"/>
  <c r="M25" i="12"/>
  <c r="L25" i="12"/>
  <c r="E25" i="12"/>
  <c r="D25" i="12"/>
  <c r="C25" i="12"/>
  <c r="Z24" i="12"/>
  <c r="AC24" i="12" s="1"/>
  <c r="Y24" i="12"/>
  <c r="AB24" i="12" s="1"/>
  <c r="M24" i="12"/>
  <c r="L24" i="12"/>
  <c r="E24" i="12"/>
  <c r="D24" i="12"/>
  <c r="C24" i="12"/>
  <c r="P24" i="12" s="1"/>
  <c r="AC23" i="12"/>
  <c r="AB23" i="12"/>
  <c r="Z23" i="12"/>
  <c r="Y23" i="12"/>
  <c r="P23" i="12"/>
  <c r="M23" i="12"/>
  <c r="L23" i="12"/>
  <c r="E23" i="12"/>
  <c r="D23" i="12"/>
  <c r="C23" i="12"/>
  <c r="Z22" i="12"/>
  <c r="AC22" i="12" s="1"/>
  <c r="Y22" i="12"/>
  <c r="AB22" i="12" s="1"/>
  <c r="M22" i="12"/>
  <c r="L22" i="12"/>
  <c r="E22" i="12"/>
  <c r="D22" i="12"/>
  <c r="C22" i="12"/>
  <c r="P22" i="12" s="1"/>
  <c r="AC21" i="12"/>
  <c r="AB21" i="12"/>
  <c r="Z21" i="12"/>
  <c r="Y21" i="12"/>
  <c r="P21" i="12"/>
  <c r="M21" i="12"/>
  <c r="L21" i="12"/>
  <c r="E21" i="12"/>
  <c r="D21" i="12"/>
  <c r="C21" i="12"/>
  <c r="Z20" i="12"/>
  <c r="AC20" i="12" s="1"/>
  <c r="Y20" i="12"/>
  <c r="AB20" i="12" s="1"/>
  <c r="M20" i="12"/>
  <c r="L20" i="12"/>
  <c r="E20" i="12"/>
  <c r="D20" i="12"/>
  <c r="C20" i="12"/>
  <c r="P20" i="12" s="1"/>
  <c r="AC19" i="12"/>
  <c r="AB19" i="12"/>
  <c r="Z19" i="12"/>
  <c r="Y19" i="12"/>
  <c r="P19" i="12"/>
  <c r="M19" i="12"/>
  <c r="L19" i="12"/>
  <c r="E19" i="12"/>
  <c r="D19" i="12"/>
  <c r="C19" i="12"/>
  <c r="Z18" i="12"/>
  <c r="AC18" i="12" s="1"/>
  <c r="Y18" i="12"/>
  <c r="AB18" i="12" s="1"/>
  <c r="M18" i="12"/>
  <c r="L18" i="12"/>
  <c r="E18" i="12"/>
  <c r="D18" i="12"/>
  <c r="C18" i="12"/>
  <c r="P18" i="12" s="1"/>
  <c r="AC17" i="12"/>
  <c r="AB17" i="12"/>
  <c r="Z17" i="12"/>
  <c r="Y17" i="12"/>
  <c r="P17" i="12"/>
  <c r="M17" i="12"/>
  <c r="L17" i="12"/>
  <c r="E17" i="12"/>
  <c r="D17" i="12"/>
  <c r="C17" i="12"/>
  <c r="Z16" i="12"/>
  <c r="AC16" i="12" s="1"/>
  <c r="Y16" i="12"/>
  <c r="AB16" i="12" s="1"/>
  <c r="M16" i="12"/>
  <c r="L16" i="12"/>
  <c r="E16" i="12"/>
  <c r="D16" i="12"/>
  <c r="C16" i="12"/>
  <c r="P16" i="12" s="1"/>
  <c r="AC15" i="12"/>
  <c r="AB15" i="12"/>
  <c r="Z15" i="12"/>
  <c r="Y15" i="12"/>
  <c r="P15" i="12"/>
  <c r="M15" i="12"/>
  <c r="L15" i="12"/>
  <c r="E15" i="12"/>
  <c r="D15" i="12"/>
  <c r="C15" i="12"/>
  <c r="Z14" i="12"/>
  <c r="AC14" i="12" s="1"/>
  <c r="Y14" i="12"/>
  <c r="AB14" i="12" s="1"/>
  <c r="M14" i="12"/>
  <c r="L14" i="12"/>
  <c r="E14" i="12"/>
  <c r="D14" i="12"/>
  <c r="C14" i="12"/>
  <c r="P14" i="12" s="1"/>
  <c r="AC13" i="12"/>
  <c r="AB13" i="12"/>
  <c r="Z13" i="12"/>
  <c r="Y13" i="12"/>
  <c r="P13" i="12"/>
  <c r="M13" i="12"/>
  <c r="L13" i="12"/>
  <c r="E13" i="12"/>
  <c r="D13" i="12"/>
  <c r="C13" i="12"/>
  <c r="Z12" i="12"/>
  <c r="AC12" i="12" s="1"/>
  <c r="Y12" i="12"/>
  <c r="AB12" i="12" s="1"/>
  <c r="M12" i="12"/>
  <c r="L12" i="12"/>
  <c r="E12" i="12"/>
  <c r="D12" i="12"/>
  <c r="C12" i="12"/>
  <c r="P12" i="12" s="1"/>
  <c r="AC11" i="12"/>
  <c r="AB11" i="12"/>
  <c r="Z11" i="12"/>
  <c r="Y11" i="12"/>
  <c r="P11" i="12"/>
  <c r="M11" i="12"/>
  <c r="L11" i="12"/>
  <c r="E11" i="12"/>
  <c r="D11" i="12"/>
  <c r="C11" i="12"/>
  <c r="Z10" i="12"/>
  <c r="AC10" i="12" s="1"/>
  <c r="Y10" i="12"/>
  <c r="AB10" i="12" s="1"/>
  <c r="M10" i="12"/>
  <c r="L10" i="12"/>
  <c r="E10" i="12"/>
  <c r="D10" i="12"/>
  <c r="C10" i="12"/>
  <c r="P10" i="12" s="1"/>
  <c r="AC9" i="12"/>
  <c r="AB9" i="12"/>
  <c r="Z9" i="12"/>
  <c r="Y9" i="12"/>
  <c r="P9" i="12"/>
  <c r="M9" i="12"/>
  <c r="L9" i="12"/>
  <c r="E9" i="12"/>
  <c r="D9" i="12"/>
  <c r="C9" i="12"/>
  <c r="Z8" i="12"/>
  <c r="AC8" i="12" s="1"/>
  <c r="Y8" i="12"/>
  <c r="AB8" i="12" s="1"/>
  <c r="M8" i="12"/>
  <c r="L8" i="12"/>
  <c r="E8" i="12"/>
  <c r="D8" i="12"/>
  <c r="C8" i="12"/>
  <c r="P8" i="12" s="1"/>
  <c r="AC7" i="12"/>
  <c r="AB7" i="12"/>
  <c r="Z7" i="12"/>
  <c r="Y7" i="12"/>
  <c r="P7" i="12"/>
  <c r="M7" i="12"/>
  <c r="L7" i="12"/>
  <c r="E7" i="12"/>
  <c r="D7" i="12"/>
  <c r="C7" i="12"/>
  <c r="Z6" i="12"/>
  <c r="AC6" i="12" s="1"/>
  <c r="Y6" i="12"/>
  <c r="AB6" i="12" s="1"/>
  <c r="M6" i="12"/>
  <c r="L6" i="12"/>
  <c r="E6" i="12"/>
  <c r="D6" i="12"/>
  <c r="C6" i="12"/>
  <c r="P6" i="12" s="1"/>
  <c r="AC5" i="12"/>
  <c r="AB5" i="12"/>
  <c r="Z5" i="12"/>
  <c r="Y5" i="12"/>
  <c r="P5" i="12"/>
  <c r="M5" i="12"/>
  <c r="L5" i="12"/>
  <c r="E5" i="12"/>
  <c r="D5" i="12"/>
  <c r="C5" i="12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AM148" i="7"/>
  <c r="AM149" i="7"/>
  <c r="AM150" i="7"/>
  <c r="AM151" i="7"/>
  <c r="AM152" i="7"/>
  <c r="AM153" i="7"/>
  <c r="AM154" i="7"/>
  <c r="AM155" i="7"/>
  <c r="AM156" i="7"/>
  <c r="AM157" i="7"/>
  <c r="AM158" i="7"/>
  <c r="AM159" i="7"/>
  <c r="AM160" i="7"/>
  <c r="AM161" i="7"/>
  <c r="AM162" i="7"/>
  <c r="AM163" i="7"/>
  <c r="AM164" i="7"/>
  <c r="AM165" i="7"/>
  <c r="AM166" i="7"/>
  <c r="AM167" i="7"/>
  <c r="AM168" i="7"/>
  <c r="AM169" i="7"/>
  <c r="AM170" i="7"/>
  <c r="AM171" i="7"/>
  <c r="AM172" i="7"/>
  <c r="AM173" i="7"/>
  <c r="AM174" i="7"/>
  <c r="AM175" i="7"/>
  <c r="AM176" i="7"/>
  <c r="AM177" i="7"/>
  <c r="AM178" i="7"/>
  <c r="AM179" i="7"/>
  <c r="AM180" i="7"/>
  <c r="AM181" i="7"/>
  <c r="AM182" i="7"/>
  <c r="AM183" i="7"/>
  <c r="AM184" i="7"/>
  <c r="AM185" i="7"/>
  <c r="AM186" i="7"/>
  <c r="AM187" i="7"/>
  <c r="AM188" i="7"/>
  <c r="AM189" i="7"/>
  <c r="AM190" i="7"/>
  <c r="AM191" i="7"/>
  <c r="AM192" i="7"/>
  <c r="AM193" i="7"/>
  <c r="AM194" i="7"/>
  <c r="AM195" i="7"/>
  <c r="AM196" i="7"/>
  <c r="AM197" i="7"/>
  <c r="AM198" i="7"/>
  <c r="AM199" i="7"/>
  <c r="AM200" i="7"/>
  <c r="AM201" i="7"/>
  <c r="AM202" i="7"/>
  <c r="AM203" i="7"/>
  <c r="AM204" i="7"/>
  <c r="AM205" i="7"/>
  <c r="AM206" i="7"/>
  <c r="AM207" i="7"/>
  <c r="AM208" i="7"/>
  <c r="AM209" i="7"/>
  <c r="AM210" i="7"/>
  <c r="AM211" i="7"/>
  <c r="AM212" i="7"/>
  <c r="AM213" i="7"/>
  <c r="AM214" i="7"/>
  <c r="AM215" i="7"/>
  <c r="AM216" i="7"/>
  <c r="AM217" i="7"/>
  <c r="AM218" i="7"/>
  <c r="AM219" i="7"/>
  <c r="AM220" i="7"/>
  <c r="AM221" i="7"/>
  <c r="AM222" i="7"/>
  <c r="AM223" i="7"/>
  <c r="AM224" i="7"/>
  <c r="AM225" i="7"/>
  <c r="AM226" i="7"/>
  <c r="AM227" i="7"/>
  <c r="AM228" i="7"/>
  <c r="AM229" i="7"/>
  <c r="AM230" i="7"/>
  <c r="AM231" i="7"/>
  <c r="AM232" i="7"/>
  <c r="AM233" i="7"/>
  <c r="AM234" i="7"/>
  <c r="AM235" i="7"/>
  <c r="AM236" i="7"/>
  <c r="AM237" i="7"/>
  <c r="AM238" i="7"/>
  <c r="AM239" i="7"/>
  <c r="AM240" i="7"/>
  <c r="AM241" i="7"/>
  <c r="AM242" i="7"/>
  <c r="AM243" i="7"/>
  <c r="AM244" i="7"/>
  <c r="AM245" i="7"/>
  <c r="AM246" i="7"/>
  <c r="AM247" i="7"/>
  <c r="AM248" i="7"/>
  <c r="AM249" i="7"/>
  <c r="AM250" i="7"/>
  <c r="AM251" i="7"/>
  <c r="AM252" i="7"/>
  <c r="AM253" i="7"/>
  <c r="AM254" i="7"/>
  <c r="AM255" i="7"/>
  <c r="AM256" i="7"/>
  <c r="AM257" i="7"/>
  <c r="AM258" i="7"/>
  <c r="AM259" i="7"/>
  <c r="AM260" i="7"/>
  <c r="AM261" i="7"/>
  <c r="AM262" i="7"/>
  <c r="AM263" i="7"/>
  <c r="AM264" i="7"/>
  <c r="AM265" i="7"/>
  <c r="AM266" i="7"/>
  <c r="AM267" i="7"/>
  <c r="AM268" i="7"/>
  <c r="AM269" i="7"/>
  <c r="AM270" i="7"/>
  <c r="AM271" i="7"/>
  <c r="AM272" i="7"/>
  <c r="AM273" i="7"/>
  <c r="AM274" i="7"/>
  <c r="AM275" i="7"/>
  <c r="AM276" i="7"/>
  <c r="AM277" i="7"/>
  <c r="AM278" i="7"/>
  <c r="AM279" i="7"/>
  <c r="AM280" i="7"/>
  <c r="AM281" i="7"/>
  <c r="AM282" i="7"/>
  <c r="AM283" i="7"/>
  <c r="AM284" i="7"/>
  <c r="AM285" i="7"/>
  <c r="AM286" i="7"/>
  <c r="AM287" i="7"/>
  <c r="AM288" i="7"/>
  <c r="AM289" i="7"/>
  <c r="AM290" i="7"/>
  <c r="AM291" i="7"/>
  <c r="AM292" i="7"/>
  <c r="AM293" i="7"/>
  <c r="AM294" i="7"/>
  <c r="AM295" i="7"/>
  <c r="AM296" i="7"/>
  <c r="AM297" i="7"/>
  <c r="AM298" i="7"/>
  <c r="AM299" i="7"/>
  <c r="AM300" i="7"/>
  <c r="AM301" i="7"/>
  <c r="AM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5" i="7"/>
  <c r="AJ302" i="7"/>
  <c r="AI302" i="7"/>
  <c r="AJ301" i="7"/>
  <c r="AI301" i="7"/>
  <c r="AJ300" i="7"/>
  <c r="AI300" i="7"/>
  <c r="AJ299" i="7"/>
  <c r="AI299" i="7"/>
  <c r="AJ298" i="7"/>
  <c r="AI298" i="7"/>
  <c r="AJ297" i="7"/>
  <c r="AI297" i="7"/>
  <c r="AJ296" i="7"/>
  <c r="AI296" i="7"/>
  <c r="AJ295" i="7"/>
  <c r="AI295" i="7"/>
  <c r="AJ294" i="7"/>
  <c r="AI294" i="7"/>
  <c r="AJ293" i="7"/>
  <c r="AI293" i="7"/>
  <c r="AJ292" i="7"/>
  <c r="AI292" i="7"/>
  <c r="AJ291" i="7"/>
  <c r="AI291" i="7"/>
  <c r="AJ290" i="7"/>
  <c r="AI290" i="7"/>
  <c r="AJ289" i="7"/>
  <c r="AI289" i="7"/>
  <c r="AJ288" i="7"/>
  <c r="AI288" i="7"/>
  <c r="AJ287" i="7"/>
  <c r="AI287" i="7"/>
  <c r="AJ286" i="7"/>
  <c r="AI286" i="7"/>
  <c r="AJ285" i="7"/>
  <c r="AI285" i="7"/>
  <c r="AJ284" i="7"/>
  <c r="AI284" i="7"/>
  <c r="AJ283" i="7"/>
  <c r="AI283" i="7"/>
  <c r="AJ282" i="7"/>
  <c r="AI282" i="7"/>
  <c r="AJ281" i="7"/>
  <c r="AI281" i="7"/>
  <c r="AJ280" i="7"/>
  <c r="AI280" i="7"/>
  <c r="AJ279" i="7"/>
  <c r="AI279" i="7"/>
  <c r="AJ278" i="7"/>
  <c r="AI278" i="7"/>
  <c r="AJ277" i="7"/>
  <c r="AI277" i="7"/>
  <c r="AJ276" i="7"/>
  <c r="AI276" i="7"/>
  <c r="AJ275" i="7"/>
  <c r="AI275" i="7"/>
  <c r="AJ274" i="7"/>
  <c r="AI274" i="7"/>
  <c r="AJ273" i="7"/>
  <c r="AI273" i="7"/>
  <c r="AJ272" i="7"/>
  <c r="AI272" i="7"/>
  <c r="AJ271" i="7"/>
  <c r="AI271" i="7"/>
  <c r="AJ270" i="7"/>
  <c r="AI270" i="7"/>
  <c r="AJ269" i="7"/>
  <c r="AI269" i="7"/>
  <c r="AJ268" i="7"/>
  <c r="AI268" i="7"/>
  <c r="AJ267" i="7"/>
  <c r="AI267" i="7"/>
  <c r="AJ266" i="7"/>
  <c r="AI266" i="7"/>
  <c r="AJ265" i="7"/>
  <c r="AI265" i="7"/>
  <c r="AJ264" i="7"/>
  <c r="AI264" i="7"/>
  <c r="AJ263" i="7"/>
  <c r="AI263" i="7"/>
  <c r="AJ262" i="7"/>
  <c r="AI262" i="7"/>
  <c r="AJ261" i="7"/>
  <c r="AI261" i="7"/>
  <c r="AJ260" i="7"/>
  <c r="AI260" i="7"/>
  <c r="AJ259" i="7"/>
  <c r="AI259" i="7"/>
  <c r="AJ258" i="7"/>
  <c r="AI258" i="7"/>
  <c r="AJ257" i="7"/>
  <c r="AI257" i="7"/>
  <c r="AJ256" i="7"/>
  <c r="AI256" i="7"/>
  <c r="AJ255" i="7"/>
  <c r="AI255" i="7"/>
  <c r="AJ254" i="7"/>
  <c r="AI254" i="7"/>
  <c r="AJ253" i="7"/>
  <c r="AI253" i="7"/>
  <c r="AJ252" i="7"/>
  <c r="AI252" i="7"/>
  <c r="AJ251" i="7"/>
  <c r="AI251" i="7"/>
  <c r="AJ250" i="7"/>
  <c r="AI250" i="7"/>
  <c r="AJ249" i="7"/>
  <c r="AI249" i="7"/>
  <c r="AJ248" i="7"/>
  <c r="AI248" i="7"/>
  <c r="AJ247" i="7"/>
  <c r="AI247" i="7"/>
  <c r="AJ246" i="7"/>
  <c r="AI246" i="7"/>
  <c r="AJ245" i="7"/>
  <c r="AI245" i="7"/>
  <c r="AJ244" i="7"/>
  <c r="AI244" i="7"/>
  <c r="AJ243" i="7"/>
  <c r="AI243" i="7"/>
  <c r="AJ242" i="7"/>
  <c r="AI242" i="7"/>
  <c r="AJ241" i="7"/>
  <c r="AI241" i="7"/>
  <c r="AJ240" i="7"/>
  <c r="AI240" i="7"/>
  <c r="AJ239" i="7"/>
  <c r="AI239" i="7"/>
  <c r="AJ238" i="7"/>
  <c r="AI238" i="7"/>
  <c r="AJ237" i="7"/>
  <c r="AI237" i="7"/>
  <c r="AJ236" i="7"/>
  <c r="AI236" i="7"/>
  <c r="AJ235" i="7"/>
  <c r="AI235" i="7"/>
  <c r="AJ234" i="7"/>
  <c r="AI234" i="7"/>
  <c r="AJ233" i="7"/>
  <c r="AI233" i="7"/>
  <c r="AJ232" i="7"/>
  <c r="AI232" i="7"/>
  <c r="AJ231" i="7"/>
  <c r="AI231" i="7"/>
  <c r="AJ230" i="7"/>
  <c r="AI230" i="7"/>
  <c r="AJ229" i="7"/>
  <c r="AI229" i="7"/>
  <c r="AJ228" i="7"/>
  <c r="AI228" i="7"/>
  <c r="AJ227" i="7"/>
  <c r="AI227" i="7"/>
  <c r="AJ226" i="7"/>
  <c r="AI226" i="7"/>
  <c r="AJ225" i="7"/>
  <c r="AI225" i="7"/>
  <c r="AJ224" i="7"/>
  <c r="AI224" i="7"/>
  <c r="AJ223" i="7"/>
  <c r="AI223" i="7"/>
  <c r="AJ222" i="7"/>
  <c r="AI222" i="7"/>
  <c r="AJ221" i="7"/>
  <c r="AI221" i="7"/>
  <c r="AJ220" i="7"/>
  <c r="AI220" i="7"/>
  <c r="AJ219" i="7"/>
  <c r="AI219" i="7"/>
  <c r="AJ218" i="7"/>
  <c r="AI218" i="7"/>
  <c r="AJ217" i="7"/>
  <c r="AI217" i="7"/>
  <c r="AJ216" i="7"/>
  <c r="AI216" i="7"/>
  <c r="AJ215" i="7"/>
  <c r="AI215" i="7"/>
  <c r="AJ214" i="7"/>
  <c r="AI214" i="7"/>
  <c r="AJ213" i="7"/>
  <c r="AI213" i="7"/>
  <c r="AJ212" i="7"/>
  <c r="AI212" i="7"/>
  <c r="AJ211" i="7"/>
  <c r="AI211" i="7"/>
  <c r="AJ210" i="7"/>
  <c r="AI210" i="7"/>
  <c r="AJ209" i="7"/>
  <c r="AI209" i="7"/>
  <c r="AJ208" i="7"/>
  <c r="AI208" i="7"/>
  <c r="AJ207" i="7"/>
  <c r="AI207" i="7"/>
  <c r="AJ206" i="7"/>
  <c r="AI206" i="7"/>
  <c r="AJ205" i="7"/>
  <c r="AI205" i="7"/>
  <c r="AJ204" i="7"/>
  <c r="AI204" i="7"/>
  <c r="AJ203" i="7"/>
  <c r="AI203" i="7"/>
  <c r="AJ202" i="7"/>
  <c r="AI202" i="7"/>
  <c r="AJ201" i="7"/>
  <c r="AI201" i="7"/>
  <c r="AJ200" i="7"/>
  <c r="AI200" i="7"/>
  <c r="AJ199" i="7"/>
  <c r="AI199" i="7"/>
  <c r="AJ198" i="7"/>
  <c r="AI198" i="7"/>
  <c r="AJ197" i="7"/>
  <c r="AI197" i="7"/>
  <c r="AJ196" i="7"/>
  <c r="AI196" i="7"/>
  <c r="AJ195" i="7"/>
  <c r="AI195" i="7"/>
  <c r="AJ194" i="7"/>
  <c r="AI194" i="7"/>
  <c r="AJ193" i="7"/>
  <c r="AI193" i="7"/>
  <c r="AJ192" i="7"/>
  <c r="AI192" i="7"/>
  <c r="AJ191" i="7"/>
  <c r="AI191" i="7"/>
  <c r="AJ190" i="7"/>
  <c r="AI190" i="7"/>
  <c r="AJ189" i="7"/>
  <c r="AI189" i="7"/>
  <c r="AJ188" i="7"/>
  <c r="AI188" i="7"/>
  <c r="AJ187" i="7"/>
  <c r="AI187" i="7"/>
  <c r="AJ186" i="7"/>
  <c r="AI186" i="7"/>
  <c r="AJ185" i="7"/>
  <c r="AI185" i="7"/>
  <c r="AJ184" i="7"/>
  <c r="AI184" i="7"/>
  <c r="AJ183" i="7"/>
  <c r="AI183" i="7"/>
  <c r="AJ182" i="7"/>
  <c r="AI182" i="7"/>
  <c r="AJ181" i="7"/>
  <c r="AI181" i="7"/>
  <c r="AJ180" i="7"/>
  <c r="AI180" i="7"/>
  <c r="AJ179" i="7"/>
  <c r="AI179" i="7"/>
  <c r="AJ178" i="7"/>
  <c r="AI178" i="7"/>
  <c r="AJ177" i="7"/>
  <c r="AI177" i="7"/>
  <c r="AJ176" i="7"/>
  <c r="AI176" i="7"/>
  <c r="AJ175" i="7"/>
  <c r="AI175" i="7"/>
  <c r="AJ174" i="7"/>
  <c r="AI174" i="7"/>
  <c r="AJ173" i="7"/>
  <c r="AI173" i="7"/>
  <c r="AJ172" i="7"/>
  <c r="AI172" i="7"/>
  <c r="AJ171" i="7"/>
  <c r="AI171" i="7"/>
  <c r="AJ170" i="7"/>
  <c r="AI170" i="7"/>
  <c r="AJ169" i="7"/>
  <c r="AI169" i="7"/>
  <c r="AJ168" i="7"/>
  <c r="AI168" i="7"/>
  <c r="AJ167" i="7"/>
  <c r="AI167" i="7"/>
  <c r="AJ166" i="7"/>
  <c r="AI166" i="7"/>
  <c r="AJ165" i="7"/>
  <c r="AI165" i="7"/>
  <c r="AJ164" i="7"/>
  <c r="AI164" i="7"/>
  <c r="AJ163" i="7"/>
  <c r="AI163" i="7"/>
  <c r="AJ162" i="7"/>
  <c r="AI162" i="7"/>
  <c r="AJ161" i="7"/>
  <c r="AI161" i="7"/>
  <c r="AJ160" i="7"/>
  <c r="AI160" i="7"/>
  <c r="AJ159" i="7"/>
  <c r="AI159" i="7"/>
  <c r="AJ158" i="7"/>
  <c r="AI158" i="7"/>
  <c r="AJ157" i="7"/>
  <c r="AI157" i="7"/>
  <c r="AJ156" i="7"/>
  <c r="AI156" i="7"/>
  <c r="AJ155" i="7"/>
  <c r="AI155" i="7"/>
  <c r="AJ154" i="7"/>
  <c r="AI154" i="7"/>
  <c r="AJ153" i="7"/>
  <c r="AI153" i="7"/>
  <c r="AJ152" i="7"/>
  <c r="AI152" i="7"/>
  <c r="AJ151" i="7"/>
  <c r="AI151" i="7"/>
  <c r="AJ150" i="7"/>
  <c r="AI150" i="7"/>
  <c r="AJ149" i="7"/>
  <c r="AI149" i="7"/>
  <c r="AJ148" i="7"/>
  <c r="AI148" i="7"/>
  <c r="AJ147" i="7"/>
  <c r="AI147" i="7"/>
  <c r="AJ146" i="7"/>
  <c r="AI146" i="7"/>
  <c r="AJ145" i="7"/>
  <c r="AI145" i="7"/>
  <c r="AJ144" i="7"/>
  <c r="AI144" i="7"/>
  <c r="AJ143" i="7"/>
  <c r="AI143" i="7"/>
  <c r="AJ142" i="7"/>
  <c r="AI142" i="7"/>
  <c r="AJ141" i="7"/>
  <c r="AI141" i="7"/>
  <c r="AJ140" i="7"/>
  <c r="AI140" i="7"/>
  <c r="AJ139" i="7"/>
  <c r="AI139" i="7"/>
  <c r="AJ138" i="7"/>
  <c r="AI138" i="7"/>
  <c r="AJ137" i="7"/>
  <c r="AI137" i="7"/>
  <c r="AJ136" i="7"/>
  <c r="AI136" i="7"/>
  <c r="AJ135" i="7"/>
  <c r="AI135" i="7"/>
  <c r="AJ134" i="7"/>
  <c r="AI134" i="7"/>
  <c r="AJ133" i="7"/>
  <c r="AI133" i="7"/>
  <c r="AJ132" i="7"/>
  <c r="AI132" i="7"/>
  <c r="AJ131" i="7"/>
  <c r="AI131" i="7"/>
  <c r="AJ130" i="7"/>
  <c r="AI130" i="7"/>
  <c r="AJ129" i="7"/>
  <c r="AI129" i="7"/>
  <c r="AJ128" i="7"/>
  <c r="AI128" i="7"/>
  <c r="AJ127" i="7"/>
  <c r="AI127" i="7"/>
  <c r="AJ126" i="7"/>
  <c r="AI126" i="7"/>
  <c r="AJ125" i="7"/>
  <c r="AI125" i="7"/>
  <c r="AJ124" i="7"/>
  <c r="AI124" i="7"/>
  <c r="AJ123" i="7"/>
  <c r="AI123" i="7"/>
  <c r="AJ122" i="7"/>
  <c r="AI122" i="7"/>
  <c r="AJ121" i="7"/>
  <c r="AI121" i="7"/>
  <c r="AJ120" i="7"/>
  <c r="AI120" i="7"/>
  <c r="AJ119" i="7"/>
  <c r="AI119" i="7"/>
  <c r="AJ118" i="7"/>
  <c r="AI118" i="7"/>
  <c r="AJ117" i="7"/>
  <c r="AI117" i="7"/>
  <c r="AJ116" i="7"/>
  <c r="AI116" i="7"/>
  <c r="AJ115" i="7"/>
  <c r="AI115" i="7"/>
  <c r="AJ114" i="7"/>
  <c r="AI114" i="7"/>
  <c r="AJ113" i="7"/>
  <c r="AI113" i="7"/>
  <c r="AJ112" i="7"/>
  <c r="AI112" i="7"/>
  <c r="AJ111" i="7"/>
  <c r="AI111" i="7"/>
  <c r="AJ110" i="7"/>
  <c r="AI110" i="7"/>
  <c r="AJ109" i="7"/>
  <c r="AI109" i="7"/>
  <c r="AJ108" i="7"/>
  <c r="AI108" i="7"/>
  <c r="AJ107" i="7"/>
  <c r="AI107" i="7"/>
  <c r="AJ106" i="7"/>
  <c r="AI106" i="7"/>
  <c r="AJ105" i="7"/>
  <c r="AI105" i="7"/>
  <c r="AJ104" i="7"/>
  <c r="AI104" i="7"/>
  <c r="AJ103" i="7"/>
  <c r="AI103" i="7"/>
  <c r="AJ102" i="7"/>
  <c r="AI102" i="7"/>
  <c r="AJ101" i="7"/>
  <c r="AI101" i="7"/>
  <c r="AJ100" i="7"/>
  <c r="AI100" i="7"/>
  <c r="AJ99" i="7"/>
  <c r="AI99" i="7"/>
  <c r="AJ98" i="7"/>
  <c r="AI98" i="7"/>
  <c r="AJ97" i="7"/>
  <c r="AI97" i="7"/>
  <c r="AJ96" i="7"/>
  <c r="AI96" i="7"/>
  <c r="AJ95" i="7"/>
  <c r="AI95" i="7"/>
  <c r="AJ94" i="7"/>
  <c r="AI94" i="7"/>
  <c r="AJ93" i="7"/>
  <c r="AI93" i="7"/>
  <c r="AJ92" i="7"/>
  <c r="AI92" i="7"/>
  <c r="AJ91" i="7"/>
  <c r="AI91" i="7"/>
  <c r="AJ90" i="7"/>
  <c r="AI90" i="7"/>
  <c r="AJ89" i="7"/>
  <c r="AI89" i="7"/>
  <c r="AJ88" i="7"/>
  <c r="AI88" i="7"/>
  <c r="AJ87" i="7"/>
  <c r="AI87" i="7"/>
  <c r="AJ86" i="7"/>
  <c r="AI86" i="7"/>
  <c r="AJ85" i="7"/>
  <c r="AI85" i="7"/>
  <c r="AJ84" i="7"/>
  <c r="AI84" i="7"/>
  <c r="AJ83" i="7"/>
  <c r="AI83" i="7"/>
  <c r="AJ82" i="7"/>
  <c r="AI82" i="7"/>
  <c r="AJ81" i="7"/>
  <c r="AI81" i="7"/>
  <c r="AJ80" i="7"/>
  <c r="AI80" i="7"/>
  <c r="AJ79" i="7"/>
  <c r="AI79" i="7"/>
  <c r="AJ78" i="7"/>
  <c r="AI78" i="7"/>
  <c r="AJ77" i="7"/>
  <c r="AI77" i="7"/>
  <c r="AJ76" i="7"/>
  <c r="AI76" i="7"/>
  <c r="AJ75" i="7"/>
  <c r="AI75" i="7"/>
  <c r="AJ74" i="7"/>
  <c r="AI74" i="7"/>
  <c r="AJ73" i="7"/>
  <c r="AI73" i="7"/>
  <c r="AJ72" i="7"/>
  <c r="AI72" i="7"/>
  <c r="AJ71" i="7"/>
  <c r="AI71" i="7"/>
  <c r="AJ70" i="7"/>
  <c r="AI70" i="7"/>
  <c r="AJ69" i="7"/>
  <c r="AI69" i="7"/>
  <c r="AJ68" i="7"/>
  <c r="AI68" i="7"/>
  <c r="AJ67" i="7"/>
  <c r="AI67" i="7"/>
  <c r="AJ66" i="7"/>
  <c r="AI66" i="7"/>
  <c r="AJ65" i="7"/>
  <c r="AI65" i="7"/>
  <c r="AJ64" i="7"/>
  <c r="AI64" i="7"/>
  <c r="AJ63" i="7"/>
  <c r="AI63" i="7"/>
  <c r="AJ62" i="7"/>
  <c r="AI62" i="7"/>
  <c r="AJ61" i="7"/>
  <c r="AI61" i="7"/>
  <c r="AJ60" i="7"/>
  <c r="AI60" i="7"/>
  <c r="AJ59" i="7"/>
  <c r="AI59" i="7"/>
  <c r="AJ58" i="7"/>
  <c r="AI58" i="7"/>
  <c r="AJ57" i="7"/>
  <c r="AI57" i="7"/>
  <c r="AJ56" i="7"/>
  <c r="AI56" i="7"/>
  <c r="AJ55" i="7"/>
  <c r="AI55" i="7"/>
  <c r="AJ54" i="7"/>
  <c r="AI54" i="7"/>
  <c r="AJ53" i="7"/>
  <c r="AI53" i="7"/>
  <c r="AJ52" i="7"/>
  <c r="AI52" i="7"/>
  <c r="AJ51" i="7"/>
  <c r="AI51" i="7"/>
  <c r="AJ50" i="7"/>
  <c r="AI50" i="7"/>
  <c r="AJ49" i="7"/>
  <c r="AI49" i="7"/>
  <c r="AJ48" i="7"/>
  <c r="AI48" i="7"/>
  <c r="AJ47" i="7"/>
  <c r="AI47" i="7"/>
  <c r="AJ46" i="7"/>
  <c r="AI46" i="7"/>
  <c r="AJ45" i="7"/>
  <c r="AI45" i="7"/>
  <c r="AJ44" i="7"/>
  <c r="AI44" i="7"/>
  <c r="AJ43" i="7"/>
  <c r="AI43" i="7"/>
  <c r="AJ42" i="7"/>
  <c r="AI42" i="7"/>
  <c r="AJ41" i="7"/>
  <c r="AI41" i="7"/>
  <c r="AJ40" i="7"/>
  <c r="AI40" i="7"/>
  <c r="AJ39" i="7"/>
  <c r="AI39" i="7"/>
  <c r="AJ38" i="7"/>
  <c r="AI38" i="7"/>
  <c r="AJ37" i="7"/>
  <c r="AI37" i="7"/>
  <c r="AJ36" i="7"/>
  <c r="AI36" i="7"/>
  <c r="AJ35" i="7"/>
  <c r="AI35" i="7"/>
  <c r="AJ34" i="7"/>
  <c r="AI34" i="7"/>
  <c r="AJ33" i="7"/>
  <c r="AI33" i="7"/>
  <c r="AJ32" i="7"/>
  <c r="AI32" i="7"/>
  <c r="AJ31" i="7"/>
  <c r="AI31" i="7"/>
  <c r="AJ30" i="7"/>
  <c r="AI30" i="7"/>
  <c r="AJ29" i="7"/>
  <c r="AI29" i="7"/>
  <c r="AJ28" i="7"/>
  <c r="AI28" i="7"/>
  <c r="AJ27" i="7"/>
  <c r="AI27" i="7"/>
  <c r="AJ26" i="7"/>
  <c r="AI26" i="7"/>
  <c r="AJ25" i="7"/>
  <c r="AI25" i="7"/>
  <c r="AJ24" i="7"/>
  <c r="AI24" i="7"/>
  <c r="AJ23" i="7"/>
  <c r="AI23" i="7"/>
  <c r="AJ22" i="7"/>
  <c r="AI22" i="7"/>
  <c r="AJ21" i="7"/>
  <c r="AI21" i="7"/>
  <c r="AJ20" i="7"/>
  <c r="AI20" i="7"/>
  <c r="AJ19" i="7"/>
  <c r="AI19" i="7"/>
  <c r="AJ18" i="7"/>
  <c r="AI18" i="7"/>
  <c r="AJ17" i="7"/>
  <c r="AI17" i="7"/>
  <c r="AJ16" i="7"/>
  <c r="AI16" i="7"/>
  <c r="AJ15" i="7"/>
  <c r="AI15" i="7"/>
  <c r="AJ14" i="7"/>
  <c r="AI14" i="7"/>
  <c r="AJ13" i="7"/>
  <c r="AI13" i="7"/>
  <c r="AJ12" i="7"/>
  <c r="AI12" i="7"/>
  <c r="AJ11" i="7"/>
  <c r="AI11" i="7"/>
  <c r="AJ10" i="7"/>
  <c r="AI10" i="7"/>
  <c r="AJ9" i="7"/>
  <c r="AI9" i="7"/>
  <c r="AJ8" i="7"/>
  <c r="AI8" i="7"/>
  <c r="AJ7" i="7"/>
  <c r="AI7" i="7"/>
  <c r="AJ6" i="7"/>
  <c r="AI6" i="7"/>
  <c r="AJ5" i="7"/>
  <c r="AI5" i="7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Z5" i="2"/>
  <c r="Y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AC73" i="16" l="1"/>
  <c r="AC77" i="16"/>
  <c r="AC81" i="16"/>
  <c r="AC85" i="16"/>
  <c r="AC89" i="16"/>
  <c r="AC93" i="16"/>
  <c r="AC97" i="16"/>
  <c r="AB158" i="16"/>
  <c r="AC164" i="16"/>
  <c r="AB166" i="16"/>
  <c r="AC158" i="16"/>
  <c r="AB160" i="16"/>
  <c r="AC160" i="16"/>
  <c r="AB241" i="16"/>
  <c r="AB249" i="16"/>
  <c r="AB257" i="16"/>
  <c r="AB265" i="16"/>
  <c r="AB273" i="16"/>
  <c r="AB281" i="16"/>
  <c r="AB289" i="16"/>
  <c r="AB297" i="16"/>
  <c r="AC215" i="16"/>
  <c r="AC219" i="16"/>
  <c r="AC223" i="16"/>
  <c r="AC227" i="16"/>
  <c r="AC231" i="16"/>
  <c r="AC235" i="16"/>
  <c r="AC241" i="16"/>
  <c r="AB243" i="16"/>
  <c r="AC249" i="16"/>
  <c r="AB251" i="16"/>
  <c r="AC257" i="16"/>
  <c r="AB259" i="16"/>
  <c r="AC265" i="16"/>
  <c r="AB267" i="16"/>
  <c r="AC273" i="16"/>
  <c r="AB275" i="16"/>
  <c r="AC281" i="16"/>
  <c r="AB283" i="16"/>
  <c r="AC289" i="16"/>
  <c r="AB291" i="16"/>
  <c r="AC297" i="16"/>
  <c r="AB299" i="16"/>
  <c r="AC116" i="15"/>
  <c r="AC126" i="15"/>
  <c r="AC134" i="15"/>
  <c r="AC142" i="15"/>
  <c r="AC150" i="15"/>
  <c r="AC158" i="15"/>
  <c r="AC166" i="15"/>
  <c r="AC174" i="15"/>
  <c r="AC182" i="15"/>
  <c r="AC190" i="15"/>
  <c r="AC198" i="15"/>
  <c r="AC206" i="15"/>
  <c r="AC299" i="15"/>
  <c r="AC110" i="15"/>
  <c r="AC118" i="15"/>
  <c r="AC128" i="15"/>
  <c r="AC136" i="15"/>
  <c r="AC144" i="15"/>
  <c r="AC152" i="15"/>
  <c r="AC160" i="15"/>
  <c r="AC168" i="15"/>
  <c r="AC176" i="15"/>
  <c r="AC184" i="15"/>
  <c r="AC192" i="15"/>
  <c r="AC200" i="15"/>
  <c r="AC208" i="15"/>
  <c r="AB100" i="15"/>
  <c r="AB104" i="15"/>
  <c r="AB108" i="15"/>
  <c r="AC112" i="15"/>
  <c r="AB114" i="15"/>
  <c r="AC122" i="15"/>
  <c r="AB124" i="15"/>
  <c r="AC130" i="15"/>
  <c r="AB132" i="15"/>
  <c r="AC138" i="15"/>
  <c r="AB140" i="15"/>
  <c r="AC146" i="15"/>
  <c r="AB148" i="15"/>
  <c r="AC154" i="15"/>
  <c r="AB156" i="15"/>
  <c r="AC162" i="15"/>
  <c r="AB164" i="15"/>
  <c r="AC170" i="15"/>
  <c r="AB172" i="15"/>
  <c r="AC178" i="15"/>
  <c r="AB180" i="15"/>
  <c r="AC186" i="15"/>
  <c r="AB188" i="15"/>
  <c r="AC194" i="15"/>
  <c r="AB196" i="15"/>
  <c r="AC202" i="15"/>
  <c r="AB204" i="15"/>
  <c r="AC210" i="15"/>
  <c r="AB212" i="15"/>
  <c r="AC237" i="15"/>
  <c r="AB239" i="15"/>
  <c r="AC245" i="15"/>
  <c r="AB247" i="15"/>
  <c r="AC253" i="15"/>
  <c r="AB255" i="15"/>
  <c r="AC261" i="15"/>
  <c r="AB263" i="15"/>
  <c r="AC269" i="15"/>
  <c r="AB271" i="15"/>
  <c r="AC277" i="15"/>
  <c r="AB279" i="15"/>
  <c r="AC285" i="15"/>
  <c r="AB287" i="15"/>
  <c r="AC293" i="15"/>
  <c r="AB295" i="15"/>
  <c r="AC213" i="15"/>
  <c r="AB241" i="15"/>
  <c r="AB249" i="15"/>
  <c r="AB257" i="15"/>
  <c r="AB265" i="15"/>
  <c r="AB273" i="15"/>
  <c r="AB281" i="15"/>
  <c r="AB289" i="15"/>
  <c r="AB297" i="15"/>
  <c r="AC241" i="15"/>
  <c r="AC249" i="15"/>
  <c r="AC257" i="15"/>
  <c r="AC265" i="15"/>
  <c r="AC273" i="15"/>
  <c r="AC281" i="15"/>
  <c r="AC289" i="15"/>
  <c r="AC297" i="15"/>
  <c r="AB299" i="15"/>
  <c r="AC187" i="14"/>
  <c r="AC195" i="14"/>
  <c r="AC203" i="14"/>
  <c r="AC211" i="14"/>
  <c r="AC79" i="14"/>
  <c r="AC85" i="14"/>
  <c r="AB87" i="14"/>
  <c r="AC93" i="14"/>
  <c r="AB95" i="14"/>
  <c r="AC101" i="14"/>
  <c r="AB103" i="14"/>
  <c r="AC109" i="14"/>
  <c r="AB111" i="14"/>
  <c r="AC117" i="14"/>
  <c r="AB119" i="14"/>
  <c r="AC125" i="14"/>
  <c r="AB127" i="14"/>
  <c r="AC133" i="14"/>
  <c r="AB135" i="14"/>
  <c r="AC141" i="14"/>
  <c r="AB143" i="14"/>
  <c r="AC149" i="14"/>
  <c r="AB151" i="14"/>
  <c r="AC157" i="14"/>
  <c r="AB159" i="14"/>
  <c r="AC165" i="14"/>
  <c r="AB167" i="14"/>
  <c r="AC173" i="14"/>
  <c r="AB175" i="14"/>
  <c r="AC181" i="14"/>
  <c r="AB183" i="14"/>
  <c r="AC189" i="14"/>
  <c r="AB191" i="14"/>
  <c r="AC197" i="14"/>
  <c r="AC205" i="14"/>
  <c r="AC213" i="14"/>
  <c r="AB81" i="14"/>
  <c r="AC87" i="14"/>
  <c r="AB89" i="14"/>
  <c r="AC95" i="14"/>
  <c r="AB97" i="14"/>
  <c r="AC103" i="14"/>
  <c r="AB105" i="14"/>
  <c r="AC111" i="14"/>
  <c r="AB113" i="14"/>
  <c r="AC119" i="14"/>
  <c r="AB121" i="14"/>
  <c r="AC127" i="14"/>
  <c r="AB129" i="14"/>
  <c r="AC135" i="14"/>
  <c r="AB137" i="14"/>
  <c r="AC143" i="14"/>
  <c r="AB145" i="14"/>
  <c r="AC151" i="14"/>
  <c r="AB153" i="14"/>
  <c r="AC159" i="14"/>
  <c r="AB161" i="14"/>
  <c r="AC167" i="14"/>
  <c r="AB169" i="14"/>
  <c r="AC175" i="14"/>
  <c r="AB177" i="14"/>
  <c r="AC183" i="14"/>
  <c r="AB185" i="14"/>
  <c r="AC191" i="14"/>
  <c r="AB193" i="14"/>
  <c r="AC199" i="14"/>
  <c r="AC207" i="14"/>
  <c r="AC215" i="14"/>
  <c r="AC45" i="14"/>
  <c r="AC49" i="14"/>
  <c r="AC53" i="14"/>
  <c r="AC57" i="14"/>
  <c r="AC61" i="14"/>
  <c r="AC65" i="14"/>
  <c r="AC69" i="14"/>
  <c r="AC73" i="14"/>
  <c r="AC77" i="14"/>
  <c r="AC81" i="14"/>
  <c r="AC89" i="14"/>
  <c r="AC97" i="14"/>
  <c r="AC105" i="14"/>
  <c r="AC113" i="14"/>
  <c r="AC121" i="14"/>
  <c r="AC129" i="14"/>
  <c r="AC137" i="14"/>
  <c r="AC145" i="14"/>
  <c r="AC153" i="14"/>
  <c r="AC161" i="14"/>
  <c r="AC169" i="14"/>
  <c r="AC177" i="14"/>
  <c r="AC185" i="14"/>
  <c r="AB187" i="14"/>
  <c r="AC193" i="14"/>
  <c r="AB195" i="14"/>
  <c r="AC201" i="14"/>
  <c r="AC209" i="14"/>
  <c r="AB241" i="14"/>
  <c r="AB249" i="14"/>
  <c r="AB257" i="14"/>
  <c r="AB265" i="14"/>
  <c r="AB273" i="14"/>
  <c r="AB281" i="14"/>
  <c r="AB289" i="14"/>
  <c r="AB297" i="14"/>
  <c r="AB235" i="14"/>
  <c r="AC241" i="14"/>
  <c r="AB243" i="14"/>
  <c r="AC249" i="14"/>
  <c r="AB251" i="14"/>
  <c r="AC257" i="14"/>
  <c r="AB259" i="14"/>
  <c r="AC265" i="14"/>
  <c r="AB267" i="14"/>
  <c r="AC273" i="14"/>
  <c r="AB275" i="14"/>
  <c r="AC281" i="14"/>
  <c r="AB283" i="14"/>
  <c r="AC289" i="14"/>
  <c r="AB291" i="14"/>
  <c r="AC297" i="14"/>
  <c r="AB299" i="14"/>
  <c r="AC299" i="12"/>
  <c r="AC166" i="12"/>
  <c r="AC170" i="12"/>
  <c r="AC156" i="12"/>
  <c r="AC160" i="12"/>
  <c r="AC164" i="12"/>
  <c r="AC168" i="12"/>
  <c r="AC174" i="12"/>
  <c r="AC213" i="12"/>
  <c r="AC225" i="12"/>
  <c r="AC229" i="12"/>
  <c r="AC233" i="12"/>
  <c r="AC237" i="12"/>
  <c r="AB239" i="12"/>
  <c r="AC245" i="12"/>
  <c r="AB247" i="12"/>
  <c r="AC253" i="12"/>
  <c r="AB255" i="12"/>
  <c r="AC261" i="12"/>
  <c r="AB263" i="12"/>
  <c r="AC269" i="12"/>
  <c r="AB271" i="12"/>
  <c r="AC277" i="12"/>
  <c r="AB279" i="12"/>
  <c r="AC285" i="12"/>
  <c r="AB287" i="12"/>
  <c r="AC293" i="12"/>
  <c r="AB295" i="12"/>
  <c r="AB241" i="12"/>
  <c r="AB249" i="12"/>
  <c r="AB257" i="12"/>
  <c r="AB265" i="12"/>
  <c r="AB273" i="12"/>
  <c r="AB281" i="12"/>
  <c r="AB289" i="12"/>
  <c r="AB297" i="12"/>
  <c r="AC215" i="12"/>
  <c r="AC219" i="12"/>
  <c r="AC223" i="12"/>
  <c r="AC227" i="12"/>
  <c r="AC231" i="12"/>
  <c r="AC235" i="12"/>
  <c r="AC241" i="12"/>
  <c r="AC249" i="12"/>
  <c r="AC257" i="12"/>
  <c r="AC265" i="12"/>
  <c r="AC273" i="12"/>
  <c r="AC281" i="12"/>
  <c r="AC289" i="12"/>
  <c r="AC297" i="12"/>
  <c r="AB299" i="1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V597" i="11" l="1"/>
  <c r="V453" i="11"/>
  <c r="V501" i="11"/>
  <c r="V517" i="11"/>
  <c r="V565" i="11"/>
  <c r="V581" i="11"/>
  <c r="Q463" i="11"/>
  <c r="Q495" i="11"/>
  <c r="Q527" i="11"/>
  <c r="Q559" i="11"/>
  <c r="Q591" i="11"/>
  <c r="P461" i="11"/>
  <c r="P477" i="11"/>
  <c r="P493" i="11"/>
  <c r="P509" i="11"/>
  <c r="P525" i="11"/>
  <c r="P541" i="11"/>
  <c r="P557" i="11"/>
  <c r="P573" i="11"/>
  <c r="P589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G301" i="11"/>
  <c r="F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301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300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301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N5" i="11"/>
  <c r="M5" i="11"/>
  <c r="L5" i="11"/>
  <c r="K5" i="11"/>
  <c r="J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5" i="11"/>
  <c r="C5" i="11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5" i="9"/>
  <c r="J5" i="9"/>
  <c r="Q151" i="9"/>
  <c r="V447" i="11" s="1"/>
  <c r="Q152" i="9"/>
  <c r="V448" i="11" s="1"/>
  <c r="Q153" i="9"/>
  <c r="V449" i="11" s="1"/>
  <c r="Q154" i="9"/>
  <c r="V450" i="11" s="1"/>
  <c r="Q155" i="9"/>
  <c r="V451" i="11" s="1"/>
  <c r="Q156" i="9"/>
  <c r="V452" i="11" s="1"/>
  <c r="Q157" i="9"/>
  <c r="Q158" i="9"/>
  <c r="V454" i="11" s="1"/>
  <c r="Q159" i="9"/>
  <c r="V455" i="11" s="1"/>
  <c r="Q160" i="9"/>
  <c r="V456" i="11" s="1"/>
  <c r="Q161" i="9"/>
  <c r="V457" i="11" s="1"/>
  <c r="Q162" i="9"/>
  <c r="V458" i="11" s="1"/>
  <c r="Q163" i="9"/>
  <c r="V459" i="11" s="1"/>
  <c r="Q164" i="9"/>
  <c r="V460" i="11" s="1"/>
  <c r="Q165" i="9"/>
  <c r="V461" i="11" s="1"/>
  <c r="Q166" i="9"/>
  <c r="V462" i="11" s="1"/>
  <c r="Q167" i="9"/>
  <c r="V463" i="11" s="1"/>
  <c r="Q168" i="9"/>
  <c r="V464" i="11" s="1"/>
  <c r="Q169" i="9"/>
  <c r="V465" i="11" s="1"/>
  <c r="Q170" i="9"/>
  <c r="V466" i="11" s="1"/>
  <c r="Q171" i="9"/>
  <c r="V467" i="11" s="1"/>
  <c r="Q172" i="9"/>
  <c r="V468" i="11" s="1"/>
  <c r="Q173" i="9"/>
  <c r="V469" i="11" s="1"/>
  <c r="Q174" i="9"/>
  <c r="V470" i="11" s="1"/>
  <c r="Q175" i="9"/>
  <c r="V471" i="11" s="1"/>
  <c r="Q176" i="9"/>
  <c r="V472" i="11" s="1"/>
  <c r="Q177" i="9"/>
  <c r="V473" i="11" s="1"/>
  <c r="Q178" i="9"/>
  <c r="V474" i="11" s="1"/>
  <c r="Q179" i="9"/>
  <c r="V475" i="11" s="1"/>
  <c r="Q180" i="9"/>
  <c r="V476" i="11" s="1"/>
  <c r="Q181" i="9"/>
  <c r="V477" i="11" s="1"/>
  <c r="Q182" i="9"/>
  <c r="V478" i="11" s="1"/>
  <c r="Q183" i="9"/>
  <c r="V479" i="11" s="1"/>
  <c r="Q184" i="9"/>
  <c r="V480" i="11" s="1"/>
  <c r="Q185" i="9"/>
  <c r="V481" i="11" s="1"/>
  <c r="Q186" i="9"/>
  <c r="V482" i="11" s="1"/>
  <c r="Q187" i="9"/>
  <c r="V483" i="11" s="1"/>
  <c r="Q188" i="9"/>
  <c r="V484" i="11" s="1"/>
  <c r="Q189" i="9"/>
  <c r="V485" i="11" s="1"/>
  <c r="Q190" i="9"/>
  <c r="V486" i="11" s="1"/>
  <c r="Q191" i="9"/>
  <c r="V487" i="11" s="1"/>
  <c r="Q192" i="9"/>
  <c r="V488" i="11" s="1"/>
  <c r="Q193" i="9"/>
  <c r="V489" i="11" s="1"/>
  <c r="Q194" i="9"/>
  <c r="V490" i="11" s="1"/>
  <c r="Q195" i="9"/>
  <c r="V491" i="11" s="1"/>
  <c r="Q196" i="9"/>
  <c r="V492" i="11" s="1"/>
  <c r="Q197" i="9"/>
  <c r="V493" i="11" s="1"/>
  <c r="Q198" i="9"/>
  <c r="V494" i="11" s="1"/>
  <c r="Q199" i="9"/>
  <c r="V495" i="11" s="1"/>
  <c r="Q200" i="9"/>
  <c r="V496" i="11" s="1"/>
  <c r="Q201" i="9"/>
  <c r="V497" i="11" s="1"/>
  <c r="Q202" i="9"/>
  <c r="V498" i="11" s="1"/>
  <c r="Q203" i="9"/>
  <c r="V499" i="11" s="1"/>
  <c r="Q204" i="9"/>
  <c r="V500" i="11" s="1"/>
  <c r="Q205" i="9"/>
  <c r="Q206" i="9"/>
  <c r="V502" i="11" s="1"/>
  <c r="Q207" i="9"/>
  <c r="V503" i="11" s="1"/>
  <c r="Q208" i="9"/>
  <c r="V504" i="11" s="1"/>
  <c r="Q209" i="9"/>
  <c r="V505" i="11" s="1"/>
  <c r="Q210" i="9"/>
  <c r="V506" i="11" s="1"/>
  <c r="Q211" i="9"/>
  <c r="V507" i="11" s="1"/>
  <c r="Q212" i="9"/>
  <c r="V508" i="11" s="1"/>
  <c r="Q213" i="9"/>
  <c r="V509" i="11" s="1"/>
  <c r="Q214" i="9"/>
  <c r="V510" i="11" s="1"/>
  <c r="Q215" i="9"/>
  <c r="V511" i="11" s="1"/>
  <c r="Q216" i="9"/>
  <c r="V512" i="11" s="1"/>
  <c r="Q217" i="9"/>
  <c r="V513" i="11" s="1"/>
  <c r="Q218" i="9"/>
  <c r="V514" i="11" s="1"/>
  <c r="Q219" i="9"/>
  <c r="V515" i="11" s="1"/>
  <c r="Q220" i="9"/>
  <c r="V516" i="11" s="1"/>
  <c r="Q221" i="9"/>
  <c r="Q222" i="9"/>
  <c r="V518" i="11" s="1"/>
  <c r="T518" i="11" s="1"/>
  <c r="Q223" i="9"/>
  <c r="V519" i="11" s="1"/>
  <c r="Q224" i="9"/>
  <c r="V520" i="11" s="1"/>
  <c r="Q225" i="9"/>
  <c r="V521" i="11" s="1"/>
  <c r="Q226" i="9"/>
  <c r="V522" i="11" s="1"/>
  <c r="Q227" i="9"/>
  <c r="V523" i="11" s="1"/>
  <c r="Q228" i="9"/>
  <c r="V524" i="11" s="1"/>
  <c r="Q229" i="9"/>
  <c r="V525" i="11" s="1"/>
  <c r="Q230" i="9"/>
  <c r="V526" i="11" s="1"/>
  <c r="Q231" i="9"/>
  <c r="V527" i="11" s="1"/>
  <c r="Q232" i="9"/>
  <c r="V528" i="11" s="1"/>
  <c r="Q233" i="9"/>
  <c r="V529" i="11" s="1"/>
  <c r="Q234" i="9"/>
  <c r="V530" i="11" s="1"/>
  <c r="Q235" i="9"/>
  <c r="V531" i="11" s="1"/>
  <c r="Q236" i="9"/>
  <c r="V532" i="11" s="1"/>
  <c r="Q237" i="9"/>
  <c r="V533" i="11" s="1"/>
  <c r="Q238" i="9"/>
  <c r="V534" i="11" s="1"/>
  <c r="Q239" i="9"/>
  <c r="V535" i="11" s="1"/>
  <c r="Q240" i="9"/>
  <c r="V536" i="11" s="1"/>
  <c r="Q241" i="9"/>
  <c r="V537" i="11" s="1"/>
  <c r="Q242" i="9"/>
  <c r="V538" i="11" s="1"/>
  <c r="Q243" i="9"/>
  <c r="V539" i="11" s="1"/>
  <c r="Q244" i="9"/>
  <c r="V540" i="11" s="1"/>
  <c r="Q245" i="9"/>
  <c r="V541" i="11" s="1"/>
  <c r="Q246" i="9"/>
  <c r="V542" i="11" s="1"/>
  <c r="Q247" i="9"/>
  <c r="V543" i="11" s="1"/>
  <c r="Q248" i="9"/>
  <c r="V544" i="11" s="1"/>
  <c r="Q249" i="9"/>
  <c r="V545" i="11" s="1"/>
  <c r="Q250" i="9"/>
  <c r="V546" i="11" s="1"/>
  <c r="Q251" i="9"/>
  <c r="V547" i="11" s="1"/>
  <c r="Q252" i="9"/>
  <c r="V548" i="11" s="1"/>
  <c r="Q253" i="9"/>
  <c r="V549" i="11" s="1"/>
  <c r="Q254" i="9"/>
  <c r="V550" i="11" s="1"/>
  <c r="Q255" i="9"/>
  <c r="V551" i="11" s="1"/>
  <c r="Q256" i="9"/>
  <c r="V552" i="11" s="1"/>
  <c r="Q257" i="9"/>
  <c r="V553" i="11" s="1"/>
  <c r="Q258" i="9"/>
  <c r="V554" i="11" s="1"/>
  <c r="Q259" i="9"/>
  <c r="V555" i="11" s="1"/>
  <c r="Q260" i="9"/>
  <c r="V556" i="11" s="1"/>
  <c r="Q261" i="9"/>
  <c r="V557" i="11" s="1"/>
  <c r="Q262" i="9"/>
  <c r="V558" i="11" s="1"/>
  <c r="Q263" i="9"/>
  <c r="V559" i="11" s="1"/>
  <c r="Q264" i="9"/>
  <c r="V560" i="11" s="1"/>
  <c r="Q265" i="9"/>
  <c r="V561" i="11" s="1"/>
  <c r="Q266" i="9"/>
  <c r="V562" i="11" s="1"/>
  <c r="Q267" i="9"/>
  <c r="V563" i="11" s="1"/>
  <c r="Q268" i="9"/>
  <c r="V564" i="11" s="1"/>
  <c r="Q269" i="9"/>
  <c r="Q270" i="9"/>
  <c r="V566" i="11" s="1"/>
  <c r="Q271" i="9"/>
  <c r="V567" i="11" s="1"/>
  <c r="Q272" i="9"/>
  <c r="V568" i="11" s="1"/>
  <c r="Q273" i="9"/>
  <c r="V569" i="11" s="1"/>
  <c r="Q274" i="9"/>
  <c r="V570" i="11" s="1"/>
  <c r="Q275" i="9"/>
  <c r="V571" i="11" s="1"/>
  <c r="Q276" i="9"/>
  <c r="V572" i="11" s="1"/>
  <c r="Q277" i="9"/>
  <c r="V573" i="11" s="1"/>
  <c r="Q278" i="9"/>
  <c r="V574" i="11" s="1"/>
  <c r="Q279" i="9"/>
  <c r="V575" i="11" s="1"/>
  <c r="Q280" i="9"/>
  <c r="V576" i="11" s="1"/>
  <c r="Q281" i="9"/>
  <c r="V577" i="11" s="1"/>
  <c r="Q282" i="9"/>
  <c r="V578" i="11" s="1"/>
  <c r="Q283" i="9"/>
  <c r="V579" i="11" s="1"/>
  <c r="Q284" i="9"/>
  <c r="V580" i="11" s="1"/>
  <c r="Q285" i="9"/>
  <c r="Q286" i="9"/>
  <c r="V582" i="11" s="1"/>
  <c r="T582" i="11" s="1"/>
  <c r="Q287" i="9"/>
  <c r="V583" i="11" s="1"/>
  <c r="Q288" i="9"/>
  <c r="V584" i="11" s="1"/>
  <c r="Q289" i="9"/>
  <c r="V585" i="11" s="1"/>
  <c r="Q290" i="9"/>
  <c r="V586" i="11" s="1"/>
  <c r="Q291" i="9"/>
  <c r="V587" i="11" s="1"/>
  <c r="Q292" i="9"/>
  <c r="V588" i="11" s="1"/>
  <c r="Q293" i="9"/>
  <c r="V589" i="11" s="1"/>
  <c r="Q294" i="9"/>
  <c r="V590" i="11" s="1"/>
  <c r="Q295" i="9"/>
  <c r="V591" i="11" s="1"/>
  <c r="Q296" i="9"/>
  <c r="V592" i="11" s="1"/>
  <c r="Q297" i="9"/>
  <c r="V593" i="11" s="1"/>
  <c r="Q298" i="9"/>
  <c r="V594" i="11" s="1"/>
  <c r="Q299" i="9"/>
  <c r="V595" i="11" s="1"/>
  <c r="Q300" i="9"/>
  <c r="V596" i="11" s="1"/>
  <c r="P151" i="9"/>
  <c r="Q447" i="11" s="1"/>
  <c r="P152" i="9"/>
  <c r="Q448" i="11" s="1"/>
  <c r="P153" i="9"/>
  <c r="Q449" i="11" s="1"/>
  <c r="P154" i="9"/>
  <c r="Q450" i="11" s="1"/>
  <c r="P155" i="9"/>
  <c r="Q451" i="11" s="1"/>
  <c r="P156" i="9"/>
  <c r="Q452" i="11" s="1"/>
  <c r="P157" i="9"/>
  <c r="Q453" i="11" s="1"/>
  <c r="P158" i="9"/>
  <c r="Q454" i="11" s="1"/>
  <c r="P159" i="9"/>
  <c r="Q455" i="11" s="1"/>
  <c r="P160" i="9"/>
  <c r="Q456" i="11" s="1"/>
  <c r="P161" i="9"/>
  <c r="Q457" i="11" s="1"/>
  <c r="P162" i="9"/>
  <c r="Q458" i="11" s="1"/>
  <c r="P163" i="9"/>
  <c r="Q459" i="11" s="1"/>
  <c r="P164" i="9"/>
  <c r="Q460" i="11" s="1"/>
  <c r="P165" i="9"/>
  <c r="Q461" i="11" s="1"/>
  <c r="P166" i="9"/>
  <c r="Q462" i="11" s="1"/>
  <c r="P167" i="9"/>
  <c r="P168" i="9"/>
  <c r="Q464" i="11" s="1"/>
  <c r="P169" i="9"/>
  <c r="Q465" i="11" s="1"/>
  <c r="P170" i="9"/>
  <c r="Q466" i="11" s="1"/>
  <c r="P171" i="9"/>
  <c r="Q467" i="11" s="1"/>
  <c r="P172" i="9"/>
  <c r="Q468" i="11" s="1"/>
  <c r="P173" i="9"/>
  <c r="Q469" i="11" s="1"/>
  <c r="P174" i="9"/>
  <c r="Q470" i="11" s="1"/>
  <c r="P175" i="9"/>
  <c r="Q471" i="11" s="1"/>
  <c r="P176" i="9"/>
  <c r="Q472" i="11" s="1"/>
  <c r="P177" i="9"/>
  <c r="Q473" i="11" s="1"/>
  <c r="P178" i="9"/>
  <c r="Q474" i="11" s="1"/>
  <c r="P179" i="9"/>
  <c r="Q475" i="11" s="1"/>
  <c r="P180" i="9"/>
  <c r="Q476" i="11" s="1"/>
  <c r="P181" i="9"/>
  <c r="Q477" i="11" s="1"/>
  <c r="P182" i="9"/>
  <c r="Q478" i="11" s="1"/>
  <c r="P183" i="9"/>
  <c r="Q479" i="11" s="1"/>
  <c r="P184" i="9"/>
  <c r="Q480" i="11" s="1"/>
  <c r="P185" i="9"/>
  <c r="Q481" i="11" s="1"/>
  <c r="P186" i="9"/>
  <c r="Q482" i="11" s="1"/>
  <c r="P187" i="9"/>
  <c r="Q483" i="11" s="1"/>
  <c r="P188" i="9"/>
  <c r="Q484" i="11" s="1"/>
  <c r="P189" i="9"/>
  <c r="Q485" i="11" s="1"/>
  <c r="P190" i="9"/>
  <c r="Q486" i="11" s="1"/>
  <c r="P191" i="9"/>
  <c r="Q487" i="11" s="1"/>
  <c r="P192" i="9"/>
  <c r="Q488" i="11" s="1"/>
  <c r="P193" i="9"/>
  <c r="Q489" i="11" s="1"/>
  <c r="P194" i="9"/>
  <c r="Q490" i="11" s="1"/>
  <c r="P195" i="9"/>
  <c r="Q491" i="11" s="1"/>
  <c r="P196" i="9"/>
  <c r="Q492" i="11" s="1"/>
  <c r="P197" i="9"/>
  <c r="Q493" i="11" s="1"/>
  <c r="T493" i="11" s="1"/>
  <c r="P198" i="9"/>
  <c r="Q494" i="11" s="1"/>
  <c r="P199" i="9"/>
  <c r="P200" i="9"/>
  <c r="Q496" i="11" s="1"/>
  <c r="P201" i="9"/>
  <c r="Q497" i="11" s="1"/>
  <c r="P202" i="9"/>
  <c r="Q498" i="11" s="1"/>
  <c r="P203" i="9"/>
  <c r="Q499" i="11" s="1"/>
  <c r="P204" i="9"/>
  <c r="Q500" i="11" s="1"/>
  <c r="P205" i="9"/>
  <c r="Q501" i="11" s="1"/>
  <c r="P206" i="9"/>
  <c r="Q502" i="11" s="1"/>
  <c r="P207" i="9"/>
  <c r="Q503" i="11" s="1"/>
  <c r="P208" i="9"/>
  <c r="Q504" i="11" s="1"/>
  <c r="P209" i="9"/>
  <c r="Q505" i="11" s="1"/>
  <c r="P210" i="9"/>
  <c r="Q506" i="11" s="1"/>
  <c r="P211" i="9"/>
  <c r="Q507" i="11" s="1"/>
  <c r="P212" i="9"/>
  <c r="Q508" i="11" s="1"/>
  <c r="P213" i="9"/>
  <c r="Q509" i="11" s="1"/>
  <c r="P214" i="9"/>
  <c r="Q510" i="11" s="1"/>
  <c r="P215" i="9"/>
  <c r="Q511" i="11" s="1"/>
  <c r="P216" i="9"/>
  <c r="Q512" i="11" s="1"/>
  <c r="P217" i="9"/>
  <c r="Q513" i="11" s="1"/>
  <c r="P218" i="9"/>
  <c r="Q514" i="11" s="1"/>
  <c r="P219" i="9"/>
  <c r="Q515" i="11" s="1"/>
  <c r="P220" i="9"/>
  <c r="Q516" i="11" s="1"/>
  <c r="P221" i="9"/>
  <c r="Q517" i="11" s="1"/>
  <c r="P222" i="9"/>
  <c r="Q518" i="11" s="1"/>
  <c r="P223" i="9"/>
  <c r="Q519" i="11" s="1"/>
  <c r="P224" i="9"/>
  <c r="Q520" i="11" s="1"/>
  <c r="P225" i="9"/>
  <c r="Q521" i="11" s="1"/>
  <c r="P226" i="9"/>
  <c r="Q522" i="11" s="1"/>
  <c r="P227" i="9"/>
  <c r="Q523" i="11" s="1"/>
  <c r="P228" i="9"/>
  <c r="Q524" i="11" s="1"/>
  <c r="P229" i="9"/>
  <c r="Q525" i="11" s="1"/>
  <c r="P230" i="9"/>
  <c r="Q526" i="11" s="1"/>
  <c r="P231" i="9"/>
  <c r="P232" i="9"/>
  <c r="Q528" i="11" s="1"/>
  <c r="P233" i="9"/>
  <c r="Q529" i="11" s="1"/>
  <c r="P234" i="9"/>
  <c r="Q530" i="11" s="1"/>
  <c r="P235" i="9"/>
  <c r="Q531" i="11" s="1"/>
  <c r="P236" i="9"/>
  <c r="Q532" i="11" s="1"/>
  <c r="P237" i="9"/>
  <c r="Q533" i="11" s="1"/>
  <c r="P238" i="9"/>
  <c r="Q534" i="11" s="1"/>
  <c r="P239" i="9"/>
  <c r="Q535" i="11" s="1"/>
  <c r="P240" i="9"/>
  <c r="Q536" i="11" s="1"/>
  <c r="P241" i="9"/>
  <c r="Q537" i="11" s="1"/>
  <c r="P242" i="9"/>
  <c r="Q538" i="11" s="1"/>
  <c r="P243" i="9"/>
  <c r="Q539" i="11" s="1"/>
  <c r="P244" i="9"/>
  <c r="Q540" i="11" s="1"/>
  <c r="P245" i="9"/>
  <c r="Q541" i="11" s="1"/>
  <c r="P246" i="9"/>
  <c r="Q542" i="11" s="1"/>
  <c r="P247" i="9"/>
  <c r="Q543" i="11" s="1"/>
  <c r="P248" i="9"/>
  <c r="Q544" i="11" s="1"/>
  <c r="P249" i="9"/>
  <c r="Q545" i="11" s="1"/>
  <c r="P250" i="9"/>
  <c r="Q546" i="11" s="1"/>
  <c r="P251" i="9"/>
  <c r="Q547" i="11" s="1"/>
  <c r="P252" i="9"/>
  <c r="Q548" i="11" s="1"/>
  <c r="P253" i="9"/>
  <c r="Q549" i="11" s="1"/>
  <c r="P254" i="9"/>
  <c r="Q550" i="11" s="1"/>
  <c r="P255" i="9"/>
  <c r="Q551" i="11" s="1"/>
  <c r="P256" i="9"/>
  <c r="Q552" i="11" s="1"/>
  <c r="P257" i="9"/>
  <c r="Q553" i="11" s="1"/>
  <c r="P258" i="9"/>
  <c r="Q554" i="11" s="1"/>
  <c r="P259" i="9"/>
  <c r="Q555" i="11" s="1"/>
  <c r="P260" i="9"/>
  <c r="Q556" i="11" s="1"/>
  <c r="P261" i="9"/>
  <c r="Q557" i="11" s="1"/>
  <c r="T557" i="11" s="1"/>
  <c r="P262" i="9"/>
  <c r="Q558" i="11" s="1"/>
  <c r="P263" i="9"/>
  <c r="P264" i="9"/>
  <c r="Q560" i="11" s="1"/>
  <c r="P265" i="9"/>
  <c r="Q561" i="11" s="1"/>
  <c r="P266" i="9"/>
  <c r="Q562" i="11" s="1"/>
  <c r="P267" i="9"/>
  <c r="Q563" i="11" s="1"/>
  <c r="P268" i="9"/>
  <c r="Q564" i="11" s="1"/>
  <c r="P269" i="9"/>
  <c r="Q565" i="11" s="1"/>
  <c r="P270" i="9"/>
  <c r="Q566" i="11" s="1"/>
  <c r="P271" i="9"/>
  <c r="Q567" i="11" s="1"/>
  <c r="P272" i="9"/>
  <c r="Q568" i="11" s="1"/>
  <c r="P273" i="9"/>
  <c r="Q569" i="11" s="1"/>
  <c r="P274" i="9"/>
  <c r="Q570" i="11" s="1"/>
  <c r="P275" i="9"/>
  <c r="Q571" i="11" s="1"/>
  <c r="P276" i="9"/>
  <c r="Q572" i="11" s="1"/>
  <c r="P277" i="9"/>
  <c r="Q573" i="11" s="1"/>
  <c r="P278" i="9"/>
  <c r="Q574" i="11" s="1"/>
  <c r="P279" i="9"/>
  <c r="Q575" i="11" s="1"/>
  <c r="P280" i="9"/>
  <c r="Q576" i="11" s="1"/>
  <c r="P281" i="9"/>
  <c r="Q577" i="11" s="1"/>
  <c r="P282" i="9"/>
  <c r="Q578" i="11" s="1"/>
  <c r="P283" i="9"/>
  <c r="Q579" i="11" s="1"/>
  <c r="P284" i="9"/>
  <c r="Q580" i="11" s="1"/>
  <c r="P285" i="9"/>
  <c r="Q581" i="11" s="1"/>
  <c r="P286" i="9"/>
  <c r="Q582" i="11" s="1"/>
  <c r="P287" i="9"/>
  <c r="Q583" i="11" s="1"/>
  <c r="P288" i="9"/>
  <c r="Q584" i="11" s="1"/>
  <c r="P289" i="9"/>
  <c r="Q585" i="11" s="1"/>
  <c r="P290" i="9"/>
  <c r="Q586" i="11" s="1"/>
  <c r="P291" i="9"/>
  <c r="Q587" i="11" s="1"/>
  <c r="P292" i="9"/>
  <c r="Q588" i="11" s="1"/>
  <c r="P293" i="9"/>
  <c r="Q589" i="11" s="1"/>
  <c r="P294" i="9"/>
  <c r="Q590" i="11" s="1"/>
  <c r="P295" i="9"/>
  <c r="P296" i="9"/>
  <c r="Q592" i="11" s="1"/>
  <c r="P297" i="9"/>
  <c r="Q593" i="11" s="1"/>
  <c r="P298" i="9"/>
  <c r="Q594" i="11" s="1"/>
  <c r="P299" i="9"/>
  <c r="Q595" i="11" s="1"/>
  <c r="P300" i="9"/>
  <c r="Q596" i="11" s="1"/>
  <c r="O151" i="9"/>
  <c r="P447" i="11" s="1"/>
  <c r="O152" i="9"/>
  <c r="P448" i="11" s="1"/>
  <c r="O153" i="9"/>
  <c r="P449" i="11" s="1"/>
  <c r="O154" i="9"/>
  <c r="P450" i="11" s="1"/>
  <c r="O155" i="9"/>
  <c r="P451" i="11" s="1"/>
  <c r="O156" i="9"/>
  <c r="P452" i="11" s="1"/>
  <c r="O157" i="9"/>
  <c r="P453" i="11" s="1"/>
  <c r="O158" i="9"/>
  <c r="P454" i="11" s="1"/>
  <c r="S454" i="11" s="1"/>
  <c r="O159" i="9"/>
  <c r="P455" i="11" s="1"/>
  <c r="O160" i="9"/>
  <c r="P456" i="11" s="1"/>
  <c r="O161" i="9"/>
  <c r="P457" i="11" s="1"/>
  <c r="O162" i="9"/>
  <c r="P458" i="11" s="1"/>
  <c r="O163" i="9"/>
  <c r="P459" i="11" s="1"/>
  <c r="O164" i="9"/>
  <c r="P460" i="11" s="1"/>
  <c r="O165" i="9"/>
  <c r="O166" i="9"/>
  <c r="P462" i="11" s="1"/>
  <c r="O167" i="9"/>
  <c r="P463" i="11" s="1"/>
  <c r="O168" i="9"/>
  <c r="P464" i="11" s="1"/>
  <c r="O169" i="9"/>
  <c r="P465" i="11" s="1"/>
  <c r="O170" i="9"/>
  <c r="P466" i="11" s="1"/>
  <c r="O171" i="9"/>
  <c r="P467" i="11" s="1"/>
  <c r="O172" i="9"/>
  <c r="P468" i="11" s="1"/>
  <c r="O173" i="9"/>
  <c r="P469" i="11" s="1"/>
  <c r="O174" i="9"/>
  <c r="P470" i="11" s="1"/>
  <c r="O175" i="9"/>
  <c r="P471" i="11" s="1"/>
  <c r="O176" i="9"/>
  <c r="P472" i="11" s="1"/>
  <c r="O177" i="9"/>
  <c r="P473" i="11" s="1"/>
  <c r="O178" i="9"/>
  <c r="P474" i="11" s="1"/>
  <c r="O179" i="9"/>
  <c r="P475" i="11" s="1"/>
  <c r="O180" i="9"/>
  <c r="P476" i="11" s="1"/>
  <c r="O181" i="9"/>
  <c r="O182" i="9"/>
  <c r="P478" i="11" s="1"/>
  <c r="O183" i="9"/>
  <c r="P479" i="11" s="1"/>
  <c r="O184" i="9"/>
  <c r="P480" i="11" s="1"/>
  <c r="O185" i="9"/>
  <c r="P481" i="11" s="1"/>
  <c r="O186" i="9"/>
  <c r="P482" i="11" s="1"/>
  <c r="O187" i="9"/>
  <c r="P483" i="11" s="1"/>
  <c r="O188" i="9"/>
  <c r="P484" i="11" s="1"/>
  <c r="O189" i="9"/>
  <c r="P485" i="11" s="1"/>
  <c r="O190" i="9"/>
  <c r="P486" i="11" s="1"/>
  <c r="O191" i="9"/>
  <c r="P487" i="11" s="1"/>
  <c r="O192" i="9"/>
  <c r="P488" i="11" s="1"/>
  <c r="O193" i="9"/>
  <c r="P489" i="11" s="1"/>
  <c r="O194" i="9"/>
  <c r="P490" i="11" s="1"/>
  <c r="O195" i="9"/>
  <c r="P491" i="11" s="1"/>
  <c r="O196" i="9"/>
  <c r="P492" i="11" s="1"/>
  <c r="O197" i="9"/>
  <c r="O198" i="9"/>
  <c r="P494" i="11" s="1"/>
  <c r="O199" i="9"/>
  <c r="P495" i="11" s="1"/>
  <c r="O200" i="9"/>
  <c r="P496" i="11" s="1"/>
  <c r="O201" i="9"/>
  <c r="P497" i="11" s="1"/>
  <c r="O202" i="9"/>
  <c r="P498" i="11" s="1"/>
  <c r="O203" i="9"/>
  <c r="P499" i="11" s="1"/>
  <c r="O204" i="9"/>
  <c r="P500" i="11" s="1"/>
  <c r="O205" i="9"/>
  <c r="P501" i="11" s="1"/>
  <c r="O206" i="9"/>
  <c r="P502" i="11" s="1"/>
  <c r="O207" i="9"/>
  <c r="P503" i="11" s="1"/>
  <c r="O208" i="9"/>
  <c r="P504" i="11" s="1"/>
  <c r="O209" i="9"/>
  <c r="P505" i="11" s="1"/>
  <c r="O210" i="9"/>
  <c r="P506" i="11" s="1"/>
  <c r="O211" i="9"/>
  <c r="P507" i="11" s="1"/>
  <c r="O212" i="9"/>
  <c r="P508" i="11" s="1"/>
  <c r="O213" i="9"/>
  <c r="O214" i="9"/>
  <c r="P510" i="11" s="1"/>
  <c r="O215" i="9"/>
  <c r="P511" i="11" s="1"/>
  <c r="O216" i="9"/>
  <c r="P512" i="11" s="1"/>
  <c r="O217" i="9"/>
  <c r="P513" i="11" s="1"/>
  <c r="O218" i="9"/>
  <c r="P514" i="11" s="1"/>
  <c r="O219" i="9"/>
  <c r="P515" i="11" s="1"/>
  <c r="O220" i="9"/>
  <c r="P516" i="11" s="1"/>
  <c r="O221" i="9"/>
  <c r="P517" i="11" s="1"/>
  <c r="O222" i="9"/>
  <c r="P518" i="11" s="1"/>
  <c r="S518" i="11" s="1"/>
  <c r="O223" i="9"/>
  <c r="P519" i="11" s="1"/>
  <c r="O224" i="9"/>
  <c r="P520" i="11" s="1"/>
  <c r="O225" i="9"/>
  <c r="P521" i="11" s="1"/>
  <c r="O226" i="9"/>
  <c r="P522" i="11" s="1"/>
  <c r="O227" i="9"/>
  <c r="P523" i="11" s="1"/>
  <c r="O228" i="9"/>
  <c r="P524" i="11" s="1"/>
  <c r="O229" i="9"/>
  <c r="O230" i="9"/>
  <c r="P526" i="11" s="1"/>
  <c r="O231" i="9"/>
  <c r="P527" i="11" s="1"/>
  <c r="O232" i="9"/>
  <c r="P528" i="11" s="1"/>
  <c r="O233" i="9"/>
  <c r="P529" i="11" s="1"/>
  <c r="O234" i="9"/>
  <c r="P530" i="11" s="1"/>
  <c r="O235" i="9"/>
  <c r="P531" i="11" s="1"/>
  <c r="O236" i="9"/>
  <c r="P532" i="11" s="1"/>
  <c r="O237" i="9"/>
  <c r="P533" i="11" s="1"/>
  <c r="O238" i="9"/>
  <c r="P534" i="11" s="1"/>
  <c r="O239" i="9"/>
  <c r="P535" i="11" s="1"/>
  <c r="O240" i="9"/>
  <c r="P536" i="11" s="1"/>
  <c r="O241" i="9"/>
  <c r="P537" i="11" s="1"/>
  <c r="O242" i="9"/>
  <c r="P538" i="11" s="1"/>
  <c r="O243" i="9"/>
  <c r="P539" i="11" s="1"/>
  <c r="O244" i="9"/>
  <c r="P540" i="11" s="1"/>
  <c r="O245" i="9"/>
  <c r="O246" i="9"/>
  <c r="P542" i="11" s="1"/>
  <c r="O247" i="9"/>
  <c r="P543" i="11" s="1"/>
  <c r="O248" i="9"/>
  <c r="P544" i="11" s="1"/>
  <c r="O249" i="9"/>
  <c r="P545" i="11" s="1"/>
  <c r="O250" i="9"/>
  <c r="P546" i="11" s="1"/>
  <c r="O251" i="9"/>
  <c r="P547" i="11" s="1"/>
  <c r="O252" i="9"/>
  <c r="P548" i="11" s="1"/>
  <c r="O253" i="9"/>
  <c r="P549" i="11" s="1"/>
  <c r="O254" i="9"/>
  <c r="P550" i="11" s="1"/>
  <c r="O255" i="9"/>
  <c r="P551" i="11" s="1"/>
  <c r="O256" i="9"/>
  <c r="P552" i="11" s="1"/>
  <c r="O257" i="9"/>
  <c r="P553" i="11" s="1"/>
  <c r="O258" i="9"/>
  <c r="P554" i="11" s="1"/>
  <c r="O259" i="9"/>
  <c r="P555" i="11" s="1"/>
  <c r="O260" i="9"/>
  <c r="P556" i="11" s="1"/>
  <c r="O261" i="9"/>
  <c r="O262" i="9"/>
  <c r="P558" i="11" s="1"/>
  <c r="O263" i="9"/>
  <c r="P559" i="11" s="1"/>
  <c r="O264" i="9"/>
  <c r="P560" i="11" s="1"/>
  <c r="O265" i="9"/>
  <c r="P561" i="11" s="1"/>
  <c r="O266" i="9"/>
  <c r="P562" i="11" s="1"/>
  <c r="O267" i="9"/>
  <c r="P563" i="11" s="1"/>
  <c r="O268" i="9"/>
  <c r="P564" i="11" s="1"/>
  <c r="O269" i="9"/>
  <c r="P565" i="11" s="1"/>
  <c r="O270" i="9"/>
  <c r="P566" i="11" s="1"/>
  <c r="O271" i="9"/>
  <c r="P567" i="11" s="1"/>
  <c r="O272" i="9"/>
  <c r="P568" i="11" s="1"/>
  <c r="O273" i="9"/>
  <c r="P569" i="11" s="1"/>
  <c r="O274" i="9"/>
  <c r="P570" i="11" s="1"/>
  <c r="O275" i="9"/>
  <c r="P571" i="11" s="1"/>
  <c r="O276" i="9"/>
  <c r="P572" i="11" s="1"/>
  <c r="O277" i="9"/>
  <c r="O278" i="9"/>
  <c r="P574" i="11" s="1"/>
  <c r="O279" i="9"/>
  <c r="P575" i="11" s="1"/>
  <c r="O280" i="9"/>
  <c r="P576" i="11" s="1"/>
  <c r="O281" i="9"/>
  <c r="P577" i="11" s="1"/>
  <c r="O282" i="9"/>
  <c r="P578" i="11" s="1"/>
  <c r="O283" i="9"/>
  <c r="P579" i="11" s="1"/>
  <c r="O284" i="9"/>
  <c r="P580" i="11" s="1"/>
  <c r="O285" i="9"/>
  <c r="P581" i="11" s="1"/>
  <c r="O286" i="9"/>
  <c r="P582" i="11" s="1"/>
  <c r="O287" i="9"/>
  <c r="P583" i="11" s="1"/>
  <c r="O288" i="9"/>
  <c r="P584" i="11" s="1"/>
  <c r="O289" i="9"/>
  <c r="P585" i="11" s="1"/>
  <c r="O290" i="9"/>
  <c r="P586" i="11" s="1"/>
  <c r="O291" i="9"/>
  <c r="P587" i="11" s="1"/>
  <c r="O292" i="9"/>
  <c r="P588" i="11" s="1"/>
  <c r="O293" i="9"/>
  <c r="O294" i="9"/>
  <c r="P590" i="11" s="1"/>
  <c r="O295" i="9"/>
  <c r="P591" i="11" s="1"/>
  <c r="O296" i="9"/>
  <c r="P592" i="11" s="1"/>
  <c r="O297" i="9"/>
  <c r="P593" i="11" s="1"/>
  <c r="O298" i="9"/>
  <c r="P594" i="11" s="1"/>
  <c r="O299" i="9"/>
  <c r="P595" i="11" s="1"/>
  <c r="O300" i="9"/>
  <c r="P596" i="11" s="1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5" i="9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C5" i="8"/>
  <c r="B5" i="8"/>
  <c r="F5" i="8"/>
  <c r="E5" i="8"/>
  <c r="S549" i="11" l="1"/>
  <c r="T549" i="11"/>
  <c r="S533" i="11"/>
  <c r="T533" i="11"/>
  <c r="S485" i="11"/>
  <c r="T485" i="11"/>
  <c r="S469" i="11"/>
  <c r="T469" i="11"/>
  <c r="S588" i="11"/>
  <c r="T588" i="11"/>
  <c r="S572" i="11"/>
  <c r="T572" i="11"/>
  <c r="S560" i="11"/>
  <c r="T560" i="11"/>
  <c r="S556" i="11"/>
  <c r="T556" i="11"/>
  <c r="S524" i="11"/>
  <c r="T524" i="11"/>
  <c r="S520" i="11"/>
  <c r="T520" i="11"/>
  <c r="S512" i="11"/>
  <c r="T512" i="11"/>
  <c r="S508" i="11"/>
  <c r="T508" i="11"/>
  <c r="S504" i="11"/>
  <c r="T504" i="11"/>
  <c r="S500" i="11"/>
  <c r="T500" i="11"/>
  <c r="S496" i="11"/>
  <c r="T496" i="11"/>
  <c r="S492" i="11"/>
  <c r="T492" i="11"/>
  <c r="S488" i="11"/>
  <c r="T488" i="11"/>
  <c r="S484" i="11"/>
  <c r="T484" i="11"/>
  <c r="S480" i="11"/>
  <c r="T480" i="11"/>
  <c r="S472" i="11"/>
  <c r="T472" i="11"/>
  <c r="S468" i="11"/>
  <c r="T468" i="11"/>
  <c r="S464" i="11"/>
  <c r="T464" i="11"/>
  <c r="S460" i="11"/>
  <c r="T460" i="11"/>
  <c r="S452" i="11"/>
  <c r="T452" i="11"/>
  <c r="S448" i="11"/>
  <c r="T448" i="11"/>
  <c r="S581" i="11"/>
  <c r="T581" i="11"/>
  <c r="S517" i="11"/>
  <c r="T517" i="11"/>
  <c r="S453" i="11"/>
  <c r="T453" i="11"/>
  <c r="S565" i="11"/>
  <c r="T565" i="11"/>
  <c r="S501" i="11"/>
  <c r="T501" i="11"/>
  <c r="S596" i="11"/>
  <c r="T596" i="11"/>
  <c r="S584" i="11"/>
  <c r="T584" i="11"/>
  <c r="S576" i="11"/>
  <c r="T576" i="11"/>
  <c r="S564" i="11"/>
  <c r="T564" i="11"/>
  <c r="S552" i="11"/>
  <c r="T552" i="11"/>
  <c r="S544" i="11"/>
  <c r="T544" i="11"/>
  <c r="S540" i="11"/>
  <c r="T540" i="11"/>
  <c r="S532" i="11"/>
  <c r="T532" i="11"/>
  <c r="S528" i="11"/>
  <c r="T528" i="11"/>
  <c r="S516" i="11"/>
  <c r="T516" i="11"/>
  <c r="S456" i="11"/>
  <c r="T456" i="11"/>
  <c r="T594" i="11"/>
  <c r="S594" i="11"/>
  <c r="T590" i="11"/>
  <c r="S590" i="11"/>
  <c r="T586" i="11"/>
  <c r="S586" i="11"/>
  <c r="T578" i="11"/>
  <c r="S578" i="11"/>
  <c r="T574" i="11"/>
  <c r="S574" i="11"/>
  <c r="T570" i="11"/>
  <c r="S570" i="11"/>
  <c r="T566" i="11"/>
  <c r="S566" i="11"/>
  <c r="T562" i="11"/>
  <c r="S562" i="11"/>
  <c r="T558" i="11"/>
  <c r="S558" i="11"/>
  <c r="T554" i="11"/>
  <c r="S554" i="11"/>
  <c r="T550" i="11"/>
  <c r="S550" i="11"/>
  <c r="T546" i="11"/>
  <c r="S546" i="11"/>
  <c r="T542" i="11"/>
  <c r="S542" i="11"/>
  <c r="T538" i="11"/>
  <c r="S538" i="11"/>
  <c r="T534" i="11"/>
  <c r="S534" i="11"/>
  <c r="T530" i="11"/>
  <c r="S530" i="11"/>
  <c r="T526" i="11"/>
  <c r="S526" i="11"/>
  <c r="T522" i="11"/>
  <c r="S522" i="11"/>
  <c r="T514" i="11"/>
  <c r="S514" i="11"/>
  <c r="S502" i="11"/>
  <c r="S486" i="11"/>
  <c r="S592" i="11"/>
  <c r="T592" i="11"/>
  <c r="S580" i="11"/>
  <c r="T580" i="11"/>
  <c r="S568" i="11"/>
  <c r="T568" i="11"/>
  <c r="S548" i="11"/>
  <c r="T548" i="11"/>
  <c r="S536" i="11"/>
  <c r="T536" i="11"/>
  <c r="S476" i="11"/>
  <c r="T476" i="11"/>
  <c r="S593" i="11"/>
  <c r="T593" i="11"/>
  <c r="S589" i="11"/>
  <c r="T589" i="11"/>
  <c r="S585" i="11"/>
  <c r="T585" i="11"/>
  <c r="S577" i="11"/>
  <c r="T577" i="11"/>
  <c r="S573" i="11"/>
  <c r="T573" i="11"/>
  <c r="S569" i="11"/>
  <c r="T569" i="11"/>
  <c r="S561" i="11"/>
  <c r="T561" i="11"/>
  <c r="S557" i="11"/>
  <c r="S553" i="11"/>
  <c r="T553" i="11"/>
  <c r="S545" i="11"/>
  <c r="T545" i="11"/>
  <c r="S541" i="11"/>
  <c r="T541" i="11"/>
  <c r="S537" i="11"/>
  <c r="T537" i="11"/>
  <c r="S529" i="11"/>
  <c r="T529" i="11"/>
  <c r="S525" i="11"/>
  <c r="T525" i="11"/>
  <c r="S521" i="11"/>
  <c r="T521" i="11"/>
  <c r="S513" i="11"/>
  <c r="T513" i="11"/>
  <c r="S509" i="11"/>
  <c r="T509" i="11"/>
  <c r="S505" i="11"/>
  <c r="T505" i="11"/>
  <c r="S497" i="11"/>
  <c r="T497" i="11"/>
  <c r="S493" i="11"/>
  <c r="S489" i="11"/>
  <c r="T489" i="11"/>
  <c r="S481" i="11"/>
  <c r="T481" i="11"/>
  <c r="S477" i="11"/>
  <c r="T477" i="11"/>
  <c r="S473" i="11"/>
  <c r="T473" i="11"/>
  <c r="S465" i="11"/>
  <c r="T465" i="11"/>
  <c r="S461" i="11"/>
  <c r="T461" i="11"/>
  <c r="S457" i="11"/>
  <c r="T457" i="11"/>
  <c r="S449" i="11"/>
  <c r="T449" i="11"/>
  <c r="S582" i="11"/>
  <c r="S595" i="11"/>
  <c r="T595" i="11"/>
  <c r="S591" i="11"/>
  <c r="T591" i="11"/>
  <c r="S587" i="11"/>
  <c r="T587" i="11"/>
  <c r="S583" i="11"/>
  <c r="T583" i="11"/>
  <c r="S579" i="11"/>
  <c r="T579" i="11"/>
  <c r="S575" i="11"/>
  <c r="T575" i="11"/>
  <c r="S571" i="11"/>
  <c r="T571" i="11"/>
  <c r="S567" i="11"/>
  <c r="T567" i="11"/>
  <c r="S563" i="11"/>
  <c r="T563" i="11"/>
  <c r="S559" i="11"/>
  <c r="T559" i="11"/>
  <c r="S555" i="11"/>
  <c r="T555" i="11"/>
  <c r="S551" i="11"/>
  <c r="T551" i="11"/>
  <c r="S547" i="11"/>
  <c r="T547" i="11"/>
  <c r="S543" i="11"/>
  <c r="T543" i="11"/>
  <c r="S539" i="11"/>
  <c r="T539" i="11"/>
  <c r="S535" i="11"/>
  <c r="T535" i="11"/>
  <c r="S531" i="11"/>
  <c r="T531" i="11"/>
  <c r="S527" i="11"/>
  <c r="T527" i="11"/>
  <c r="S523" i="11"/>
  <c r="T523" i="11"/>
  <c r="S519" i="11"/>
  <c r="T519" i="11"/>
  <c r="S515" i="11"/>
  <c r="T515" i="11"/>
  <c r="S511" i="11"/>
  <c r="T511" i="11"/>
  <c r="S507" i="11"/>
  <c r="T507" i="11"/>
  <c r="S503" i="11"/>
  <c r="T503" i="11"/>
  <c r="S499" i="11"/>
  <c r="T499" i="11"/>
  <c r="S495" i="11"/>
  <c r="T495" i="11"/>
  <c r="S491" i="11"/>
  <c r="T491" i="11"/>
  <c r="S487" i="11"/>
  <c r="T487" i="11"/>
  <c r="S483" i="11"/>
  <c r="T483" i="11"/>
  <c r="S479" i="11"/>
  <c r="T479" i="11"/>
  <c r="S475" i="11"/>
  <c r="T475" i="11"/>
  <c r="S471" i="11"/>
  <c r="T471" i="11"/>
  <c r="S467" i="11"/>
  <c r="T467" i="11"/>
  <c r="S463" i="11"/>
  <c r="T463" i="11"/>
  <c r="S459" i="11"/>
  <c r="T459" i="11"/>
  <c r="S455" i="11"/>
  <c r="T455" i="11"/>
  <c r="S451" i="11"/>
  <c r="T451" i="11"/>
  <c r="S447" i="11"/>
  <c r="T447" i="11"/>
  <c r="T510" i="11"/>
  <c r="S510" i="11"/>
  <c r="T506" i="11"/>
  <c r="S506" i="11"/>
  <c r="T502" i="11"/>
  <c r="T498" i="11"/>
  <c r="S498" i="11"/>
  <c r="T494" i="11"/>
  <c r="S494" i="11"/>
  <c r="T490" i="11"/>
  <c r="S490" i="11"/>
  <c r="T486" i="11"/>
  <c r="T482" i="11"/>
  <c r="S482" i="11"/>
  <c r="T478" i="11"/>
  <c r="S478" i="11"/>
  <c r="T474" i="11"/>
  <c r="S474" i="11"/>
  <c r="T470" i="11"/>
  <c r="T466" i="11"/>
  <c r="S466" i="11"/>
  <c r="T462" i="11"/>
  <c r="S462" i="11"/>
  <c r="T458" i="11"/>
  <c r="S458" i="11"/>
  <c r="T454" i="11"/>
  <c r="T450" i="11"/>
  <c r="S450" i="11"/>
  <c r="S470" i="11"/>
  <c r="Q168" i="8"/>
  <c r="V168" i="11" s="1"/>
  <c r="Q160" i="8"/>
  <c r="V160" i="11" s="1"/>
  <c r="Q152" i="8"/>
  <c r="V152" i="11" s="1"/>
  <c r="Q144" i="8"/>
  <c r="V144" i="11" s="1"/>
  <c r="Q136" i="8"/>
  <c r="V136" i="11" s="1"/>
  <c r="Q128" i="8"/>
  <c r="V128" i="11" s="1"/>
  <c r="Q120" i="8"/>
  <c r="V120" i="11" s="1"/>
  <c r="Q112" i="8"/>
  <c r="V112" i="11" s="1"/>
  <c r="Q108" i="8"/>
  <c r="V108" i="11" s="1"/>
  <c r="Q100" i="8"/>
  <c r="V100" i="11" s="1"/>
  <c r="Q92" i="8"/>
  <c r="V92" i="11" s="1"/>
  <c r="Q88" i="8"/>
  <c r="V88" i="11" s="1"/>
  <c r="Q80" i="8"/>
  <c r="V80" i="11" s="1"/>
  <c r="Q72" i="8"/>
  <c r="V72" i="11" s="1"/>
  <c r="Q64" i="8"/>
  <c r="V64" i="11" s="1"/>
  <c r="Q56" i="8"/>
  <c r="V56" i="11" s="1"/>
  <c r="Q48" i="8"/>
  <c r="V48" i="11" s="1"/>
  <c r="Q40" i="8"/>
  <c r="V40" i="11" s="1"/>
  <c r="Q32" i="8"/>
  <c r="V32" i="11" s="1"/>
  <c r="Q24" i="8"/>
  <c r="V24" i="11" s="1"/>
  <c r="Q16" i="8"/>
  <c r="V16" i="11" s="1"/>
  <c r="Q12" i="8"/>
  <c r="V12" i="11" s="1"/>
  <c r="Q172" i="8"/>
  <c r="V172" i="11" s="1"/>
  <c r="Q164" i="8"/>
  <c r="V164" i="11" s="1"/>
  <c r="Q156" i="8"/>
  <c r="V156" i="11" s="1"/>
  <c r="Q148" i="8"/>
  <c r="V148" i="11" s="1"/>
  <c r="Q140" i="8"/>
  <c r="V140" i="11" s="1"/>
  <c r="Q132" i="8"/>
  <c r="V132" i="11" s="1"/>
  <c r="Q124" i="8"/>
  <c r="V124" i="11" s="1"/>
  <c r="Q116" i="8"/>
  <c r="V116" i="11" s="1"/>
  <c r="Q104" i="8"/>
  <c r="V104" i="11" s="1"/>
  <c r="Q96" i="8"/>
  <c r="V96" i="11" s="1"/>
  <c r="Q84" i="8"/>
  <c r="V84" i="11" s="1"/>
  <c r="Q76" i="8"/>
  <c r="V76" i="11" s="1"/>
  <c r="Q68" i="8"/>
  <c r="V68" i="11" s="1"/>
  <c r="Q60" i="8"/>
  <c r="V60" i="11" s="1"/>
  <c r="Q52" i="8"/>
  <c r="V52" i="11" s="1"/>
  <c r="Q44" i="8"/>
  <c r="V44" i="11" s="1"/>
  <c r="Q36" i="8"/>
  <c r="V36" i="11" s="1"/>
  <c r="Q28" i="8"/>
  <c r="V28" i="11" s="1"/>
  <c r="Q20" i="8"/>
  <c r="V20" i="11" s="1"/>
  <c r="Q8" i="8"/>
  <c r="V8" i="11" s="1"/>
  <c r="Q298" i="8"/>
  <c r="V298" i="11" s="1"/>
  <c r="P294" i="8"/>
  <c r="Q294" i="11" s="1"/>
  <c r="Q290" i="8"/>
  <c r="V290" i="11" s="1"/>
  <c r="P286" i="8"/>
  <c r="Q286" i="11" s="1"/>
  <c r="Q282" i="8"/>
  <c r="V282" i="11" s="1"/>
  <c r="P278" i="8"/>
  <c r="Q278" i="11" s="1"/>
  <c r="Q274" i="8"/>
  <c r="V274" i="11" s="1"/>
  <c r="P270" i="8"/>
  <c r="Q270" i="11" s="1"/>
  <c r="Q266" i="8"/>
  <c r="V266" i="11" s="1"/>
  <c r="P262" i="8"/>
  <c r="Q262" i="11" s="1"/>
  <c r="P258" i="8"/>
  <c r="Q258" i="11" s="1"/>
  <c r="P254" i="8"/>
  <c r="Q254" i="11" s="1"/>
  <c r="Q250" i="8"/>
  <c r="V250" i="11" s="1"/>
  <c r="P246" i="8"/>
  <c r="Q246" i="11" s="1"/>
  <c r="Q242" i="8"/>
  <c r="V242" i="11" s="1"/>
  <c r="Q238" i="8"/>
  <c r="V238" i="11" s="1"/>
  <c r="Q234" i="8"/>
  <c r="V234" i="11" s="1"/>
  <c r="P230" i="8"/>
  <c r="Q230" i="11" s="1"/>
  <c r="Q226" i="8"/>
  <c r="V226" i="11" s="1"/>
  <c r="Q222" i="8"/>
  <c r="V222" i="11" s="1"/>
  <c r="Q218" i="8"/>
  <c r="V218" i="11" s="1"/>
  <c r="P214" i="8"/>
  <c r="Q214" i="11" s="1"/>
  <c r="P210" i="8"/>
  <c r="Q210" i="11" s="1"/>
  <c r="P206" i="8"/>
  <c r="Q206" i="11" s="1"/>
  <c r="P202" i="8"/>
  <c r="Q202" i="11" s="1"/>
  <c r="P198" i="8"/>
  <c r="Q198" i="11" s="1"/>
  <c r="P194" i="8"/>
  <c r="Q194" i="11" s="1"/>
  <c r="P190" i="8"/>
  <c r="Q190" i="11" s="1"/>
  <c r="P186" i="8"/>
  <c r="Q186" i="11" s="1"/>
  <c r="P182" i="8"/>
  <c r="Q182" i="11" s="1"/>
  <c r="P178" i="8"/>
  <c r="Q178" i="11" s="1"/>
  <c r="P174" i="8"/>
  <c r="Q174" i="11" s="1"/>
  <c r="P170" i="8"/>
  <c r="Q170" i="11" s="1"/>
  <c r="P166" i="8"/>
  <c r="Q166" i="11" s="1"/>
  <c r="P162" i="8"/>
  <c r="Q162" i="11" s="1"/>
  <c r="P158" i="8"/>
  <c r="Q158" i="11" s="1"/>
  <c r="P154" i="8"/>
  <c r="Q154" i="11" s="1"/>
  <c r="P150" i="8"/>
  <c r="Q150" i="11" s="1"/>
  <c r="P146" i="8"/>
  <c r="Q146" i="11" s="1"/>
  <c r="P142" i="8"/>
  <c r="Q142" i="11" s="1"/>
  <c r="P138" i="8"/>
  <c r="Q138" i="11" s="1"/>
  <c r="P134" i="8"/>
  <c r="Q134" i="11" s="1"/>
  <c r="P130" i="8"/>
  <c r="Q130" i="11" s="1"/>
  <c r="P126" i="8"/>
  <c r="Q126" i="11" s="1"/>
  <c r="P122" i="8"/>
  <c r="Q122" i="11" s="1"/>
  <c r="P118" i="8"/>
  <c r="Q118" i="11" s="1"/>
  <c r="P114" i="8"/>
  <c r="Q114" i="11" s="1"/>
  <c r="P110" i="8"/>
  <c r="Q110" i="11" s="1"/>
  <c r="P106" i="8"/>
  <c r="Q106" i="11" s="1"/>
  <c r="P102" i="8"/>
  <c r="Q102" i="11" s="1"/>
  <c r="P98" i="8"/>
  <c r="Q98" i="11" s="1"/>
  <c r="P94" i="8"/>
  <c r="Q94" i="11" s="1"/>
  <c r="P90" i="8"/>
  <c r="Q90" i="11" s="1"/>
  <c r="P86" i="8"/>
  <c r="Q86" i="11" s="1"/>
  <c r="P82" i="8"/>
  <c r="Q82" i="11" s="1"/>
  <c r="P78" i="8"/>
  <c r="Q78" i="11" s="1"/>
  <c r="P74" i="8"/>
  <c r="Q74" i="11" s="1"/>
  <c r="P70" i="8"/>
  <c r="Q70" i="11" s="1"/>
  <c r="P66" i="8"/>
  <c r="Q66" i="11" s="1"/>
  <c r="P62" i="8"/>
  <c r="Q62" i="11" s="1"/>
  <c r="P58" i="8"/>
  <c r="Q58" i="11" s="1"/>
  <c r="P54" i="8"/>
  <c r="Q54" i="11" s="1"/>
  <c r="P50" i="8"/>
  <c r="Q50" i="11" s="1"/>
  <c r="P46" i="8"/>
  <c r="Q46" i="11" s="1"/>
  <c r="P42" i="8"/>
  <c r="Q42" i="11" s="1"/>
  <c r="P38" i="8"/>
  <c r="Q38" i="11" s="1"/>
  <c r="P34" i="8"/>
  <c r="Q34" i="11" s="1"/>
  <c r="P30" i="8"/>
  <c r="Q30" i="11" s="1"/>
  <c r="P26" i="8"/>
  <c r="Q26" i="11" s="1"/>
  <c r="P22" i="8"/>
  <c r="Q22" i="11" s="1"/>
  <c r="P18" i="8"/>
  <c r="Q18" i="11" s="1"/>
  <c r="P14" i="8"/>
  <c r="Q14" i="11" s="1"/>
  <c r="P10" i="8"/>
  <c r="Q10" i="11" s="1"/>
  <c r="P6" i="8"/>
  <c r="Q6" i="11" s="1"/>
  <c r="Q300" i="8"/>
  <c r="V300" i="11" s="1"/>
  <c r="Q296" i="8"/>
  <c r="V296" i="11" s="1"/>
  <c r="Q292" i="8"/>
  <c r="V292" i="11" s="1"/>
  <c r="Q288" i="8"/>
  <c r="V288" i="11" s="1"/>
  <c r="Q284" i="8"/>
  <c r="V284" i="11" s="1"/>
  <c r="Q280" i="8"/>
  <c r="V280" i="11" s="1"/>
  <c r="Q276" i="8"/>
  <c r="V276" i="11" s="1"/>
  <c r="Q272" i="8"/>
  <c r="V272" i="11" s="1"/>
  <c r="Q268" i="8"/>
  <c r="V268" i="11" s="1"/>
  <c r="Q264" i="8"/>
  <c r="V264" i="11" s="1"/>
  <c r="Q260" i="8"/>
  <c r="V260" i="11" s="1"/>
  <c r="Q256" i="8"/>
  <c r="V256" i="11" s="1"/>
  <c r="Q252" i="8"/>
  <c r="V252" i="11" s="1"/>
  <c r="Q248" i="8"/>
  <c r="V248" i="11" s="1"/>
  <c r="Q244" i="8"/>
  <c r="V244" i="11" s="1"/>
  <c r="Q240" i="8"/>
  <c r="V240" i="11" s="1"/>
  <c r="Q236" i="8"/>
  <c r="V236" i="11" s="1"/>
  <c r="Q232" i="8"/>
  <c r="V232" i="11" s="1"/>
  <c r="Q228" i="8"/>
  <c r="V228" i="11" s="1"/>
  <c r="Q224" i="8"/>
  <c r="V224" i="11" s="1"/>
  <c r="Q220" i="8"/>
  <c r="V220" i="11" s="1"/>
  <c r="Q216" i="8"/>
  <c r="V216" i="11" s="1"/>
  <c r="Q212" i="8"/>
  <c r="V212" i="11" s="1"/>
  <c r="Q208" i="8"/>
  <c r="V208" i="11" s="1"/>
  <c r="Q204" i="8"/>
  <c r="V204" i="11" s="1"/>
  <c r="Q200" i="8"/>
  <c r="V200" i="11" s="1"/>
  <c r="Q196" i="8"/>
  <c r="V196" i="11" s="1"/>
  <c r="Q192" i="8"/>
  <c r="V192" i="11" s="1"/>
  <c r="Q188" i="8"/>
  <c r="V188" i="11" s="1"/>
  <c r="Q184" i="8"/>
  <c r="V184" i="11" s="1"/>
  <c r="Q180" i="8"/>
  <c r="V180" i="11" s="1"/>
  <c r="Q176" i="8"/>
  <c r="V176" i="11" s="1"/>
  <c r="Q262" i="8"/>
  <c r="V262" i="11" s="1"/>
  <c r="Q246" i="8"/>
  <c r="V246" i="11" s="1"/>
  <c r="T246" i="11" s="1"/>
  <c r="P238" i="8"/>
  <c r="Q238" i="11" s="1"/>
  <c r="Q230" i="8"/>
  <c r="V230" i="11" s="1"/>
  <c r="T230" i="11" s="1"/>
  <c r="P222" i="8"/>
  <c r="Q222" i="11" s="1"/>
  <c r="Q214" i="8"/>
  <c r="V214" i="11" s="1"/>
  <c r="Q198" i="8"/>
  <c r="V198" i="11" s="1"/>
  <c r="Q182" i="8"/>
  <c r="V182" i="11" s="1"/>
  <c r="T182" i="11" s="1"/>
  <c r="Q166" i="8"/>
  <c r="V166" i="11" s="1"/>
  <c r="Q150" i="8"/>
  <c r="V150" i="11" s="1"/>
  <c r="Q134" i="8"/>
  <c r="V134" i="11" s="1"/>
  <c r="Q118" i="8"/>
  <c r="V118" i="11" s="1"/>
  <c r="T118" i="11" s="1"/>
  <c r="Q102" i="8"/>
  <c r="V102" i="11" s="1"/>
  <c r="Q86" i="8"/>
  <c r="V86" i="11" s="1"/>
  <c r="T86" i="11" s="1"/>
  <c r="Q70" i="8"/>
  <c r="V70" i="11" s="1"/>
  <c r="Q54" i="8"/>
  <c r="V54" i="11" s="1"/>
  <c r="T54" i="11" s="1"/>
  <c r="Q38" i="8"/>
  <c r="V38" i="11" s="1"/>
  <c r="Q22" i="8"/>
  <c r="V22" i="11" s="1"/>
  <c r="Q6" i="8"/>
  <c r="V6" i="11" s="1"/>
  <c r="Q299" i="8"/>
  <c r="V299" i="11" s="1"/>
  <c r="Q295" i="8"/>
  <c r="V295" i="11" s="1"/>
  <c r="Q291" i="8"/>
  <c r="V291" i="11" s="1"/>
  <c r="P287" i="8"/>
  <c r="Q287" i="11" s="1"/>
  <c r="Q283" i="8"/>
  <c r="V283" i="11" s="1"/>
  <c r="Q279" i="8"/>
  <c r="V279" i="11" s="1"/>
  <c r="Q275" i="8"/>
  <c r="V275" i="11" s="1"/>
  <c r="Q271" i="8"/>
  <c r="V271" i="11" s="1"/>
  <c r="Q267" i="8"/>
  <c r="V267" i="11" s="1"/>
  <c r="Q263" i="8"/>
  <c r="V263" i="11" s="1"/>
  <c r="Q259" i="8"/>
  <c r="V259" i="11" s="1"/>
  <c r="Q255" i="8"/>
  <c r="V255" i="11" s="1"/>
  <c r="Q251" i="8"/>
  <c r="V251" i="11" s="1"/>
  <c r="Q247" i="8"/>
  <c r="V247" i="11" s="1"/>
  <c r="Q243" i="8"/>
  <c r="V243" i="11" s="1"/>
  <c r="Q239" i="8"/>
  <c r="V239" i="11" s="1"/>
  <c r="Q235" i="8"/>
  <c r="V235" i="11" s="1"/>
  <c r="Q231" i="8"/>
  <c r="V231" i="11" s="1"/>
  <c r="Q227" i="8"/>
  <c r="V227" i="11" s="1"/>
  <c r="Q223" i="8"/>
  <c r="V223" i="11" s="1"/>
  <c r="Q219" i="8"/>
  <c r="V219" i="11" s="1"/>
  <c r="Q215" i="8"/>
  <c r="V215" i="11" s="1"/>
  <c r="Q211" i="8"/>
  <c r="V211" i="11" s="1"/>
  <c r="Q207" i="8"/>
  <c r="V207" i="11" s="1"/>
  <c r="Q203" i="8"/>
  <c r="V203" i="11" s="1"/>
  <c r="Q199" i="8"/>
  <c r="V199" i="11" s="1"/>
  <c r="Q195" i="8"/>
  <c r="V195" i="11" s="1"/>
  <c r="Q191" i="8"/>
  <c r="V191" i="11" s="1"/>
  <c r="Q187" i="8"/>
  <c r="V187" i="11" s="1"/>
  <c r="Q183" i="8"/>
  <c r="V183" i="11" s="1"/>
  <c r="Q179" i="8"/>
  <c r="V179" i="11" s="1"/>
  <c r="Q175" i="8"/>
  <c r="V175" i="11" s="1"/>
  <c r="Q171" i="8"/>
  <c r="V171" i="11" s="1"/>
  <c r="Q167" i="8"/>
  <c r="V167" i="11" s="1"/>
  <c r="Q163" i="8"/>
  <c r="V163" i="11" s="1"/>
  <c r="Q159" i="8"/>
  <c r="V159" i="11" s="1"/>
  <c r="Q155" i="8"/>
  <c r="V155" i="11" s="1"/>
  <c r="Q151" i="8"/>
  <c r="V151" i="11" s="1"/>
  <c r="Q147" i="8"/>
  <c r="V147" i="11" s="1"/>
  <c r="Q143" i="8"/>
  <c r="V143" i="11" s="1"/>
  <c r="Q139" i="8"/>
  <c r="V139" i="11" s="1"/>
  <c r="Q135" i="8"/>
  <c r="V135" i="11" s="1"/>
  <c r="Q131" i="8"/>
  <c r="V131" i="11" s="1"/>
  <c r="Q127" i="8"/>
  <c r="V127" i="11" s="1"/>
  <c r="Q123" i="8"/>
  <c r="V123" i="11" s="1"/>
  <c r="Q119" i="8"/>
  <c r="V119" i="11" s="1"/>
  <c r="Q115" i="8"/>
  <c r="V115" i="11" s="1"/>
  <c r="Q111" i="8"/>
  <c r="V111" i="11" s="1"/>
  <c r="Q107" i="8"/>
  <c r="V107" i="11" s="1"/>
  <c r="Q103" i="8"/>
  <c r="V103" i="11" s="1"/>
  <c r="Q99" i="8"/>
  <c r="V99" i="11" s="1"/>
  <c r="Q95" i="8"/>
  <c r="V95" i="11" s="1"/>
  <c r="Q91" i="8"/>
  <c r="V91" i="11" s="1"/>
  <c r="Q87" i="8"/>
  <c r="V87" i="11" s="1"/>
  <c r="Q83" i="8"/>
  <c r="V83" i="11" s="1"/>
  <c r="Q79" i="8"/>
  <c r="V79" i="11" s="1"/>
  <c r="Q75" i="8"/>
  <c r="V75" i="11" s="1"/>
  <c r="Q71" i="8"/>
  <c r="V71" i="11" s="1"/>
  <c r="Q67" i="8"/>
  <c r="V67" i="11" s="1"/>
  <c r="Q63" i="8"/>
  <c r="V63" i="11" s="1"/>
  <c r="Q59" i="8"/>
  <c r="V59" i="11" s="1"/>
  <c r="Q55" i="8"/>
  <c r="V55" i="11" s="1"/>
  <c r="Q51" i="8"/>
  <c r="V51" i="11" s="1"/>
  <c r="Q47" i="8"/>
  <c r="V47" i="11" s="1"/>
  <c r="Q43" i="8"/>
  <c r="V43" i="11" s="1"/>
  <c r="Q39" i="8"/>
  <c r="V39" i="11" s="1"/>
  <c r="Q35" i="8"/>
  <c r="V35" i="11" s="1"/>
  <c r="Q31" i="8"/>
  <c r="V31" i="11" s="1"/>
  <c r="Q27" i="8"/>
  <c r="V27" i="11" s="1"/>
  <c r="Q23" i="8"/>
  <c r="V23" i="11" s="1"/>
  <c r="Q19" i="8"/>
  <c r="V19" i="11" s="1"/>
  <c r="Q15" i="8"/>
  <c r="V15" i="11" s="1"/>
  <c r="Q11" i="8"/>
  <c r="V11" i="11" s="1"/>
  <c r="Q7" i="8"/>
  <c r="V7" i="11" s="1"/>
  <c r="P248" i="8"/>
  <c r="Q248" i="11" s="1"/>
  <c r="P232" i="8"/>
  <c r="Q232" i="11" s="1"/>
  <c r="P216" i="8"/>
  <c r="Q216" i="11" s="1"/>
  <c r="P208" i="8"/>
  <c r="Q208" i="11" s="1"/>
  <c r="P200" i="8"/>
  <c r="Q200" i="11" s="1"/>
  <c r="P192" i="8"/>
  <c r="Q192" i="11" s="1"/>
  <c r="P184" i="8"/>
  <c r="Q184" i="11" s="1"/>
  <c r="P176" i="8"/>
  <c r="Q176" i="11" s="1"/>
  <c r="P168" i="8"/>
  <c r="Q168" i="11" s="1"/>
  <c r="T168" i="11" s="1"/>
  <c r="P160" i="8"/>
  <c r="Q160" i="11" s="1"/>
  <c r="P152" i="8"/>
  <c r="Q152" i="11" s="1"/>
  <c r="T152" i="11" s="1"/>
  <c r="P144" i="8"/>
  <c r="Q144" i="11" s="1"/>
  <c r="P136" i="8"/>
  <c r="Q136" i="11" s="1"/>
  <c r="T136" i="11" s="1"/>
  <c r="P128" i="8"/>
  <c r="Q128" i="11" s="1"/>
  <c r="P120" i="8"/>
  <c r="Q120" i="11" s="1"/>
  <c r="T120" i="11" s="1"/>
  <c r="P112" i="8"/>
  <c r="Q112" i="11" s="1"/>
  <c r="P104" i="8"/>
  <c r="Q104" i="11" s="1"/>
  <c r="T104" i="11" s="1"/>
  <c r="P96" i="8"/>
  <c r="Q96" i="11" s="1"/>
  <c r="P88" i="8"/>
  <c r="Q88" i="11" s="1"/>
  <c r="T88" i="11" s="1"/>
  <c r="P80" i="8"/>
  <c r="Q80" i="11" s="1"/>
  <c r="P72" i="8"/>
  <c r="Q72" i="11" s="1"/>
  <c r="P64" i="8"/>
  <c r="Q64" i="11" s="1"/>
  <c r="T64" i="11" s="1"/>
  <c r="P56" i="8"/>
  <c r="Q56" i="11" s="1"/>
  <c r="P48" i="8"/>
  <c r="Q48" i="11" s="1"/>
  <c r="P40" i="8"/>
  <c r="Q40" i="11" s="1"/>
  <c r="P32" i="8"/>
  <c r="Q32" i="11" s="1"/>
  <c r="T32" i="11" s="1"/>
  <c r="P24" i="8"/>
  <c r="Q24" i="11" s="1"/>
  <c r="T24" i="11" s="1"/>
  <c r="P16" i="8"/>
  <c r="Q16" i="11" s="1"/>
  <c r="P8" i="8"/>
  <c r="Q8" i="11" s="1"/>
  <c r="P297" i="8"/>
  <c r="Q297" i="11" s="1"/>
  <c r="P293" i="8"/>
  <c r="Q293" i="11" s="1"/>
  <c r="P289" i="8"/>
  <c r="Q289" i="11" s="1"/>
  <c r="P285" i="8"/>
  <c r="Q285" i="11" s="1"/>
  <c r="P281" i="8"/>
  <c r="Q281" i="11" s="1"/>
  <c r="P277" i="8"/>
  <c r="Q277" i="11" s="1"/>
  <c r="P273" i="8"/>
  <c r="Q273" i="11" s="1"/>
  <c r="P269" i="8"/>
  <c r="Q269" i="11" s="1"/>
  <c r="P265" i="8"/>
  <c r="Q265" i="11" s="1"/>
  <c r="P261" i="8"/>
  <c r="Q261" i="11" s="1"/>
  <c r="P257" i="8"/>
  <c r="Q257" i="11" s="1"/>
  <c r="P253" i="8"/>
  <c r="Q253" i="11" s="1"/>
  <c r="Q297" i="8"/>
  <c r="V297" i="11" s="1"/>
  <c r="Q293" i="8"/>
  <c r="V293" i="11" s="1"/>
  <c r="T293" i="11" s="1"/>
  <c r="Q289" i="8"/>
  <c r="V289" i="11" s="1"/>
  <c r="T289" i="11" s="1"/>
  <c r="Q285" i="8"/>
  <c r="V285" i="11" s="1"/>
  <c r="T285" i="11" s="1"/>
  <c r="Q281" i="8"/>
  <c r="V281" i="11" s="1"/>
  <c r="T281" i="11" s="1"/>
  <c r="Q277" i="8"/>
  <c r="V277" i="11" s="1"/>
  <c r="T277" i="11" s="1"/>
  <c r="Q273" i="8"/>
  <c r="V273" i="11" s="1"/>
  <c r="T273" i="11" s="1"/>
  <c r="Q269" i="8"/>
  <c r="V269" i="11" s="1"/>
  <c r="T269" i="11" s="1"/>
  <c r="Q265" i="8"/>
  <c r="V265" i="11" s="1"/>
  <c r="T265" i="11" s="1"/>
  <c r="Q261" i="8"/>
  <c r="V261" i="11" s="1"/>
  <c r="T261" i="11" s="1"/>
  <c r="Q257" i="8"/>
  <c r="V257" i="11" s="1"/>
  <c r="T257" i="11" s="1"/>
  <c r="Q253" i="8"/>
  <c r="V253" i="11" s="1"/>
  <c r="T253" i="11" s="1"/>
  <c r="T102" i="11"/>
  <c r="P300" i="8"/>
  <c r="Q300" i="11" s="1"/>
  <c r="T300" i="11" s="1"/>
  <c r="P296" i="8"/>
  <c r="Q296" i="11" s="1"/>
  <c r="P292" i="8"/>
  <c r="Q292" i="11" s="1"/>
  <c r="T292" i="11" s="1"/>
  <c r="P288" i="8"/>
  <c r="Q288" i="11" s="1"/>
  <c r="P284" i="8"/>
  <c r="Q284" i="11" s="1"/>
  <c r="T284" i="11" s="1"/>
  <c r="P280" i="8"/>
  <c r="Q280" i="11" s="1"/>
  <c r="P276" i="8"/>
  <c r="Q276" i="11" s="1"/>
  <c r="T276" i="11" s="1"/>
  <c r="P272" i="8"/>
  <c r="Q272" i="11" s="1"/>
  <c r="P268" i="8"/>
  <c r="Q268" i="11" s="1"/>
  <c r="T268" i="11" s="1"/>
  <c r="P264" i="8"/>
  <c r="Q264" i="11" s="1"/>
  <c r="P260" i="8"/>
  <c r="Q260" i="11" s="1"/>
  <c r="T260" i="11" s="1"/>
  <c r="P256" i="8"/>
  <c r="Q256" i="11" s="1"/>
  <c r="P252" i="8"/>
  <c r="Q252" i="11" s="1"/>
  <c r="T252" i="11" s="1"/>
  <c r="P247" i="8"/>
  <c r="Q247" i="11" s="1"/>
  <c r="T247" i="11" s="1"/>
  <c r="P242" i="8"/>
  <c r="Q242" i="11" s="1"/>
  <c r="T242" i="11" s="1"/>
  <c r="P236" i="8"/>
  <c r="Q236" i="11" s="1"/>
  <c r="T236" i="11" s="1"/>
  <c r="P231" i="8"/>
  <c r="Q231" i="11" s="1"/>
  <c r="T231" i="11" s="1"/>
  <c r="P226" i="8"/>
  <c r="Q226" i="11" s="1"/>
  <c r="T226" i="11" s="1"/>
  <c r="P220" i="8"/>
  <c r="Q220" i="11" s="1"/>
  <c r="T220" i="11" s="1"/>
  <c r="P215" i="8"/>
  <c r="Q215" i="11" s="1"/>
  <c r="T215" i="11" s="1"/>
  <c r="P207" i="8"/>
  <c r="Q207" i="11" s="1"/>
  <c r="P199" i="8"/>
  <c r="Q199" i="11" s="1"/>
  <c r="T199" i="11" s="1"/>
  <c r="P191" i="8"/>
  <c r="Q191" i="11" s="1"/>
  <c r="P183" i="8"/>
  <c r="Q183" i="11" s="1"/>
  <c r="T183" i="11" s="1"/>
  <c r="P175" i="8"/>
  <c r="Q175" i="11" s="1"/>
  <c r="P167" i="8"/>
  <c r="Q167" i="11" s="1"/>
  <c r="T167" i="11" s="1"/>
  <c r="P159" i="8"/>
  <c r="Q159" i="11" s="1"/>
  <c r="P151" i="8"/>
  <c r="Q151" i="11" s="1"/>
  <c r="T151" i="11" s="1"/>
  <c r="P143" i="8"/>
  <c r="Q143" i="11" s="1"/>
  <c r="T143" i="11" s="1"/>
  <c r="P135" i="8"/>
  <c r="Q135" i="11" s="1"/>
  <c r="T135" i="11" s="1"/>
  <c r="P127" i="8"/>
  <c r="Q127" i="11" s="1"/>
  <c r="P119" i="8"/>
  <c r="Q119" i="11" s="1"/>
  <c r="T119" i="11" s="1"/>
  <c r="P111" i="8"/>
  <c r="Q111" i="11" s="1"/>
  <c r="P103" i="8"/>
  <c r="Q103" i="11" s="1"/>
  <c r="T103" i="11" s="1"/>
  <c r="P95" i="8"/>
  <c r="Q95" i="11" s="1"/>
  <c r="P87" i="8"/>
  <c r="Q87" i="11" s="1"/>
  <c r="T87" i="11" s="1"/>
  <c r="P79" i="8"/>
  <c r="Q79" i="11" s="1"/>
  <c r="P71" i="8"/>
  <c r="Q71" i="11" s="1"/>
  <c r="T71" i="11" s="1"/>
  <c r="P63" i="8"/>
  <c r="Q63" i="11" s="1"/>
  <c r="P55" i="8"/>
  <c r="Q55" i="11" s="1"/>
  <c r="T55" i="11" s="1"/>
  <c r="P47" i="8"/>
  <c r="Q47" i="11" s="1"/>
  <c r="P39" i="8"/>
  <c r="Q39" i="11" s="1"/>
  <c r="T39" i="11" s="1"/>
  <c r="P31" i="8"/>
  <c r="Q31" i="11" s="1"/>
  <c r="P23" i="8"/>
  <c r="Q23" i="11" s="1"/>
  <c r="T23" i="11" s="1"/>
  <c r="P15" i="8"/>
  <c r="Q15" i="11" s="1"/>
  <c r="P7" i="8"/>
  <c r="Q7" i="11" s="1"/>
  <c r="T7" i="11" s="1"/>
  <c r="Q294" i="8"/>
  <c r="V294" i="11" s="1"/>
  <c r="Q286" i="8"/>
  <c r="V286" i="11" s="1"/>
  <c r="Q278" i="8"/>
  <c r="V278" i="11" s="1"/>
  <c r="Q270" i="8"/>
  <c r="V270" i="11" s="1"/>
  <c r="Q258" i="8"/>
  <c r="V258" i="11" s="1"/>
  <c r="Q210" i="8"/>
  <c r="V210" i="11" s="1"/>
  <c r="Q194" i="8"/>
  <c r="V194" i="11" s="1"/>
  <c r="Q178" i="8"/>
  <c r="V178" i="11" s="1"/>
  <c r="Q162" i="8"/>
  <c r="V162" i="11" s="1"/>
  <c r="Q146" i="8"/>
  <c r="V146" i="11" s="1"/>
  <c r="Q130" i="8"/>
  <c r="V130" i="11" s="1"/>
  <c r="Q114" i="8"/>
  <c r="V114" i="11" s="1"/>
  <c r="Q98" i="8"/>
  <c r="V98" i="11" s="1"/>
  <c r="Q82" i="8"/>
  <c r="V82" i="11" s="1"/>
  <c r="Q66" i="8"/>
  <c r="V66" i="11" s="1"/>
  <c r="Q50" i="8"/>
  <c r="V50" i="11" s="1"/>
  <c r="Q34" i="8"/>
  <c r="V34" i="11" s="1"/>
  <c r="Q18" i="8"/>
  <c r="V18" i="11" s="1"/>
  <c r="T47" i="11"/>
  <c r="P243" i="8"/>
  <c r="Q243" i="11" s="1"/>
  <c r="P227" i="8"/>
  <c r="Q227" i="11" s="1"/>
  <c r="Q287" i="8"/>
  <c r="V287" i="11" s="1"/>
  <c r="P249" i="8"/>
  <c r="Q249" i="11" s="1"/>
  <c r="Q249" i="8"/>
  <c r="V249" i="11" s="1"/>
  <c r="P245" i="8"/>
  <c r="Q245" i="11" s="1"/>
  <c r="Q245" i="8"/>
  <c r="V245" i="11" s="1"/>
  <c r="P241" i="8"/>
  <c r="Q241" i="11" s="1"/>
  <c r="Q241" i="8"/>
  <c r="V241" i="11" s="1"/>
  <c r="P237" i="8"/>
  <c r="Q237" i="11" s="1"/>
  <c r="Q237" i="8"/>
  <c r="V237" i="11" s="1"/>
  <c r="P233" i="8"/>
  <c r="Q233" i="11" s="1"/>
  <c r="Q233" i="8"/>
  <c r="V233" i="11" s="1"/>
  <c r="P229" i="8"/>
  <c r="Q229" i="11" s="1"/>
  <c r="Q229" i="8"/>
  <c r="V229" i="11" s="1"/>
  <c r="P225" i="8"/>
  <c r="Q225" i="11" s="1"/>
  <c r="Q225" i="8"/>
  <c r="V225" i="11" s="1"/>
  <c r="P221" i="8"/>
  <c r="Q221" i="11" s="1"/>
  <c r="Q221" i="8"/>
  <c r="V221" i="11" s="1"/>
  <c r="P217" i="8"/>
  <c r="Q217" i="11" s="1"/>
  <c r="Q217" i="8"/>
  <c r="V217" i="11" s="1"/>
  <c r="P213" i="8"/>
  <c r="Q213" i="11" s="1"/>
  <c r="Q213" i="8"/>
  <c r="V213" i="11" s="1"/>
  <c r="P209" i="8"/>
  <c r="Q209" i="11" s="1"/>
  <c r="Q209" i="8"/>
  <c r="V209" i="11" s="1"/>
  <c r="P205" i="8"/>
  <c r="Q205" i="11" s="1"/>
  <c r="Q205" i="8"/>
  <c r="V205" i="11" s="1"/>
  <c r="P201" i="8"/>
  <c r="Q201" i="11" s="1"/>
  <c r="Q201" i="8"/>
  <c r="V201" i="11" s="1"/>
  <c r="P197" i="8"/>
  <c r="Q197" i="11" s="1"/>
  <c r="Q197" i="8"/>
  <c r="V197" i="11" s="1"/>
  <c r="P193" i="8"/>
  <c r="Q193" i="11" s="1"/>
  <c r="Q193" i="8"/>
  <c r="V193" i="11" s="1"/>
  <c r="P189" i="8"/>
  <c r="Q189" i="11" s="1"/>
  <c r="Q189" i="8"/>
  <c r="V189" i="11" s="1"/>
  <c r="P185" i="8"/>
  <c r="Q185" i="11" s="1"/>
  <c r="Q185" i="8"/>
  <c r="V185" i="11" s="1"/>
  <c r="P181" i="8"/>
  <c r="Q181" i="11" s="1"/>
  <c r="Q181" i="8"/>
  <c r="V181" i="11" s="1"/>
  <c r="P177" i="8"/>
  <c r="Q177" i="11" s="1"/>
  <c r="Q177" i="8"/>
  <c r="V177" i="11" s="1"/>
  <c r="P173" i="8"/>
  <c r="Q173" i="11" s="1"/>
  <c r="Q173" i="8"/>
  <c r="V173" i="11" s="1"/>
  <c r="P169" i="8"/>
  <c r="Q169" i="11" s="1"/>
  <c r="Q169" i="8"/>
  <c r="V169" i="11" s="1"/>
  <c r="P165" i="8"/>
  <c r="Q165" i="11" s="1"/>
  <c r="Q165" i="8"/>
  <c r="V165" i="11" s="1"/>
  <c r="P161" i="8"/>
  <c r="Q161" i="11" s="1"/>
  <c r="Q161" i="8"/>
  <c r="V161" i="11" s="1"/>
  <c r="P157" i="8"/>
  <c r="Q157" i="11" s="1"/>
  <c r="Q157" i="8"/>
  <c r="V157" i="11" s="1"/>
  <c r="P153" i="8"/>
  <c r="Q153" i="11" s="1"/>
  <c r="Q153" i="8"/>
  <c r="V153" i="11" s="1"/>
  <c r="P149" i="8"/>
  <c r="Q149" i="11" s="1"/>
  <c r="Q149" i="8"/>
  <c r="V149" i="11" s="1"/>
  <c r="P145" i="8"/>
  <c r="Q145" i="11" s="1"/>
  <c r="Q145" i="8"/>
  <c r="V145" i="11" s="1"/>
  <c r="P141" i="8"/>
  <c r="Q141" i="11" s="1"/>
  <c r="Q141" i="8"/>
  <c r="V141" i="11" s="1"/>
  <c r="P137" i="8"/>
  <c r="Q137" i="11" s="1"/>
  <c r="Q137" i="8"/>
  <c r="V137" i="11" s="1"/>
  <c r="P133" i="8"/>
  <c r="Q133" i="11" s="1"/>
  <c r="Q133" i="8"/>
  <c r="V133" i="11" s="1"/>
  <c r="P129" i="8"/>
  <c r="Q129" i="11" s="1"/>
  <c r="Q129" i="8"/>
  <c r="V129" i="11" s="1"/>
  <c r="P125" i="8"/>
  <c r="Q125" i="11" s="1"/>
  <c r="Q125" i="8"/>
  <c r="V125" i="11" s="1"/>
  <c r="P121" i="8"/>
  <c r="Q121" i="11" s="1"/>
  <c r="Q121" i="8"/>
  <c r="V121" i="11" s="1"/>
  <c r="P117" i="8"/>
  <c r="Q117" i="11" s="1"/>
  <c r="Q117" i="8"/>
  <c r="V117" i="11" s="1"/>
  <c r="P113" i="8"/>
  <c r="Q113" i="11" s="1"/>
  <c r="Q113" i="8"/>
  <c r="V113" i="11" s="1"/>
  <c r="P109" i="8"/>
  <c r="Q109" i="11" s="1"/>
  <c r="Q109" i="8"/>
  <c r="V109" i="11" s="1"/>
  <c r="P105" i="8"/>
  <c r="Q105" i="11" s="1"/>
  <c r="Q105" i="8"/>
  <c r="V105" i="11" s="1"/>
  <c r="P101" i="8"/>
  <c r="Q101" i="11" s="1"/>
  <c r="Q101" i="8"/>
  <c r="V101" i="11" s="1"/>
  <c r="P97" i="8"/>
  <c r="Q97" i="11" s="1"/>
  <c r="Q97" i="8"/>
  <c r="V97" i="11" s="1"/>
  <c r="P93" i="8"/>
  <c r="Q93" i="11" s="1"/>
  <c r="Q93" i="8"/>
  <c r="V93" i="11" s="1"/>
  <c r="P89" i="8"/>
  <c r="Q89" i="11" s="1"/>
  <c r="Q89" i="8"/>
  <c r="V89" i="11" s="1"/>
  <c r="P85" i="8"/>
  <c r="Q85" i="11" s="1"/>
  <c r="Q85" i="8"/>
  <c r="V85" i="11" s="1"/>
  <c r="P81" i="8"/>
  <c r="Q81" i="11" s="1"/>
  <c r="Q81" i="8"/>
  <c r="V81" i="11" s="1"/>
  <c r="P77" i="8"/>
  <c r="Q77" i="11" s="1"/>
  <c r="Q77" i="8"/>
  <c r="V77" i="11" s="1"/>
  <c r="P73" i="8"/>
  <c r="Q73" i="11" s="1"/>
  <c r="Q73" i="8"/>
  <c r="V73" i="11" s="1"/>
  <c r="P69" i="8"/>
  <c r="Q69" i="11" s="1"/>
  <c r="Q69" i="8"/>
  <c r="V69" i="11" s="1"/>
  <c r="P65" i="8"/>
  <c r="Q65" i="11" s="1"/>
  <c r="Q65" i="8"/>
  <c r="V65" i="11" s="1"/>
  <c r="P61" i="8"/>
  <c r="Q61" i="11" s="1"/>
  <c r="Q61" i="8"/>
  <c r="V61" i="11" s="1"/>
  <c r="P57" i="8"/>
  <c r="Q57" i="11" s="1"/>
  <c r="Q57" i="8"/>
  <c r="V57" i="11" s="1"/>
  <c r="P53" i="8"/>
  <c r="Q53" i="11" s="1"/>
  <c r="Q53" i="8"/>
  <c r="V53" i="11" s="1"/>
  <c r="P49" i="8"/>
  <c r="Q49" i="11" s="1"/>
  <c r="Q49" i="8"/>
  <c r="V49" i="11" s="1"/>
  <c r="P45" i="8"/>
  <c r="Q45" i="11" s="1"/>
  <c r="Q45" i="8"/>
  <c r="V45" i="11" s="1"/>
  <c r="P41" i="8"/>
  <c r="Q41" i="11" s="1"/>
  <c r="Q41" i="8"/>
  <c r="V41" i="11" s="1"/>
  <c r="P37" i="8"/>
  <c r="Q37" i="11" s="1"/>
  <c r="Q37" i="8"/>
  <c r="V37" i="11" s="1"/>
  <c r="P33" i="8"/>
  <c r="Q33" i="11" s="1"/>
  <c r="Q33" i="8"/>
  <c r="V33" i="11" s="1"/>
  <c r="P29" i="8"/>
  <c r="Q29" i="11" s="1"/>
  <c r="Q29" i="8"/>
  <c r="V29" i="11" s="1"/>
  <c r="P25" i="8"/>
  <c r="Q25" i="11" s="1"/>
  <c r="Q25" i="8"/>
  <c r="V25" i="11" s="1"/>
  <c r="P21" i="8"/>
  <c r="Q21" i="11" s="1"/>
  <c r="Q21" i="8"/>
  <c r="V21" i="11" s="1"/>
  <c r="P17" i="8"/>
  <c r="Q17" i="11" s="1"/>
  <c r="Q17" i="8"/>
  <c r="V17" i="11" s="1"/>
  <c r="P13" i="8"/>
  <c r="Q13" i="11" s="1"/>
  <c r="Q13" i="8"/>
  <c r="V13" i="11" s="1"/>
  <c r="P9" i="8"/>
  <c r="Q9" i="11" s="1"/>
  <c r="Q9" i="8"/>
  <c r="V9" i="11" s="1"/>
  <c r="P299" i="8"/>
  <c r="Q299" i="11" s="1"/>
  <c r="P295" i="8"/>
  <c r="Q295" i="11" s="1"/>
  <c r="T295" i="11" s="1"/>
  <c r="P291" i="8"/>
  <c r="Q291" i="11" s="1"/>
  <c r="P283" i="8"/>
  <c r="Q283" i="11" s="1"/>
  <c r="P279" i="8"/>
  <c r="Q279" i="11" s="1"/>
  <c r="T279" i="11" s="1"/>
  <c r="P275" i="8"/>
  <c r="Q275" i="11" s="1"/>
  <c r="P271" i="8"/>
  <c r="Q271" i="11" s="1"/>
  <c r="P267" i="8"/>
  <c r="Q267" i="11" s="1"/>
  <c r="P263" i="8"/>
  <c r="Q263" i="11" s="1"/>
  <c r="T263" i="11" s="1"/>
  <c r="P259" i="8"/>
  <c r="Q259" i="11" s="1"/>
  <c r="P255" i="8"/>
  <c r="Q255" i="11" s="1"/>
  <c r="P251" i="8"/>
  <c r="Q251" i="11" s="1"/>
  <c r="P240" i="8"/>
  <c r="Q240" i="11" s="1"/>
  <c r="P235" i="8"/>
  <c r="Q235" i="11" s="1"/>
  <c r="P224" i="8"/>
  <c r="Q224" i="11" s="1"/>
  <c r="P219" i="8"/>
  <c r="Q219" i="11" s="1"/>
  <c r="P212" i="8"/>
  <c r="Q212" i="11" s="1"/>
  <c r="T212" i="11" s="1"/>
  <c r="P204" i="8"/>
  <c r="Q204" i="11" s="1"/>
  <c r="T204" i="11" s="1"/>
  <c r="P196" i="8"/>
  <c r="Q196" i="11" s="1"/>
  <c r="P188" i="8"/>
  <c r="Q188" i="11" s="1"/>
  <c r="T188" i="11" s="1"/>
  <c r="P180" i="8"/>
  <c r="Q180" i="11" s="1"/>
  <c r="T180" i="11" s="1"/>
  <c r="P172" i="8"/>
  <c r="Q172" i="11" s="1"/>
  <c r="P164" i="8"/>
  <c r="Q164" i="11" s="1"/>
  <c r="P156" i="8"/>
  <c r="Q156" i="11" s="1"/>
  <c r="T156" i="11" s="1"/>
  <c r="P148" i="8"/>
  <c r="Q148" i="11" s="1"/>
  <c r="P140" i="8"/>
  <c r="Q140" i="11" s="1"/>
  <c r="P132" i="8"/>
  <c r="Q132" i="11" s="1"/>
  <c r="P124" i="8"/>
  <c r="Q124" i="11" s="1"/>
  <c r="T124" i="11" s="1"/>
  <c r="P116" i="8"/>
  <c r="Q116" i="11" s="1"/>
  <c r="P108" i="8"/>
  <c r="Q108" i="11" s="1"/>
  <c r="T108" i="11" s="1"/>
  <c r="P100" i="8"/>
  <c r="Q100" i="11" s="1"/>
  <c r="P92" i="8"/>
  <c r="Q92" i="11" s="1"/>
  <c r="T92" i="11" s="1"/>
  <c r="P84" i="8"/>
  <c r="Q84" i="11" s="1"/>
  <c r="T84" i="11" s="1"/>
  <c r="P76" i="8"/>
  <c r="Q76" i="11" s="1"/>
  <c r="P68" i="8"/>
  <c r="Q68" i="11" s="1"/>
  <c r="P60" i="8"/>
  <c r="Q60" i="11" s="1"/>
  <c r="P52" i="8"/>
  <c r="Q52" i="11" s="1"/>
  <c r="T52" i="11" s="1"/>
  <c r="P44" i="8"/>
  <c r="Q44" i="11" s="1"/>
  <c r="P36" i="8"/>
  <c r="Q36" i="11" s="1"/>
  <c r="P28" i="8"/>
  <c r="Q28" i="11" s="1"/>
  <c r="P20" i="8"/>
  <c r="Q20" i="11" s="1"/>
  <c r="T20" i="11" s="1"/>
  <c r="P12" i="8"/>
  <c r="Q12" i="11" s="1"/>
  <c r="Q254" i="8"/>
  <c r="V254" i="11" s="1"/>
  <c r="Q206" i="8"/>
  <c r="V206" i="11" s="1"/>
  <c r="Q190" i="8"/>
  <c r="V190" i="11" s="1"/>
  <c r="Q174" i="8"/>
  <c r="V174" i="11" s="1"/>
  <c r="Q158" i="8"/>
  <c r="V158" i="11" s="1"/>
  <c r="Q142" i="8"/>
  <c r="V142" i="11" s="1"/>
  <c r="Q126" i="8"/>
  <c r="V126" i="11" s="1"/>
  <c r="Q110" i="8"/>
  <c r="V110" i="11" s="1"/>
  <c r="Q94" i="8"/>
  <c r="V94" i="11" s="1"/>
  <c r="Q78" i="8"/>
  <c r="V78" i="11" s="1"/>
  <c r="Q62" i="8"/>
  <c r="V62" i="11" s="1"/>
  <c r="Q46" i="8"/>
  <c r="V46" i="11" s="1"/>
  <c r="Q30" i="8"/>
  <c r="V30" i="11" s="1"/>
  <c r="Q14" i="8"/>
  <c r="V14" i="11" s="1"/>
  <c r="T176" i="11"/>
  <c r="T80" i="11"/>
  <c r="T56" i="11"/>
  <c r="T48" i="11"/>
  <c r="T16" i="11"/>
  <c r="P298" i="8"/>
  <c r="Q298" i="11" s="1"/>
  <c r="P290" i="8"/>
  <c r="Q290" i="11" s="1"/>
  <c r="T290" i="11" s="1"/>
  <c r="P282" i="8"/>
  <c r="Q282" i="11" s="1"/>
  <c r="T282" i="11" s="1"/>
  <c r="P274" i="8"/>
  <c r="Q274" i="11" s="1"/>
  <c r="T274" i="11" s="1"/>
  <c r="P266" i="8"/>
  <c r="Q266" i="11" s="1"/>
  <c r="P250" i="8"/>
  <c r="Q250" i="11" s="1"/>
  <c r="T250" i="11" s="1"/>
  <c r="P244" i="8"/>
  <c r="Q244" i="11" s="1"/>
  <c r="T244" i="11" s="1"/>
  <c r="P239" i="8"/>
  <c r="Q239" i="11" s="1"/>
  <c r="P234" i="8"/>
  <c r="Q234" i="11" s="1"/>
  <c r="P228" i="8"/>
  <c r="Q228" i="11" s="1"/>
  <c r="T228" i="11" s="1"/>
  <c r="P223" i="8"/>
  <c r="Q223" i="11" s="1"/>
  <c r="T223" i="11" s="1"/>
  <c r="P218" i="8"/>
  <c r="Q218" i="11" s="1"/>
  <c r="P211" i="8"/>
  <c r="Q211" i="11" s="1"/>
  <c r="P203" i="8"/>
  <c r="Q203" i="11" s="1"/>
  <c r="P195" i="8"/>
  <c r="Q195" i="11" s="1"/>
  <c r="P187" i="8"/>
  <c r="Q187" i="11" s="1"/>
  <c r="P179" i="8"/>
  <c r="Q179" i="11" s="1"/>
  <c r="P171" i="8"/>
  <c r="Q171" i="11" s="1"/>
  <c r="P163" i="8"/>
  <c r="Q163" i="11" s="1"/>
  <c r="P155" i="8"/>
  <c r="Q155" i="11" s="1"/>
  <c r="P147" i="8"/>
  <c r="Q147" i="11" s="1"/>
  <c r="P139" i="8"/>
  <c r="Q139" i="11" s="1"/>
  <c r="P131" i="8"/>
  <c r="Q131" i="11" s="1"/>
  <c r="P123" i="8"/>
  <c r="Q123" i="11" s="1"/>
  <c r="P115" i="8"/>
  <c r="Q115" i="11" s="1"/>
  <c r="P107" i="8"/>
  <c r="Q107" i="11" s="1"/>
  <c r="P99" i="8"/>
  <c r="Q99" i="11" s="1"/>
  <c r="P91" i="8"/>
  <c r="Q91" i="11" s="1"/>
  <c r="P83" i="8"/>
  <c r="Q83" i="11" s="1"/>
  <c r="P75" i="8"/>
  <c r="Q75" i="11" s="1"/>
  <c r="P67" i="8"/>
  <c r="Q67" i="11" s="1"/>
  <c r="P59" i="8"/>
  <c r="Q59" i="11" s="1"/>
  <c r="P51" i="8"/>
  <c r="Q51" i="11" s="1"/>
  <c r="P43" i="8"/>
  <c r="Q43" i="11" s="1"/>
  <c r="P35" i="8"/>
  <c r="Q35" i="11" s="1"/>
  <c r="P27" i="8"/>
  <c r="Q27" i="11" s="1"/>
  <c r="P19" i="8"/>
  <c r="Q19" i="11" s="1"/>
  <c r="P11" i="8"/>
  <c r="Q11" i="11" s="1"/>
  <c r="Q202" i="8"/>
  <c r="V202" i="11" s="1"/>
  <c r="Q186" i="8"/>
  <c r="V186" i="11" s="1"/>
  <c r="Q170" i="8"/>
  <c r="V170" i="11" s="1"/>
  <c r="Q154" i="8"/>
  <c r="V154" i="11" s="1"/>
  <c r="Q138" i="8"/>
  <c r="V138" i="11" s="1"/>
  <c r="Q122" i="8"/>
  <c r="V122" i="11" s="1"/>
  <c r="Q106" i="8"/>
  <c r="V106" i="11" s="1"/>
  <c r="Q90" i="8"/>
  <c r="V90" i="11" s="1"/>
  <c r="Q74" i="8"/>
  <c r="V74" i="11" s="1"/>
  <c r="Q58" i="8"/>
  <c r="V58" i="11" s="1"/>
  <c r="Q42" i="8"/>
  <c r="V42" i="11" s="1"/>
  <c r="Q26" i="8"/>
  <c r="V26" i="11" s="1"/>
  <c r="Q10" i="8"/>
  <c r="V10" i="11" s="1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T6" i="7"/>
  <c r="Q6" i="9" s="1"/>
  <c r="V302" i="11" s="1"/>
  <c r="T7" i="7"/>
  <c r="Q7" i="9" s="1"/>
  <c r="V303" i="11" s="1"/>
  <c r="T8" i="7"/>
  <c r="Q8" i="9" s="1"/>
  <c r="V304" i="11" s="1"/>
  <c r="T9" i="7"/>
  <c r="Q9" i="9" s="1"/>
  <c r="V305" i="11" s="1"/>
  <c r="T10" i="7"/>
  <c r="Q10" i="9" s="1"/>
  <c r="V306" i="11" s="1"/>
  <c r="T11" i="7"/>
  <c r="Q11" i="9" s="1"/>
  <c r="V307" i="11" s="1"/>
  <c r="T12" i="7"/>
  <c r="Q12" i="9" s="1"/>
  <c r="V308" i="11" s="1"/>
  <c r="T13" i="7"/>
  <c r="Q13" i="9" s="1"/>
  <c r="V309" i="11" s="1"/>
  <c r="T14" i="7"/>
  <c r="Q14" i="9" s="1"/>
  <c r="V310" i="11" s="1"/>
  <c r="T15" i="7"/>
  <c r="Q15" i="9" s="1"/>
  <c r="V311" i="11" s="1"/>
  <c r="T16" i="7"/>
  <c r="Q16" i="9" s="1"/>
  <c r="V312" i="11" s="1"/>
  <c r="T17" i="7"/>
  <c r="Q17" i="9" s="1"/>
  <c r="V313" i="11" s="1"/>
  <c r="T18" i="7"/>
  <c r="Q18" i="9" s="1"/>
  <c r="V314" i="11" s="1"/>
  <c r="T19" i="7"/>
  <c r="Q19" i="9" s="1"/>
  <c r="V315" i="11" s="1"/>
  <c r="T20" i="7"/>
  <c r="Q20" i="9" s="1"/>
  <c r="V316" i="11" s="1"/>
  <c r="T21" i="7"/>
  <c r="Q21" i="9" s="1"/>
  <c r="V317" i="11" s="1"/>
  <c r="T22" i="7"/>
  <c r="Q22" i="9" s="1"/>
  <c r="V318" i="11" s="1"/>
  <c r="T23" i="7"/>
  <c r="Q23" i="9" s="1"/>
  <c r="V319" i="11" s="1"/>
  <c r="T24" i="7"/>
  <c r="Q24" i="9" s="1"/>
  <c r="V320" i="11" s="1"/>
  <c r="T25" i="7"/>
  <c r="Q25" i="9" s="1"/>
  <c r="V321" i="11" s="1"/>
  <c r="T26" i="7"/>
  <c r="Q26" i="9" s="1"/>
  <c r="V322" i="11" s="1"/>
  <c r="T27" i="7"/>
  <c r="Q27" i="9" s="1"/>
  <c r="V323" i="11" s="1"/>
  <c r="T28" i="7"/>
  <c r="Q28" i="9" s="1"/>
  <c r="V324" i="11" s="1"/>
  <c r="T29" i="7"/>
  <c r="Q29" i="9" s="1"/>
  <c r="V325" i="11" s="1"/>
  <c r="T30" i="7"/>
  <c r="Q30" i="9" s="1"/>
  <c r="V326" i="11" s="1"/>
  <c r="T31" i="7"/>
  <c r="Q31" i="9" s="1"/>
  <c r="V327" i="11" s="1"/>
  <c r="T32" i="7"/>
  <c r="Q32" i="9" s="1"/>
  <c r="V328" i="11" s="1"/>
  <c r="T33" i="7"/>
  <c r="Q33" i="9" s="1"/>
  <c r="V329" i="11" s="1"/>
  <c r="T34" i="7"/>
  <c r="Q34" i="9" s="1"/>
  <c r="V330" i="11" s="1"/>
  <c r="T35" i="7"/>
  <c r="Q35" i="9" s="1"/>
  <c r="V331" i="11" s="1"/>
  <c r="T36" i="7"/>
  <c r="Q36" i="9" s="1"/>
  <c r="V332" i="11" s="1"/>
  <c r="T37" i="7"/>
  <c r="Q37" i="9" s="1"/>
  <c r="V333" i="11" s="1"/>
  <c r="T38" i="7"/>
  <c r="Q38" i="9" s="1"/>
  <c r="V334" i="11" s="1"/>
  <c r="T39" i="7"/>
  <c r="Q39" i="9" s="1"/>
  <c r="V335" i="11" s="1"/>
  <c r="T40" i="7"/>
  <c r="Q40" i="9" s="1"/>
  <c r="V336" i="11" s="1"/>
  <c r="T41" i="7"/>
  <c r="Q41" i="9" s="1"/>
  <c r="V337" i="11" s="1"/>
  <c r="T42" i="7"/>
  <c r="Q42" i="9" s="1"/>
  <c r="V338" i="11" s="1"/>
  <c r="T43" i="7"/>
  <c r="Q43" i="9" s="1"/>
  <c r="V339" i="11" s="1"/>
  <c r="T44" i="7"/>
  <c r="Q44" i="9" s="1"/>
  <c r="V340" i="11" s="1"/>
  <c r="T45" i="7"/>
  <c r="Q45" i="9" s="1"/>
  <c r="V341" i="11" s="1"/>
  <c r="T46" i="7"/>
  <c r="Q46" i="9" s="1"/>
  <c r="V342" i="11" s="1"/>
  <c r="T47" i="7"/>
  <c r="Q47" i="9" s="1"/>
  <c r="V343" i="11" s="1"/>
  <c r="T48" i="7"/>
  <c r="Q48" i="9" s="1"/>
  <c r="V344" i="11" s="1"/>
  <c r="T49" i="7"/>
  <c r="Q49" i="9" s="1"/>
  <c r="V345" i="11" s="1"/>
  <c r="T50" i="7"/>
  <c r="Q50" i="9" s="1"/>
  <c r="V346" i="11" s="1"/>
  <c r="T51" i="7"/>
  <c r="Q51" i="9" s="1"/>
  <c r="V347" i="11" s="1"/>
  <c r="T52" i="7"/>
  <c r="Q52" i="9" s="1"/>
  <c r="V348" i="11" s="1"/>
  <c r="T53" i="7"/>
  <c r="Q53" i="9" s="1"/>
  <c r="V349" i="11" s="1"/>
  <c r="T54" i="7"/>
  <c r="Q54" i="9" s="1"/>
  <c r="V350" i="11" s="1"/>
  <c r="T55" i="7"/>
  <c r="Q55" i="9" s="1"/>
  <c r="V351" i="11" s="1"/>
  <c r="T56" i="7"/>
  <c r="Q56" i="9" s="1"/>
  <c r="V352" i="11" s="1"/>
  <c r="T57" i="7"/>
  <c r="Q57" i="9" s="1"/>
  <c r="V353" i="11" s="1"/>
  <c r="T58" i="7"/>
  <c r="Q58" i="9" s="1"/>
  <c r="V354" i="11" s="1"/>
  <c r="T59" i="7"/>
  <c r="Q59" i="9" s="1"/>
  <c r="V355" i="11" s="1"/>
  <c r="T60" i="7"/>
  <c r="Q60" i="9" s="1"/>
  <c r="V356" i="11" s="1"/>
  <c r="T61" i="7"/>
  <c r="Q61" i="9" s="1"/>
  <c r="V357" i="11" s="1"/>
  <c r="T62" i="7"/>
  <c r="Q62" i="9" s="1"/>
  <c r="V358" i="11" s="1"/>
  <c r="T63" i="7"/>
  <c r="Q63" i="9" s="1"/>
  <c r="V359" i="11" s="1"/>
  <c r="T64" i="7"/>
  <c r="Q64" i="9" s="1"/>
  <c r="V360" i="11" s="1"/>
  <c r="T65" i="7"/>
  <c r="Q65" i="9" s="1"/>
  <c r="V361" i="11" s="1"/>
  <c r="T66" i="7"/>
  <c r="Q66" i="9" s="1"/>
  <c r="V362" i="11" s="1"/>
  <c r="T67" i="7"/>
  <c r="Q67" i="9" s="1"/>
  <c r="V363" i="11" s="1"/>
  <c r="T68" i="7"/>
  <c r="Q68" i="9" s="1"/>
  <c r="V364" i="11" s="1"/>
  <c r="T69" i="7"/>
  <c r="Q69" i="9" s="1"/>
  <c r="V365" i="11" s="1"/>
  <c r="T70" i="7"/>
  <c r="Q70" i="9" s="1"/>
  <c r="V366" i="11" s="1"/>
  <c r="T71" i="7"/>
  <c r="Q71" i="9" s="1"/>
  <c r="V367" i="11" s="1"/>
  <c r="T72" i="7"/>
  <c r="Q72" i="9" s="1"/>
  <c r="V368" i="11" s="1"/>
  <c r="T73" i="7"/>
  <c r="Q73" i="9" s="1"/>
  <c r="V369" i="11" s="1"/>
  <c r="T74" i="7"/>
  <c r="Q74" i="9" s="1"/>
  <c r="V370" i="11" s="1"/>
  <c r="T75" i="7"/>
  <c r="Q75" i="9" s="1"/>
  <c r="V371" i="11" s="1"/>
  <c r="T76" i="7"/>
  <c r="Q76" i="9" s="1"/>
  <c r="V372" i="11" s="1"/>
  <c r="T77" i="7"/>
  <c r="Q77" i="9" s="1"/>
  <c r="V373" i="11" s="1"/>
  <c r="T78" i="7"/>
  <c r="Q78" i="9" s="1"/>
  <c r="V374" i="11" s="1"/>
  <c r="T79" i="7"/>
  <c r="Q79" i="9" s="1"/>
  <c r="V375" i="11" s="1"/>
  <c r="T80" i="7"/>
  <c r="Q80" i="9" s="1"/>
  <c r="V376" i="11" s="1"/>
  <c r="T81" i="7"/>
  <c r="Q81" i="9" s="1"/>
  <c r="V377" i="11" s="1"/>
  <c r="T82" i="7"/>
  <c r="Q82" i="9" s="1"/>
  <c r="V378" i="11" s="1"/>
  <c r="T83" i="7"/>
  <c r="Q83" i="9" s="1"/>
  <c r="V379" i="11" s="1"/>
  <c r="T84" i="7"/>
  <c r="Q84" i="9" s="1"/>
  <c r="V380" i="11" s="1"/>
  <c r="T85" i="7"/>
  <c r="Q85" i="9" s="1"/>
  <c r="V381" i="11" s="1"/>
  <c r="T86" i="7"/>
  <c r="Q86" i="9" s="1"/>
  <c r="V382" i="11" s="1"/>
  <c r="T87" i="7"/>
  <c r="Q87" i="9" s="1"/>
  <c r="V383" i="11" s="1"/>
  <c r="T88" i="7"/>
  <c r="Q88" i="9" s="1"/>
  <c r="V384" i="11" s="1"/>
  <c r="T89" i="7"/>
  <c r="Q89" i="9" s="1"/>
  <c r="V385" i="11" s="1"/>
  <c r="T90" i="7"/>
  <c r="Q90" i="9" s="1"/>
  <c r="V386" i="11" s="1"/>
  <c r="T91" i="7"/>
  <c r="Q91" i="9" s="1"/>
  <c r="V387" i="11" s="1"/>
  <c r="T92" i="7"/>
  <c r="Q92" i="9" s="1"/>
  <c r="V388" i="11" s="1"/>
  <c r="T93" i="7"/>
  <c r="Q93" i="9" s="1"/>
  <c r="V389" i="11" s="1"/>
  <c r="T94" i="7"/>
  <c r="Q94" i="9" s="1"/>
  <c r="V390" i="11" s="1"/>
  <c r="T95" i="7"/>
  <c r="Q95" i="9" s="1"/>
  <c r="V391" i="11" s="1"/>
  <c r="T96" i="7"/>
  <c r="Q96" i="9" s="1"/>
  <c r="V392" i="11" s="1"/>
  <c r="T97" i="7"/>
  <c r="Q97" i="9" s="1"/>
  <c r="V393" i="11" s="1"/>
  <c r="T98" i="7"/>
  <c r="Q98" i="9" s="1"/>
  <c r="V394" i="11" s="1"/>
  <c r="T99" i="7"/>
  <c r="Q99" i="9" s="1"/>
  <c r="V395" i="11" s="1"/>
  <c r="T100" i="7"/>
  <c r="Q100" i="9" s="1"/>
  <c r="V396" i="11" s="1"/>
  <c r="T101" i="7"/>
  <c r="Q101" i="9" s="1"/>
  <c r="V397" i="11" s="1"/>
  <c r="T102" i="7"/>
  <c r="Q102" i="9" s="1"/>
  <c r="V398" i="11" s="1"/>
  <c r="T103" i="7"/>
  <c r="Q103" i="9" s="1"/>
  <c r="V399" i="11" s="1"/>
  <c r="T104" i="7"/>
  <c r="Q104" i="9" s="1"/>
  <c r="V400" i="11" s="1"/>
  <c r="T105" i="7"/>
  <c r="Q105" i="9" s="1"/>
  <c r="V401" i="11" s="1"/>
  <c r="T106" i="7"/>
  <c r="Q106" i="9" s="1"/>
  <c r="V402" i="11" s="1"/>
  <c r="T107" i="7"/>
  <c r="Q107" i="9" s="1"/>
  <c r="V403" i="11" s="1"/>
  <c r="T108" i="7"/>
  <c r="Q108" i="9" s="1"/>
  <c r="V404" i="11" s="1"/>
  <c r="T109" i="7"/>
  <c r="Q109" i="9" s="1"/>
  <c r="V405" i="11" s="1"/>
  <c r="T110" i="7"/>
  <c r="Q110" i="9" s="1"/>
  <c r="V406" i="11" s="1"/>
  <c r="T111" i="7"/>
  <c r="Q111" i="9" s="1"/>
  <c r="V407" i="11" s="1"/>
  <c r="T112" i="7"/>
  <c r="Q112" i="9" s="1"/>
  <c r="V408" i="11" s="1"/>
  <c r="T113" i="7"/>
  <c r="Q113" i="9" s="1"/>
  <c r="V409" i="11" s="1"/>
  <c r="T114" i="7"/>
  <c r="Q114" i="9" s="1"/>
  <c r="V410" i="11" s="1"/>
  <c r="T115" i="7"/>
  <c r="Q115" i="9" s="1"/>
  <c r="V411" i="11" s="1"/>
  <c r="T116" i="7"/>
  <c r="Q116" i="9" s="1"/>
  <c r="V412" i="11" s="1"/>
  <c r="T117" i="7"/>
  <c r="Q117" i="9" s="1"/>
  <c r="V413" i="11" s="1"/>
  <c r="T118" i="7"/>
  <c r="Q118" i="9" s="1"/>
  <c r="V414" i="11" s="1"/>
  <c r="T119" i="7"/>
  <c r="Q119" i="9" s="1"/>
  <c r="V415" i="11" s="1"/>
  <c r="T120" i="7"/>
  <c r="Q120" i="9" s="1"/>
  <c r="V416" i="11" s="1"/>
  <c r="T121" i="7"/>
  <c r="Q121" i="9" s="1"/>
  <c r="V417" i="11" s="1"/>
  <c r="T122" i="7"/>
  <c r="Q122" i="9" s="1"/>
  <c r="V418" i="11" s="1"/>
  <c r="T123" i="7"/>
  <c r="Q123" i="9" s="1"/>
  <c r="V419" i="11" s="1"/>
  <c r="T124" i="7"/>
  <c r="Q124" i="9" s="1"/>
  <c r="V420" i="11" s="1"/>
  <c r="T125" i="7"/>
  <c r="Q125" i="9" s="1"/>
  <c r="V421" i="11" s="1"/>
  <c r="T126" i="7"/>
  <c r="Q126" i="9" s="1"/>
  <c r="V422" i="11" s="1"/>
  <c r="T127" i="7"/>
  <c r="Q127" i="9" s="1"/>
  <c r="V423" i="11" s="1"/>
  <c r="T128" i="7"/>
  <c r="Q128" i="9" s="1"/>
  <c r="V424" i="11" s="1"/>
  <c r="T129" i="7"/>
  <c r="Q129" i="9" s="1"/>
  <c r="V425" i="11" s="1"/>
  <c r="T130" i="7"/>
  <c r="Q130" i="9" s="1"/>
  <c r="V426" i="11" s="1"/>
  <c r="T131" i="7"/>
  <c r="Q131" i="9" s="1"/>
  <c r="V427" i="11" s="1"/>
  <c r="T132" i="7"/>
  <c r="Q132" i="9" s="1"/>
  <c r="V428" i="11" s="1"/>
  <c r="T133" i="7"/>
  <c r="Q133" i="9" s="1"/>
  <c r="V429" i="11" s="1"/>
  <c r="T134" i="7"/>
  <c r="Q134" i="9" s="1"/>
  <c r="V430" i="11" s="1"/>
  <c r="T135" i="7"/>
  <c r="Q135" i="9" s="1"/>
  <c r="V431" i="11" s="1"/>
  <c r="T136" i="7"/>
  <c r="Q136" i="9" s="1"/>
  <c r="V432" i="11" s="1"/>
  <c r="T137" i="7"/>
  <c r="Q137" i="9" s="1"/>
  <c r="V433" i="11" s="1"/>
  <c r="T138" i="7"/>
  <c r="Q138" i="9" s="1"/>
  <c r="V434" i="11" s="1"/>
  <c r="T139" i="7"/>
  <c r="Q139" i="9" s="1"/>
  <c r="V435" i="11" s="1"/>
  <c r="T140" i="7"/>
  <c r="Q140" i="9" s="1"/>
  <c r="V436" i="11" s="1"/>
  <c r="T141" i="7"/>
  <c r="Q141" i="9" s="1"/>
  <c r="V437" i="11" s="1"/>
  <c r="T142" i="7"/>
  <c r="Q142" i="9" s="1"/>
  <c r="V438" i="11" s="1"/>
  <c r="T143" i="7"/>
  <c r="Q143" i="9" s="1"/>
  <c r="V439" i="11" s="1"/>
  <c r="T144" i="7"/>
  <c r="Q144" i="9" s="1"/>
  <c r="V440" i="11" s="1"/>
  <c r="T145" i="7"/>
  <c r="Q145" i="9" s="1"/>
  <c r="V441" i="11" s="1"/>
  <c r="T146" i="7"/>
  <c r="Q146" i="9" s="1"/>
  <c r="V442" i="11" s="1"/>
  <c r="T147" i="7"/>
  <c r="Q147" i="9" s="1"/>
  <c r="V443" i="11" s="1"/>
  <c r="T148" i="7"/>
  <c r="Q148" i="9" s="1"/>
  <c r="V444" i="11" s="1"/>
  <c r="T149" i="7"/>
  <c r="Q149" i="9" s="1"/>
  <c r="V445" i="11" s="1"/>
  <c r="T150" i="7"/>
  <c r="Q150" i="9" s="1"/>
  <c r="V446" i="11" s="1"/>
  <c r="S6" i="7"/>
  <c r="P6" i="9" s="1"/>
  <c r="Q302" i="11" s="1"/>
  <c r="S7" i="7"/>
  <c r="P7" i="9" s="1"/>
  <c r="Q303" i="11" s="1"/>
  <c r="S8" i="7"/>
  <c r="P8" i="9" s="1"/>
  <c r="Q304" i="11" s="1"/>
  <c r="S10" i="7"/>
  <c r="P10" i="9" s="1"/>
  <c r="Q306" i="11" s="1"/>
  <c r="S11" i="7"/>
  <c r="P11" i="9" s="1"/>
  <c r="Q307" i="11" s="1"/>
  <c r="S14" i="7"/>
  <c r="P14" i="9" s="1"/>
  <c r="Q310" i="11" s="1"/>
  <c r="S15" i="7"/>
  <c r="P15" i="9" s="1"/>
  <c r="Q311" i="11" s="1"/>
  <c r="S18" i="7"/>
  <c r="P18" i="9" s="1"/>
  <c r="Q314" i="11" s="1"/>
  <c r="S19" i="7"/>
  <c r="P19" i="9" s="1"/>
  <c r="Q315" i="11" s="1"/>
  <c r="S20" i="7"/>
  <c r="P20" i="9" s="1"/>
  <c r="Q316" i="11" s="1"/>
  <c r="S22" i="7"/>
  <c r="P22" i="9" s="1"/>
  <c r="Q318" i="11" s="1"/>
  <c r="S23" i="7"/>
  <c r="P23" i="9" s="1"/>
  <c r="Q319" i="11" s="1"/>
  <c r="S24" i="7"/>
  <c r="P24" i="9" s="1"/>
  <c r="Q320" i="11" s="1"/>
  <c r="S26" i="7"/>
  <c r="P26" i="9" s="1"/>
  <c r="Q322" i="11" s="1"/>
  <c r="S27" i="7"/>
  <c r="P27" i="9" s="1"/>
  <c r="Q323" i="11" s="1"/>
  <c r="S30" i="7"/>
  <c r="P30" i="9" s="1"/>
  <c r="Q326" i="11" s="1"/>
  <c r="S31" i="7"/>
  <c r="P31" i="9" s="1"/>
  <c r="Q327" i="11" s="1"/>
  <c r="S34" i="7"/>
  <c r="P34" i="9" s="1"/>
  <c r="Q330" i="11" s="1"/>
  <c r="S35" i="7"/>
  <c r="P35" i="9" s="1"/>
  <c r="Q331" i="11" s="1"/>
  <c r="S36" i="7"/>
  <c r="P36" i="9" s="1"/>
  <c r="Q332" i="11" s="1"/>
  <c r="S38" i="7"/>
  <c r="P38" i="9" s="1"/>
  <c r="Q334" i="11" s="1"/>
  <c r="S39" i="7"/>
  <c r="P39" i="9" s="1"/>
  <c r="Q335" i="11" s="1"/>
  <c r="S40" i="7"/>
  <c r="P40" i="9" s="1"/>
  <c r="Q336" i="11" s="1"/>
  <c r="S42" i="7"/>
  <c r="P42" i="9" s="1"/>
  <c r="Q338" i="11" s="1"/>
  <c r="S43" i="7"/>
  <c r="P43" i="9" s="1"/>
  <c r="Q339" i="11" s="1"/>
  <c r="S46" i="7"/>
  <c r="P46" i="9" s="1"/>
  <c r="Q342" i="11" s="1"/>
  <c r="S47" i="7"/>
  <c r="P47" i="9" s="1"/>
  <c r="Q343" i="11" s="1"/>
  <c r="S50" i="7"/>
  <c r="P50" i="9" s="1"/>
  <c r="Q346" i="11" s="1"/>
  <c r="S51" i="7"/>
  <c r="P51" i="9" s="1"/>
  <c r="Q347" i="11" s="1"/>
  <c r="S52" i="7"/>
  <c r="P52" i="9" s="1"/>
  <c r="Q348" i="11" s="1"/>
  <c r="S54" i="7"/>
  <c r="P54" i="9" s="1"/>
  <c r="Q350" i="11" s="1"/>
  <c r="S55" i="7"/>
  <c r="P55" i="9" s="1"/>
  <c r="Q351" i="11" s="1"/>
  <c r="S56" i="7"/>
  <c r="P56" i="9" s="1"/>
  <c r="Q352" i="11" s="1"/>
  <c r="S58" i="7"/>
  <c r="P58" i="9" s="1"/>
  <c r="Q354" i="11" s="1"/>
  <c r="S59" i="7"/>
  <c r="P59" i="9" s="1"/>
  <c r="Q355" i="11" s="1"/>
  <c r="S62" i="7"/>
  <c r="P62" i="9" s="1"/>
  <c r="Q358" i="11" s="1"/>
  <c r="S63" i="7"/>
  <c r="P63" i="9" s="1"/>
  <c r="Q359" i="11" s="1"/>
  <c r="S66" i="7"/>
  <c r="P66" i="9" s="1"/>
  <c r="Q362" i="11" s="1"/>
  <c r="S67" i="7"/>
  <c r="P67" i="9" s="1"/>
  <c r="Q363" i="11" s="1"/>
  <c r="S68" i="7"/>
  <c r="P68" i="9" s="1"/>
  <c r="Q364" i="11" s="1"/>
  <c r="S70" i="7"/>
  <c r="P70" i="9" s="1"/>
  <c r="Q366" i="11" s="1"/>
  <c r="S71" i="7"/>
  <c r="P71" i="9" s="1"/>
  <c r="Q367" i="11" s="1"/>
  <c r="S72" i="7"/>
  <c r="P72" i="9" s="1"/>
  <c r="Q368" i="11" s="1"/>
  <c r="S74" i="7"/>
  <c r="P74" i="9" s="1"/>
  <c r="Q370" i="11" s="1"/>
  <c r="S75" i="7"/>
  <c r="P75" i="9" s="1"/>
  <c r="Q371" i="11" s="1"/>
  <c r="S78" i="7"/>
  <c r="P78" i="9" s="1"/>
  <c r="Q374" i="11" s="1"/>
  <c r="S79" i="7"/>
  <c r="P79" i="9" s="1"/>
  <c r="Q375" i="11" s="1"/>
  <c r="S82" i="7"/>
  <c r="P82" i="9" s="1"/>
  <c r="Q378" i="11" s="1"/>
  <c r="S83" i="7"/>
  <c r="P83" i="9" s="1"/>
  <c r="Q379" i="11" s="1"/>
  <c r="S84" i="7"/>
  <c r="P84" i="9" s="1"/>
  <c r="Q380" i="11" s="1"/>
  <c r="S86" i="7"/>
  <c r="P86" i="9" s="1"/>
  <c r="Q382" i="11" s="1"/>
  <c r="S87" i="7"/>
  <c r="P87" i="9" s="1"/>
  <c r="Q383" i="11" s="1"/>
  <c r="S88" i="7"/>
  <c r="P88" i="9" s="1"/>
  <c r="Q384" i="11" s="1"/>
  <c r="S90" i="7"/>
  <c r="P90" i="9" s="1"/>
  <c r="Q386" i="11" s="1"/>
  <c r="S91" i="7"/>
  <c r="P91" i="9" s="1"/>
  <c r="Q387" i="11" s="1"/>
  <c r="S94" i="7"/>
  <c r="P94" i="9" s="1"/>
  <c r="Q390" i="11" s="1"/>
  <c r="S95" i="7"/>
  <c r="P95" i="9" s="1"/>
  <c r="Q391" i="11" s="1"/>
  <c r="S98" i="7"/>
  <c r="P98" i="9" s="1"/>
  <c r="Q394" i="11" s="1"/>
  <c r="S99" i="7"/>
  <c r="P99" i="9" s="1"/>
  <c r="Q395" i="11" s="1"/>
  <c r="S100" i="7"/>
  <c r="P100" i="9" s="1"/>
  <c r="Q396" i="11" s="1"/>
  <c r="S102" i="7"/>
  <c r="P102" i="9" s="1"/>
  <c r="Q398" i="11" s="1"/>
  <c r="S103" i="7"/>
  <c r="P103" i="9" s="1"/>
  <c r="Q399" i="11" s="1"/>
  <c r="S104" i="7"/>
  <c r="P104" i="9" s="1"/>
  <c r="Q400" i="11" s="1"/>
  <c r="S106" i="7"/>
  <c r="P106" i="9" s="1"/>
  <c r="Q402" i="11" s="1"/>
  <c r="S107" i="7"/>
  <c r="P107" i="9" s="1"/>
  <c r="Q403" i="11" s="1"/>
  <c r="S110" i="7"/>
  <c r="P110" i="9" s="1"/>
  <c r="Q406" i="11" s="1"/>
  <c r="S111" i="7"/>
  <c r="P111" i="9" s="1"/>
  <c r="Q407" i="11" s="1"/>
  <c r="S114" i="7"/>
  <c r="P114" i="9" s="1"/>
  <c r="Q410" i="11" s="1"/>
  <c r="S115" i="7"/>
  <c r="P115" i="9" s="1"/>
  <c r="Q411" i="11" s="1"/>
  <c r="S116" i="7"/>
  <c r="P116" i="9" s="1"/>
  <c r="Q412" i="11" s="1"/>
  <c r="S118" i="7"/>
  <c r="P118" i="9" s="1"/>
  <c r="Q414" i="11" s="1"/>
  <c r="S119" i="7"/>
  <c r="P119" i="9" s="1"/>
  <c r="Q415" i="11" s="1"/>
  <c r="S120" i="7"/>
  <c r="P120" i="9" s="1"/>
  <c r="Q416" i="11" s="1"/>
  <c r="S122" i="7"/>
  <c r="P122" i="9" s="1"/>
  <c r="Q418" i="11" s="1"/>
  <c r="S123" i="7"/>
  <c r="P123" i="9" s="1"/>
  <c r="Q419" i="11" s="1"/>
  <c r="S126" i="7"/>
  <c r="P126" i="9" s="1"/>
  <c r="Q422" i="11" s="1"/>
  <c r="S127" i="7"/>
  <c r="P127" i="9" s="1"/>
  <c r="Q423" i="11" s="1"/>
  <c r="S130" i="7"/>
  <c r="P130" i="9" s="1"/>
  <c r="Q426" i="11" s="1"/>
  <c r="S131" i="7"/>
  <c r="P131" i="9" s="1"/>
  <c r="Q427" i="11" s="1"/>
  <c r="S132" i="7"/>
  <c r="P132" i="9" s="1"/>
  <c r="Q428" i="11" s="1"/>
  <c r="S134" i="7"/>
  <c r="P134" i="9" s="1"/>
  <c r="Q430" i="11" s="1"/>
  <c r="S135" i="7"/>
  <c r="P135" i="9" s="1"/>
  <c r="Q431" i="11" s="1"/>
  <c r="S136" i="7"/>
  <c r="P136" i="9" s="1"/>
  <c r="Q432" i="11" s="1"/>
  <c r="S138" i="7"/>
  <c r="P138" i="9" s="1"/>
  <c r="Q434" i="11" s="1"/>
  <c r="S139" i="7"/>
  <c r="P139" i="9" s="1"/>
  <c r="Q435" i="11" s="1"/>
  <c r="S142" i="7"/>
  <c r="P142" i="9" s="1"/>
  <c r="Q438" i="11" s="1"/>
  <c r="S143" i="7"/>
  <c r="P143" i="9" s="1"/>
  <c r="Q439" i="11" s="1"/>
  <c r="S146" i="7"/>
  <c r="P146" i="9" s="1"/>
  <c r="Q442" i="11" s="1"/>
  <c r="S147" i="7"/>
  <c r="P147" i="9" s="1"/>
  <c r="Q443" i="11" s="1"/>
  <c r="S148" i="7"/>
  <c r="P148" i="9" s="1"/>
  <c r="Q444" i="11" s="1"/>
  <c r="S150" i="7"/>
  <c r="P150" i="9" s="1"/>
  <c r="Q446" i="11" s="1"/>
  <c r="R6" i="7"/>
  <c r="O6" i="9" s="1"/>
  <c r="P302" i="11" s="1"/>
  <c r="R7" i="7"/>
  <c r="O7" i="9" s="1"/>
  <c r="P303" i="11" s="1"/>
  <c r="R8" i="7"/>
  <c r="O8" i="9" s="1"/>
  <c r="P304" i="11" s="1"/>
  <c r="R9" i="7"/>
  <c r="O9" i="9" s="1"/>
  <c r="P305" i="11" s="1"/>
  <c r="R10" i="7"/>
  <c r="O10" i="9" s="1"/>
  <c r="P306" i="11" s="1"/>
  <c r="R11" i="7"/>
  <c r="O11" i="9" s="1"/>
  <c r="P307" i="11" s="1"/>
  <c r="R12" i="7"/>
  <c r="O12" i="9" s="1"/>
  <c r="P308" i="11" s="1"/>
  <c r="R13" i="7"/>
  <c r="O13" i="9" s="1"/>
  <c r="P309" i="11" s="1"/>
  <c r="R14" i="7"/>
  <c r="O14" i="9" s="1"/>
  <c r="P310" i="11" s="1"/>
  <c r="R15" i="7"/>
  <c r="O15" i="9" s="1"/>
  <c r="P311" i="11" s="1"/>
  <c r="R16" i="7"/>
  <c r="O16" i="9" s="1"/>
  <c r="P312" i="11" s="1"/>
  <c r="R17" i="7"/>
  <c r="O17" i="9" s="1"/>
  <c r="P313" i="11" s="1"/>
  <c r="R18" i="7"/>
  <c r="O18" i="9" s="1"/>
  <c r="P314" i="11" s="1"/>
  <c r="R19" i="7"/>
  <c r="O19" i="9" s="1"/>
  <c r="P315" i="11" s="1"/>
  <c r="R20" i="7"/>
  <c r="O20" i="9" s="1"/>
  <c r="P316" i="11" s="1"/>
  <c r="R21" i="7"/>
  <c r="O21" i="9" s="1"/>
  <c r="P317" i="11" s="1"/>
  <c r="R22" i="7"/>
  <c r="O22" i="9" s="1"/>
  <c r="P318" i="11" s="1"/>
  <c r="R23" i="7"/>
  <c r="O23" i="9" s="1"/>
  <c r="P319" i="11" s="1"/>
  <c r="R24" i="7"/>
  <c r="O24" i="9" s="1"/>
  <c r="P320" i="11" s="1"/>
  <c r="R25" i="7"/>
  <c r="O25" i="9" s="1"/>
  <c r="P321" i="11" s="1"/>
  <c r="R26" i="7"/>
  <c r="O26" i="9" s="1"/>
  <c r="P322" i="11" s="1"/>
  <c r="R27" i="7"/>
  <c r="O27" i="9" s="1"/>
  <c r="P323" i="11" s="1"/>
  <c r="R28" i="7"/>
  <c r="O28" i="9" s="1"/>
  <c r="P324" i="11" s="1"/>
  <c r="R29" i="7"/>
  <c r="O29" i="9" s="1"/>
  <c r="P325" i="11" s="1"/>
  <c r="R30" i="7"/>
  <c r="O30" i="9" s="1"/>
  <c r="P326" i="11" s="1"/>
  <c r="R31" i="7"/>
  <c r="O31" i="9" s="1"/>
  <c r="P327" i="11" s="1"/>
  <c r="R32" i="7"/>
  <c r="O32" i="9" s="1"/>
  <c r="P328" i="11" s="1"/>
  <c r="R33" i="7"/>
  <c r="O33" i="9" s="1"/>
  <c r="P329" i="11" s="1"/>
  <c r="R34" i="7"/>
  <c r="O34" i="9" s="1"/>
  <c r="P330" i="11" s="1"/>
  <c r="R35" i="7"/>
  <c r="O35" i="9" s="1"/>
  <c r="P331" i="11" s="1"/>
  <c r="R36" i="7"/>
  <c r="O36" i="9" s="1"/>
  <c r="P332" i="11" s="1"/>
  <c r="R37" i="7"/>
  <c r="O37" i="9" s="1"/>
  <c r="P333" i="11" s="1"/>
  <c r="R38" i="7"/>
  <c r="O38" i="9" s="1"/>
  <c r="P334" i="11" s="1"/>
  <c r="R39" i="7"/>
  <c r="O39" i="9" s="1"/>
  <c r="P335" i="11" s="1"/>
  <c r="R40" i="7"/>
  <c r="O40" i="9" s="1"/>
  <c r="P336" i="11" s="1"/>
  <c r="R41" i="7"/>
  <c r="O41" i="9" s="1"/>
  <c r="P337" i="11" s="1"/>
  <c r="R42" i="7"/>
  <c r="O42" i="9" s="1"/>
  <c r="P338" i="11" s="1"/>
  <c r="R43" i="7"/>
  <c r="O43" i="9" s="1"/>
  <c r="P339" i="11" s="1"/>
  <c r="R44" i="7"/>
  <c r="O44" i="9" s="1"/>
  <c r="P340" i="11" s="1"/>
  <c r="R45" i="7"/>
  <c r="O45" i="9" s="1"/>
  <c r="P341" i="11" s="1"/>
  <c r="R46" i="7"/>
  <c r="O46" i="9" s="1"/>
  <c r="P342" i="11" s="1"/>
  <c r="R47" i="7"/>
  <c r="O47" i="9" s="1"/>
  <c r="P343" i="11" s="1"/>
  <c r="R48" i="7"/>
  <c r="O48" i="9" s="1"/>
  <c r="P344" i="11" s="1"/>
  <c r="R49" i="7"/>
  <c r="O49" i="9" s="1"/>
  <c r="P345" i="11" s="1"/>
  <c r="R50" i="7"/>
  <c r="O50" i="9" s="1"/>
  <c r="P346" i="11" s="1"/>
  <c r="R51" i="7"/>
  <c r="O51" i="9" s="1"/>
  <c r="P347" i="11" s="1"/>
  <c r="R52" i="7"/>
  <c r="O52" i="9" s="1"/>
  <c r="P348" i="11" s="1"/>
  <c r="R53" i="7"/>
  <c r="O53" i="9" s="1"/>
  <c r="P349" i="11" s="1"/>
  <c r="R54" i="7"/>
  <c r="O54" i="9" s="1"/>
  <c r="P350" i="11" s="1"/>
  <c r="R55" i="7"/>
  <c r="O55" i="9" s="1"/>
  <c r="P351" i="11" s="1"/>
  <c r="R56" i="7"/>
  <c r="O56" i="9" s="1"/>
  <c r="P352" i="11" s="1"/>
  <c r="R57" i="7"/>
  <c r="O57" i="9" s="1"/>
  <c r="P353" i="11" s="1"/>
  <c r="R58" i="7"/>
  <c r="O58" i="9" s="1"/>
  <c r="P354" i="11" s="1"/>
  <c r="R59" i="7"/>
  <c r="O59" i="9" s="1"/>
  <c r="P355" i="11" s="1"/>
  <c r="R60" i="7"/>
  <c r="O60" i="9" s="1"/>
  <c r="P356" i="11" s="1"/>
  <c r="R61" i="7"/>
  <c r="O61" i="9" s="1"/>
  <c r="P357" i="11" s="1"/>
  <c r="R62" i="7"/>
  <c r="O62" i="9" s="1"/>
  <c r="P358" i="11" s="1"/>
  <c r="R63" i="7"/>
  <c r="O63" i="9" s="1"/>
  <c r="P359" i="11" s="1"/>
  <c r="R64" i="7"/>
  <c r="O64" i="9" s="1"/>
  <c r="P360" i="11" s="1"/>
  <c r="R65" i="7"/>
  <c r="O65" i="9" s="1"/>
  <c r="P361" i="11" s="1"/>
  <c r="R66" i="7"/>
  <c r="O66" i="9" s="1"/>
  <c r="P362" i="11" s="1"/>
  <c r="R67" i="7"/>
  <c r="O67" i="9" s="1"/>
  <c r="P363" i="11" s="1"/>
  <c r="R68" i="7"/>
  <c r="O68" i="9" s="1"/>
  <c r="P364" i="11" s="1"/>
  <c r="R69" i="7"/>
  <c r="O69" i="9" s="1"/>
  <c r="P365" i="11" s="1"/>
  <c r="R70" i="7"/>
  <c r="O70" i="9" s="1"/>
  <c r="P366" i="11" s="1"/>
  <c r="R71" i="7"/>
  <c r="O71" i="9" s="1"/>
  <c r="P367" i="11" s="1"/>
  <c r="R72" i="7"/>
  <c r="O72" i="9" s="1"/>
  <c r="P368" i="11" s="1"/>
  <c r="R73" i="7"/>
  <c r="O73" i="9" s="1"/>
  <c r="P369" i="11" s="1"/>
  <c r="R74" i="7"/>
  <c r="O74" i="9" s="1"/>
  <c r="P370" i="11" s="1"/>
  <c r="R75" i="7"/>
  <c r="O75" i="9" s="1"/>
  <c r="P371" i="11" s="1"/>
  <c r="R76" i="7"/>
  <c r="O76" i="9" s="1"/>
  <c r="P372" i="11" s="1"/>
  <c r="R77" i="7"/>
  <c r="O77" i="9" s="1"/>
  <c r="P373" i="11" s="1"/>
  <c r="R78" i="7"/>
  <c r="O78" i="9" s="1"/>
  <c r="P374" i="11" s="1"/>
  <c r="R79" i="7"/>
  <c r="O79" i="9" s="1"/>
  <c r="P375" i="11" s="1"/>
  <c r="R80" i="7"/>
  <c r="O80" i="9" s="1"/>
  <c r="P376" i="11" s="1"/>
  <c r="R81" i="7"/>
  <c r="O81" i="9" s="1"/>
  <c r="P377" i="11" s="1"/>
  <c r="R82" i="7"/>
  <c r="O82" i="9" s="1"/>
  <c r="P378" i="11" s="1"/>
  <c r="R83" i="7"/>
  <c r="O83" i="9" s="1"/>
  <c r="P379" i="11" s="1"/>
  <c r="R84" i="7"/>
  <c r="O84" i="9" s="1"/>
  <c r="P380" i="11" s="1"/>
  <c r="R85" i="7"/>
  <c r="O85" i="9" s="1"/>
  <c r="P381" i="11" s="1"/>
  <c r="R86" i="7"/>
  <c r="O86" i="9" s="1"/>
  <c r="P382" i="11" s="1"/>
  <c r="R87" i="7"/>
  <c r="O87" i="9" s="1"/>
  <c r="P383" i="11" s="1"/>
  <c r="R88" i="7"/>
  <c r="O88" i="9" s="1"/>
  <c r="P384" i="11" s="1"/>
  <c r="R89" i="7"/>
  <c r="O89" i="9" s="1"/>
  <c r="P385" i="11" s="1"/>
  <c r="R90" i="7"/>
  <c r="O90" i="9" s="1"/>
  <c r="P386" i="11" s="1"/>
  <c r="R91" i="7"/>
  <c r="O91" i="9" s="1"/>
  <c r="P387" i="11" s="1"/>
  <c r="R92" i="7"/>
  <c r="O92" i="9" s="1"/>
  <c r="P388" i="11" s="1"/>
  <c r="R93" i="7"/>
  <c r="O93" i="9" s="1"/>
  <c r="P389" i="11" s="1"/>
  <c r="R94" i="7"/>
  <c r="O94" i="9" s="1"/>
  <c r="P390" i="11" s="1"/>
  <c r="R95" i="7"/>
  <c r="O95" i="9" s="1"/>
  <c r="P391" i="11" s="1"/>
  <c r="R96" i="7"/>
  <c r="O96" i="9" s="1"/>
  <c r="P392" i="11" s="1"/>
  <c r="R97" i="7"/>
  <c r="O97" i="9" s="1"/>
  <c r="P393" i="11" s="1"/>
  <c r="R98" i="7"/>
  <c r="O98" i="9" s="1"/>
  <c r="P394" i="11" s="1"/>
  <c r="R99" i="7"/>
  <c r="O99" i="9" s="1"/>
  <c r="P395" i="11" s="1"/>
  <c r="R100" i="7"/>
  <c r="O100" i="9" s="1"/>
  <c r="P396" i="11" s="1"/>
  <c r="R101" i="7"/>
  <c r="O101" i="9" s="1"/>
  <c r="P397" i="11" s="1"/>
  <c r="R102" i="7"/>
  <c r="O102" i="9" s="1"/>
  <c r="P398" i="11" s="1"/>
  <c r="R103" i="7"/>
  <c r="O103" i="9" s="1"/>
  <c r="P399" i="11" s="1"/>
  <c r="R104" i="7"/>
  <c r="O104" i="9" s="1"/>
  <c r="P400" i="11" s="1"/>
  <c r="R105" i="7"/>
  <c r="O105" i="9" s="1"/>
  <c r="P401" i="11" s="1"/>
  <c r="R106" i="7"/>
  <c r="O106" i="9" s="1"/>
  <c r="P402" i="11" s="1"/>
  <c r="R107" i="7"/>
  <c r="O107" i="9" s="1"/>
  <c r="P403" i="11" s="1"/>
  <c r="R108" i="7"/>
  <c r="O108" i="9" s="1"/>
  <c r="P404" i="11" s="1"/>
  <c r="R109" i="7"/>
  <c r="O109" i="9" s="1"/>
  <c r="P405" i="11" s="1"/>
  <c r="R110" i="7"/>
  <c r="O110" i="9" s="1"/>
  <c r="P406" i="11" s="1"/>
  <c r="R111" i="7"/>
  <c r="O111" i="9" s="1"/>
  <c r="P407" i="11" s="1"/>
  <c r="R112" i="7"/>
  <c r="O112" i="9" s="1"/>
  <c r="P408" i="11" s="1"/>
  <c r="R113" i="7"/>
  <c r="O113" i="9" s="1"/>
  <c r="P409" i="11" s="1"/>
  <c r="R114" i="7"/>
  <c r="O114" i="9" s="1"/>
  <c r="P410" i="11" s="1"/>
  <c r="R115" i="7"/>
  <c r="O115" i="9" s="1"/>
  <c r="P411" i="11" s="1"/>
  <c r="R116" i="7"/>
  <c r="O116" i="9" s="1"/>
  <c r="P412" i="11" s="1"/>
  <c r="R117" i="7"/>
  <c r="O117" i="9" s="1"/>
  <c r="P413" i="11" s="1"/>
  <c r="R118" i="7"/>
  <c r="O118" i="9" s="1"/>
  <c r="P414" i="11" s="1"/>
  <c r="R119" i="7"/>
  <c r="O119" i="9" s="1"/>
  <c r="P415" i="11" s="1"/>
  <c r="R120" i="7"/>
  <c r="O120" i="9" s="1"/>
  <c r="P416" i="11" s="1"/>
  <c r="R121" i="7"/>
  <c r="O121" i="9" s="1"/>
  <c r="P417" i="11" s="1"/>
  <c r="R122" i="7"/>
  <c r="O122" i="9" s="1"/>
  <c r="P418" i="11" s="1"/>
  <c r="R123" i="7"/>
  <c r="O123" i="9" s="1"/>
  <c r="P419" i="11" s="1"/>
  <c r="R124" i="7"/>
  <c r="O124" i="9" s="1"/>
  <c r="P420" i="11" s="1"/>
  <c r="R125" i="7"/>
  <c r="O125" i="9" s="1"/>
  <c r="P421" i="11" s="1"/>
  <c r="R126" i="7"/>
  <c r="O126" i="9" s="1"/>
  <c r="P422" i="11" s="1"/>
  <c r="R127" i="7"/>
  <c r="O127" i="9" s="1"/>
  <c r="P423" i="11" s="1"/>
  <c r="R128" i="7"/>
  <c r="O128" i="9" s="1"/>
  <c r="P424" i="11" s="1"/>
  <c r="R129" i="7"/>
  <c r="O129" i="9" s="1"/>
  <c r="P425" i="11" s="1"/>
  <c r="R130" i="7"/>
  <c r="O130" i="9" s="1"/>
  <c r="P426" i="11" s="1"/>
  <c r="R131" i="7"/>
  <c r="O131" i="9" s="1"/>
  <c r="P427" i="11" s="1"/>
  <c r="R132" i="7"/>
  <c r="O132" i="9" s="1"/>
  <c r="P428" i="11" s="1"/>
  <c r="R133" i="7"/>
  <c r="O133" i="9" s="1"/>
  <c r="P429" i="11" s="1"/>
  <c r="R134" i="7"/>
  <c r="O134" i="9" s="1"/>
  <c r="P430" i="11" s="1"/>
  <c r="R135" i="7"/>
  <c r="O135" i="9" s="1"/>
  <c r="P431" i="11" s="1"/>
  <c r="R136" i="7"/>
  <c r="O136" i="9" s="1"/>
  <c r="P432" i="11" s="1"/>
  <c r="R137" i="7"/>
  <c r="O137" i="9" s="1"/>
  <c r="P433" i="11" s="1"/>
  <c r="R138" i="7"/>
  <c r="O138" i="9" s="1"/>
  <c r="P434" i="11" s="1"/>
  <c r="R139" i="7"/>
  <c r="O139" i="9" s="1"/>
  <c r="P435" i="11" s="1"/>
  <c r="R140" i="7"/>
  <c r="O140" i="9" s="1"/>
  <c r="P436" i="11" s="1"/>
  <c r="R141" i="7"/>
  <c r="O141" i="9" s="1"/>
  <c r="P437" i="11" s="1"/>
  <c r="R142" i="7"/>
  <c r="O142" i="9" s="1"/>
  <c r="P438" i="11" s="1"/>
  <c r="R143" i="7"/>
  <c r="O143" i="9" s="1"/>
  <c r="P439" i="11" s="1"/>
  <c r="R144" i="7"/>
  <c r="O144" i="9" s="1"/>
  <c r="P440" i="11" s="1"/>
  <c r="R145" i="7"/>
  <c r="O145" i="9" s="1"/>
  <c r="P441" i="11" s="1"/>
  <c r="R146" i="7"/>
  <c r="O146" i="9" s="1"/>
  <c r="P442" i="11" s="1"/>
  <c r="R147" i="7"/>
  <c r="O147" i="9" s="1"/>
  <c r="P443" i="11" s="1"/>
  <c r="R148" i="7"/>
  <c r="O148" i="9" s="1"/>
  <c r="P444" i="11" s="1"/>
  <c r="R149" i="7"/>
  <c r="O149" i="9" s="1"/>
  <c r="P445" i="11" s="1"/>
  <c r="R150" i="7"/>
  <c r="O150" i="9" s="1"/>
  <c r="P446" i="11" s="1"/>
  <c r="X5" i="7"/>
  <c r="W5" i="7"/>
  <c r="V5" i="7"/>
  <c r="T5" i="7"/>
  <c r="Q5" i="9" s="1"/>
  <c r="V301" i="11" s="1"/>
  <c r="R5" i="7"/>
  <c r="O5" i="9" s="1"/>
  <c r="P301" i="11" s="1"/>
  <c r="L200" i="2"/>
  <c r="P200" i="11" s="1"/>
  <c r="L201" i="2"/>
  <c r="P201" i="11" s="1"/>
  <c r="L202" i="2"/>
  <c r="P202" i="11" s="1"/>
  <c r="L203" i="2"/>
  <c r="P203" i="11" s="1"/>
  <c r="L204" i="2"/>
  <c r="P204" i="11" s="1"/>
  <c r="S204" i="11" s="1"/>
  <c r="L205" i="2"/>
  <c r="P205" i="11" s="1"/>
  <c r="L206" i="2"/>
  <c r="P206" i="11" s="1"/>
  <c r="L207" i="2"/>
  <c r="P207" i="11" s="1"/>
  <c r="S207" i="11" s="1"/>
  <c r="L208" i="2"/>
  <c r="P208" i="11" s="1"/>
  <c r="L209" i="2"/>
  <c r="P209" i="11" s="1"/>
  <c r="L210" i="2"/>
  <c r="P210" i="11" s="1"/>
  <c r="L211" i="2"/>
  <c r="P211" i="11" s="1"/>
  <c r="L212" i="2"/>
  <c r="P212" i="11" s="1"/>
  <c r="S212" i="11" s="1"/>
  <c r="L213" i="2"/>
  <c r="P213" i="11" s="1"/>
  <c r="L214" i="2"/>
  <c r="P214" i="11" s="1"/>
  <c r="L215" i="2"/>
  <c r="P215" i="11" s="1"/>
  <c r="S215" i="11" s="1"/>
  <c r="L216" i="2"/>
  <c r="P216" i="11" s="1"/>
  <c r="L217" i="2"/>
  <c r="P217" i="11" s="1"/>
  <c r="L218" i="2"/>
  <c r="P218" i="11" s="1"/>
  <c r="L219" i="2"/>
  <c r="P219" i="11" s="1"/>
  <c r="L220" i="2"/>
  <c r="P220" i="11" s="1"/>
  <c r="S220" i="11" s="1"/>
  <c r="L221" i="2"/>
  <c r="P221" i="11" s="1"/>
  <c r="L222" i="2"/>
  <c r="P222" i="11" s="1"/>
  <c r="L223" i="2"/>
  <c r="P223" i="11" s="1"/>
  <c r="L224" i="2"/>
  <c r="P224" i="11" s="1"/>
  <c r="L225" i="2"/>
  <c r="P225" i="11" s="1"/>
  <c r="L226" i="2"/>
  <c r="P226" i="11" s="1"/>
  <c r="S226" i="11" s="1"/>
  <c r="L227" i="2"/>
  <c r="P227" i="11" s="1"/>
  <c r="L228" i="2"/>
  <c r="P228" i="11" s="1"/>
  <c r="S228" i="11" s="1"/>
  <c r="L229" i="2"/>
  <c r="P229" i="11" s="1"/>
  <c r="L230" i="2"/>
  <c r="P230" i="11" s="1"/>
  <c r="L231" i="2"/>
  <c r="P231" i="11" s="1"/>
  <c r="S231" i="11" s="1"/>
  <c r="L232" i="2"/>
  <c r="P232" i="11" s="1"/>
  <c r="L233" i="2"/>
  <c r="P233" i="11" s="1"/>
  <c r="L234" i="2"/>
  <c r="P234" i="11" s="1"/>
  <c r="L235" i="2"/>
  <c r="P235" i="11" s="1"/>
  <c r="L236" i="2"/>
  <c r="P236" i="11" s="1"/>
  <c r="S236" i="11" s="1"/>
  <c r="L237" i="2"/>
  <c r="P237" i="11" s="1"/>
  <c r="L238" i="2"/>
  <c r="P238" i="11" s="1"/>
  <c r="L239" i="2"/>
  <c r="P239" i="11" s="1"/>
  <c r="S239" i="11" s="1"/>
  <c r="L240" i="2"/>
  <c r="P240" i="11" s="1"/>
  <c r="L241" i="2"/>
  <c r="P241" i="11" s="1"/>
  <c r="L242" i="2"/>
  <c r="P242" i="11" s="1"/>
  <c r="S242" i="11" s="1"/>
  <c r="L243" i="2"/>
  <c r="P243" i="11" s="1"/>
  <c r="L244" i="2"/>
  <c r="P244" i="11" s="1"/>
  <c r="S244" i="11" s="1"/>
  <c r="L245" i="2"/>
  <c r="P245" i="11" s="1"/>
  <c r="L246" i="2"/>
  <c r="P246" i="11" s="1"/>
  <c r="L247" i="2"/>
  <c r="P247" i="11" s="1"/>
  <c r="S247" i="11" s="1"/>
  <c r="L248" i="2"/>
  <c r="P248" i="11" s="1"/>
  <c r="L249" i="2"/>
  <c r="P249" i="11" s="1"/>
  <c r="L250" i="2"/>
  <c r="P250" i="11" s="1"/>
  <c r="L251" i="2"/>
  <c r="P251" i="11" s="1"/>
  <c r="L252" i="2"/>
  <c r="P252" i="11" s="1"/>
  <c r="S252" i="11" s="1"/>
  <c r="L253" i="2"/>
  <c r="P253" i="11" s="1"/>
  <c r="L254" i="2"/>
  <c r="P254" i="11" s="1"/>
  <c r="L255" i="2"/>
  <c r="P255" i="11" s="1"/>
  <c r="L256" i="2"/>
  <c r="P256" i="11" s="1"/>
  <c r="L257" i="2"/>
  <c r="P257" i="11" s="1"/>
  <c r="S257" i="11" s="1"/>
  <c r="L258" i="2"/>
  <c r="P258" i="11" s="1"/>
  <c r="L259" i="2"/>
  <c r="P259" i="11" s="1"/>
  <c r="L260" i="2"/>
  <c r="P260" i="11" s="1"/>
  <c r="S260" i="11" s="1"/>
  <c r="L261" i="2"/>
  <c r="P261" i="11" s="1"/>
  <c r="L262" i="2"/>
  <c r="P262" i="11" s="1"/>
  <c r="S262" i="11" s="1"/>
  <c r="L263" i="2"/>
  <c r="P263" i="11" s="1"/>
  <c r="S263" i="11" s="1"/>
  <c r="L264" i="2"/>
  <c r="P264" i="11" s="1"/>
  <c r="L265" i="2"/>
  <c r="P265" i="11" s="1"/>
  <c r="L266" i="2"/>
  <c r="P266" i="11" s="1"/>
  <c r="L267" i="2"/>
  <c r="P267" i="11" s="1"/>
  <c r="L268" i="2"/>
  <c r="P268" i="11" s="1"/>
  <c r="S268" i="11" s="1"/>
  <c r="L269" i="2"/>
  <c r="P269" i="11" s="1"/>
  <c r="L270" i="2"/>
  <c r="P270" i="11" s="1"/>
  <c r="L271" i="2"/>
  <c r="P271" i="11" s="1"/>
  <c r="L272" i="2"/>
  <c r="P272" i="11" s="1"/>
  <c r="L273" i="2"/>
  <c r="P273" i="11" s="1"/>
  <c r="L274" i="2"/>
  <c r="P274" i="11" s="1"/>
  <c r="S274" i="11" s="1"/>
  <c r="L275" i="2"/>
  <c r="P275" i="11" s="1"/>
  <c r="L276" i="2"/>
  <c r="P276" i="11" s="1"/>
  <c r="S276" i="11" s="1"/>
  <c r="L277" i="2"/>
  <c r="P277" i="11" s="1"/>
  <c r="L278" i="2"/>
  <c r="P278" i="11" s="1"/>
  <c r="L279" i="2"/>
  <c r="P279" i="11" s="1"/>
  <c r="S279" i="11" s="1"/>
  <c r="L280" i="2"/>
  <c r="P280" i="11" s="1"/>
  <c r="L281" i="2"/>
  <c r="P281" i="11" s="1"/>
  <c r="L282" i="2"/>
  <c r="P282" i="11" s="1"/>
  <c r="L283" i="2"/>
  <c r="P283" i="11" s="1"/>
  <c r="L284" i="2"/>
  <c r="P284" i="11" s="1"/>
  <c r="S284" i="11" s="1"/>
  <c r="L285" i="2"/>
  <c r="P285" i="11" s="1"/>
  <c r="L286" i="2"/>
  <c r="P286" i="11" s="1"/>
  <c r="L287" i="2"/>
  <c r="P287" i="11" s="1"/>
  <c r="L288" i="2"/>
  <c r="P288" i="11" s="1"/>
  <c r="L289" i="2"/>
  <c r="P289" i="11" s="1"/>
  <c r="S289" i="11" s="1"/>
  <c r="L290" i="2"/>
  <c r="P290" i="11" s="1"/>
  <c r="S290" i="11" s="1"/>
  <c r="L291" i="2"/>
  <c r="P291" i="11" s="1"/>
  <c r="L292" i="2"/>
  <c r="P292" i="11" s="1"/>
  <c r="S292" i="11" s="1"/>
  <c r="L293" i="2"/>
  <c r="P293" i="11" s="1"/>
  <c r="L294" i="2"/>
  <c r="P294" i="11" s="1"/>
  <c r="L295" i="2"/>
  <c r="P295" i="11" s="1"/>
  <c r="S295" i="11" s="1"/>
  <c r="L296" i="2"/>
  <c r="P296" i="11" s="1"/>
  <c r="L297" i="2"/>
  <c r="P297" i="11" s="1"/>
  <c r="L298" i="2"/>
  <c r="P298" i="11" s="1"/>
  <c r="L299" i="2"/>
  <c r="P299" i="11" s="1"/>
  <c r="L300" i="2"/>
  <c r="P300" i="11" s="1"/>
  <c r="S300" i="11" s="1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L6" i="2"/>
  <c r="P6" i="11" s="1"/>
  <c r="L7" i="2"/>
  <c r="P7" i="11" s="1"/>
  <c r="S7" i="11" s="1"/>
  <c r="L8" i="2"/>
  <c r="P8" i="11" s="1"/>
  <c r="L9" i="2"/>
  <c r="P9" i="11" s="1"/>
  <c r="L10" i="2"/>
  <c r="P10" i="11" s="1"/>
  <c r="L11" i="2"/>
  <c r="P11" i="11" s="1"/>
  <c r="L12" i="2"/>
  <c r="P12" i="11" s="1"/>
  <c r="L13" i="2"/>
  <c r="P13" i="11" s="1"/>
  <c r="L14" i="2"/>
  <c r="P14" i="11" s="1"/>
  <c r="L15" i="2"/>
  <c r="P15" i="11" s="1"/>
  <c r="L16" i="2"/>
  <c r="P16" i="11" s="1"/>
  <c r="S16" i="11" s="1"/>
  <c r="L17" i="2"/>
  <c r="P17" i="11" s="1"/>
  <c r="L18" i="2"/>
  <c r="P18" i="11" s="1"/>
  <c r="L19" i="2"/>
  <c r="P19" i="11" s="1"/>
  <c r="L20" i="2"/>
  <c r="P20" i="11" s="1"/>
  <c r="S20" i="11" s="1"/>
  <c r="L21" i="2"/>
  <c r="P21" i="11" s="1"/>
  <c r="L22" i="2"/>
  <c r="P22" i="11" s="1"/>
  <c r="L23" i="2"/>
  <c r="P23" i="11" s="1"/>
  <c r="S23" i="11" s="1"/>
  <c r="L24" i="2"/>
  <c r="P24" i="11" s="1"/>
  <c r="L25" i="2"/>
  <c r="P25" i="11" s="1"/>
  <c r="L26" i="2"/>
  <c r="P26" i="11" s="1"/>
  <c r="L27" i="2"/>
  <c r="P27" i="11" s="1"/>
  <c r="L28" i="2"/>
  <c r="P28" i="11" s="1"/>
  <c r="L29" i="2"/>
  <c r="P29" i="11" s="1"/>
  <c r="L30" i="2"/>
  <c r="P30" i="11" s="1"/>
  <c r="L31" i="2"/>
  <c r="P31" i="11" s="1"/>
  <c r="L32" i="2"/>
  <c r="P32" i="11" s="1"/>
  <c r="L33" i="2"/>
  <c r="P33" i="11" s="1"/>
  <c r="L34" i="2"/>
  <c r="P34" i="11" s="1"/>
  <c r="L35" i="2"/>
  <c r="P35" i="11" s="1"/>
  <c r="L36" i="2"/>
  <c r="P36" i="11" s="1"/>
  <c r="L37" i="2"/>
  <c r="P37" i="11" s="1"/>
  <c r="L38" i="2"/>
  <c r="P38" i="11" s="1"/>
  <c r="S38" i="11" s="1"/>
  <c r="L39" i="2"/>
  <c r="P39" i="11" s="1"/>
  <c r="S39" i="11" s="1"/>
  <c r="L40" i="2"/>
  <c r="P40" i="11" s="1"/>
  <c r="L41" i="2"/>
  <c r="P41" i="11" s="1"/>
  <c r="L42" i="2"/>
  <c r="P42" i="11" s="1"/>
  <c r="L43" i="2"/>
  <c r="P43" i="11" s="1"/>
  <c r="L44" i="2"/>
  <c r="P44" i="11" s="1"/>
  <c r="L45" i="2"/>
  <c r="P45" i="11" s="1"/>
  <c r="L46" i="2"/>
  <c r="P46" i="11" s="1"/>
  <c r="L47" i="2"/>
  <c r="P47" i="11" s="1"/>
  <c r="L48" i="2"/>
  <c r="P48" i="11" s="1"/>
  <c r="S48" i="11" s="1"/>
  <c r="L49" i="2"/>
  <c r="P49" i="11" s="1"/>
  <c r="L50" i="2"/>
  <c r="P50" i="11" s="1"/>
  <c r="L51" i="2"/>
  <c r="P51" i="11" s="1"/>
  <c r="L52" i="2"/>
  <c r="P52" i="11" s="1"/>
  <c r="S52" i="11" s="1"/>
  <c r="L53" i="2"/>
  <c r="P53" i="11" s="1"/>
  <c r="L54" i="2"/>
  <c r="P54" i="11" s="1"/>
  <c r="L55" i="2"/>
  <c r="P55" i="11" s="1"/>
  <c r="S55" i="11" s="1"/>
  <c r="L56" i="2"/>
  <c r="P56" i="11" s="1"/>
  <c r="L57" i="2"/>
  <c r="P57" i="11" s="1"/>
  <c r="L58" i="2"/>
  <c r="P58" i="11" s="1"/>
  <c r="L59" i="2"/>
  <c r="P59" i="11" s="1"/>
  <c r="L60" i="2"/>
  <c r="P60" i="11" s="1"/>
  <c r="L61" i="2"/>
  <c r="P61" i="11" s="1"/>
  <c r="L62" i="2"/>
  <c r="P62" i="11" s="1"/>
  <c r="L63" i="2"/>
  <c r="P63" i="11" s="1"/>
  <c r="L64" i="2"/>
  <c r="P64" i="11" s="1"/>
  <c r="L65" i="2"/>
  <c r="P65" i="11" s="1"/>
  <c r="L66" i="2"/>
  <c r="P66" i="11" s="1"/>
  <c r="L67" i="2"/>
  <c r="P67" i="11" s="1"/>
  <c r="L68" i="2"/>
  <c r="P68" i="11" s="1"/>
  <c r="L69" i="2"/>
  <c r="P69" i="11" s="1"/>
  <c r="L70" i="2"/>
  <c r="P70" i="11" s="1"/>
  <c r="L71" i="2"/>
  <c r="P71" i="11" s="1"/>
  <c r="S71" i="11" s="1"/>
  <c r="L72" i="2"/>
  <c r="P72" i="11" s="1"/>
  <c r="L73" i="2"/>
  <c r="P73" i="11" s="1"/>
  <c r="L74" i="2"/>
  <c r="P74" i="11" s="1"/>
  <c r="L75" i="2"/>
  <c r="P75" i="11" s="1"/>
  <c r="L76" i="2"/>
  <c r="P76" i="11" s="1"/>
  <c r="L77" i="2"/>
  <c r="P77" i="11" s="1"/>
  <c r="L78" i="2"/>
  <c r="P78" i="11" s="1"/>
  <c r="L79" i="2"/>
  <c r="P79" i="11" s="1"/>
  <c r="L80" i="2"/>
  <c r="P80" i="11" s="1"/>
  <c r="S80" i="11" s="1"/>
  <c r="L81" i="2"/>
  <c r="P81" i="11" s="1"/>
  <c r="L82" i="2"/>
  <c r="P82" i="11" s="1"/>
  <c r="L83" i="2"/>
  <c r="P83" i="11" s="1"/>
  <c r="L84" i="2"/>
  <c r="P84" i="11" s="1"/>
  <c r="S84" i="11" s="1"/>
  <c r="L85" i="2"/>
  <c r="P85" i="11" s="1"/>
  <c r="L86" i="2"/>
  <c r="P86" i="11" s="1"/>
  <c r="L87" i="2"/>
  <c r="P87" i="11" s="1"/>
  <c r="S87" i="11" s="1"/>
  <c r="L88" i="2"/>
  <c r="P88" i="11" s="1"/>
  <c r="L89" i="2"/>
  <c r="P89" i="11" s="1"/>
  <c r="L90" i="2"/>
  <c r="P90" i="11" s="1"/>
  <c r="L91" i="2"/>
  <c r="P91" i="11" s="1"/>
  <c r="L92" i="2"/>
  <c r="P92" i="11" s="1"/>
  <c r="L93" i="2"/>
  <c r="P93" i="11" s="1"/>
  <c r="L94" i="2"/>
  <c r="P94" i="11" s="1"/>
  <c r="L95" i="2"/>
  <c r="P95" i="11" s="1"/>
  <c r="L96" i="2"/>
  <c r="P96" i="11" s="1"/>
  <c r="L97" i="2"/>
  <c r="P97" i="11" s="1"/>
  <c r="L98" i="2"/>
  <c r="P98" i="11" s="1"/>
  <c r="L99" i="2"/>
  <c r="P99" i="11" s="1"/>
  <c r="L100" i="2"/>
  <c r="P100" i="11" s="1"/>
  <c r="L101" i="2"/>
  <c r="P101" i="11" s="1"/>
  <c r="L102" i="2"/>
  <c r="P102" i="11" s="1"/>
  <c r="S102" i="11" s="1"/>
  <c r="L103" i="2"/>
  <c r="P103" i="11" s="1"/>
  <c r="S103" i="11" s="1"/>
  <c r="L104" i="2"/>
  <c r="P104" i="11" s="1"/>
  <c r="L105" i="2"/>
  <c r="P105" i="11" s="1"/>
  <c r="L106" i="2"/>
  <c r="P106" i="11" s="1"/>
  <c r="L107" i="2"/>
  <c r="P107" i="11" s="1"/>
  <c r="L108" i="2"/>
  <c r="P108" i="11" s="1"/>
  <c r="S108" i="11" s="1"/>
  <c r="L109" i="2"/>
  <c r="P109" i="11" s="1"/>
  <c r="L110" i="2"/>
  <c r="P110" i="11" s="1"/>
  <c r="L111" i="2"/>
  <c r="P111" i="11" s="1"/>
  <c r="L112" i="2"/>
  <c r="P112" i="11" s="1"/>
  <c r="L113" i="2"/>
  <c r="P113" i="11" s="1"/>
  <c r="L114" i="2"/>
  <c r="P114" i="11" s="1"/>
  <c r="L115" i="2"/>
  <c r="P115" i="11" s="1"/>
  <c r="L116" i="2"/>
  <c r="P116" i="11" s="1"/>
  <c r="L117" i="2"/>
  <c r="P117" i="11" s="1"/>
  <c r="L118" i="2"/>
  <c r="P118" i="11" s="1"/>
  <c r="L119" i="2"/>
  <c r="P119" i="11" s="1"/>
  <c r="S119" i="11" s="1"/>
  <c r="L120" i="2"/>
  <c r="P120" i="11" s="1"/>
  <c r="L121" i="2"/>
  <c r="P121" i="11" s="1"/>
  <c r="L122" i="2"/>
  <c r="P122" i="11" s="1"/>
  <c r="L123" i="2"/>
  <c r="P123" i="11" s="1"/>
  <c r="L124" i="2"/>
  <c r="P124" i="11" s="1"/>
  <c r="S124" i="11" s="1"/>
  <c r="L125" i="2"/>
  <c r="P125" i="11" s="1"/>
  <c r="L126" i="2"/>
  <c r="P126" i="11" s="1"/>
  <c r="L127" i="2"/>
  <c r="P127" i="11" s="1"/>
  <c r="L128" i="2"/>
  <c r="P128" i="11" s="1"/>
  <c r="L129" i="2"/>
  <c r="P129" i="11" s="1"/>
  <c r="L130" i="2"/>
  <c r="P130" i="11" s="1"/>
  <c r="L131" i="2"/>
  <c r="P131" i="11" s="1"/>
  <c r="L132" i="2"/>
  <c r="P132" i="11" s="1"/>
  <c r="L133" i="2"/>
  <c r="P133" i="11" s="1"/>
  <c r="L134" i="2"/>
  <c r="P134" i="11" s="1"/>
  <c r="L135" i="2"/>
  <c r="P135" i="11" s="1"/>
  <c r="S135" i="11" s="1"/>
  <c r="L136" i="2"/>
  <c r="P136" i="11" s="1"/>
  <c r="S136" i="11" s="1"/>
  <c r="L137" i="2"/>
  <c r="P137" i="11" s="1"/>
  <c r="L138" i="2"/>
  <c r="P138" i="11" s="1"/>
  <c r="L139" i="2"/>
  <c r="P139" i="11" s="1"/>
  <c r="L140" i="2"/>
  <c r="P140" i="11" s="1"/>
  <c r="L141" i="2"/>
  <c r="P141" i="11" s="1"/>
  <c r="L142" i="2"/>
  <c r="P142" i="11" s="1"/>
  <c r="L143" i="2"/>
  <c r="P143" i="11" s="1"/>
  <c r="L144" i="2"/>
  <c r="P144" i="11" s="1"/>
  <c r="L145" i="2"/>
  <c r="P145" i="11" s="1"/>
  <c r="L146" i="2"/>
  <c r="P146" i="11" s="1"/>
  <c r="L147" i="2"/>
  <c r="P147" i="11" s="1"/>
  <c r="L148" i="2"/>
  <c r="P148" i="11" s="1"/>
  <c r="L149" i="2"/>
  <c r="P149" i="11" s="1"/>
  <c r="L150" i="2"/>
  <c r="P150" i="11" s="1"/>
  <c r="L151" i="2"/>
  <c r="P151" i="11" s="1"/>
  <c r="S151" i="11" s="1"/>
  <c r="L152" i="2"/>
  <c r="P152" i="11" s="1"/>
  <c r="L153" i="2"/>
  <c r="P153" i="11" s="1"/>
  <c r="L154" i="2"/>
  <c r="P154" i="11" s="1"/>
  <c r="L155" i="2"/>
  <c r="P155" i="11" s="1"/>
  <c r="L156" i="2"/>
  <c r="P156" i="11" s="1"/>
  <c r="S156" i="11" s="1"/>
  <c r="L157" i="2"/>
  <c r="P157" i="11" s="1"/>
  <c r="L158" i="2"/>
  <c r="P158" i="11" s="1"/>
  <c r="L159" i="2"/>
  <c r="P159" i="11" s="1"/>
  <c r="L160" i="2"/>
  <c r="P160" i="11" s="1"/>
  <c r="L161" i="2"/>
  <c r="P161" i="11" s="1"/>
  <c r="L162" i="2"/>
  <c r="P162" i="11" s="1"/>
  <c r="L163" i="2"/>
  <c r="P163" i="11" s="1"/>
  <c r="L164" i="2"/>
  <c r="P164" i="11" s="1"/>
  <c r="L165" i="2"/>
  <c r="P165" i="11" s="1"/>
  <c r="L166" i="2"/>
  <c r="P166" i="11" s="1"/>
  <c r="S166" i="11" s="1"/>
  <c r="L167" i="2"/>
  <c r="P167" i="11" s="1"/>
  <c r="S167" i="11" s="1"/>
  <c r="L168" i="2"/>
  <c r="P168" i="11" s="1"/>
  <c r="S168" i="11" s="1"/>
  <c r="L169" i="2"/>
  <c r="P169" i="11" s="1"/>
  <c r="L170" i="2"/>
  <c r="P170" i="11" s="1"/>
  <c r="L171" i="2"/>
  <c r="P171" i="11" s="1"/>
  <c r="L172" i="2"/>
  <c r="P172" i="11" s="1"/>
  <c r="L173" i="2"/>
  <c r="P173" i="11" s="1"/>
  <c r="L174" i="2"/>
  <c r="P174" i="11" s="1"/>
  <c r="L175" i="2"/>
  <c r="P175" i="11" s="1"/>
  <c r="L176" i="2"/>
  <c r="P176" i="11" s="1"/>
  <c r="L177" i="2"/>
  <c r="P177" i="11" s="1"/>
  <c r="L178" i="2"/>
  <c r="P178" i="11" s="1"/>
  <c r="L179" i="2"/>
  <c r="P179" i="11" s="1"/>
  <c r="L180" i="2"/>
  <c r="P180" i="11" s="1"/>
  <c r="L181" i="2"/>
  <c r="P181" i="11" s="1"/>
  <c r="L182" i="2"/>
  <c r="P182" i="11" s="1"/>
  <c r="L183" i="2"/>
  <c r="P183" i="11" s="1"/>
  <c r="S183" i="11" s="1"/>
  <c r="L184" i="2"/>
  <c r="P184" i="11" s="1"/>
  <c r="L185" i="2"/>
  <c r="P185" i="11" s="1"/>
  <c r="L186" i="2"/>
  <c r="P186" i="11" s="1"/>
  <c r="L187" i="2"/>
  <c r="P187" i="11" s="1"/>
  <c r="L188" i="2"/>
  <c r="P188" i="11" s="1"/>
  <c r="S188" i="11" s="1"/>
  <c r="L189" i="2"/>
  <c r="P189" i="11" s="1"/>
  <c r="L190" i="2"/>
  <c r="P190" i="11" s="1"/>
  <c r="L191" i="2"/>
  <c r="P191" i="11" s="1"/>
  <c r="L192" i="2"/>
  <c r="P192" i="11" s="1"/>
  <c r="L193" i="2"/>
  <c r="P193" i="11" s="1"/>
  <c r="L194" i="2"/>
  <c r="P194" i="11" s="1"/>
  <c r="L195" i="2"/>
  <c r="P195" i="11" s="1"/>
  <c r="L196" i="2"/>
  <c r="P196" i="11" s="1"/>
  <c r="L197" i="2"/>
  <c r="P197" i="11" s="1"/>
  <c r="L198" i="2"/>
  <c r="P198" i="11" s="1"/>
  <c r="L199" i="2"/>
  <c r="P199" i="11" s="1"/>
  <c r="S199" i="11" s="1"/>
  <c r="M5" i="2"/>
  <c r="Q5" i="8" s="1"/>
  <c r="V5" i="11" s="1"/>
  <c r="L5" i="2"/>
  <c r="D5" i="2"/>
  <c r="C5" i="2"/>
  <c r="P5" i="2" s="1"/>
  <c r="T240" i="11" l="1"/>
  <c r="T262" i="11"/>
  <c r="S182" i="11"/>
  <c r="S118" i="11"/>
  <c r="S54" i="11"/>
  <c r="S288" i="11"/>
  <c r="S272" i="11"/>
  <c r="S256" i="11"/>
  <c r="S240" i="11"/>
  <c r="S224" i="11"/>
  <c r="S208" i="11"/>
  <c r="T96" i="11"/>
  <c r="T198" i="11"/>
  <c r="T222" i="11"/>
  <c r="T8" i="11"/>
  <c r="T248" i="11"/>
  <c r="T40" i="11"/>
  <c r="S291" i="11"/>
  <c r="S275" i="11"/>
  <c r="S259" i="11"/>
  <c r="S243" i="11"/>
  <c r="S227" i="11"/>
  <c r="S211" i="11"/>
  <c r="T116" i="11"/>
  <c r="T148" i="11"/>
  <c r="T200" i="11"/>
  <c r="T72" i="11"/>
  <c r="S184" i="11"/>
  <c r="S160" i="11"/>
  <c r="S148" i="11"/>
  <c r="S128" i="11"/>
  <c r="S116" i="11"/>
  <c r="S100" i="11"/>
  <c r="S76" i="11"/>
  <c r="S72" i="11"/>
  <c r="S44" i="11"/>
  <c r="S40" i="11"/>
  <c r="S12" i="11"/>
  <c r="S8" i="11"/>
  <c r="S246" i="11"/>
  <c r="S238" i="11"/>
  <c r="S222" i="11"/>
  <c r="S214" i="11"/>
  <c r="T35" i="11"/>
  <c r="T67" i="11"/>
  <c r="T99" i="11"/>
  <c r="T131" i="11"/>
  <c r="T163" i="11"/>
  <c r="T195" i="11"/>
  <c r="S195" i="11"/>
  <c r="S179" i="11"/>
  <c r="S163" i="11"/>
  <c r="S147" i="11"/>
  <c r="S131" i="11"/>
  <c r="S115" i="11"/>
  <c r="S99" i="11"/>
  <c r="S83" i="11"/>
  <c r="S67" i="11"/>
  <c r="S51" i="11"/>
  <c r="S35" i="11"/>
  <c r="S19" i="11"/>
  <c r="T100" i="11"/>
  <c r="T291" i="11"/>
  <c r="T227" i="11"/>
  <c r="T184" i="11"/>
  <c r="T216" i="11"/>
  <c r="S150" i="11"/>
  <c r="S86" i="11"/>
  <c r="S22" i="11"/>
  <c r="S296" i="11"/>
  <c r="S280" i="11"/>
  <c r="S264" i="11"/>
  <c r="S248" i="11"/>
  <c r="S232" i="11"/>
  <c r="S216" i="11"/>
  <c r="S200" i="11"/>
  <c r="T19" i="11"/>
  <c r="T51" i="11"/>
  <c r="T83" i="11"/>
  <c r="T115" i="11"/>
  <c r="T147" i="11"/>
  <c r="T179" i="11"/>
  <c r="T211" i="11"/>
  <c r="T12" i="11"/>
  <c r="T44" i="11"/>
  <c r="T76" i="11"/>
  <c r="T259" i="11"/>
  <c r="T275" i="11"/>
  <c r="T243" i="11"/>
  <c r="T264" i="11"/>
  <c r="T280" i="11"/>
  <c r="T296" i="11"/>
  <c r="T128" i="11"/>
  <c r="T160" i="11"/>
  <c r="T232" i="11"/>
  <c r="T70" i="11"/>
  <c r="T238" i="11"/>
  <c r="S443" i="11"/>
  <c r="T443" i="11"/>
  <c r="S439" i="11"/>
  <c r="T439" i="11"/>
  <c r="S435" i="11"/>
  <c r="T435" i="11"/>
  <c r="S431" i="11"/>
  <c r="T431" i="11"/>
  <c r="S427" i="11"/>
  <c r="T427" i="11"/>
  <c r="S423" i="11"/>
  <c r="T423" i="11"/>
  <c r="S419" i="11"/>
  <c r="T419" i="11"/>
  <c r="S415" i="11"/>
  <c r="T415" i="11"/>
  <c r="S411" i="11"/>
  <c r="T411" i="11"/>
  <c r="S407" i="11"/>
  <c r="T407" i="11"/>
  <c r="S403" i="11"/>
  <c r="T403" i="11"/>
  <c r="S399" i="11"/>
  <c r="T399" i="11"/>
  <c r="S395" i="11"/>
  <c r="T395" i="11"/>
  <c r="S391" i="11"/>
  <c r="T391" i="11"/>
  <c r="S387" i="11"/>
  <c r="T387" i="11"/>
  <c r="S383" i="11"/>
  <c r="T383" i="11"/>
  <c r="S379" i="11"/>
  <c r="T379" i="11"/>
  <c r="S375" i="11"/>
  <c r="T375" i="11"/>
  <c r="S371" i="11"/>
  <c r="T371" i="11"/>
  <c r="S367" i="11"/>
  <c r="T367" i="11"/>
  <c r="S363" i="11"/>
  <c r="T363" i="11"/>
  <c r="S359" i="11"/>
  <c r="T359" i="11"/>
  <c r="S355" i="11"/>
  <c r="T355" i="11"/>
  <c r="S351" i="11"/>
  <c r="T351" i="11"/>
  <c r="S347" i="11"/>
  <c r="T347" i="11"/>
  <c r="S343" i="11"/>
  <c r="T343" i="11"/>
  <c r="S339" i="11"/>
  <c r="T339" i="11"/>
  <c r="S335" i="11"/>
  <c r="T335" i="11"/>
  <c r="S331" i="11"/>
  <c r="T331" i="11"/>
  <c r="S327" i="11"/>
  <c r="T327" i="11"/>
  <c r="S323" i="11"/>
  <c r="T323" i="11"/>
  <c r="S319" i="11"/>
  <c r="T319" i="11"/>
  <c r="S315" i="11"/>
  <c r="T315" i="11"/>
  <c r="S311" i="11"/>
  <c r="T311" i="11"/>
  <c r="S307" i="11"/>
  <c r="T307" i="11"/>
  <c r="S303" i="11"/>
  <c r="T303" i="11"/>
  <c r="S301" i="11"/>
  <c r="T446" i="11"/>
  <c r="S446" i="11"/>
  <c r="T442" i="11"/>
  <c r="S442" i="11"/>
  <c r="T438" i="11"/>
  <c r="S438" i="11"/>
  <c r="T434" i="11"/>
  <c r="S434" i="11"/>
  <c r="T430" i="11"/>
  <c r="S430" i="11"/>
  <c r="T426" i="11"/>
  <c r="S426" i="11"/>
  <c r="T422" i="11"/>
  <c r="S422" i="11"/>
  <c r="T418" i="11"/>
  <c r="S418" i="11"/>
  <c r="T414" i="11"/>
  <c r="S414" i="11"/>
  <c r="T410" i="11"/>
  <c r="S410" i="11"/>
  <c r="T406" i="11"/>
  <c r="S406" i="11"/>
  <c r="T402" i="11"/>
  <c r="S402" i="11"/>
  <c r="T398" i="11"/>
  <c r="S398" i="11"/>
  <c r="T394" i="11"/>
  <c r="S394" i="11"/>
  <c r="T390" i="11"/>
  <c r="S390" i="11"/>
  <c r="T386" i="11"/>
  <c r="S386" i="11"/>
  <c r="T382" i="11"/>
  <c r="S382" i="11"/>
  <c r="T378" i="11"/>
  <c r="S378" i="11"/>
  <c r="T374" i="11"/>
  <c r="S374" i="11"/>
  <c r="T370" i="11"/>
  <c r="S370" i="11"/>
  <c r="T366" i="11"/>
  <c r="S366" i="11"/>
  <c r="T362" i="11"/>
  <c r="S362" i="11"/>
  <c r="T358" i="11"/>
  <c r="S358" i="11"/>
  <c r="T354" i="11"/>
  <c r="S354" i="11"/>
  <c r="T350" i="11"/>
  <c r="S350" i="11"/>
  <c r="T346" i="11"/>
  <c r="S346" i="11"/>
  <c r="T342" i="11"/>
  <c r="S342" i="11"/>
  <c r="T338" i="11"/>
  <c r="S338" i="11"/>
  <c r="T334" i="11"/>
  <c r="S334" i="11"/>
  <c r="T330" i="11"/>
  <c r="S330" i="11"/>
  <c r="T326" i="11"/>
  <c r="S326" i="11"/>
  <c r="T322" i="11"/>
  <c r="S322" i="11"/>
  <c r="T318" i="11"/>
  <c r="S318" i="11"/>
  <c r="T314" i="11"/>
  <c r="S314" i="11"/>
  <c r="T310" i="11"/>
  <c r="S310" i="11"/>
  <c r="T306" i="11"/>
  <c r="S306" i="11"/>
  <c r="T302" i="11"/>
  <c r="S302" i="11"/>
  <c r="S5" i="7"/>
  <c r="P5" i="9" s="1"/>
  <c r="Q301" i="11" s="1"/>
  <c r="T301" i="11" s="1"/>
  <c r="S445" i="11"/>
  <c r="S441" i="11"/>
  <c r="S437" i="11"/>
  <c r="S433" i="11"/>
  <c r="S429" i="11"/>
  <c r="S425" i="11"/>
  <c r="S421" i="11"/>
  <c r="S417" i="11"/>
  <c r="S413" i="11"/>
  <c r="S409" i="11"/>
  <c r="S405" i="11"/>
  <c r="S401" i="11"/>
  <c r="S397" i="11"/>
  <c r="S393" i="11"/>
  <c r="S389" i="11"/>
  <c r="S385" i="11"/>
  <c r="S381" i="11"/>
  <c r="S377" i="11"/>
  <c r="S373" i="11"/>
  <c r="S369" i="11"/>
  <c r="S365" i="11"/>
  <c r="S361" i="11"/>
  <c r="S357" i="11"/>
  <c r="S353" i="11"/>
  <c r="S349" i="11"/>
  <c r="S345" i="11"/>
  <c r="S341" i="11"/>
  <c r="S337" i="11"/>
  <c r="S333" i="11"/>
  <c r="S329" i="11"/>
  <c r="S325" i="11"/>
  <c r="S321" i="11"/>
  <c r="S317" i="11"/>
  <c r="S313" i="11"/>
  <c r="S309" i="11"/>
  <c r="S305" i="11"/>
  <c r="S144" i="7"/>
  <c r="P144" i="9" s="1"/>
  <c r="Q440" i="11" s="1"/>
  <c r="T440" i="11" s="1"/>
  <c r="S140" i="7"/>
  <c r="P140" i="9" s="1"/>
  <c r="Q436" i="11" s="1"/>
  <c r="S128" i="7"/>
  <c r="P128" i="9" s="1"/>
  <c r="Q424" i="11" s="1"/>
  <c r="S124" i="7"/>
  <c r="P124" i="9" s="1"/>
  <c r="Q420" i="11" s="1"/>
  <c r="S112" i="7"/>
  <c r="P112" i="9" s="1"/>
  <c r="Q408" i="11" s="1"/>
  <c r="T408" i="11" s="1"/>
  <c r="S108" i="7"/>
  <c r="P108" i="9" s="1"/>
  <c r="Q404" i="11" s="1"/>
  <c r="S96" i="7"/>
  <c r="P96" i="9" s="1"/>
  <c r="Q392" i="11" s="1"/>
  <c r="S92" i="7"/>
  <c r="P92" i="9" s="1"/>
  <c r="Q388" i="11" s="1"/>
  <c r="S80" i="7"/>
  <c r="P80" i="9" s="1"/>
  <c r="Q376" i="11" s="1"/>
  <c r="T376" i="11" s="1"/>
  <c r="S76" i="7"/>
  <c r="P76" i="9" s="1"/>
  <c r="Q372" i="11" s="1"/>
  <c r="S64" i="7"/>
  <c r="P64" i="9" s="1"/>
  <c r="Q360" i="11" s="1"/>
  <c r="S60" i="7"/>
  <c r="P60" i="9" s="1"/>
  <c r="Q356" i="11" s="1"/>
  <c r="S48" i="7"/>
  <c r="P48" i="9" s="1"/>
  <c r="Q344" i="11" s="1"/>
  <c r="T344" i="11" s="1"/>
  <c r="S44" i="7"/>
  <c r="P44" i="9" s="1"/>
  <c r="Q340" i="11" s="1"/>
  <c r="S32" i="7"/>
  <c r="P32" i="9" s="1"/>
  <c r="Q328" i="11" s="1"/>
  <c r="S28" i="7"/>
  <c r="P28" i="9" s="1"/>
  <c r="Q324" i="11" s="1"/>
  <c r="S16" i="7"/>
  <c r="P16" i="9" s="1"/>
  <c r="Q312" i="11" s="1"/>
  <c r="T312" i="11" s="1"/>
  <c r="S12" i="7"/>
  <c r="P12" i="9" s="1"/>
  <c r="Q308" i="11" s="1"/>
  <c r="S444" i="11"/>
  <c r="T444" i="11"/>
  <c r="S440" i="11"/>
  <c r="S436" i="11"/>
  <c r="T436" i="11"/>
  <c r="S432" i="11"/>
  <c r="T432" i="11"/>
  <c r="S428" i="11"/>
  <c r="T428" i="11"/>
  <c r="S424" i="11"/>
  <c r="T424" i="11"/>
  <c r="S420" i="11"/>
  <c r="T420" i="11"/>
  <c r="S416" i="11"/>
  <c r="T416" i="11"/>
  <c r="S412" i="11"/>
  <c r="T412" i="11"/>
  <c r="S408" i="11"/>
  <c r="S404" i="11"/>
  <c r="T404" i="11"/>
  <c r="S400" i="11"/>
  <c r="T400" i="11"/>
  <c r="S396" i="11"/>
  <c r="T396" i="11"/>
  <c r="S392" i="11"/>
  <c r="T392" i="11"/>
  <c r="S388" i="11"/>
  <c r="T388" i="11"/>
  <c r="S384" i="11"/>
  <c r="T384" i="11"/>
  <c r="S380" i="11"/>
  <c r="T380" i="11"/>
  <c r="S376" i="11"/>
  <c r="S372" i="11"/>
  <c r="T372" i="11"/>
  <c r="S368" i="11"/>
  <c r="T368" i="11"/>
  <c r="S364" i="11"/>
  <c r="T364" i="11"/>
  <c r="S360" i="11"/>
  <c r="T360" i="11"/>
  <c r="S356" i="11"/>
  <c r="T356" i="11"/>
  <c r="S352" i="11"/>
  <c r="T352" i="11"/>
  <c r="S348" i="11"/>
  <c r="T348" i="11"/>
  <c r="S344" i="11"/>
  <c r="S340" i="11"/>
  <c r="T340" i="11"/>
  <c r="S336" i="11"/>
  <c r="T336" i="11"/>
  <c r="S332" i="11"/>
  <c r="T332" i="11"/>
  <c r="S328" i="11"/>
  <c r="T328" i="11"/>
  <c r="S324" i="11"/>
  <c r="T324" i="11"/>
  <c r="S320" i="11"/>
  <c r="T320" i="11"/>
  <c r="S316" i="11"/>
  <c r="T316" i="11"/>
  <c r="S312" i="11"/>
  <c r="S308" i="11"/>
  <c r="T308" i="11"/>
  <c r="S304" i="11"/>
  <c r="T304" i="11"/>
  <c r="T31" i="11"/>
  <c r="T175" i="11"/>
  <c r="T192" i="11"/>
  <c r="T208" i="11"/>
  <c r="T22" i="11"/>
  <c r="T38" i="11"/>
  <c r="T134" i="11"/>
  <c r="T150" i="11"/>
  <c r="T166" i="11"/>
  <c r="T214" i="11"/>
  <c r="T112" i="11"/>
  <c r="T144" i="11"/>
  <c r="S299" i="11"/>
  <c r="S219" i="11"/>
  <c r="T28" i="11"/>
  <c r="S203" i="11"/>
  <c r="S196" i="11"/>
  <c r="S192" i="11"/>
  <c r="S180" i="11"/>
  <c r="S176" i="11"/>
  <c r="S172" i="11"/>
  <c r="S164" i="11"/>
  <c r="S152" i="11"/>
  <c r="S144" i="11"/>
  <c r="S140" i="11"/>
  <c r="S132" i="11"/>
  <c r="S120" i="11"/>
  <c r="S112" i="11"/>
  <c r="S104" i="11"/>
  <c r="S96" i="11"/>
  <c r="S92" i="11"/>
  <c r="S88" i="11"/>
  <c r="S68" i="11"/>
  <c r="S64" i="11"/>
  <c r="S60" i="11"/>
  <c r="S56" i="11"/>
  <c r="S36" i="11"/>
  <c r="S32" i="11"/>
  <c r="S28" i="11"/>
  <c r="S24" i="11"/>
  <c r="S298" i="11"/>
  <c r="S282" i="11"/>
  <c r="S266" i="11"/>
  <c r="S250" i="11"/>
  <c r="S234" i="11"/>
  <c r="S218" i="11"/>
  <c r="T234" i="11"/>
  <c r="T266" i="11"/>
  <c r="T298" i="11"/>
  <c r="T36" i="11"/>
  <c r="T68" i="11"/>
  <c r="T132" i="11"/>
  <c r="T164" i="11"/>
  <c r="T196" i="11"/>
  <c r="T224" i="11"/>
  <c r="T15" i="11"/>
  <c r="S283" i="11"/>
  <c r="S267" i="11"/>
  <c r="S251" i="11"/>
  <c r="S235" i="11"/>
  <c r="T60" i="11"/>
  <c r="S143" i="11"/>
  <c r="S63" i="11"/>
  <c r="T27" i="11"/>
  <c r="T59" i="11"/>
  <c r="T91" i="11"/>
  <c r="T123" i="11"/>
  <c r="T155" i="11"/>
  <c r="T187" i="11"/>
  <c r="T218" i="11"/>
  <c r="T140" i="11"/>
  <c r="T172" i="11"/>
  <c r="T256" i="11"/>
  <c r="T272" i="11"/>
  <c r="T288" i="11"/>
  <c r="P5" i="11"/>
  <c r="AB5" i="2"/>
  <c r="AC5" i="2"/>
  <c r="S230" i="11"/>
  <c r="T235" i="11"/>
  <c r="S293" i="11"/>
  <c r="S277" i="11"/>
  <c r="S261" i="11"/>
  <c r="T11" i="11"/>
  <c r="T43" i="11"/>
  <c r="T75" i="11"/>
  <c r="T107" i="11"/>
  <c r="T139" i="11"/>
  <c r="T171" i="11"/>
  <c r="T203" i="11"/>
  <c r="T299" i="11"/>
  <c r="S187" i="11"/>
  <c r="S171" i="11"/>
  <c r="S155" i="11"/>
  <c r="S139" i="11"/>
  <c r="S123" i="11"/>
  <c r="S107" i="11"/>
  <c r="S91" i="11"/>
  <c r="S59" i="11"/>
  <c r="S43" i="11"/>
  <c r="S27" i="11"/>
  <c r="S11" i="11"/>
  <c r="T219" i="11"/>
  <c r="T251" i="11"/>
  <c r="T267" i="11"/>
  <c r="T283" i="11"/>
  <c r="S75" i="11"/>
  <c r="S297" i="11"/>
  <c r="S15" i="11"/>
  <c r="S31" i="11"/>
  <c r="S47" i="11"/>
  <c r="T79" i="11"/>
  <c r="S95" i="11"/>
  <c r="T111" i="11"/>
  <c r="S127" i="11"/>
  <c r="S159" i="11"/>
  <c r="S175" i="11"/>
  <c r="T191" i="11"/>
  <c r="T207" i="11"/>
  <c r="S223" i="11"/>
  <c r="S255" i="11"/>
  <c r="S271" i="11"/>
  <c r="S6" i="11"/>
  <c r="S70" i="11"/>
  <c r="S134" i="11"/>
  <c r="S198" i="11"/>
  <c r="T297" i="11"/>
  <c r="S5" i="11"/>
  <c r="S79" i="11"/>
  <c r="T255" i="11"/>
  <c r="T271" i="11"/>
  <c r="S265" i="11"/>
  <c r="S281" i="11"/>
  <c r="S111" i="11"/>
  <c r="S191" i="11"/>
  <c r="T6" i="11"/>
  <c r="T239" i="11"/>
  <c r="T63" i="11"/>
  <c r="T95" i="11"/>
  <c r="T127" i="11"/>
  <c r="T159" i="11"/>
  <c r="S273" i="11"/>
  <c r="S253" i="11"/>
  <c r="S269" i="11"/>
  <c r="S285" i="11"/>
  <c r="S26" i="11"/>
  <c r="T26" i="11"/>
  <c r="T90" i="11"/>
  <c r="S90" i="11"/>
  <c r="T154" i="11"/>
  <c r="S154" i="11"/>
  <c r="S30" i="11"/>
  <c r="T30" i="11"/>
  <c r="T94" i="11"/>
  <c r="S94" i="11"/>
  <c r="T158" i="11"/>
  <c r="S158" i="11"/>
  <c r="T254" i="11"/>
  <c r="S254" i="11"/>
  <c r="S18" i="11"/>
  <c r="T18" i="11"/>
  <c r="T82" i="11"/>
  <c r="S82" i="11"/>
  <c r="T146" i="11"/>
  <c r="S146" i="11"/>
  <c r="T210" i="11"/>
  <c r="S210" i="11"/>
  <c r="T286" i="11"/>
  <c r="S286" i="11"/>
  <c r="S42" i="11"/>
  <c r="T42" i="11"/>
  <c r="T106" i="11"/>
  <c r="S106" i="11"/>
  <c r="T170" i="11"/>
  <c r="S170" i="11"/>
  <c r="S46" i="11"/>
  <c r="T46" i="11"/>
  <c r="T110" i="11"/>
  <c r="S110" i="11"/>
  <c r="T174" i="11"/>
  <c r="S174" i="11"/>
  <c r="T13" i="11"/>
  <c r="S13" i="11"/>
  <c r="T21" i="11"/>
  <c r="S21" i="11"/>
  <c r="T29" i="11"/>
  <c r="S29" i="11"/>
  <c r="T37" i="11"/>
  <c r="S37" i="11"/>
  <c r="T45" i="11"/>
  <c r="S45" i="11"/>
  <c r="T53" i="11"/>
  <c r="S53" i="11"/>
  <c r="T61" i="11"/>
  <c r="S61" i="11"/>
  <c r="T69" i="11"/>
  <c r="S69" i="11"/>
  <c r="T77" i="11"/>
  <c r="S77" i="11"/>
  <c r="T85" i="11"/>
  <c r="S85" i="11"/>
  <c r="T93" i="11"/>
  <c r="S93" i="11"/>
  <c r="T101" i="11"/>
  <c r="S101" i="11"/>
  <c r="T109" i="11"/>
  <c r="S109" i="11"/>
  <c r="T117" i="11"/>
  <c r="S117" i="11"/>
  <c r="T125" i="11"/>
  <c r="S125" i="11"/>
  <c r="T133" i="11"/>
  <c r="S133" i="11"/>
  <c r="T141" i="11"/>
  <c r="S141" i="11"/>
  <c r="T149" i="11"/>
  <c r="S149" i="11"/>
  <c r="T157" i="11"/>
  <c r="S157" i="11"/>
  <c r="T165" i="11"/>
  <c r="S165" i="11"/>
  <c r="T173" i="11"/>
  <c r="S173" i="11"/>
  <c r="T181" i="11"/>
  <c r="S181" i="11"/>
  <c r="T189" i="11"/>
  <c r="S189" i="11"/>
  <c r="T197" i="11"/>
  <c r="S197" i="11"/>
  <c r="T205" i="11"/>
  <c r="S205" i="11"/>
  <c r="T213" i="11"/>
  <c r="S213" i="11"/>
  <c r="T221" i="11"/>
  <c r="S221" i="11"/>
  <c r="T229" i="11"/>
  <c r="S229" i="11"/>
  <c r="T237" i="11"/>
  <c r="S237" i="11"/>
  <c r="T245" i="11"/>
  <c r="S245" i="11"/>
  <c r="T287" i="11"/>
  <c r="S287" i="11"/>
  <c r="S34" i="11"/>
  <c r="T34" i="11"/>
  <c r="T98" i="11"/>
  <c r="S98" i="11"/>
  <c r="T162" i="11"/>
  <c r="S162" i="11"/>
  <c r="T258" i="11"/>
  <c r="S258" i="11"/>
  <c r="T294" i="11"/>
  <c r="S294" i="11"/>
  <c r="T58" i="11"/>
  <c r="S58" i="11"/>
  <c r="T122" i="11"/>
  <c r="S122" i="11"/>
  <c r="T186" i="11"/>
  <c r="S186" i="11"/>
  <c r="T62" i="11"/>
  <c r="S62" i="11"/>
  <c r="T126" i="11"/>
  <c r="S126" i="11"/>
  <c r="T190" i="11"/>
  <c r="S190" i="11"/>
  <c r="S50" i="11"/>
  <c r="T50" i="11"/>
  <c r="T114" i="11"/>
  <c r="S114" i="11"/>
  <c r="T178" i="11"/>
  <c r="S178" i="11"/>
  <c r="T270" i="11"/>
  <c r="S270" i="11"/>
  <c r="S10" i="11"/>
  <c r="T10" i="11"/>
  <c r="T74" i="11"/>
  <c r="S74" i="11"/>
  <c r="T138" i="11"/>
  <c r="S138" i="11"/>
  <c r="T202" i="11"/>
  <c r="S202" i="11"/>
  <c r="S14" i="11"/>
  <c r="T14" i="11"/>
  <c r="T78" i="11"/>
  <c r="S78" i="11"/>
  <c r="T142" i="11"/>
  <c r="S142" i="11"/>
  <c r="T206" i="11"/>
  <c r="S206" i="11"/>
  <c r="S9" i="11"/>
  <c r="T9" i="11"/>
  <c r="T17" i="11"/>
  <c r="S17" i="11"/>
  <c r="T25" i="11"/>
  <c r="S25" i="11"/>
  <c r="T33" i="11"/>
  <c r="S33" i="11"/>
  <c r="T41" i="11"/>
  <c r="S41" i="11"/>
  <c r="T49" i="11"/>
  <c r="S49" i="11"/>
  <c r="T57" i="11"/>
  <c r="S57" i="11"/>
  <c r="T65" i="11"/>
  <c r="S65" i="11"/>
  <c r="T73" i="11"/>
  <c r="S73" i="11"/>
  <c r="T81" i="11"/>
  <c r="S81" i="11"/>
  <c r="T89" i="11"/>
  <c r="S89" i="11"/>
  <c r="T97" i="11"/>
  <c r="S97" i="11"/>
  <c r="T105" i="11"/>
  <c r="S105" i="11"/>
  <c r="T113" i="11"/>
  <c r="S113" i="11"/>
  <c r="T121" i="11"/>
  <c r="S121" i="11"/>
  <c r="T129" i="11"/>
  <c r="S129" i="11"/>
  <c r="T137" i="11"/>
  <c r="S137" i="11"/>
  <c r="T145" i="11"/>
  <c r="S145" i="11"/>
  <c r="T153" i="11"/>
  <c r="S153" i="11"/>
  <c r="T161" i="11"/>
  <c r="S161" i="11"/>
  <c r="T169" i="11"/>
  <c r="S169" i="11"/>
  <c r="T177" i="11"/>
  <c r="S177" i="11"/>
  <c r="T185" i="11"/>
  <c r="S185" i="11"/>
  <c r="T193" i="11"/>
  <c r="S193" i="11"/>
  <c r="T201" i="11"/>
  <c r="S201" i="11"/>
  <c r="T209" i="11"/>
  <c r="S209" i="11"/>
  <c r="T217" i="11"/>
  <c r="S217" i="11"/>
  <c r="T225" i="11"/>
  <c r="S225" i="11"/>
  <c r="T233" i="11"/>
  <c r="S233" i="11"/>
  <c r="T241" i="11"/>
  <c r="S241" i="11"/>
  <c r="T249" i="11"/>
  <c r="S249" i="11"/>
  <c r="T66" i="11"/>
  <c r="S66" i="11"/>
  <c r="T130" i="11"/>
  <c r="S130" i="11"/>
  <c r="T194" i="11"/>
  <c r="S194" i="11"/>
  <c r="T278" i="11"/>
  <c r="S278" i="11"/>
  <c r="P5" i="8"/>
  <c r="Q5" i="11" s="1"/>
  <c r="T5" i="11" s="1"/>
  <c r="S149" i="7"/>
  <c r="P149" i="9" s="1"/>
  <c r="Q445" i="11" s="1"/>
  <c r="T445" i="11" s="1"/>
  <c r="S145" i="7"/>
  <c r="P145" i="9" s="1"/>
  <c r="Q441" i="11" s="1"/>
  <c r="T441" i="11" s="1"/>
  <c r="S141" i="7"/>
  <c r="P141" i="9" s="1"/>
  <c r="Q437" i="11" s="1"/>
  <c r="T437" i="11" s="1"/>
  <c r="S137" i="7"/>
  <c r="P137" i="9" s="1"/>
  <c r="Q433" i="11" s="1"/>
  <c r="T433" i="11" s="1"/>
  <c r="S133" i="7"/>
  <c r="P133" i="9" s="1"/>
  <c r="Q429" i="11" s="1"/>
  <c r="T429" i="11" s="1"/>
  <c r="S129" i="7"/>
  <c r="P129" i="9" s="1"/>
  <c r="Q425" i="11" s="1"/>
  <c r="T425" i="11" s="1"/>
  <c r="S125" i="7"/>
  <c r="P125" i="9" s="1"/>
  <c r="Q421" i="11" s="1"/>
  <c r="T421" i="11" s="1"/>
  <c r="S121" i="7"/>
  <c r="P121" i="9" s="1"/>
  <c r="Q417" i="11" s="1"/>
  <c r="T417" i="11" s="1"/>
  <c r="S117" i="7"/>
  <c r="P117" i="9" s="1"/>
  <c r="Q413" i="11" s="1"/>
  <c r="T413" i="11" s="1"/>
  <c r="S113" i="7"/>
  <c r="P113" i="9" s="1"/>
  <c r="Q409" i="11" s="1"/>
  <c r="T409" i="11" s="1"/>
  <c r="S109" i="7"/>
  <c r="P109" i="9" s="1"/>
  <c r="Q405" i="11" s="1"/>
  <c r="T405" i="11" s="1"/>
  <c r="S105" i="7"/>
  <c r="P105" i="9" s="1"/>
  <c r="Q401" i="11" s="1"/>
  <c r="T401" i="11" s="1"/>
  <c r="S101" i="7"/>
  <c r="P101" i="9" s="1"/>
  <c r="Q397" i="11" s="1"/>
  <c r="T397" i="11" s="1"/>
  <c r="S97" i="7"/>
  <c r="P97" i="9" s="1"/>
  <c r="Q393" i="11" s="1"/>
  <c r="T393" i="11" s="1"/>
  <c r="S93" i="7"/>
  <c r="P93" i="9" s="1"/>
  <c r="Q389" i="11" s="1"/>
  <c r="T389" i="11" s="1"/>
  <c r="S89" i="7"/>
  <c r="P89" i="9" s="1"/>
  <c r="Q385" i="11" s="1"/>
  <c r="T385" i="11" s="1"/>
  <c r="S85" i="7"/>
  <c r="P85" i="9" s="1"/>
  <c r="Q381" i="11" s="1"/>
  <c r="T381" i="11" s="1"/>
  <c r="S81" i="7"/>
  <c r="P81" i="9" s="1"/>
  <c r="Q377" i="11" s="1"/>
  <c r="T377" i="11" s="1"/>
  <c r="S77" i="7"/>
  <c r="P77" i="9" s="1"/>
  <c r="Q373" i="11" s="1"/>
  <c r="T373" i="11" s="1"/>
  <c r="S73" i="7"/>
  <c r="P73" i="9" s="1"/>
  <c r="Q369" i="11" s="1"/>
  <c r="T369" i="11" s="1"/>
  <c r="S69" i="7"/>
  <c r="P69" i="9" s="1"/>
  <c r="Q365" i="11" s="1"/>
  <c r="T365" i="11" s="1"/>
  <c r="S65" i="7"/>
  <c r="P65" i="9" s="1"/>
  <c r="Q361" i="11" s="1"/>
  <c r="T361" i="11" s="1"/>
  <c r="S61" i="7"/>
  <c r="P61" i="9" s="1"/>
  <c r="Q357" i="11" s="1"/>
  <c r="T357" i="11" s="1"/>
  <c r="S57" i="7"/>
  <c r="P57" i="9" s="1"/>
  <c r="Q353" i="11" s="1"/>
  <c r="T353" i="11" s="1"/>
  <c r="S53" i="7"/>
  <c r="P53" i="9" s="1"/>
  <c r="Q349" i="11" s="1"/>
  <c r="T349" i="11" s="1"/>
  <c r="S49" i="7"/>
  <c r="P49" i="9" s="1"/>
  <c r="Q345" i="11" s="1"/>
  <c r="T345" i="11" s="1"/>
  <c r="S45" i="7"/>
  <c r="P45" i="9" s="1"/>
  <c r="Q341" i="11" s="1"/>
  <c r="T341" i="11" s="1"/>
  <c r="S41" i="7"/>
  <c r="P41" i="9" s="1"/>
  <c r="Q337" i="11" s="1"/>
  <c r="T337" i="11" s="1"/>
  <c r="S37" i="7"/>
  <c r="P37" i="9" s="1"/>
  <c r="Q333" i="11" s="1"/>
  <c r="T333" i="11" s="1"/>
  <c r="S33" i="7"/>
  <c r="P33" i="9" s="1"/>
  <c r="Q329" i="11" s="1"/>
  <c r="T329" i="11" s="1"/>
  <c r="S29" i="7"/>
  <c r="P29" i="9" s="1"/>
  <c r="Q325" i="11" s="1"/>
  <c r="T325" i="11" s="1"/>
  <c r="S25" i="7"/>
  <c r="P25" i="9" s="1"/>
  <c r="Q321" i="11" s="1"/>
  <c r="T321" i="11" s="1"/>
  <c r="S21" i="7"/>
  <c r="P21" i="9" s="1"/>
  <c r="Q317" i="11" s="1"/>
  <c r="T317" i="11" s="1"/>
  <c r="S17" i="7"/>
  <c r="P17" i="9" s="1"/>
  <c r="Q313" i="11" s="1"/>
  <c r="T313" i="11" s="1"/>
  <c r="S13" i="7"/>
  <c r="P13" i="9" s="1"/>
  <c r="Q309" i="11" s="1"/>
  <c r="T309" i="11" s="1"/>
  <c r="S9" i="7"/>
  <c r="P9" i="9" s="1"/>
  <c r="Q305" i="11" s="1"/>
  <c r="T305" i="11" s="1"/>
</calcChain>
</file>

<file path=xl/sharedStrings.xml><?xml version="1.0" encoding="utf-8"?>
<sst xmlns="http://schemas.openxmlformats.org/spreadsheetml/2006/main" count="857" uniqueCount="63">
  <si>
    <t>SLOT</t>
  </si>
  <si>
    <t>PROFESSIONAL</t>
  </si>
  <si>
    <t>IN - GAME</t>
  </si>
  <si>
    <t>TEAM NAME</t>
  </si>
  <si>
    <t>DEVICE</t>
  </si>
  <si>
    <t>REGION</t>
  </si>
  <si>
    <t>COUNTRY</t>
  </si>
  <si>
    <t>GENDER</t>
  </si>
  <si>
    <t>D.MODEL</t>
  </si>
  <si>
    <t>PLAYER NAME</t>
  </si>
  <si>
    <t>CLAN NAME</t>
  </si>
  <si>
    <t xml:space="preserve">CLAN </t>
  </si>
  <si>
    <t>LOBBY 1</t>
  </si>
  <si>
    <t>LOBBY 2</t>
  </si>
  <si>
    <t>LOBBY 3</t>
  </si>
  <si>
    <t>GAMES</t>
  </si>
  <si>
    <t>MATCHES</t>
  </si>
  <si>
    <t>KILLS</t>
  </si>
  <si>
    <t>DAILY TOTAL</t>
  </si>
  <si>
    <t>NUMBER</t>
  </si>
  <si>
    <t>PRO NAME</t>
  </si>
  <si>
    <t>CLAN</t>
  </si>
  <si>
    <t>L1</t>
  </si>
  <si>
    <t>L2</t>
  </si>
  <si>
    <t>L3</t>
  </si>
  <si>
    <t>EVENTS</t>
  </si>
  <si>
    <t>EVENTS CALCULATOR</t>
  </si>
  <si>
    <t>EVENTS 1</t>
  </si>
  <si>
    <t>EVENTS 2</t>
  </si>
  <si>
    <t>EVENTS 3</t>
  </si>
  <si>
    <t>KILL TABLE DATA</t>
  </si>
  <si>
    <r>
      <t xml:space="preserve">RU DAY 3( </t>
    </r>
    <r>
      <rPr>
        <b/>
        <i/>
        <sz val="10"/>
        <color rgb="FF00B0F0"/>
        <rFont val="Calibri"/>
        <family val="2"/>
        <scheme val="minor"/>
      </rPr>
      <t>DAY 5</t>
    </r>
    <r>
      <rPr>
        <b/>
        <sz val="11"/>
        <color theme="1"/>
        <rFont val="Calibri"/>
        <family val="2"/>
        <scheme val="minor"/>
      </rPr>
      <t>)</t>
    </r>
  </si>
  <si>
    <r>
      <t xml:space="preserve">RU DAY </t>
    </r>
    <r>
      <rPr>
        <b/>
        <i/>
        <sz val="11"/>
        <color theme="1"/>
        <rFont val="Calibri"/>
        <family val="2"/>
        <scheme val="minor"/>
      </rPr>
      <t>2(</t>
    </r>
    <r>
      <rPr>
        <b/>
        <i/>
        <sz val="10"/>
        <color rgb="FF00B0F0"/>
        <rFont val="Calibri"/>
        <family val="2"/>
        <scheme val="minor"/>
      </rPr>
      <t>DAY 4</t>
    </r>
    <r>
      <rPr>
        <b/>
        <sz val="11"/>
        <color theme="1"/>
        <rFont val="Calibri"/>
        <family val="2"/>
        <scheme val="minor"/>
      </rPr>
      <t>)</t>
    </r>
  </si>
  <si>
    <r>
      <t>RU DAY 1(</t>
    </r>
    <r>
      <rPr>
        <b/>
        <i/>
        <sz val="10"/>
        <color rgb="FF00B0F0"/>
        <rFont val="Calibri"/>
        <family val="2"/>
        <scheme val="minor"/>
      </rPr>
      <t>DAY 3</t>
    </r>
    <r>
      <rPr>
        <b/>
        <sz val="11"/>
        <color theme="1"/>
        <rFont val="Calibri"/>
        <family val="2"/>
        <scheme val="minor"/>
      </rPr>
      <t>)</t>
    </r>
  </si>
  <si>
    <t>DAY 1</t>
  </si>
  <si>
    <t>DAY 2</t>
  </si>
  <si>
    <t>DAY 3</t>
  </si>
  <si>
    <t>DAY 4</t>
  </si>
  <si>
    <t>DAY 5</t>
  </si>
  <si>
    <t>EVENT KILLS</t>
  </si>
  <si>
    <t>CLASS 1</t>
  </si>
  <si>
    <t>CLASS 2</t>
  </si>
  <si>
    <r>
      <t>DAY 1(</t>
    </r>
    <r>
      <rPr>
        <b/>
        <i/>
        <sz val="11"/>
        <color rgb="FF00B0F0"/>
        <rFont val="Calibri"/>
        <family val="2"/>
        <scheme val="minor"/>
      </rPr>
      <t>Day 3</t>
    </r>
    <r>
      <rPr>
        <b/>
        <sz val="11"/>
        <color theme="1"/>
        <rFont val="Calibri"/>
        <family val="2"/>
        <scheme val="minor"/>
      </rPr>
      <t>)</t>
    </r>
  </si>
  <si>
    <r>
      <t>DAY 2(</t>
    </r>
    <r>
      <rPr>
        <b/>
        <i/>
        <sz val="11"/>
        <color rgb="FF00B0F0"/>
        <rFont val="Calibri"/>
        <family val="2"/>
        <scheme val="minor"/>
      </rPr>
      <t>Day 4</t>
    </r>
    <r>
      <rPr>
        <b/>
        <sz val="11"/>
        <color theme="1"/>
        <rFont val="Calibri"/>
        <family val="2"/>
        <scheme val="minor"/>
      </rPr>
      <t>)</t>
    </r>
  </si>
  <si>
    <r>
      <t>DAY 3(</t>
    </r>
    <r>
      <rPr>
        <b/>
        <i/>
        <sz val="11"/>
        <color rgb="FF00B0F0"/>
        <rFont val="Calibri"/>
        <family val="2"/>
        <scheme val="minor"/>
      </rPr>
      <t>Day 5</t>
    </r>
    <r>
      <rPr>
        <b/>
        <sz val="11"/>
        <color theme="1"/>
        <rFont val="Calibri"/>
        <family val="2"/>
        <scheme val="minor"/>
      </rPr>
      <t>)</t>
    </r>
  </si>
  <si>
    <t>DAY X</t>
  </si>
  <si>
    <t>DAY Y</t>
  </si>
  <si>
    <t>CLASS</t>
  </si>
  <si>
    <t>/MATCH</t>
  </si>
  <si>
    <t>/EVENTS</t>
  </si>
  <si>
    <t>KILLS PER</t>
  </si>
  <si>
    <t>TOTAL</t>
  </si>
  <si>
    <t>TOTAL KILLS</t>
  </si>
  <si>
    <t>GAMES STATS II ( DAMAGES &amp; ACCURACY )</t>
  </si>
  <si>
    <t>DAMAGE</t>
  </si>
  <si>
    <t>ACCURCY</t>
  </si>
  <si>
    <t xml:space="preserve">TOTAL </t>
  </si>
  <si>
    <t>ACCURACY</t>
  </si>
  <si>
    <t>AVERAGE</t>
  </si>
  <si>
    <r>
      <rPr>
        <b/>
        <sz val="11"/>
        <color rgb="FFFF0000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.DAMAGE</t>
    </r>
  </si>
  <si>
    <r>
      <rPr>
        <b/>
        <sz val="11"/>
        <color rgb="FFFF0000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.ACCURACY</t>
    </r>
  </si>
  <si>
    <t>EVENT</t>
  </si>
  <si>
    <t>EVENT DAMAGES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</si>
</sst>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i/>
      <sz val="10"/>
      <color rgb="FF00B0F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9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3E3E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/>
    <xf numFmtId="0" fontId="0" fillId="7" borderId="12" xfId="0" applyFill="1" applyBorder="1"/>
    <xf numFmtId="0" fontId="2" fillId="5" borderId="7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0" fillId="2" borderId="0" xfId="0" applyFont="1" applyFill="1"/>
    <xf numFmtId="0" fontId="9" fillId="8" borderId="13" xfId="0" applyFont="1" applyFill="1" applyBorder="1" applyAlignment="1">
      <alignment horizontal="center"/>
    </xf>
    <xf numFmtId="0" fontId="12" fillId="8" borderId="13" xfId="0" applyFont="1" applyFill="1" applyBorder="1"/>
    <xf numFmtId="0" fontId="12" fillId="8" borderId="17" xfId="0" applyFont="1" applyFill="1" applyBorder="1"/>
    <xf numFmtId="0" fontId="8" fillId="6" borderId="24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0" fillId="6" borderId="24" xfId="0" applyFill="1" applyBorder="1"/>
    <xf numFmtId="0" fontId="0" fillId="6" borderId="0" xfId="0" applyFill="1" applyBorder="1"/>
    <xf numFmtId="0" fontId="0" fillId="6" borderId="12" xfId="0" applyFill="1" applyBorder="1"/>
    <xf numFmtId="0" fontId="0" fillId="6" borderId="22" xfId="0" applyFill="1" applyBorder="1"/>
    <xf numFmtId="0" fontId="0" fillId="6" borderId="25" xfId="0" applyFill="1" applyBorder="1"/>
    <xf numFmtId="0" fontId="0" fillId="6" borderId="23" xfId="0" applyFill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0" fillId="0" borderId="24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28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Border="1"/>
    <xf numFmtId="0" fontId="8" fillId="0" borderId="2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0" fillId="0" borderId="20" xfId="0" applyBorder="1"/>
    <xf numFmtId="0" fontId="0" fillId="0" borderId="25" xfId="0" applyBorder="1"/>
    <xf numFmtId="0" fontId="2" fillId="8" borderId="0" xfId="0" applyFont="1" applyFill="1" applyAlignment="1">
      <alignment horizontal="center"/>
    </xf>
    <xf numFmtId="0" fontId="0" fillId="9" borderId="19" xfId="0" applyFill="1" applyBorder="1"/>
    <xf numFmtId="0" fontId="0" fillId="9" borderId="21" xfId="0" applyFill="1" applyBorder="1"/>
    <xf numFmtId="0" fontId="0" fillId="9" borderId="24" xfId="0" applyFill="1" applyBorder="1"/>
    <xf numFmtId="0" fontId="0" fillId="9" borderId="12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16" xfId="0" applyFill="1" applyBorder="1"/>
    <xf numFmtId="0" fontId="0" fillId="9" borderId="13" xfId="0" applyFill="1" applyBorder="1"/>
    <xf numFmtId="0" fontId="0" fillId="9" borderId="17" xfId="0" applyFill="1" applyBorder="1"/>
    <xf numFmtId="0" fontId="3" fillId="3" borderId="19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0" fillId="8" borderId="24" xfId="0" applyFont="1" applyFill="1" applyBorder="1" applyAlignment="1">
      <alignment horizontal="center"/>
    </xf>
    <xf numFmtId="0" fontId="0" fillId="8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Border="1"/>
    <xf numFmtId="0" fontId="16" fillId="2" borderId="0" xfId="0" applyFont="1" applyFill="1" applyBorder="1" applyAlignment="1">
      <alignment horizontal="center" vertical="center"/>
    </xf>
    <xf numFmtId="0" fontId="15" fillId="0" borderId="0" xfId="0" applyFont="1" applyFill="1"/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7" borderId="23" xfId="0" applyFill="1" applyBorder="1"/>
    <xf numFmtId="0" fontId="0" fillId="4" borderId="31" xfId="0" applyFill="1" applyBorder="1"/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0" fillId="2" borderId="13" xfId="0" applyFill="1" applyBorder="1"/>
    <xf numFmtId="0" fontId="0" fillId="2" borderId="31" xfId="0" applyFill="1" applyBorder="1"/>
    <xf numFmtId="0" fontId="0" fillId="2" borderId="24" xfId="0" applyFill="1" applyBorder="1"/>
    <xf numFmtId="0" fontId="0" fillId="2" borderId="16" xfId="0" applyFill="1" applyBorder="1"/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0" fillId="7" borderId="24" xfId="0" applyFill="1" applyBorder="1"/>
    <xf numFmtId="0" fontId="0" fillId="7" borderId="22" xfId="0" applyFill="1" applyBorder="1"/>
    <xf numFmtId="0" fontId="0" fillId="7" borderId="19" xfId="0" applyFill="1" applyBorder="1"/>
    <xf numFmtId="0" fontId="0" fillId="7" borderId="21" xfId="0" applyFill="1" applyBorder="1"/>
    <xf numFmtId="0" fontId="2" fillId="11" borderId="28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0" fillId="11" borderId="24" xfId="0" applyFill="1" applyBorder="1"/>
    <xf numFmtId="0" fontId="0" fillId="11" borderId="12" xfId="0" applyFill="1" applyBorder="1"/>
    <xf numFmtId="0" fontId="0" fillId="11" borderId="22" xfId="0" applyFill="1" applyBorder="1"/>
    <xf numFmtId="0" fontId="0" fillId="11" borderId="23" xfId="0" applyFill="1" applyBorder="1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N37"/>
  <sheetViews>
    <sheetView tabSelected="1" workbookViewId="0">
      <selection activeCell="F5" sqref="F5"/>
    </sheetView>
  </sheetViews>
  <sheetFormatPr defaultRowHeight="15" x14ac:dyDescent="0.25"/>
  <cols>
    <col min="2" max="2" width="9.140625" style="1"/>
    <col min="3" max="3" width="19.85546875" customWidth="1"/>
    <col min="4" max="4" width="17.85546875" customWidth="1"/>
    <col min="5" max="5" width="5.42578125" customWidth="1"/>
    <col min="6" max="6" width="22.42578125" customWidth="1"/>
    <col min="7" max="7" width="18.5703125" customWidth="1"/>
    <col min="10" max="10" width="13" customWidth="1"/>
    <col min="11" max="11" width="11.85546875" customWidth="1"/>
    <col min="12" max="12" width="11.7109375" customWidth="1"/>
    <col min="13" max="13" width="11.42578125" customWidth="1"/>
    <col min="14" max="14" width="13" customWidth="1"/>
  </cols>
  <sheetData>
    <row r="2" spans="1:14" ht="15.75" thickBot="1" x14ac:dyDescent="0.3"/>
    <row r="3" spans="1:14" ht="16.5" thickTop="1" thickBot="1" x14ac:dyDescent="0.3">
      <c r="B3" s="154" t="s">
        <v>0</v>
      </c>
      <c r="C3" s="152" t="s">
        <v>9</v>
      </c>
      <c r="D3" s="153"/>
      <c r="E3" s="7"/>
      <c r="F3" s="152" t="s">
        <v>10</v>
      </c>
      <c r="G3" s="153"/>
      <c r="H3" s="7"/>
      <c r="I3" s="7"/>
    </row>
    <row r="4" spans="1:14" ht="16.5" thickTop="1" thickBot="1" x14ac:dyDescent="0.3">
      <c r="A4" s="32" t="s">
        <v>19</v>
      </c>
      <c r="B4" s="155"/>
      <c r="C4" s="6" t="s">
        <v>1</v>
      </c>
      <c r="D4" s="9" t="s">
        <v>2</v>
      </c>
      <c r="E4" s="8"/>
      <c r="F4" s="6" t="s">
        <v>3</v>
      </c>
      <c r="G4" s="9" t="s">
        <v>11</v>
      </c>
      <c r="H4" s="8"/>
      <c r="I4" s="8"/>
      <c r="J4" s="3" t="s">
        <v>7</v>
      </c>
      <c r="K4" s="4" t="s">
        <v>5</v>
      </c>
      <c r="L4" s="4" t="s">
        <v>6</v>
      </c>
      <c r="M4" s="4" t="s">
        <v>4</v>
      </c>
      <c r="N4" s="5" t="s">
        <v>8</v>
      </c>
    </row>
    <row r="5" spans="1:14" ht="15.75" thickTop="1" x14ac:dyDescent="0.25">
      <c r="A5">
        <v>1</v>
      </c>
      <c r="B5" s="1">
        <v>1</v>
      </c>
    </row>
    <row r="13" spans="1:14" x14ac:dyDescent="0.25">
      <c r="B13" s="1">
        <v>2</v>
      </c>
    </row>
    <row r="21" spans="2:2" x14ac:dyDescent="0.25">
      <c r="B21" s="1">
        <v>3</v>
      </c>
    </row>
    <row r="29" spans="2:2" x14ac:dyDescent="0.25">
      <c r="B29" s="1">
        <v>4</v>
      </c>
    </row>
    <row r="37" spans="2:2" x14ac:dyDescent="0.25">
      <c r="B37" s="1">
        <v>5</v>
      </c>
    </row>
  </sheetData>
  <mergeCells count="3">
    <mergeCell ref="C3:D3"/>
    <mergeCell ref="B3:B4"/>
    <mergeCell ref="F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2"/>
  <sheetViews>
    <sheetView topLeftCell="I1" workbookViewId="0">
      <selection activeCell="E289" sqref="E289"/>
    </sheetView>
  </sheetViews>
  <sheetFormatPr defaultRowHeight="15" x14ac:dyDescent="0.25"/>
  <cols>
    <col min="2" max="2" width="4.85546875" customWidth="1"/>
    <col min="3" max="3" width="26.28515625" customWidth="1"/>
    <col min="4" max="4" width="24.7109375" customWidth="1"/>
    <col min="5" max="5" width="10" style="1" customWidth="1"/>
    <col min="6" max="6" width="5.42578125" customWidth="1"/>
    <col min="7" max="7" width="5.28515625" customWidth="1"/>
    <col min="8" max="8" width="18.85546875" style="1" customWidth="1"/>
    <col min="9" max="9" width="18.5703125" style="1" customWidth="1"/>
    <col min="10" max="10" width="17.85546875" style="1" customWidth="1"/>
    <col min="11" max="11" width="13" customWidth="1"/>
    <col min="12" max="12" width="11.85546875" style="2" customWidth="1"/>
    <col min="13" max="13" width="11.7109375" style="2" customWidth="1"/>
    <col min="14" max="14" width="11.42578125" customWidth="1"/>
    <col min="15" max="15" width="3.7109375" style="122" customWidth="1"/>
    <col min="16" max="16" width="16.7109375" customWidth="1"/>
    <col min="17" max="17" width="3.28515625" customWidth="1"/>
    <col min="18" max="18" width="16.42578125" customWidth="1"/>
    <col min="20" max="20" width="13.28515625" customWidth="1"/>
    <col min="22" max="22" width="11.7109375" customWidth="1"/>
    <col min="25" max="25" width="13.140625" customWidth="1"/>
    <col min="26" max="26" width="13.42578125" customWidth="1"/>
    <col min="28" max="28" width="11" customWidth="1"/>
    <col min="29" max="29" width="10.85546875" customWidth="1"/>
  </cols>
  <sheetData>
    <row r="1" spans="1:30" ht="15.75" thickBot="1" x14ac:dyDescent="0.3">
      <c r="A1" s="12"/>
      <c r="B1" s="12"/>
      <c r="C1" s="12"/>
      <c r="D1" s="12"/>
      <c r="E1" s="33"/>
      <c r="F1" s="12"/>
      <c r="G1" s="12"/>
      <c r="H1" s="33"/>
      <c r="I1" s="33"/>
      <c r="J1" s="33"/>
      <c r="K1" s="12"/>
      <c r="L1" s="13"/>
      <c r="M1" s="13"/>
      <c r="N1" s="12"/>
      <c r="O1" s="11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thickBot="1" x14ac:dyDescent="0.3">
      <c r="A2" s="12"/>
      <c r="B2" s="12"/>
      <c r="C2" s="12"/>
      <c r="D2" s="12"/>
      <c r="E2" s="33"/>
      <c r="F2" s="12"/>
      <c r="G2" s="12"/>
      <c r="H2" s="33"/>
      <c r="I2" s="33"/>
      <c r="J2" s="33"/>
      <c r="K2" s="12"/>
      <c r="L2" s="13"/>
      <c r="M2" s="13"/>
      <c r="N2" s="12"/>
      <c r="O2" s="119"/>
      <c r="P2" s="12"/>
      <c r="Q2" s="12"/>
      <c r="R2" s="159" t="s">
        <v>53</v>
      </c>
      <c r="S2" s="160"/>
      <c r="T2" s="16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6.5" thickTop="1" thickBot="1" x14ac:dyDescent="0.3">
      <c r="A3" s="12"/>
      <c r="B3" s="30"/>
      <c r="C3" s="164"/>
      <c r="D3" s="165"/>
      <c r="E3" s="15"/>
      <c r="F3" s="16"/>
      <c r="G3" s="17"/>
      <c r="H3" s="166" t="s">
        <v>15</v>
      </c>
      <c r="I3" s="167"/>
      <c r="J3" s="168"/>
      <c r="K3" s="14"/>
      <c r="L3" s="169" t="s">
        <v>18</v>
      </c>
      <c r="M3" s="170"/>
      <c r="N3" s="14"/>
      <c r="O3" s="120"/>
      <c r="P3" s="12"/>
      <c r="Q3" s="12"/>
      <c r="R3" s="158" t="s">
        <v>12</v>
      </c>
      <c r="S3" s="156"/>
      <c r="T3" s="159" t="s">
        <v>13</v>
      </c>
      <c r="U3" s="161"/>
      <c r="V3" s="156" t="s">
        <v>14</v>
      </c>
      <c r="W3" s="157"/>
      <c r="X3" s="12"/>
      <c r="Y3" s="158" t="s">
        <v>56</v>
      </c>
      <c r="Z3" s="157"/>
      <c r="AA3" s="12"/>
      <c r="AB3" s="162" t="s">
        <v>58</v>
      </c>
      <c r="AC3" s="163"/>
      <c r="AD3" s="12"/>
    </row>
    <row r="4" spans="1:30" ht="15.75" thickBot="1" x14ac:dyDescent="0.3">
      <c r="A4" s="12"/>
      <c r="B4" s="29"/>
      <c r="C4" s="23" t="s">
        <v>9</v>
      </c>
      <c r="D4" s="23" t="s">
        <v>3</v>
      </c>
      <c r="E4" s="31" t="s">
        <v>0</v>
      </c>
      <c r="F4" s="18"/>
      <c r="G4" s="18"/>
      <c r="H4" s="24" t="s">
        <v>12</v>
      </c>
      <c r="I4" s="25" t="s">
        <v>13</v>
      </c>
      <c r="J4" s="26" t="s">
        <v>14</v>
      </c>
      <c r="K4" s="15"/>
      <c r="L4" s="27" t="s">
        <v>16</v>
      </c>
      <c r="M4" s="28" t="s">
        <v>17</v>
      </c>
      <c r="N4" s="15"/>
      <c r="O4" s="121"/>
      <c r="P4" s="123" t="s">
        <v>9</v>
      </c>
      <c r="Q4" s="12"/>
      <c r="R4" s="124" t="s">
        <v>54</v>
      </c>
      <c r="S4" s="125" t="s">
        <v>55</v>
      </c>
      <c r="T4" s="129" t="s">
        <v>54</v>
      </c>
      <c r="U4" s="130" t="s">
        <v>55</v>
      </c>
      <c r="V4" s="125" t="s">
        <v>54</v>
      </c>
      <c r="W4" s="126" t="s">
        <v>55</v>
      </c>
      <c r="X4" s="12"/>
      <c r="Y4" s="129" t="s">
        <v>54</v>
      </c>
      <c r="Z4" s="130" t="s">
        <v>57</v>
      </c>
      <c r="AA4" s="12"/>
      <c r="AB4" s="131" t="s">
        <v>54</v>
      </c>
      <c r="AC4" s="132" t="s">
        <v>57</v>
      </c>
      <c r="AD4" s="12"/>
    </row>
    <row r="5" spans="1:30" ht="15.75" thickBot="1" x14ac:dyDescent="0.3">
      <c r="A5" s="12"/>
      <c r="B5" s="22"/>
      <c r="C5" t="str">
        <f>IF(AND('ENTRY DATA'!D5=""),"",('ENTRY DATA'!D5))</f>
        <v/>
      </c>
      <c r="D5" t="str">
        <f>IF(AND('ENTRY DATA'!F5=""),"",('ENTRY DATA'!F5))</f>
        <v/>
      </c>
      <c r="E5" s="34">
        <f>IF(AND('ENTRY DATA'!B5=""),"",('ENTRY DATA'!B5))</f>
        <v>1</v>
      </c>
      <c r="F5" s="12"/>
      <c r="G5" s="12"/>
      <c r="H5" s="70"/>
      <c r="I5" s="71"/>
      <c r="J5" s="70"/>
      <c r="K5" s="12"/>
      <c r="L5" s="20">
        <f>COUNT(H5:J5)</f>
        <v>0</v>
      </c>
      <c r="M5" s="19" t="str">
        <f>IF(AND(H5="",I5="",J5=""),"",(H5+I5+J5))</f>
        <v/>
      </c>
      <c r="N5" s="12"/>
      <c r="O5" s="119"/>
      <c r="P5" s="95" t="str">
        <f>C5</f>
        <v/>
      </c>
      <c r="Q5" s="12"/>
      <c r="S5" s="128"/>
      <c r="T5" s="66"/>
      <c r="U5" s="128"/>
      <c r="W5" s="128"/>
      <c r="X5" s="12"/>
      <c r="Y5" t="str">
        <f>IF(AND(R5="",T5="",V5=""),"",SUM(R5,T5,V5))</f>
        <v/>
      </c>
      <c r="Z5" t="str">
        <f>IF(AND(S5="",U5="",W5=""),"",SUM(S5,U5,W5))</f>
        <v/>
      </c>
      <c r="AA5" s="12"/>
      <c r="AB5" s="94" t="e">
        <f>Y5/L5</f>
        <v>#VALUE!</v>
      </c>
      <c r="AC5" s="94" t="e">
        <f>Z5/L5</f>
        <v>#VALUE!</v>
      </c>
      <c r="AD5" s="12"/>
    </row>
    <row r="6" spans="1:30" ht="15.75" thickBot="1" x14ac:dyDescent="0.3">
      <c r="A6" s="12"/>
      <c r="B6" s="22"/>
      <c r="C6" t="str">
        <f>IF(AND('ENTRY DATA'!D6=""),"",('ENTRY DATA'!D6))</f>
        <v/>
      </c>
      <c r="D6" t="str">
        <f>IF(AND('ENTRY DATA'!F6=""),"",('ENTRY DATA'!F6))</f>
        <v/>
      </c>
      <c r="E6" s="34" t="str">
        <f>IF(AND('ENTRY DATA'!B6=""),"",('ENTRY DATA'!B6))</f>
        <v/>
      </c>
      <c r="F6" s="12"/>
      <c r="G6" s="12"/>
      <c r="H6" s="72"/>
      <c r="I6" s="71"/>
      <c r="J6" s="72"/>
      <c r="K6" s="12"/>
      <c r="L6" s="20">
        <f t="shared" ref="L6:L69" si="0">COUNT(H6:J6)</f>
        <v>0</v>
      </c>
      <c r="M6" s="19" t="str">
        <f t="shared" ref="M6:M69" si="1">IF(AND(H6="",I6="",J6=""),"",(H6+I6+J6))</f>
        <v/>
      </c>
      <c r="N6" s="12"/>
      <c r="O6" s="119"/>
      <c r="P6" s="95" t="str">
        <f t="shared" ref="P6:P69" si="2">C6</f>
        <v/>
      </c>
      <c r="Q6" s="12"/>
      <c r="S6" s="128"/>
      <c r="T6" s="66"/>
      <c r="U6" s="128"/>
      <c r="W6" s="128"/>
      <c r="X6" s="12"/>
      <c r="Y6" t="str">
        <f t="shared" ref="Y6:Y69" si="3">IF(AND(R6="",T6="",V6=""),"",SUM(R6,T6,V6))</f>
        <v/>
      </c>
      <c r="Z6" t="str">
        <f t="shared" ref="Z6:Z69" si="4">IF(AND(S6="",U6="",W6=""),"",SUM(S6,U6,W6))</f>
        <v/>
      </c>
      <c r="AA6" s="12"/>
      <c r="AB6" s="95" t="e">
        <f t="shared" ref="AB6:AB69" si="5">Y6/L6</f>
        <v>#VALUE!</v>
      </c>
      <c r="AC6" s="95" t="e">
        <f t="shared" ref="AC6:AC69" si="6">Z6/L6</f>
        <v>#VALUE!</v>
      </c>
      <c r="AD6" s="12"/>
    </row>
    <row r="7" spans="1:30" ht="15.75" thickBot="1" x14ac:dyDescent="0.3">
      <c r="A7" s="12"/>
      <c r="B7" s="22"/>
      <c r="C7" t="str">
        <f>IF(AND('ENTRY DATA'!D7=""),"",('ENTRY DATA'!D7))</f>
        <v/>
      </c>
      <c r="D7" t="str">
        <f>IF(AND('ENTRY DATA'!F7=""),"",('ENTRY DATA'!F7))</f>
        <v/>
      </c>
      <c r="E7" s="34" t="str">
        <f>IF(AND('ENTRY DATA'!B7=""),"",('ENTRY DATA'!B7))</f>
        <v/>
      </c>
      <c r="F7" s="12"/>
      <c r="G7" s="12"/>
      <c r="H7" s="72"/>
      <c r="I7" s="71"/>
      <c r="J7" s="72"/>
      <c r="K7" s="12"/>
      <c r="L7" s="20">
        <f t="shared" si="0"/>
        <v>0</v>
      </c>
      <c r="M7" s="19" t="str">
        <f t="shared" si="1"/>
        <v/>
      </c>
      <c r="N7" s="12"/>
      <c r="O7" s="119"/>
      <c r="P7" s="95" t="str">
        <f t="shared" si="2"/>
        <v/>
      </c>
      <c r="Q7" s="12"/>
      <c r="S7" s="128"/>
      <c r="T7" s="66"/>
      <c r="U7" s="128"/>
      <c r="W7" s="128"/>
      <c r="X7" s="12"/>
      <c r="Y7" t="str">
        <f t="shared" si="3"/>
        <v/>
      </c>
      <c r="Z7" t="str">
        <f t="shared" si="4"/>
        <v/>
      </c>
      <c r="AA7" s="12"/>
      <c r="AB7" s="95" t="e">
        <f t="shared" si="5"/>
        <v>#VALUE!</v>
      </c>
      <c r="AC7" s="95" t="e">
        <f t="shared" si="6"/>
        <v>#VALUE!</v>
      </c>
      <c r="AD7" s="12"/>
    </row>
    <row r="8" spans="1:30" ht="15.75" thickBot="1" x14ac:dyDescent="0.3">
      <c r="A8" s="12"/>
      <c r="B8" s="22"/>
      <c r="C8" t="str">
        <f>IF(AND('ENTRY DATA'!D8=""),"",('ENTRY DATA'!D8))</f>
        <v/>
      </c>
      <c r="D8" t="str">
        <f>IF(AND('ENTRY DATA'!F8=""),"",('ENTRY DATA'!F8))</f>
        <v/>
      </c>
      <c r="E8" s="34" t="str">
        <f>IF(AND('ENTRY DATA'!B8=""),"",('ENTRY DATA'!B8))</f>
        <v/>
      </c>
      <c r="F8" s="12"/>
      <c r="G8" s="12"/>
      <c r="H8" s="72"/>
      <c r="I8" s="71"/>
      <c r="J8" s="72"/>
      <c r="K8" s="12"/>
      <c r="L8" s="20">
        <f t="shared" si="0"/>
        <v>0</v>
      </c>
      <c r="M8" s="19" t="str">
        <f t="shared" si="1"/>
        <v/>
      </c>
      <c r="N8" s="12"/>
      <c r="O8" s="119"/>
      <c r="P8" s="95" t="str">
        <f t="shared" si="2"/>
        <v/>
      </c>
      <c r="Q8" s="12"/>
      <c r="S8" s="128"/>
      <c r="T8" s="66"/>
      <c r="U8" s="128"/>
      <c r="W8" s="128"/>
      <c r="X8" s="12"/>
      <c r="Y8" t="str">
        <f t="shared" si="3"/>
        <v/>
      </c>
      <c r="Z8" t="str">
        <f t="shared" si="4"/>
        <v/>
      </c>
      <c r="AA8" s="12"/>
      <c r="AB8" s="95" t="e">
        <f t="shared" si="5"/>
        <v>#VALUE!</v>
      </c>
      <c r="AC8" s="95" t="e">
        <f t="shared" si="6"/>
        <v>#VALUE!</v>
      </c>
      <c r="AD8" s="12"/>
    </row>
    <row r="9" spans="1:30" ht="15.75" thickBot="1" x14ac:dyDescent="0.3">
      <c r="A9" s="12"/>
      <c r="B9" s="22"/>
      <c r="C9" t="str">
        <f>IF(AND('ENTRY DATA'!D9=""),"",('ENTRY DATA'!D9))</f>
        <v/>
      </c>
      <c r="D9" t="str">
        <f>IF(AND('ENTRY DATA'!F9=""),"",('ENTRY DATA'!F9))</f>
        <v/>
      </c>
      <c r="E9" s="34" t="str">
        <f>IF(AND('ENTRY DATA'!B9=""),"",('ENTRY DATA'!B9))</f>
        <v/>
      </c>
      <c r="F9" s="12"/>
      <c r="G9" s="12"/>
      <c r="H9" s="72"/>
      <c r="I9" s="71"/>
      <c r="J9" s="72"/>
      <c r="K9" s="12"/>
      <c r="L9" s="20">
        <f t="shared" si="0"/>
        <v>0</v>
      </c>
      <c r="M9" s="19" t="str">
        <f t="shared" si="1"/>
        <v/>
      </c>
      <c r="N9" s="12"/>
      <c r="O9" s="119"/>
      <c r="P9" s="95" t="str">
        <f t="shared" si="2"/>
        <v/>
      </c>
      <c r="Q9" s="12"/>
      <c r="S9" s="128"/>
      <c r="T9" s="66"/>
      <c r="U9" s="128"/>
      <c r="W9" s="128"/>
      <c r="X9" s="12"/>
      <c r="Y9" t="str">
        <f t="shared" si="3"/>
        <v/>
      </c>
      <c r="Z9" t="str">
        <f t="shared" si="4"/>
        <v/>
      </c>
      <c r="AA9" s="12"/>
      <c r="AB9" s="95" t="e">
        <f t="shared" si="5"/>
        <v>#VALUE!</v>
      </c>
      <c r="AC9" s="95" t="e">
        <f t="shared" si="6"/>
        <v>#VALUE!</v>
      </c>
      <c r="AD9" s="12"/>
    </row>
    <row r="10" spans="1:30" ht="15.75" thickBot="1" x14ac:dyDescent="0.3">
      <c r="A10" s="12"/>
      <c r="B10" s="22"/>
      <c r="C10" t="str">
        <f>IF(AND('ENTRY DATA'!D10=""),"",('ENTRY DATA'!D10))</f>
        <v/>
      </c>
      <c r="D10" t="str">
        <f>IF(AND('ENTRY DATA'!F10=""),"",('ENTRY DATA'!F10))</f>
        <v/>
      </c>
      <c r="E10" s="34" t="str">
        <f>IF(AND('ENTRY DATA'!B10=""),"",('ENTRY DATA'!B10))</f>
        <v/>
      </c>
      <c r="F10" s="12"/>
      <c r="G10" s="12"/>
      <c r="H10" s="72"/>
      <c r="I10" s="71"/>
      <c r="J10" s="72"/>
      <c r="K10" s="12"/>
      <c r="L10" s="20">
        <f t="shared" si="0"/>
        <v>0</v>
      </c>
      <c r="M10" s="19" t="str">
        <f t="shared" si="1"/>
        <v/>
      </c>
      <c r="N10" s="12"/>
      <c r="O10" s="119"/>
      <c r="P10" s="95" t="str">
        <f t="shared" si="2"/>
        <v/>
      </c>
      <c r="Q10" s="12"/>
      <c r="S10" s="128"/>
      <c r="T10" s="66"/>
      <c r="U10" s="128"/>
      <c r="W10" s="128"/>
      <c r="X10" s="12"/>
      <c r="Y10" t="str">
        <f t="shared" si="3"/>
        <v/>
      </c>
      <c r="Z10" t="str">
        <f t="shared" si="4"/>
        <v/>
      </c>
      <c r="AA10" s="12"/>
      <c r="AB10" s="95" t="e">
        <f t="shared" si="5"/>
        <v>#VALUE!</v>
      </c>
      <c r="AC10" s="95" t="e">
        <f t="shared" si="6"/>
        <v>#VALUE!</v>
      </c>
      <c r="AD10" s="12"/>
    </row>
    <row r="11" spans="1:30" ht="15.75" thickBot="1" x14ac:dyDescent="0.3">
      <c r="A11" s="12"/>
      <c r="B11" s="22"/>
      <c r="C11" t="str">
        <f>IF(AND('ENTRY DATA'!D11=""),"",('ENTRY DATA'!D11))</f>
        <v/>
      </c>
      <c r="D11" t="str">
        <f>IF(AND('ENTRY DATA'!F11=""),"",('ENTRY DATA'!F11))</f>
        <v/>
      </c>
      <c r="E11" s="34" t="str">
        <f>IF(AND('ENTRY DATA'!B11=""),"",('ENTRY DATA'!B11))</f>
        <v/>
      </c>
      <c r="F11" s="12"/>
      <c r="G11" s="12"/>
      <c r="H11" s="72"/>
      <c r="I11" s="71"/>
      <c r="J11" s="72"/>
      <c r="K11" s="12"/>
      <c r="L11" s="20">
        <f t="shared" si="0"/>
        <v>0</v>
      </c>
      <c r="M11" s="19" t="str">
        <f t="shared" si="1"/>
        <v/>
      </c>
      <c r="N11" s="12"/>
      <c r="O11" s="119"/>
      <c r="P11" s="95" t="str">
        <f t="shared" si="2"/>
        <v/>
      </c>
      <c r="Q11" s="12"/>
      <c r="S11" s="128"/>
      <c r="T11" s="66"/>
      <c r="U11" s="128"/>
      <c r="W11" s="128"/>
      <c r="X11" s="12"/>
      <c r="Y11" t="str">
        <f t="shared" si="3"/>
        <v/>
      </c>
      <c r="Z11" t="str">
        <f t="shared" si="4"/>
        <v/>
      </c>
      <c r="AA11" s="12"/>
      <c r="AB11" s="95" t="e">
        <f t="shared" si="5"/>
        <v>#VALUE!</v>
      </c>
      <c r="AC11" s="95" t="e">
        <f t="shared" si="6"/>
        <v>#VALUE!</v>
      </c>
      <c r="AD11" s="12"/>
    </row>
    <row r="12" spans="1:30" ht="15.75" thickBot="1" x14ac:dyDescent="0.3">
      <c r="A12" s="12"/>
      <c r="B12" s="22"/>
      <c r="C12" t="str">
        <f>IF(AND('ENTRY DATA'!D12=""),"",('ENTRY DATA'!D12))</f>
        <v/>
      </c>
      <c r="D12" t="str">
        <f>IF(AND('ENTRY DATA'!F12=""),"",('ENTRY DATA'!F12))</f>
        <v/>
      </c>
      <c r="E12" s="34" t="str">
        <f>IF(AND('ENTRY DATA'!B12=""),"",('ENTRY DATA'!B12))</f>
        <v/>
      </c>
      <c r="F12" s="12"/>
      <c r="G12" s="12"/>
      <c r="H12" s="72"/>
      <c r="I12" s="71"/>
      <c r="J12" s="72"/>
      <c r="K12" s="12"/>
      <c r="L12" s="20">
        <f t="shared" si="0"/>
        <v>0</v>
      </c>
      <c r="M12" s="19" t="str">
        <f t="shared" si="1"/>
        <v/>
      </c>
      <c r="N12" s="12"/>
      <c r="O12" s="119"/>
      <c r="P12" s="95" t="str">
        <f t="shared" si="2"/>
        <v/>
      </c>
      <c r="Q12" s="12"/>
      <c r="S12" s="128"/>
      <c r="T12" s="66"/>
      <c r="U12" s="128"/>
      <c r="W12" s="128"/>
      <c r="X12" s="12"/>
      <c r="Y12" t="str">
        <f t="shared" si="3"/>
        <v/>
      </c>
      <c r="Z12" t="str">
        <f t="shared" si="4"/>
        <v/>
      </c>
      <c r="AA12" s="12"/>
      <c r="AB12" s="95" t="e">
        <f t="shared" si="5"/>
        <v>#VALUE!</v>
      </c>
      <c r="AC12" s="95" t="e">
        <f t="shared" si="6"/>
        <v>#VALUE!</v>
      </c>
      <c r="AD12" s="12"/>
    </row>
    <row r="13" spans="1:30" ht="15.75" thickBot="1" x14ac:dyDescent="0.3">
      <c r="A13" s="12"/>
      <c r="B13" s="22"/>
      <c r="C13" t="str">
        <f>IF(AND('ENTRY DATA'!D13=""),"",('ENTRY DATA'!D13))</f>
        <v/>
      </c>
      <c r="D13" t="str">
        <f>IF(AND('ENTRY DATA'!F13=""),"",('ENTRY DATA'!F13))</f>
        <v/>
      </c>
      <c r="E13" s="34">
        <f>IF(AND('ENTRY DATA'!B13=""),"",('ENTRY DATA'!B13))</f>
        <v>2</v>
      </c>
      <c r="F13" s="12"/>
      <c r="G13" s="12"/>
      <c r="H13" s="72"/>
      <c r="I13" s="71"/>
      <c r="J13" s="72"/>
      <c r="K13" s="12"/>
      <c r="L13" s="20">
        <f t="shared" si="0"/>
        <v>0</v>
      </c>
      <c r="M13" s="19" t="str">
        <f t="shared" si="1"/>
        <v/>
      </c>
      <c r="N13" s="12"/>
      <c r="O13" s="119"/>
      <c r="P13" s="95" t="str">
        <f t="shared" si="2"/>
        <v/>
      </c>
      <c r="Q13" s="12"/>
      <c r="S13" s="128"/>
      <c r="T13" s="66"/>
      <c r="U13" s="128"/>
      <c r="W13" s="128"/>
      <c r="X13" s="12"/>
      <c r="Y13" t="str">
        <f t="shared" si="3"/>
        <v/>
      </c>
      <c r="Z13" t="str">
        <f t="shared" si="4"/>
        <v/>
      </c>
      <c r="AA13" s="12"/>
      <c r="AB13" s="95" t="e">
        <f t="shared" si="5"/>
        <v>#VALUE!</v>
      </c>
      <c r="AC13" s="95" t="e">
        <f t="shared" si="6"/>
        <v>#VALUE!</v>
      </c>
      <c r="AD13" s="12"/>
    </row>
    <row r="14" spans="1:30" ht="15.75" thickBot="1" x14ac:dyDescent="0.3">
      <c r="A14" s="12"/>
      <c r="B14" s="22"/>
      <c r="C14" t="str">
        <f>IF(AND('ENTRY DATA'!D14=""),"",('ENTRY DATA'!D14))</f>
        <v/>
      </c>
      <c r="D14" t="str">
        <f>IF(AND('ENTRY DATA'!F14=""),"",('ENTRY DATA'!F14))</f>
        <v/>
      </c>
      <c r="E14" s="34" t="str">
        <f>IF(AND('ENTRY DATA'!B14=""),"",('ENTRY DATA'!B14))</f>
        <v/>
      </c>
      <c r="F14" s="12"/>
      <c r="G14" s="12"/>
      <c r="H14" s="72"/>
      <c r="I14" s="71"/>
      <c r="J14" s="72"/>
      <c r="K14" s="12"/>
      <c r="L14" s="20">
        <f t="shared" si="0"/>
        <v>0</v>
      </c>
      <c r="M14" s="19" t="str">
        <f t="shared" si="1"/>
        <v/>
      </c>
      <c r="N14" s="12"/>
      <c r="O14" s="119"/>
      <c r="P14" s="95" t="str">
        <f t="shared" si="2"/>
        <v/>
      </c>
      <c r="Q14" s="12"/>
      <c r="S14" s="128"/>
      <c r="T14" s="66"/>
      <c r="U14" s="128"/>
      <c r="W14" s="128"/>
      <c r="X14" s="12"/>
      <c r="Y14" t="str">
        <f t="shared" si="3"/>
        <v/>
      </c>
      <c r="Z14" t="str">
        <f t="shared" si="4"/>
        <v/>
      </c>
      <c r="AA14" s="12"/>
      <c r="AB14" s="95" t="e">
        <f t="shared" si="5"/>
        <v>#VALUE!</v>
      </c>
      <c r="AC14" s="95" t="e">
        <f t="shared" si="6"/>
        <v>#VALUE!</v>
      </c>
      <c r="AD14" s="12"/>
    </row>
    <row r="15" spans="1:30" ht="15.75" thickBot="1" x14ac:dyDescent="0.3">
      <c r="A15" s="12"/>
      <c r="B15" s="22"/>
      <c r="C15" t="str">
        <f>IF(AND('ENTRY DATA'!D15=""),"",('ENTRY DATA'!D15))</f>
        <v/>
      </c>
      <c r="D15" t="str">
        <f>IF(AND('ENTRY DATA'!F15=""),"",('ENTRY DATA'!F15))</f>
        <v/>
      </c>
      <c r="E15" s="34" t="str">
        <f>IF(AND('ENTRY DATA'!B15=""),"",('ENTRY DATA'!B15))</f>
        <v/>
      </c>
      <c r="F15" s="12"/>
      <c r="G15" s="12"/>
      <c r="H15" s="72"/>
      <c r="I15" s="71"/>
      <c r="J15" s="72"/>
      <c r="K15" s="12"/>
      <c r="L15" s="20">
        <f t="shared" si="0"/>
        <v>0</v>
      </c>
      <c r="M15" s="19" t="str">
        <f t="shared" si="1"/>
        <v/>
      </c>
      <c r="N15" s="12"/>
      <c r="O15" s="119"/>
      <c r="P15" s="95" t="str">
        <f t="shared" si="2"/>
        <v/>
      </c>
      <c r="Q15" s="12"/>
      <c r="S15" s="128"/>
      <c r="T15" s="66"/>
      <c r="U15" s="128"/>
      <c r="W15" s="128"/>
      <c r="X15" s="12"/>
      <c r="Y15" t="str">
        <f t="shared" si="3"/>
        <v/>
      </c>
      <c r="Z15" t="str">
        <f t="shared" si="4"/>
        <v/>
      </c>
      <c r="AA15" s="12"/>
      <c r="AB15" s="95" t="e">
        <f t="shared" si="5"/>
        <v>#VALUE!</v>
      </c>
      <c r="AC15" s="95" t="e">
        <f t="shared" si="6"/>
        <v>#VALUE!</v>
      </c>
      <c r="AD15" s="12"/>
    </row>
    <row r="16" spans="1:30" ht="15.75" thickBot="1" x14ac:dyDescent="0.3">
      <c r="A16" s="12"/>
      <c r="B16" s="22"/>
      <c r="C16" t="str">
        <f>IF(AND('ENTRY DATA'!D16=""),"",('ENTRY DATA'!D16))</f>
        <v/>
      </c>
      <c r="D16" t="str">
        <f>IF(AND('ENTRY DATA'!F16=""),"",('ENTRY DATA'!F16))</f>
        <v/>
      </c>
      <c r="E16" s="34" t="str">
        <f>IF(AND('ENTRY DATA'!B16=""),"",('ENTRY DATA'!B16))</f>
        <v/>
      </c>
      <c r="F16" s="12"/>
      <c r="G16" s="12"/>
      <c r="H16" s="72"/>
      <c r="I16" s="71"/>
      <c r="J16" s="72"/>
      <c r="K16" s="12"/>
      <c r="L16" s="20">
        <f t="shared" si="0"/>
        <v>0</v>
      </c>
      <c r="M16" s="19" t="str">
        <f t="shared" si="1"/>
        <v/>
      </c>
      <c r="N16" s="12"/>
      <c r="O16" s="119"/>
      <c r="P16" s="95" t="str">
        <f t="shared" si="2"/>
        <v/>
      </c>
      <c r="Q16" s="12"/>
      <c r="S16" s="128"/>
      <c r="T16" s="66"/>
      <c r="U16" s="128"/>
      <c r="W16" s="128"/>
      <c r="X16" s="12"/>
      <c r="Y16" t="str">
        <f t="shared" si="3"/>
        <v/>
      </c>
      <c r="Z16" t="str">
        <f t="shared" si="4"/>
        <v/>
      </c>
      <c r="AA16" s="12"/>
      <c r="AB16" s="95" t="e">
        <f t="shared" si="5"/>
        <v>#VALUE!</v>
      </c>
      <c r="AC16" s="95" t="e">
        <f t="shared" si="6"/>
        <v>#VALUE!</v>
      </c>
      <c r="AD16" s="12"/>
    </row>
    <row r="17" spans="1:30" ht="15.75" thickBot="1" x14ac:dyDescent="0.3">
      <c r="A17" s="12"/>
      <c r="B17" s="22"/>
      <c r="C17" t="str">
        <f>IF(AND('ENTRY DATA'!D17=""),"",('ENTRY DATA'!D17))</f>
        <v/>
      </c>
      <c r="D17" t="str">
        <f>IF(AND('ENTRY DATA'!F17=""),"",('ENTRY DATA'!F17))</f>
        <v/>
      </c>
      <c r="E17" s="34" t="str">
        <f>IF(AND('ENTRY DATA'!B17=""),"",('ENTRY DATA'!B17))</f>
        <v/>
      </c>
      <c r="F17" s="12"/>
      <c r="G17" s="12"/>
      <c r="H17" s="72"/>
      <c r="I17" s="71"/>
      <c r="J17" s="72"/>
      <c r="K17" s="12"/>
      <c r="L17" s="20">
        <f t="shared" si="0"/>
        <v>0</v>
      </c>
      <c r="M17" s="19" t="str">
        <f t="shared" si="1"/>
        <v/>
      </c>
      <c r="N17" s="12"/>
      <c r="O17" s="119"/>
      <c r="P17" s="95" t="str">
        <f t="shared" si="2"/>
        <v/>
      </c>
      <c r="Q17" s="12"/>
      <c r="S17" s="128"/>
      <c r="T17" s="66"/>
      <c r="U17" s="128"/>
      <c r="W17" s="128"/>
      <c r="X17" s="12"/>
      <c r="Y17" t="str">
        <f t="shared" si="3"/>
        <v/>
      </c>
      <c r="Z17" t="str">
        <f t="shared" si="4"/>
        <v/>
      </c>
      <c r="AA17" s="12"/>
      <c r="AB17" s="95" t="e">
        <f t="shared" si="5"/>
        <v>#VALUE!</v>
      </c>
      <c r="AC17" s="95" t="e">
        <f t="shared" si="6"/>
        <v>#VALUE!</v>
      </c>
      <c r="AD17" s="12"/>
    </row>
    <row r="18" spans="1:30" ht="15.75" thickBot="1" x14ac:dyDescent="0.3">
      <c r="A18" s="12"/>
      <c r="B18" s="22"/>
      <c r="C18" t="str">
        <f>IF(AND('ENTRY DATA'!D18=""),"",('ENTRY DATA'!D18))</f>
        <v/>
      </c>
      <c r="D18" t="str">
        <f>IF(AND('ENTRY DATA'!F18=""),"",('ENTRY DATA'!F18))</f>
        <v/>
      </c>
      <c r="E18" s="34" t="str">
        <f>IF(AND('ENTRY DATA'!B18=""),"",('ENTRY DATA'!B18))</f>
        <v/>
      </c>
      <c r="F18" s="12"/>
      <c r="G18" s="12"/>
      <c r="H18" s="72"/>
      <c r="I18" s="71"/>
      <c r="J18" s="72"/>
      <c r="K18" s="12"/>
      <c r="L18" s="20">
        <f t="shared" si="0"/>
        <v>0</v>
      </c>
      <c r="M18" s="19" t="str">
        <f t="shared" si="1"/>
        <v/>
      </c>
      <c r="N18" s="12"/>
      <c r="O18" s="119"/>
      <c r="P18" s="95" t="str">
        <f t="shared" si="2"/>
        <v/>
      </c>
      <c r="Q18" s="12"/>
      <c r="S18" s="128"/>
      <c r="T18" s="66"/>
      <c r="U18" s="128"/>
      <c r="W18" s="128"/>
      <c r="X18" s="12"/>
      <c r="Y18" t="str">
        <f t="shared" si="3"/>
        <v/>
      </c>
      <c r="Z18" t="str">
        <f t="shared" si="4"/>
        <v/>
      </c>
      <c r="AA18" s="12"/>
      <c r="AB18" s="95" t="e">
        <f t="shared" si="5"/>
        <v>#VALUE!</v>
      </c>
      <c r="AC18" s="95" t="e">
        <f t="shared" si="6"/>
        <v>#VALUE!</v>
      </c>
      <c r="AD18" s="12"/>
    </row>
    <row r="19" spans="1:30" ht="15.75" thickBot="1" x14ac:dyDescent="0.3">
      <c r="A19" s="12"/>
      <c r="B19" s="22"/>
      <c r="C19" t="str">
        <f>IF(AND('ENTRY DATA'!D19=""),"",('ENTRY DATA'!D19))</f>
        <v/>
      </c>
      <c r="D19" t="str">
        <f>IF(AND('ENTRY DATA'!F19=""),"",('ENTRY DATA'!F19))</f>
        <v/>
      </c>
      <c r="E19" s="34" t="str">
        <f>IF(AND('ENTRY DATA'!B19=""),"",('ENTRY DATA'!B19))</f>
        <v/>
      </c>
      <c r="F19" s="12"/>
      <c r="G19" s="12"/>
      <c r="H19" s="72"/>
      <c r="I19" s="71"/>
      <c r="J19" s="72"/>
      <c r="K19" s="12"/>
      <c r="L19" s="20">
        <f t="shared" si="0"/>
        <v>0</v>
      </c>
      <c r="M19" s="19" t="str">
        <f t="shared" si="1"/>
        <v/>
      </c>
      <c r="N19" s="12"/>
      <c r="O19" s="119"/>
      <c r="P19" s="95" t="str">
        <f t="shared" si="2"/>
        <v/>
      </c>
      <c r="Q19" s="12"/>
      <c r="S19" s="128"/>
      <c r="T19" s="66"/>
      <c r="U19" s="128"/>
      <c r="W19" s="128"/>
      <c r="X19" s="12"/>
      <c r="Y19" t="str">
        <f t="shared" si="3"/>
        <v/>
      </c>
      <c r="Z19" t="str">
        <f t="shared" si="4"/>
        <v/>
      </c>
      <c r="AA19" s="12"/>
      <c r="AB19" s="95" t="e">
        <f t="shared" si="5"/>
        <v>#VALUE!</v>
      </c>
      <c r="AC19" s="95" t="e">
        <f t="shared" si="6"/>
        <v>#VALUE!</v>
      </c>
      <c r="AD19" s="12"/>
    </row>
    <row r="20" spans="1:30" ht="15.75" thickBot="1" x14ac:dyDescent="0.3">
      <c r="A20" s="12"/>
      <c r="B20" s="22"/>
      <c r="C20" t="str">
        <f>IF(AND('ENTRY DATA'!D20=""),"",('ENTRY DATA'!D20))</f>
        <v/>
      </c>
      <c r="D20" t="str">
        <f>IF(AND('ENTRY DATA'!F20=""),"",('ENTRY DATA'!F20))</f>
        <v/>
      </c>
      <c r="E20" s="34" t="str">
        <f>IF(AND('ENTRY DATA'!B20=""),"",('ENTRY DATA'!B20))</f>
        <v/>
      </c>
      <c r="F20" s="12"/>
      <c r="G20" s="12"/>
      <c r="H20" s="72"/>
      <c r="I20" s="71"/>
      <c r="J20" s="72"/>
      <c r="K20" s="12"/>
      <c r="L20" s="20">
        <f t="shared" si="0"/>
        <v>0</v>
      </c>
      <c r="M20" s="19" t="str">
        <f t="shared" si="1"/>
        <v/>
      </c>
      <c r="N20" s="12"/>
      <c r="O20" s="119"/>
      <c r="P20" s="95" t="str">
        <f t="shared" si="2"/>
        <v/>
      </c>
      <c r="Q20" s="12"/>
      <c r="S20" s="128"/>
      <c r="T20" s="66"/>
      <c r="U20" s="128"/>
      <c r="W20" s="128"/>
      <c r="X20" s="12"/>
      <c r="Y20" t="str">
        <f t="shared" si="3"/>
        <v/>
      </c>
      <c r="Z20" t="str">
        <f t="shared" si="4"/>
        <v/>
      </c>
      <c r="AA20" s="12"/>
      <c r="AB20" s="95" t="e">
        <f t="shared" si="5"/>
        <v>#VALUE!</v>
      </c>
      <c r="AC20" s="95" t="e">
        <f t="shared" si="6"/>
        <v>#VALUE!</v>
      </c>
      <c r="AD20" s="12"/>
    </row>
    <row r="21" spans="1:30" ht="15.75" thickBot="1" x14ac:dyDescent="0.3">
      <c r="A21" s="12"/>
      <c r="B21" s="22"/>
      <c r="C21" t="str">
        <f>IF(AND('ENTRY DATA'!D21=""),"",('ENTRY DATA'!D21))</f>
        <v/>
      </c>
      <c r="D21" t="str">
        <f>IF(AND('ENTRY DATA'!F21=""),"",('ENTRY DATA'!F21))</f>
        <v/>
      </c>
      <c r="E21" s="34">
        <f>IF(AND('ENTRY DATA'!B21=""),"",('ENTRY DATA'!B21))</f>
        <v>3</v>
      </c>
      <c r="F21" s="12"/>
      <c r="G21" s="12"/>
      <c r="H21" s="72"/>
      <c r="I21" s="71"/>
      <c r="J21" s="72"/>
      <c r="K21" s="12"/>
      <c r="L21" s="20">
        <f t="shared" si="0"/>
        <v>0</v>
      </c>
      <c r="M21" s="19" t="str">
        <f t="shared" si="1"/>
        <v/>
      </c>
      <c r="N21" s="12"/>
      <c r="O21" s="119"/>
      <c r="P21" s="95" t="str">
        <f t="shared" si="2"/>
        <v/>
      </c>
      <c r="Q21" s="12"/>
      <c r="S21" s="128"/>
      <c r="T21" s="66"/>
      <c r="U21" s="128"/>
      <c r="W21" s="128"/>
      <c r="X21" s="12"/>
      <c r="Y21" t="str">
        <f t="shared" si="3"/>
        <v/>
      </c>
      <c r="Z21" t="str">
        <f t="shared" si="4"/>
        <v/>
      </c>
      <c r="AA21" s="12"/>
      <c r="AB21" s="95" t="e">
        <f t="shared" si="5"/>
        <v>#VALUE!</v>
      </c>
      <c r="AC21" s="95" t="e">
        <f t="shared" si="6"/>
        <v>#VALUE!</v>
      </c>
      <c r="AD21" s="12"/>
    </row>
    <row r="22" spans="1:30" ht="15.75" thickBot="1" x14ac:dyDescent="0.3">
      <c r="A22" s="12"/>
      <c r="B22" s="22"/>
      <c r="C22" t="str">
        <f>IF(AND('ENTRY DATA'!D22=""),"",('ENTRY DATA'!D22))</f>
        <v/>
      </c>
      <c r="D22" t="str">
        <f>IF(AND('ENTRY DATA'!F22=""),"",('ENTRY DATA'!F22))</f>
        <v/>
      </c>
      <c r="E22" s="34" t="str">
        <f>IF(AND('ENTRY DATA'!B22=""),"",('ENTRY DATA'!B22))</f>
        <v/>
      </c>
      <c r="F22" s="12"/>
      <c r="G22" s="12"/>
      <c r="H22" s="72"/>
      <c r="I22" s="71"/>
      <c r="J22" s="72"/>
      <c r="K22" s="12"/>
      <c r="L22" s="20">
        <f t="shared" si="0"/>
        <v>0</v>
      </c>
      <c r="M22" s="19" t="str">
        <f t="shared" si="1"/>
        <v/>
      </c>
      <c r="N22" s="12"/>
      <c r="O22" s="119"/>
      <c r="P22" s="95" t="str">
        <f t="shared" si="2"/>
        <v/>
      </c>
      <c r="Q22" s="12"/>
      <c r="S22" s="128"/>
      <c r="T22" s="66"/>
      <c r="U22" s="128"/>
      <c r="W22" s="128"/>
      <c r="X22" s="12"/>
      <c r="Y22" t="str">
        <f t="shared" si="3"/>
        <v/>
      </c>
      <c r="Z22" t="str">
        <f t="shared" si="4"/>
        <v/>
      </c>
      <c r="AA22" s="12"/>
      <c r="AB22" s="95" t="e">
        <f t="shared" si="5"/>
        <v>#VALUE!</v>
      </c>
      <c r="AC22" s="95" t="e">
        <f t="shared" si="6"/>
        <v>#VALUE!</v>
      </c>
      <c r="AD22" s="12"/>
    </row>
    <row r="23" spans="1:30" ht="15.75" thickBot="1" x14ac:dyDescent="0.3">
      <c r="A23" s="12"/>
      <c r="B23" s="22"/>
      <c r="C23" t="str">
        <f>IF(AND('ENTRY DATA'!D23=""),"",('ENTRY DATA'!D23))</f>
        <v/>
      </c>
      <c r="D23" t="str">
        <f>IF(AND('ENTRY DATA'!F23=""),"",('ENTRY DATA'!F23))</f>
        <v/>
      </c>
      <c r="E23" s="34" t="str">
        <f>IF(AND('ENTRY DATA'!B23=""),"",('ENTRY DATA'!B23))</f>
        <v/>
      </c>
      <c r="F23" s="12"/>
      <c r="G23" s="12"/>
      <c r="H23" s="72"/>
      <c r="I23" s="71"/>
      <c r="J23" s="72"/>
      <c r="K23" s="12"/>
      <c r="L23" s="20">
        <f t="shared" si="0"/>
        <v>0</v>
      </c>
      <c r="M23" s="19" t="str">
        <f t="shared" si="1"/>
        <v/>
      </c>
      <c r="N23" s="12"/>
      <c r="O23" s="119"/>
      <c r="P23" s="95" t="str">
        <f t="shared" si="2"/>
        <v/>
      </c>
      <c r="Q23" s="12"/>
      <c r="S23" s="128"/>
      <c r="T23" s="66"/>
      <c r="U23" s="128"/>
      <c r="W23" s="128"/>
      <c r="X23" s="12"/>
      <c r="Y23" t="str">
        <f t="shared" si="3"/>
        <v/>
      </c>
      <c r="Z23" t="str">
        <f t="shared" si="4"/>
        <v/>
      </c>
      <c r="AA23" s="12"/>
      <c r="AB23" s="95" t="e">
        <f t="shared" si="5"/>
        <v>#VALUE!</v>
      </c>
      <c r="AC23" s="95" t="e">
        <f t="shared" si="6"/>
        <v>#VALUE!</v>
      </c>
      <c r="AD23" s="12"/>
    </row>
    <row r="24" spans="1:30" ht="15.75" thickBot="1" x14ac:dyDescent="0.3">
      <c r="A24" s="12"/>
      <c r="B24" s="22"/>
      <c r="C24" t="str">
        <f>IF(AND('ENTRY DATA'!D24=""),"",('ENTRY DATA'!D24))</f>
        <v/>
      </c>
      <c r="D24" t="str">
        <f>IF(AND('ENTRY DATA'!F24=""),"",('ENTRY DATA'!F24))</f>
        <v/>
      </c>
      <c r="E24" s="34" t="str">
        <f>IF(AND('ENTRY DATA'!B24=""),"",('ENTRY DATA'!B24))</f>
        <v/>
      </c>
      <c r="F24" s="12"/>
      <c r="G24" s="12"/>
      <c r="H24" s="72"/>
      <c r="I24" s="71"/>
      <c r="J24" s="72"/>
      <c r="K24" s="12"/>
      <c r="L24" s="20">
        <f t="shared" si="0"/>
        <v>0</v>
      </c>
      <c r="M24" s="19" t="str">
        <f t="shared" si="1"/>
        <v/>
      </c>
      <c r="N24" s="12"/>
      <c r="O24" s="119"/>
      <c r="P24" s="95" t="str">
        <f t="shared" si="2"/>
        <v/>
      </c>
      <c r="Q24" s="12"/>
      <c r="S24" s="128"/>
      <c r="T24" s="66"/>
      <c r="U24" s="128"/>
      <c r="W24" s="128"/>
      <c r="X24" s="12"/>
      <c r="Y24" t="str">
        <f t="shared" si="3"/>
        <v/>
      </c>
      <c r="Z24" t="str">
        <f t="shared" si="4"/>
        <v/>
      </c>
      <c r="AA24" s="12"/>
      <c r="AB24" s="95" t="e">
        <f t="shared" si="5"/>
        <v>#VALUE!</v>
      </c>
      <c r="AC24" s="95" t="e">
        <f t="shared" si="6"/>
        <v>#VALUE!</v>
      </c>
      <c r="AD24" s="12"/>
    </row>
    <row r="25" spans="1:30" ht="15.75" thickBot="1" x14ac:dyDescent="0.3">
      <c r="A25" s="12"/>
      <c r="B25" s="22"/>
      <c r="C25" t="str">
        <f>IF(AND('ENTRY DATA'!D25=""),"",('ENTRY DATA'!D25))</f>
        <v/>
      </c>
      <c r="D25" t="str">
        <f>IF(AND('ENTRY DATA'!F25=""),"",('ENTRY DATA'!F25))</f>
        <v/>
      </c>
      <c r="E25" s="34" t="str">
        <f>IF(AND('ENTRY DATA'!B25=""),"",('ENTRY DATA'!B25))</f>
        <v/>
      </c>
      <c r="F25" s="12"/>
      <c r="G25" s="12"/>
      <c r="H25" s="72"/>
      <c r="I25" s="71"/>
      <c r="J25" s="72"/>
      <c r="K25" s="12"/>
      <c r="L25" s="20">
        <f t="shared" si="0"/>
        <v>0</v>
      </c>
      <c r="M25" s="19" t="str">
        <f t="shared" si="1"/>
        <v/>
      </c>
      <c r="N25" s="12"/>
      <c r="O25" s="119"/>
      <c r="P25" s="95" t="str">
        <f t="shared" si="2"/>
        <v/>
      </c>
      <c r="Q25" s="12"/>
      <c r="S25" s="128"/>
      <c r="T25" s="66"/>
      <c r="U25" s="128"/>
      <c r="W25" s="128"/>
      <c r="X25" s="12"/>
      <c r="Y25" t="str">
        <f t="shared" si="3"/>
        <v/>
      </c>
      <c r="Z25" t="str">
        <f t="shared" si="4"/>
        <v/>
      </c>
      <c r="AA25" s="12"/>
      <c r="AB25" s="95" t="e">
        <f t="shared" si="5"/>
        <v>#VALUE!</v>
      </c>
      <c r="AC25" s="95" t="e">
        <f t="shared" si="6"/>
        <v>#VALUE!</v>
      </c>
      <c r="AD25" s="12"/>
    </row>
    <row r="26" spans="1:30" ht="15.75" thickBot="1" x14ac:dyDescent="0.3">
      <c r="A26" s="12"/>
      <c r="B26" s="22"/>
      <c r="C26" t="str">
        <f>IF(AND('ENTRY DATA'!D26=""),"",('ENTRY DATA'!D26))</f>
        <v/>
      </c>
      <c r="D26" t="str">
        <f>IF(AND('ENTRY DATA'!F26=""),"",('ENTRY DATA'!F26))</f>
        <v/>
      </c>
      <c r="E26" s="34" t="str">
        <f>IF(AND('ENTRY DATA'!B26=""),"",('ENTRY DATA'!B26))</f>
        <v/>
      </c>
      <c r="F26" s="12"/>
      <c r="G26" s="12"/>
      <c r="H26" s="72"/>
      <c r="I26" s="71"/>
      <c r="J26" s="72"/>
      <c r="K26" s="12"/>
      <c r="L26" s="20">
        <f t="shared" si="0"/>
        <v>0</v>
      </c>
      <c r="M26" s="19" t="str">
        <f t="shared" si="1"/>
        <v/>
      </c>
      <c r="N26" s="12"/>
      <c r="O26" s="119"/>
      <c r="P26" s="95" t="str">
        <f t="shared" si="2"/>
        <v/>
      </c>
      <c r="Q26" s="12"/>
      <c r="S26" s="128"/>
      <c r="T26" s="66"/>
      <c r="U26" s="128"/>
      <c r="W26" s="128"/>
      <c r="X26" s="12"/>
      <c r="Y26" t="str">
        <f t="shared" si="3"/>
        <v/>
      </c>
      <c r="Z26" t="str">
        <f t="shared" si="4"/>
        <v/>
      </c>
      <c r="AA26" s="12"/>
      <c r="AB26" s="95" t="e">
        <f t="shared" si="5"/>
        <v>#VALUE!</v>
      </c>
      <c r="AC26" s="95" t="e">
        <f t="shared" si="6"/>
        <v>#VALUE!</v>
      </c>
      <c r="AD26" s="12"/>
    </row>
    <row r="27" spans="1:30" ht="15.75" thickBot="1" x14ac:dyDescent="0.3">
      <c r="A27" s="12"/>
      <c r="B27" s="22"/>
      <c r="C27" t="str">
        <f>IF(AND('ENTRY DATA'!D27=""),"",('ENTRY DATA'!D27))</f>
        <v/>
      </c>
      <c r="D27" t="str">
        <f>IF(AND('ENTRY DATA'!F27=""),"",('ENTRY DATA'!F27))</f>
        <v/>
      </c>
      <c r="E27" s="34" t="str">
        <f>IF(AND('ENTRY DATA'!B27=""),"",('ENTRY DATA'!B27))</f>
        <v/>
      </c>
      <c r="F27" s="12"/>
      <c r="G27" s="12"/>
      <c r="H27" s="72"/>
      <c r="I27" s="71"/>
      <c r="J27" s="72"/>
      <c r="K27" s="12"/>
      <c r="L27" s="20">
        <f t="shared" si="0"/>
        <v>0</v>
      </c>
      <c r="M27" s="19" t="str">
        <f t="shared" si="1"/>
        <v/>
      </c>
      <c r="N27" s="12"/>
      <c r="O27" s="119"/>
      <c r="P27" s="95" t="str">
        <f t="shared" si="2"/>
        <v/>
      </c>
      <c r="Q27" s="12"/>
      <c r="S27" s="128"/>
      <c r="T27" s="66"/>
      <c r="U27" s="128"/>
      <c r="W27" s="128"/>
      <c r="X27" s="12"/>
      <c r="Y27" t="str">
        <f t="shared" si="3"/>
        <v/>
      </c>
      <c r="Z27" t="str">
        <f t="shared" si="4"/>
        <v/>
      </c>
      <c r="AA27" s="12"/>
      <c r="AB27" s="95" t="e">
        <f t="shared" si="5"/>
        <v>#VALUE!</v>
      </c>
      <c r="AC27" s="95" t="e">
        <f t="shared" si="6"/>
        <v>#VALUE!</v>
      </c>
      <c r="AD27" s="12"/>
    </row>
    <row r="28" spans="1:30" ht="15.75" thickBot="1" x14ac:dyDescent="0.3">
      <c r="A28" s="12"/>
      <c r="B28" s="22"/>
      <c r="C28" t="str">
        <f>IF(AND('ENTRY DATA'!D28=""),"",('ENTRY DATA'!D28))</f>
        <v/>
      </c>
      <c r="D28" t="str">
        <f>IF(AND('ENTRY DATA'!F28=""),"",('ENTRY DATA'!F28))</f>
        <v/>
      </c>
      <c r="E28" s="34" t="str">
        <f>IF(AND('ENTRY DATA'!B28=""),"",('ENTRY DATA'!B28))</f>
        <v/>
      </c>
      <c r="F28" s="12"/>
      <c r="G28" s="12"/>
      <c r="H28" s="72"/>
      <c r="I28" s="71"/>
      <c r="J28" s="72"/>
      <c r="K28" s="12"/>
      <c r="L28" s="20">
        <f t="shared" si="0"/>
        <v>0</v>
      </c>
      <c r="M28" s="19" t="str">
        <f t="shared" si="1"/>
        <v/>
      </c>
      <c r="N28" s="12"/>
      <c r="O28" s="119"/>
      <c r="P28" s="95" t="str">
        <f t="shared" si="2"/>
        <v/>
      </c>
      <c r="Q28" s="12"/>
      <c r="S28" s="128"/>
      <c r="T28" s="66"/>
      <c r="U28" s="128"/>
      <c r="W28" s="128"/>
      <c r="X28" s="12"/>
      <c r="Y28" t="str">
        <f t="shared" si="3"/>
        <v/>
      </c>
      <c r="Z28" t="str">
        <f t="shared" si="4"/>
        <v/>
      </c>
      <c r="AA28" s="12"/>
      <c r="AB28" s="95" t="e">
        <f t="shared" si="5"/>
        <v>#VALUE!</v>
      </c>
      <c r="AC28" s="95" t="e">
        <f t="shared" si="6"/>
        <v>#VALUE!</v>
      </c>
      <c r="AD28" s="12"/>
    </row>
    <row r="29" spans="1:30" ht="15.75" thickBot="1" x14ac:dyDescent="0.3">
      <c r="A29" s="12"/>
      <c r="B29" s="22"/>
      <c r="C29" t="str">
        <f>IF(AND('ENTRY DATA'!D29=""),"",('ENTRY DATA'!D29))</f>
        <v/>
      </c>
      <c r="D29" t="str">
        <f>IF(AND('ENTRY DATA'!F29=""),"",('ENTRY DATA'!F29))</f>
        <v/>
      </c>
      <c r="E29" s="34">
        <f>IF(AND('ENTRY DATA'!B29=""),"",('ENTRY DATA'!B29))</f>
        <v>4</v>
      </c>
      <c r="F29" s="12"/>
      <c r="G29" s="12"/>
      <c r="H29" s="72"/>
      <c r="I29" s="71"/>
      <c r="J29" s="72"/>
      <c r="K29" s="12"/>
      <c r="L29" s="20">
        <f t="shared" si="0"/>
        <v>0</v>
      </c>
      <c r="M29" s="19" t="str">
        <f t="shared" si="1"/>
        <v/>
      </c>
      <c r="N29" s="12"/>
      <c r="O29" s="119"/>
      <c r="P29" s="95" t="str">
        <f t="shared" si="2"/>
        <v/>
      </c>
      <c r="Q29" s="12"/>
      <c r="S29" s="128"/>
      <c r="T29" s="66"/>
      <c r="U29" s="128"/>
      <c r="W29" s="128"/>
      <c r="X29" s="12"/>
      <c r="Y29" t="str">
        <f t="shared" si="3"/>
        <v/>
      </c>
      <c r="Z29" t="str">
        <f t="shared" si="4"/>
        <v/>
      </c>
      <c r="AA29" s="12"/>
      <c r="AB29" s="95" t="e">
        <f t="shared" si="5"/>
        <v>#VALUE!</v>
      </c>
      <c r="AC29" s="95" t="e">
        <f t="shared" si="6"/>
        <v>#VALUE!</v>
      </c>
      <c r="AD29" s="12"/>
    </row>
    <row r="30" spans="1:30" ht="15.75" thickBot="1" x14ac:dyDescent="0.3">
      <c r="A30" s="12"/>
      <c r="B30" s="22"/>
      <c r="C30" t="str">
        <f>IF(AND('ENTRY DATA'!D30=""),"",('ENTRY DATA'!D30))</f>
        <v/>
      </c>
      <c r="D30" t="str">
        <f>IF(AND('ENTRY DATA'!F30=""),"",('ENTRY DATA'!F30))</f>
        <v/>
      </c>
      <c r="E30" s="34" t="str">
        <f>IF(AND('ENTRY DATA'!B30=""),"",('ENTRY DATA'!B30))</f>
        <v/>
      </c>
      <c r="F30" s="12"/>
      <c r="G30" s="12"/>
      <c r="H30" s="72"/>
      <c r="I30" s="71"/>
      <c r="J30" s="72"/>
      <c r="K30" s="12"/>
      <c r="L30" s="20">
        <f t="shared" si="0"/>
        <v>0</v>
      </c>
      <c r="M30" s="19" t="str">
        <f t="shared" si="1"/>
        <v/>
      </c>
      <c r="N30" s="12"/>
      <c r="O30" s="119"/>
      <c r="P30" s="95" t="str">
        <f t="shared" si="2"/>
        <v/>
      </c>
      <c r="Q30" s="12"/>
      <c r="S30" s="128"/>
      <c r="T30" s="66"/>
      <c r="U30" s="128"/>
      <c r="W30" s="128"/>
      <c r="X30" s="12"/>
      <c r="Y30" t="str">
        <f t="shared" si="3"/>
        <v/>
      </c>
      <c r="Z30" t="str">
        <f t="shared" si="4"/>
        <v/>
      </c>
      <c r="AA30" s="12"/>
      <c r="AB30" s="95" t="e">
        <f t="shared" si="5"/>
        <v>#VALUE!</v>
      </c>
      <c r="AC30" s="95" t="e">
        <f t="shared" si="6"/>
        <v>#VALUE!</v>
      </c>
      <c r="AD30" s="12"/>
    </row>
    <row r="31" spans="1:30" ht="15.75" thickBot="1" x14ac:dyDescent="0.3">
      <c r="A31" s="12"/>
      <c r="B31" s="22"/>
      <c r="C31" t="str">
        <f>IF(AND('ENTRY DATA'!D31=""),"",('ENTRY DATA'!D31))</f>
        <v/>
      </c>
      <c r="D31" t="str">
        <f>IF(AND('ENTRY DATA'!F31=""),"",('ENTRY DATA'!F31))</f>
        <v/>
      </c>
      <c r="E31" s="34" t="str">
        <f>IF(AND('ENTRY DATA'!B31=""),"",('ENTRY DATA'!B31))</f>
        <v/>
      </c>
      <c r="F31" s="12"/>
      <c r="G31" s="12"/>
      <c r="H31" s="72"/>
      <c r="I31" s="71"/>
      <c r="J31" s="72"/>
      <c r="K31" s="12"/>
      <c r="L31" s="20">
        <f t="shared" si="0"/>
        <v>0</v>
      </c>
      <c r="M31" s="19" t="str">
        <f t="shared" si="1"/>
        <v/>
      </c>
      <c r="N31" s="12"/>
      <c r="O31" s="119"/>
      <c r="P31" s="95" t="str">
        <f t="shared" si="2"/>
        <v/>
      </c>
      <c r="Q31" s="12"/>
      <c r="S31" s="128"/>
      <c r="T31" s="66"/>
      <c r="U31" s="128"/>
      <c r="W31" s="128"/>
      <c r="X31" s="12"/>
      <c r="Y31" t="str">
        <f t="shared" si="3"/>
        <v/>
      </c>
      <c r="Z31" t="str">
        <f t="shared" si="4"/>
        <v/>
      </c>
      <c r="AA31" s="12"/>
      <c r="AB31" s="95" t="e">
        <f t="shared" si="5"/>
        <v>#VALUE!</v>
      </c>
      <c r="AC31" s="95" t="e">
        <f t="shared" si="6"/>
        <v>#VALUE!</v>
      </c>
      <c r="AD31" s="12"/>
    </row>
    <row r="32" spans="1:30" ht="15.75" thickBot="1" x14ac:dyDescent="0.3">
      <c r="A32" s="12"/>
      <c r="B32" s="22"/>
      <c r="C32" t="str">
        <f>IF(AND('ENTRY DATA'!D32=""),"",('ENTRY DATA'!D32))</f>
        <v/>
      </c>
      <c r="D32" t="str">
        <f>IF(AND('ENTRY DATA'!F32=""),"",('ENTRY DATA'!F32))</f>
        <v/>
      </c>
      <c r="E32" s="34" t="str">
        <f>IF(AND('ENTRY DATA'!B32=""),"",('ENTRY DATA'!B32))</f>
        <v/>
      </c>
      <c r="F32" s="12"/>
      <c r="G32" s="12"/>
      <c r="H32" s="72"/>
      <c r="I32" s="71"/>
      <c r="J32" s="72"/>
      <c r="K32" s="12"/>
      <c r="L32" s="20">
        <f t="shared" si="0"/>
        <v>0</v>
      </c>
      <c r="M32" s="19" t="str">
        <f t="shared" si="1"/>
        <v/>
      </c>
      <c r="N32" s="12"/>
      <c r="O32" s="119"/>
      <c r="P32" s="95" t="str">
        <f t="shared" si="2"/>
        <v/>
      </c>
      <c r="Q32" s="12"/>
      <c r="S32" s="128"/>
      <c r="T32" s="66"/>
      <c r="U32" s="128"/>
      <c r="W32" s="128"/>
      <c r="X32" s="12"/>
      <c r="Y32" t="str">
        <f t="shared" si="3"/>
        <v/>
      </c>
      <c r="Z32" t="str">
        <f t="shared" si="4"/>
        <v/>
      </c>
      <c r="AA32" s="12"/>
      <c r="AB32" s="95" t="e">
        <f t="shared" si="5"/>
        <v>#VALUE!</v>
      </c>
      <c r="AC32" s="95" t="e">
        <f t="shared" si="6"/>
        <v>#VALUE!</v>
      </c>
      <c r="AD32" s="12"/>
    </row>
    <row r="33" spans="1:30" ht="15.75" thickBot="1" x14ac:dyDescent="0.3">
      <c r="A33" s="12"/>
      <c r="B33" s="22"/>
      <c r="C33" t="str">
        <f>IF(AND('ENTRY DATA'!D33=""),"",('ENTRY DATA'!D33))</f>
        <v/>
      </c>
      <c r="D33" t="str">
        <f>IF(AND('ENTRY DATA'!F33=""),"",('ENTRY DATA'!F33))</f>
        <v/>
      </c>
      <c r="E33" s="34" t="str">
        <f>IF(AND('ENTRY DATA'!B33=""),"",('ENTRY DATA'!B33))</f>
        <v/>
      </c>
      <c r="F33" s="12"/>
      <c r="G33" s="12"/>
      <c r="H33" s="72"/>
      <c r="I33" s="71"/>
      <c r="J33" s="72"/>
      <c r="K33" s="12"/>
      <c r="L33" s="20">
        <f t="shared" si="0"/>
        <v>0</v>
      </c>
      <c r="M33" s="19" t="str">
        <f t="shared" si="1"/>
        <v/>
      </c>
      <c r="N33" s="12"/>
      <c r="O33" s="119"/>
      <c r="P33" s="95" t="str">
        <f t="shared" si="2"/>
        <v/>
      </c>
      <c r="Q33" s="12"/>
      <c r="S33" s="128"/>
      <c r="T33" s="66"/>
      <c r="U33" s="128"/>
      <c r="W33" s="128"/>
      <c r="X33" s="12"/>
      <c r="Y33" t="str">
        <f t="shared" si="3"/>
        <v/>
      </c>
      <c r="Z33" t="str">
        <f t="shared" si="4"/>
        <v/>
      </c>
      <c r="AA33" s="12"/>
      <c r="AB33" s="95" t="e">
        <f t="shared" si="5"/>
        <v>#VALUE!</v>
      </c>
      <c r="AC33" s="95" t="e">
        <f t="shared" si="6"/>
        <v>#VALUE!</v>
      </c>
      <c r="AD33" s="12"/>
    </row>
    <row r="34" spans="1:30" ht="15.75" thickBot="1" x14ac:dyDescent="0.3">
      <c r="A34" s="12"/>
      <c r="B34" s="22"/>
      <c r="C34" t="str">
        <f>IF(AND('ENTRY DATA'!D34=""),"",('ENTRY DATA'!D34))</f>
        <v/>
      </c>
      <c r="D34" t="str">
        <f>IF(AND('ENTRY DATA'!F34=""),"",('ENTRY DATA'!F34))</f>
        <v/>
      </c>
      <c r="E34" s="34" t="str">
        <f>IF(AND('ENTRY DATA'!B34=""),"",('ENTRY DATA'!B34))</f>
        <v/>
      </c>
      <c r="F34" s="12"/>
      <c r="G34" s="12"/>
      <c r="H34" s="72"/>
      <c r="I34" s="71"/>
      <c r="J34" s="72"/>
      <c r="K34" s="12"/>
      <c r="L34" s="20">
        <f t="shared" si="0"/>
        <v>0</v>
      </c>
      <c r="M34" s="19" t="str">
        <f t="shared" si="1"/>
        <v/>
      </c>
      <c r="N34" s="12"/>
      <c r="O34" s="119"/>
      <c r="P34" s="95" t="str">
        <f t="shared" si="2"/>
        <v/>
      </c>
      <c r="Q34" s="12"/>
      <c r="S34" s="128"/>
      <c r="T34" s="66"/>
      <c r="U34" s="128"/>
      <c r="W34" s="128"/>
      <c r="X34" s="12"/>
      <c r="Y34" t="str">
        <f t="shared" si="3"/>
        <v/>
      </c>
      <c r="Z34" t="str">
        <f t="shared" si="4"/>
        <v/>
      </c>
      <c r="AA34" s="12"/>
      <c r="AB34" s="95" t="e">
        <f t="shared" si="5"/>
        <v>#VALUE!</v>
      </c>
      <c r="AC34" s="95" t="e">
        <f t="shared" si="6"/>
        <v>#VALUE!</v>
      </c>
      <c r="AD34" s="12"/>
    </row>
    <row r="35" spans="1:30" ht="15.75" thickBot="1" x14ac:dyDescent="0.3">
      <c r="A35" s="12"/>
      <c r="B35" s="22"/>
      <c r="C35" t="str">
        <f>IF(AND('ENTRY DATA'!D35=""),"",('ENTRY DATA'!D35))</f>
        <v/>
      </c>
      <c r="D35" t="str">
        <f>IF(AND('ENTRY DATA'!F35=""),"",('ENTRY DATA'!F35))</f>
        <v/>
      </c>
      <c r="E35" s="34" t="str">
        <f>IF(AND('ENTRY DATA'!B35=""),"",('ENTRY DATA'!B35))</f>
        <v/>
      </c>
      <c r="F35" s="12"/>
      <c r="G35" s="12"/>
      <c r="H35" s="72"/>
      <c r="I35" s="71"/>
      <c r="J35" s="72"/>
      <c r="K35" s="12"/>
      <c r="L35" s="20">
        <f t="shared" si="0"/>
        <v>0</v>
      </c>
      <c r="M35" s="19" t="str">
        <f t="shared" si="1"/>
        <v/>
      </c>
      <c r="N35" s="12"/>
      <c r="O35" s="119"/>
      <c r="P35" s="95" t="str">
        <f t="shared" si="2"/>
        <v/>
      </c>
      <c r="Q35" s="12"/>
      <c r="S35" s="128"/>
      <c r="T35" s="66"/>
      <c r="U35" s="128"/>
      <c r="W35" s="128"/>
      <c r="X35" s="12"/>
      <c r="Y35" t="str">
        <f t="shared" si="3"/>
        <v/>
      </c>
      <c r="Z35" t="str">
        <f t="shared" si="4"/>
        <v/>
      </c>
      <c r="AA35" s="12"/>
      <c r="AB35" s="95" t="e">
        <f t="shared" si="5"/>
        <v>#VALUE!</v>
      </c>
      <c r="AC35" s="95" t="e">
        <f t="shared" si="6"/>
        <v>#VALUE!</v>
      </c>
      <c r="AD35" s="12"/>
    </row>
    <row r="36" spans="1:30" ht="15.75" thickBot="1" x14ac:dyDescent="0.3">
      <c r="A36" s="12"/>
      <c r="B36" s="22"/>
      <c r="C36" t="str">
        <f>IF(AND('ENTRY DATA'!D36=""),"",('ENTRY DATA'!D36))</f>
        <v/>
      </c>
      <c r="D36" t="str">
        <f>IF(AND('ENTRY DATA'!F36=""),"",('ENTRY DATA'!F36))</f>
        <v/>
      </c>
      <c r="E36" s="34" t="str">
        <f>IF(AND('ENTRY DATA'!B36=""),"",('ENTRY DATA'!B36))</f>
        <v/>
      </c>
      <c r="F36" s="12"/>
      <c r="G36" s="12"/>
      <c r="H36" s="72"/>
      <c r="I36" s="71"/>
      <c r="J36" s="72"/>
      <c r="K36" s="12"/>
      <c r="L36" s="20">
        <f t="shared" si="0"/>
        <v>0</v>
      </c>
      <c r="M36" s="19" t="str">
        <f t="shared" si="1"/>
        <v/>
      </c>
      <c r="N36" s="12"/>
      <c r="O36" s="119"/>
      <c r="P36" s="95" t="str">
        <f t="shared" si="2"/>
        <v/>
      </c>
      <c r="Q36" s="12"/>
      <c r="S36" s="128"/>
      <c r="T36" s="66"/>
      <c r="U36" s="128"/>
      <c r="W36" s="128"/>
      <c r="X36" s="12"/>
      <c r="Y36" t="str">
        <f t="shared" si="3"/>
        <v/>
      </c>
      <c r="Z36" t="str">
        <f t="shared" si="4"/>
        <v/>
      </c>
      <c r="AA36" s="12"/>
      <c r="AB36" s="95" t="e">
        <f t="shared" si="5"/>
        <v>#VALUE!</v>
      </c>
      <c r="AC36" s="95" t="e">
        <f t="shared" si="6"/>
        <v>#VALUE!</v>
      </c>
      <c r="AD36" s="12"/>
    </row>
    <row r="37" spans="1:30" ht="15.75" thickBot="1" x14ac:dyDescent="0.3">
      <c r="A37" s="12"/>
      <c r="B37" s="22"/>
      <c r="C37" t="str">
        <f>IF(AND('ENTRY DATA'!D37=""),"",('ENTRY DATA'!D37))</f>
        <v/>
      </c>
      <c r="D37" t="str">
        <f>IF(AND('ENTRY DATA'!F37=""),"",('ENTRY DATA'!F37))</f>
        <v/>
      </c>
      <c r="E37" s="34">
        <f>IF(AND('ENTRY DATA'!B37=""),"",('ENTRY DATA'!B37))</f>
        <v>5</v>
      </c>
      <c r="F37" s="12"/>
      <c r="G37" s="12"/>
      <c r="H37" s="72"/>
      <c r="I37" s="71"/>
      <c r="J37" s="72"/>
      <c r="K37" s="12"/>
      <c r="L37" s="20">
        <f t="shared" si="0"/>
        <v>0</v>
      </c>
      <c r="M37" s="19" t="str">
        <f t="shared" si="1"/>
        <v/>
      </c>
      <c r="N37" s="12"/>
      <c r="O37" s="119"/>
      <c r="P37" s="95" t="str">
        <f t="shared" si="2"/>
        <v/>
      </c>
      <c r="Q37" s="12"/>
      <c r="S37" s="128"/>
      <c r="T37" s="66"/>
      <c r="U37" s="128"/>
      <c r="W37" s="128"/>
      <c r="X37" s="12"/>
      <c r="Y37" t="str">
        <f t="shared" si="3"/>
        <v/>
      </c>
      <c r="Z37" t="str">
        <f t="shared" si="4"/>
        <v/>
      </c>
      <c r="AA37" s="12"/>
      <c r="AB37" s="95" t="e">
        <f t="shared" si="5"/>
        <v>#VALUE!</v>
      </c>
      <c r="AC37" s="95" t="e">
        <f t="shared" si="6"/>
        <v>#VALUE!</v>
      </c>
      <c r="AD37" s="12"/>
    </row>
    <row r="38" spans="1:30" ht="15.75" thickBot="1" x14ac:dyDescent="0.3">
      <c r="A38" s="12"/>
      <c r="B38" s="22"/>
      <c r="C38" t="str">
        <f>IF(AND('ENTRY DATA'!D38=""),"",('ENTRY DATA'!D38))</f>
        <v/>
      </c>
      <c r="D38" t="str">
        <f>IF(AND('ENTRY DATA'!F38=""),"",('ENTRY DATA'!F38))</f>
        <v/>
      </c>
      <c r="E38" s="34" t="str">
        <f>IF(AND('ENTRY DATA'!B38=""),"",('ENTRY DATA'!B38))</f>
        <v/>
      </c>
      <c r="F38" s="12"/>
      <c r="G38" s="12"/>
      <c r="H38" s="72"/>
      <c r="I38" s="71"/>
      <c r="J38" s="72"/>
      <c r="K38" s="12"/>
      <c r="L38" s="20">
        <f t="shared" si="0"/>
        <v>0</v>
      </c>
      <c r="M38" s="19" t="str">
        <f t="shared" si="1"/>
        <v/>
      </c>
      <c r="N38" s="12"/>
      <c r="O38" s="119"/>
      <c r="P38" s="95" t="str">
        <f t="shared" si="2"/>
        <v/>
      </c>
      <c r="Q38" s="12"/>
      <c r="S38" s="128"/>
      <c r="T38" s="66"/>
      <c r="U38" s="128"/>
      <c r="W38" s="128"/>
      <c r="X38" s="12"/>
      <c r="Y38" t="str">
        <f t="shared" si="3"/>
        <v/>
      </c>
      <c r="Z38" t="str">
        <f t="shared" si="4"/>
        <v/>
      </c>
      <c r="AA38" s="12"/>
      <c r="AB38" s="95" t="e">
        <f t="shared" si="5"/>
        <v>#VALUE!</v>
      </c>
      <c r="AC38" s="95" t="e">
        <f t="shared" si="6"/>
        <v>#VALUE!</v>
      </c>
      <c r="AD38" s="12"/>
    </row>
    <row r="39" spans="1:30" ht="15.75" thickBot="1" x14ac:dyDescent="0.3">
      <c r="A39" s="12"/>
      <c r="B39" s="22"/>
      <c r="C39" t="str">
        <f>IF(AND('ENTRY DATA'!D39=""),"",('ENTRY DATA'!D39))</f>
        <v/>
      </c>
      <c r="D39" t="str">
        <f>IF(AND('ENTRY DATA'!F39=""),"",('ENTRY DATA'!F39))</f>
        <v/>
      </c>
      <c r="E39" s="34" t="str">
        <f>IF(AND('ENTRY DATA'!B39=""),"",('ENTRY DATA'!B39))</f>
        <v/>
      </c>
      <c r="F39" s="12"/>
      <c r="G39" s="12"/>
      <c r="H39" s="72"/>
      <c r="I39" s="71"/>
      <c r="J39" s="72"/>
      <c r="K39" s="12"/>
      <c r="L39" s="20">
        <f t="shared" si="0"/>
        <v>0</v>
      </c>
      <c r="M39" s="19" t="str">
        <f t="shared" si="1"/>
        <v/>
      </c>
      <c r="N39" s="12"/>
      <c r="O39" s="119"/>
      <c r="P39" s="95" t="str">
        <f t="shared" si="2"/>
        <v/>
      </c>
      <c r="Q39" s="12"/>
      <c r="S39" s="128"/>
      <c r="T39" s="66"/>
      <c r="U39" s="128"/>
      <c r="W39" s="128"/>
      <c r="X39" s="12"/>
      <c r="Y39" t="str">
        <f t="shared" si="3"/>
        <v/>
      </c>
      <c r="Z39" t="str">
        <f t="shared" si="4"/>
        <v/>
      </c>
      <c r="AA39" s="12"/>
      <c r="AB39" s="95" t="e">
        <f t="shared" si="5"/>
        <v>#VALUE!</v>
      </c>
      <c r="AC39" s="95" t="e">
        <f t="shared" si="6"/>
        <v>#VALUE!</v>
      </c>
      <c r="AD39" s="12"/>
    </row>
    <row r="40" spans="1:30" ht="15.75" thickBot="1" x14ac:dyDescent="0.3">
      <c r="A40" s="12"/>
      <c r="B40" s="22"/>
      <c r="C40" t="str">
        <f>IF(AND('ENTRY DATA'!D40=""),"",('ENTRY DATA'!D40))</f>
        <v/>
      </c>
      <c r="D40" t="str">
        <f>IF(AND('ENTRY DATA'!F40=""),"",('ENTRY DATA'!F40))</f>
        <v/>
      </c>
      <c r="E40" s="34" t="str">
        <f>IF(AND('ENTRY DATA'!B40=""),"",('ENTRY DATA'!B40))</f>
        <v/>
      </c>
      <c r="F40" s="12"/>
      <c r="G40" s="12"/>
      <c r="H40" s="72"/>
      <c r="I40" s="71"/>
      <c r="J40" s="72"/>
      <c r="K40" s="12"/>
      <c r="L40" s="20">
        <f t="shared" si="0"/>
        <v>0</v>
      </c>
      <c r="M40" s="19" t="str">
        <f t="shared" si="1"/>
        <v/>
      </c>
      <c r="N40" s="12"/>
      <c r="O40" s="119"/>
      <c r="P40" s="95" t="str">
        <f t="shared" si="2"/>
        <v/>
      </c>
      <c r="Q40" s="12"/>
      <c r="S40" s="128"/>
      <c r="T40" s="66"/>
      <c r="U40" s="128"/>
      <c r="W40" s="128"/>
      <c r="X40" s="12"/>
      <c r="Y40" t="str">
        <f t="shared" si="3"/>
        <v/>
      </c>
      <c r="Z40" t="str">
        <f t="shared" si="4"/>
        <v/>
      </c>
      <c r="AA40" s="12"/>
      <c r="AB40" s="95" t="e">
        <f t="shared" si="5"/>
        <v>#VALUE!</v>
      </c>
      <c r="AC40" s="95" t="e">
        <f t="shared" si="6"/>
        <v>#VALUE!</v>
      </c>
      <c r="AD40" s="12"/>
    </row>
    <row r="41" spans="1:30" ht="15.75" thickBot="1" x14ac:dyDescent="0.3">
      <c r="A41" s="12"/>
      <c r="B41" s="22"/>
      <c r="C41" t="str">
        <f>IF(AND('ENTRY DATA'!D41=""),"",('ENTRY DATA'!D41))</f>
        <v/>
      </c>
      <c r="D41" t="str">
        <f>IF(AND('ENTRY DATA'!F41=""),"",('ENTRY DATA'!F41))</f>
        <v/>
      </c>
      <c r="E41" s="34" t="str">
        <f>IF(AND('ENTRY DATA'!B41=""),"",('ENTRY DATA'!B41))</f>
        <v/>
      </c>
      <c r="F41" s="12"/>
      <c r="G41" s="12"/>
      <c r="H41" s="72"/>
      <c r="I41" s="71"/>
      <c r="J41" s="72"/>
      <c r="K41" s="12"/>
      <c r="L41" s="20">
        <f t="shared" si="0"/>
        <v>0</v>
      </c>
      <c r="M41" s="19" t="str">
        <f t="shared" si="1"/>
        <v/>
      </c>
      <c r="N41" s="12"/>
      <c r="O41" s="119"/>
      <c r="P41" s="95" t="str">
        <f t="shared" si="2"/>
        <v/>
      </c>
      <c r="Q41" s="12"/>
      <c r="S41" s="128"/>
      <c r="T41" s="66"/>
      <c r="U41" s="128"/>
      <c r="W41" s="128"/>
      <c r="X41" s="12"/>
      <c r="Y41" t="str">
        <f t="shared" si="3"/>
        <v/>
      </c>
      <c r="Z41" t="str">
        <f t="shared" si="4"/>
        <v/>
      </c>
      <c r="AA41" s="12"/>
      <c r="AB41" s="95" t="e">
        <f t="shared" si="5"/>
        <v>#VALUE!</v>
      </c>
      <c r="AC41" s="95" t="e">
        <f t="shared" si="6"/>
        <v>#VALUE!</v>
      </c>
      <c r="AD41" s="12"/>
    </row>
    <row r="42" spans="1:30" ht="15.75" thickBot="1" x14ac:dyDescent="0.3">
      <c r="A42" s="12"/>
      <c r="B42" s="22"/>
      <c r="C42" t="str">
        <f>IF(AND('ENTRY DATA'!D42=""),"",('ENTRY DATA'!D42))</f>
        <v/>
      </c>
      <c r="D42" t="str">
        <f>IF(AND('ENTRY DATA'!F42=""),"",('ENTRY DATA'!F42))</f>
        <v/>
      </c>
      <c r="E42" s="34" t="str">
        <f>IF(AND('ENTRY DATA'!B42=""),"",('ENTRY DATA'!B42))</f>
        <v/>
      </c>
      <c r="F42" s="12"/>
      <c r="G42" s="12"/>
      <c r="H42" s="72"/>
      <c r="I42" s="71"/>
      <c r="J42" s="72"/>
      <c r="K42" s="12"/>
      <c r="L42" s="20">
        <f t="shared" si="0"/>
        <v>0</v>
      </c>
      <c r="M42" s="19" t="str">
        <f t="shared" si="1"/>
        <v/>
      </c>
      <c r="N42" s="12"/>
      <c r="O42" s="119"/>
      <c r="P42" s="95" t="str">
        <f t="shared" si="2"/>
        <v/>
      </c>
      <c r="Q42" s="12"/>
      <c r="S42" s="128"/>
      <c r="T42" s="66"/>
      <c r="U42" s="128"/>
      <c r="W42" s="128"/>
      <c r="X42" s="12"/>
      <c r="Y42" t="str">
        <f t="shared" si="3"/>
        <v/>
      </c>
      <c r="Z42" t="str">
        <f t="shared" si="4"/>
        <v/>
      </c>
      <c r="AA42" s="12"/>
      <c r="AB42" s="95" t="e">
        <f t="shared" si="5"/>
        <v>#VALUE!</v>
      </c>
      <c r="AC42" s="95" t="e">
        <f t="shared" si="6"/>
        <v>#VALUE!</v>
      </c>
      <c r="AD42" s="12"/>
    </row>
    <row r="43" spans="1:30" ht="15.75" thickBot="1" x14ac:dyDescent="0.3">
      <c r="A43" s="12"/>
      <c r="B43" s="22"/>
      <c r="C43" t="str">
        <f>IF(AND('ENTRY DATA'!D43=""),"",('ENTRY DATA'!D43))</f>
        <v/>
      </c>
      <c r="D43" t="str">
        <f>IF(AND('ENTRY DATA'!F43=""),"",('ENTRY DATA'!F43))</f>
        <v/>
      </c>
      <c r="E43" s="34" t="str">
        <f>IF(AND('ENTRY DATA'!B43=""),"",('ENTRY DATA'!B43))</f>
        <v/>
      </c>
      <c r="F43" s="12"/>
      <c r="G43" s="12"/>
      <c r="H43" s="72"/>
      <c r="I43" s="71"/>
      <c r="J43" s="72"/>
      <c r="K43" s="12"/>
      <c r="L43" s="20">
        <f t="shared" si="0"/>
        <v>0</v>
      </c>
      <c r="M43" s="19" t="str">
        <f t="shared" si="1"/>
        <v/>
      </c>
      <c r="N43" s="12"/>
      <c r="O43" s="119"/>
      <c r="P43" s="95" t="str">
        <f t="shared" si="2"/>
        <v/>
      </c>
      <c r="Q43" s="12"/>
      <c r="S43" s="128"/>
      <c r="T43" s="66"/>
      <c r="U43" s="128"/>
      <c r="W43" s="128"/>
      <c r="X43" s="12"/>
      <c r="Y43" t="str">
        <f t="shared" si="3"/>
        <v/>
      </c>
      <c r="Z43" t="str">
        <f t="shared" si="4"/>
        <v/>
      </c>
      <c r="AA43" s="12"/>
      <c r="AB43" s="95" t="e">
        <f t="shared" si="5"/>
        <v>#VALUE!</v>
      </c>
      <c r="AC43" s="95" t="e">
        <f t="shared" si="6"/>
        <v>#VALUE!</v>
      </c>
      <c r="AD43" s="12"/>
    </row>
    <row r="44" spans="1:30" ht="15.75" thickBot="1" x14ac:dyDescent="0.3">
      <c r="A44" s="12"/>
      <c r="B44" s="22"/>
      <c r="C44" t="str">
        <f>IF(AND('ENTRY DATA'!D44=""),"",('ENTRY DATA'!D44))</f>
        <v/>
      </c>
      <c r="D44" t="str">
        <f>IF(AND('ENTRY DATA'!F44=""),"",('ENTRY DATA'!F44))</f>
        <v/>
      </c>
      <c r="E44" s="34" t="str">
        <f>IF(AND('ENTRY DATA'!B44=""),"",('ENTRY DATA'!B44))</f>
        <v/>
      </c>
      <c r="F44" s="12"/>
      <c r="G44" s="12"/>
      <c r="H44" s="72"/>
      <c r="I44" s="71"/>
      <c r="J44" s="72"/>
      <c r="K44" s="12"/>
      <c r="L44" s="20">
        <f t="shared" si="0"/>
        <v>0</v>
      </c>
      <c r="M44" s="19" t="str">
        <f t="shared" si="1"/>
        <v/>
      </c>
      <c r="N44" s="12"/>
      <c r="O44" s="119"/>
      <c r="P44" s="95" t="str">
        <f t="shared" si="2"/>
        <v/>
      </c>
      <c r="Q44" s="12"/>
      <c r="S44" s="128"/>
      <c r="T44" s="66"/>
      <c r="U44" s="128"/>
      <c r="W44" s="128"/>
      <c r="X44" s="12"/>
      <c r="Y44" t="str">
        <f t="shared" si="3"/>
        <v/>
      </c>
      <c r="Z44" t="str">
        <f t="shared" si="4"/>
        <v/>
      </c>
      <c r="AA44" s="12"/>
      <c r="AB44" s="95" t="e">
        <f t="shared" si="5"/>
        <v>#VALUE!</v>
      </c>
      <c r="AC44" s="95" t="e">
        <f t="shared" si="6"/>
        <v>#VALUE!</v>
      </c>
      <c r="AD44" s="12"/>
    </row>
    <row r="45" spans="1:30" ht="15.75" thickBot="1" x14ac:dyDescent="0.3">
      <c r="A45" s="12"/>
      <c r="B45" s="22"/>
      <c r="C45" t="str">
        <f>IF(AND('ENTRY DATA'!D45=""),"",('ENTRY DATA'!D45))</f>
        <v/>
      </c>
      <c r="D45" t="str">
        <f>IF(AND('ENTRY DATA'!F45=""),"",('ENTRY DATA'!F45))</f>
        <v/>
      </c>
      <c r="E45" s="34" t="str">
        <f>IF(AND('ENTRY DATA'!B45=""),"",('ENTRY DATA'!B45))</f>
        <v/>
      </c>
      <c r="F45" s="12"/>
      <c r="G45" s="12"/>
      <c r="H45" s="72"/>
      <c r="I45" s="71"/>
      <c r="J45" s="72"/>
      <c r="K45" s="12"/>
      <c r="L45" s="20">
        <f t="shared" si="0"/>
        <v>0</v>
      </c>
      <c r="M45" s="19" t="str">
        <f t="shared" si="1"/>
        <v/>
      </c>
      <c r="N45" s="12"/>
      <c r="O45" s="119"/>
      <c r="P45" s="95" t="str">
        <f t="shared" si="2"/>
        <v/>
      </c>
      <c r="Q45" s="12"/>
      <c r="S45" s="128"/>
      <c r="T45" s="66"/>
      <c r="U45" s="128"/>
      <c r="W45" s="128"/>
      <c r="X45" s="12"/>
      <c r="Y45" t="str">
        <f t="shared" si="3"/>
        <v/>
      </c>
      <c r="Z45" t="str">
        <f t="shared" si="4"/>
        <v/>
      </c>
      <c r="AA45" s="12"/>
      <c r="AB45" s="95" t="e">
        <f t="shared" si="5"/>
        <v>#VALUE!</v>
      </c>
      <c r="AC45" s="95" t="e">
        <f t="shared" si="6"/>
        <v>#VALUE!</v>
      </c>
      <c r="AD45" s="12"/>
    </row>
    <row r="46" spans="1:30" ht="15.75" thickBot="1" x14ac:dyDescent="0.3">
      <c r="A46" s="12"/>
      <c r="B46" s="22"/>
      <c r="C46" t="str">
        <f>IF(AND('ENTRY DATA'!D46=""),"",('ENTRY DATA'!D46))</f>
        <v/>
      </c>
      <c r="D46" t="str">
        <f>IF(AND('ENTRY DATA'!F46=""),"",('ENTRY DATA'!F46))</f>
        <v/>
      </c>
      <c r="E46" s="34" t="str">
        <f>IF(AND('ENTRY DATA'!B46=""),"",('ENTRY DATA'!B46))</f>
        <v/>
      </c>
      <c r="F46" s="12"/>
      <c r="G46" s="12"/>
      <c r="H46" s="72"/>
      <c r="I46" s="71"/>
      <c r="J46" s="72"/>
      <c r="K46" s="12"/>
      <c r="L46" s="20">
        <f t="shared" si="0"/>
        <v>0</v>
      </c>
      <c r="M46" s="19" t="str">
        <f t="shared" si="1"/>
        <v/>
      </c>
      <c r="N46" s="12"/>
      <c r="O46" s="119"/>
      <c r="P46" s="95" t="str">
        <f t="shared" si="2"/>
        <v/>
      </c>
      <c r="Q46" s="12"/>
      <c r="S46" s="128"/>
      <c r="T46" s="66"/>
      <c r="U46" s="128"/>
      <c r="W46" s="128"/>
      <c r="X46" s="12"/>
      <c r="Y46" t="str">
        <f t="shared" si="3"/>
        <v/>
      </c>
      <c r="Z46" t="str">
        <f t="shared" si="4"/>
        <v/>
      </c>
      <c r="AA46" s="12"/>
      <c r="AB46" s="95" t="e">
        <f t="shared" si="5"/>
        <v>#VALUE!</v>
      </c>
      <c r="AC46" s="95" t="e">
        <f t="shared" si="6"/>
        <v>#VALUE!</v>
      </c>
      <c r="AD46" s="12"/>
    </row>
    <row r="47" spans="1:30" ht="15.75" thickBot="1" x14ac:dyDescent="0.3">
      <c r="A47" s="12"/>
      <c r="B47" s="22"/>
      <c r="C47" t="str">
        <f>IF(AND('ENTRY DATA'!D47=""),"",('ENTRY DATA'!D47))</f>
        <v/>
      </c>
      <c r="D47" t="str">
        <f>IF(AND('ENTRY DATA'!F47=""),"",('ENTRY DATA'!F47))</f>
        <v/>
      </c>
      <c r="E47" s="34" t="str">
        <f>IF(AND('ENTRY DATA'!B47=""),"",('ENTRY DATA'!B47))</f>
        <v/>
      </c>
      <c r="F47" s="12"/>
      <c r="G47" s="12"/>
      <c r="H47" s="72"/>
      <c r="I47" s="71"/>
      <c r="J47" s="72"/>
      <c r="K47" s="12"/>
      <c r="L47" s="20">
        <f t="shared" si="0"/>
        <v>0</v>
      </c>
      <c r="M47" s="19" t="str">
        <f t="shared" si="1"/>
        <v/>
      </c>
      <c r="N47" s="12"/>
      <c r="O47" s="119"/>
      <c r="P47" s="95" t="str">
        <f t="shared" si="2"/>
        <v/>
      </c>
      <c r="Q47" s="12"/>
      <c r="S47" s="128"/>
      <c r="T47" s="66"/>
      <c r="U47" s="128"/>
      <c r="W47" s="128"/>
      <c r="X47" s="12"/>
      <c r="Y47" t="str">
        <f t="shared" si="3"/>
        <v/>
      </c>
      <c r="Z47" t="str">
        <f t="shared" si="4"/>
        <v/>
      </c>
      <c r="AA47" s="12"/>
      <c r="AB47" s="95" t="e">
        <f t="shared" si="5"/>
        <v>#VALUE!</v>
      </c>
      <c r="AC47" s="95" t="e">
        <f t="shared" si="6"/>
        <v>#VALUE!</v>
      </c>
      <c r="AD47" s="12"/>
    </row>
    <row r="48" spans="1:30" ht="15.75" thickBot="1" x14ac:dyDescent="0.3">
      <c r="A48" s="12"/>
      <c r="B48" s="22"/>
      <c r="C48" t="str">
        <f>IF(AND('ENTRY DATA'!D48=""),"",('ENTRY DATA'!D48))</f>
        <v/>
      </c>
      <c r="D48" t="str">
        <f>IF(AND('ENTRY DATA'!F48=""),"",('ENTRY DATA'!F48))</f>
        <v/>
      </c>
      <c r="E48" s="34" t="str">
        <f>IF(AND('ENTRY DATA'!B48=""),"",('ENTRY DATA'!B48))</f>
        <v/>
      </c>
      <c r="F48" s="12"/>
      <c r="G48" s="12"/>
      <c r="H48" s="72"/>
      <c r="I48" s="71"/>
      <c r="J48" s="72"/>
      <c r="K48" s="12"/>
      <c r="L48" s="20">
        <f t="shared" si="0"/>
        <v>0</v>
      </c>
      <c r="M48" s="19" t="str">
        <f t="shared" si="1"/>
        <v/>
      </c>
      <c r="N48" s="12"/>
      <c r="O48" s="119"/>
      <c r="P48" s="95" t="str">
        <f t="shared" si="2"/>
        <v/>
      </c>
      <c r="Q48" s="12"/>
      <c r="S48" s="128"/>
      <c r="T48" s="66"/>
      <c r="U48" s="128"/>
      <c r="W48" s="128"/>
      <c r="X48" s="12"/>
      <c r="Y48" t="str">
        <f t="shared" si="3"/>
        <v/>
      </c>
      <c r="Z48" t="str">
        <f t="shared" si="4"/>
        <v/>
      </c>
      <c r="AA48" s="12"/>
      <c r="AB48" s="95" t="e">
        <f t="shared" si="5"/>
        <v>#VALUE!</v>
      </c>
      <c r="AC48" s="95" t="e">
        <f t="shared" si="6"/>
        <v>#VALUE!</v>
      </c>
      <c r="AD48" s="12"/>
    </row>
    <row r="49" spans="1:30" ht="15.75" thickBot="1" x14ac:dyDescent="0.3">
      <c r="A49" s="12"/>
      <c r="B49" s="22"/>
      <c r="C49" t="str">
        <f>IF(AND('ENTRY DATA'!D49=""),"",('ENTRY DATA'!D49))</f>
        <v/>
      </c>
      <c r="D49" t="str">
        <f>IF(AND('ENTRY DATA'!F49=""),"",('ENTRY DATA'!F49))</f>
        <v/>
      </c>
      <c r="E49" s="34" t="str">
        <f>IF(AND('ENTRY DATA'!B49=""),"",('ENTRY DATA'!B49))</f>
        <v/>
      </c>
      <c r="F49" s="12"/>
      <c r="G49" s="12"/>
      <c r="H49" s="72"/>
      <c r="I49" s="71"/>
      <c r="J49" s="72"/>
      <c r="K49" s="12"/>
      <c r="L49" s="20">
        <f t="shared" si="0"/>
        <v>0</v>
      </c>
      <c r="M49" s="19" t="str">
        <f t="shared" si="1"/>
        <v/>
      </c>
      <c r="N49" s="12"/>
      <c r="O49" s="119"/>
      <c r="P49" s="95" t="str">
        <f t="shared" si="2"/>
        <v/>
      </c>
      <c r="Q49" s="12"/>
      <c r="S49" s="128"/>
      <c r="T49" s="66"/>
      <c r="U49" s="128"/>
      <c r="W49" s="128"/>
      <c r="X49" s="12"/>
      <c r="Y49" t="str">
        <f t="shared" si="3"/>
        <v/>
      </c>
      <c r="Z49" t="str">
        <f t="shared" si="4"/>
        <v/>
      </c>
      <c r="AA49" s="12"/>
      <c r="AB49" s="95" t="e">
        <f t="shared" si="5"/>
        <v>#VALUE!</v>
      </c>
      <c r="AC49" s="95" t="e">
        <f t="shared" si="6"/>
        <v>#VALUE!</v>
      </c>
      <c r="AD49" s="12"/>
    </row>
    <row r="50" spans="1:30" ht="15.75" thickBot="1" x14ac:dyDescent="0.3">
      <c r="A50" s="12"/>
      <c r="B50" s="22"/>
      <c r="C50" t="str">
        <f>IF(AND('ENTRY DATA'!D50=""),"",('ENTRY DATA'!D50))</f>
        <v/>
      </c>
      <c r="D50" t="str">
        <f>IF(AND('ENTRY DATA'!F50=""),"",('ENTRY DATA'!F50))</f>
        <v/>
      </c>
      <c r="E50" s="34" t="str">
        <f>IF(AND('ENTRY DATA'!B50=""),"",('ENTRY DATA'!B50))</f>
        <v/>
      </c>
      <c r="F50" s="12"/>
      <c r="G50" s="12"/>
      <c r="H50" s="72"/>
      <c r="I50" s="71"/>
      <c r="J50" s="72"/>
      <c r="K50" s="12"/>
      <c r="L50" s="20">
        <f t="shared" si="0"/>
        <v>0</v>
      </c>
      <c r="M50" s="19" t="str">
        <f t="shared" si="1"/>
        <v/>
      </c>
      <c r="N50" s="12"/>
      <c r="O50" s="119"/>
      <c r="P50" s="95" t="str">
        <f t="shared" si="2"/>
        <v/>
      </c>
      <c r="Q50" s="12"/>
      <c r="S50" s="128"/>
      <c r="T50" s="66"/>
      <c r="U50" s="128"/>
      <c r="W50" s="128"/>
      <c r="X50" s="12"/>
      <c r="Y50" t="str">
        <f t="shared" si="3"/>
        <v/>
      </c>
      <c r="Z50" t="str">
        <f t="shared" si="4"/>
        <v/>
      </c>
      <c r="AA50" s="12"/>
      <c r="AB50" s="95" t="e">
        <f t="shared" si="5"/>
        <v>#VALUE!</v>
      </c>
      <c r="AC50" s="95" t="e">
        <f t="shared" si="6"/>
        <v>#VALUE!</v>
      </c>
      <c r="AD50" s="12"/>
    </row>
    <row r="51" spans="1:30" ht="15.75" thickBot="1" x14ac:dyDescent="0.3">
      <c r="A51" s="12"/>
      <c r="B51" s="22"/>
      <c r="C51" t="str">
        <f>IF(AND('ENTRY DATA'!D51=""),"",('ENTRY DATA'!D51))</f>
        <v/>
      </c>
      <c r="D51" t="str">
        <f>IF(AND('ENTRY DATA'!F51=""),"",('ENTRY DATA'!F51))</f>
        <v/>
      </c>
      <c r="E51" s="34" t="str">
        <f>IF(AND('ENTRY DATA'!B51=""),"",('ENTRY DATA'!B51))</f>
        <v/>
      </c>
      <c r="F51" s="12"/>
      <c r="G51" s="12"/>
      <c r="H51" s="72"/>
      <c r="I51" s="71"/>
      <c r="J51" s="72"/>
      <c r="K51" s="12"/>
      <c r="L51" s="20">
        <f t="shared" si="0"/>
        <v>0</v>
      </c>
      <c r="M51" s="19" t="str">
        <f t="shared" si="1"/>
        <v/>
      </c>
      <c r="N51" s="12"/>
      <c r="O51" s="119"/>
      <c r="P51" s="95" t="str">
        <f t="shared" si="2"/>
        <v/>
      </c>
      <c r="Q51" s="12"/>
      <c r="S51" s="128"/>
      <c r="T51" s="66"/>
      <c r="U51" s="128"/>
      <c r="W51" s="128"/>
      <c r="X51" s="12"/>
      <c r="Y51" t="str">
        <f t="shared" si="3"/>
        <v/>
      </c>
      <c r="Z51" t="str">
        <f t="shared" si="4"/>
        <v/>
      </c>
      <c r="AA51" s="12"/>
      <c r="AB51" s="95" t="e">
        <f t="shared" si="5"/>
        <v>#VALUE!</v>
      </c>
      <c r="AC51" s="95" t="e">
        <f t="shared" si="6"/>
        <v>#VALUE!</v>
      </c>
      <c r="AD51" s="12"/>
    </row>
    <row r="52" spans="1:30" ht="15.75" thickBot="1" x14ac:dyDescent="0.3">
      <c r="A52" s="12"/>
      <c r="B52" s="22"/>
      <c r="C52" t="str">
        <f>IF(AND('ENTRY DATA'!D52=""),"",('ENTRY DATA'!D52))</f>
        <v/>
      </c>
      <c r="D52" t="str">
        <f>IF(AND('ENTRY DATA'!F52=""),"",('ENTRY DATA'!F52))</f>
        <v/>
      </c>
      <c r="E52" s="34" t="str">
        <f>IF(AND('ENTRY DATA'!B52=""),"",('ENTRY DATA'!B52))</f>
        <v/>
      </c>
      <c r="F52" s="12"/>
      <c r="G52" s="12"/>
      <c r="H52" s="72"/>
      <c r="I52" s="71"/>
      <c r="J52" s="72"/>
      <c r="K52" s="12"/>
      <c r="L52" s="20">
        <f t="shared" si="0"/>
        <v>0</v>
      </c>
      <c r="M52" s="19" t="str">
        <f t="shared" si="1"/>
        <v/>
      </c>
      <c r="N52" s="12"/>
      <c r="O52" s="119"/>
      <c r="P52" s="95" t="str">
        <f t="shared" si="2"/>
        <v/>
      </c>
      <c r="Q52" s="12"/>
      <c r="S52" s="128"/>
      <c r="T52" s="66"/>
      <c r="U52" s="128"/>
      <c r="W52" s="128"/>
      <c r="X52" s="12"/>
      <c r="Y52" t="str">
        <f t="shared" si="3"/>
        <v/>
      </c>
      <c r="Z52" t="str">
        <f t="shared" si="4"/>
        <v/>
      </c>
      <c r="AA52" s="12"/>
      <c r="AB52" s="95" t="e">
        <f t="shared" si="5"/>
        <v>#VALUE!</v>
      </c>
      <c r="AC52" s="95" t="e">
        <f t="shared" si="6"/>
        <v>#VALUE!</v>
      </c>
      <c r="AD52" s="12"/>
    </row>
    <row r="53" spans="1:30" ht="15.75" thickBot="1" x14ac:dyDescent="0.3">
      <c r="A53" s="12"/>
      <c r="B53" s="22"/>
      <c r="C53" t="str">
        <f>IF(AND('ENTRY DATA'!D53=""),"",('ENTRY DATA'!D53))</f>
        <v/>
      </c>
      <c r="D53" t="str">
        <f>IF(AND('ENTRY DATA'!F53=""),"",('ENTRY DATA'!F53))</f>
        <v/>
      </c>
      <c r="E53" s="34" t="str">
        <f>IF(AND('ENTRY DATA'!B53=""),"",('ENTRY DATA'!B53))</f>
        <v/>
      </c>
      <c r="F53" s="12"/>
      <c r="G53" s="12"/>
      <c r="H53" s="72"/>
      <c r="I53" s="71"/>
      <c r="J53" s="72"/>
      <c r="K53" s="12"/>
      <c r="L53" s="20">
        <f t="shared" si="0"/>
        <v>0</v>
      </c>
      <c r="M53" s="19" t="str">
        <f t="shared" si="1"/>
        <v/>
      </c>
      <c r="N53" s="12"/>
      <c r="O53" s="119"/>
      <c r="P53" s="95" t="str">
        <f t="shared" si="2"/>
        <v/>
      </c>
      <c r="Q53" s="12"/>
      <c r="S53" s="128"/>
      <c r="T53" s="66"/>
      <c r="U53" s="128"/>
      <c r="W53" s="128"/>
      <c r="X53" s="12"/>
      <c r="Y53" t="str">
        <f t="shared" si="3"/>
        <v/>
      </c>
      <c r="Z53" t="str">
        <f t="shared" si="4"/>
        <v/>
      </c>
      <c r="AA53" s="12"/>
      <c r="AB53" s="95" t="e">
        <f t="shared" si="5"/>
        <v>#VALUE!</v>
      </c>
      <c r="AC53" s="95" t="e">
        <f t="shared" si="6"/>
        <v>#VALUE!</v>
      </c>
      <c r="AD53" s="12"/>
    </row>
    <row r="54" spans="1:30" ht="15.75" thickBot="1" x14ac:dyDescent="0.3">
      <c r="A54" s="12"/>
      <c r="B54" s="22"/>
      <c r="C54" t="str">
        <f>IF(AND('ENTRY DATA'!D54=""),"",('ENTRY DATA'!D54))</f>
        <v/>
      </c>
      <c r="D54" t="str">
        <f>IF(AND('ENTRY DATA'!F54=""),"",('ENTRY DATA'!F54))</f>
        <v/>
      </c>
      <c r="E54" s="34" t="str">
        <f>IF(AND('ENTRY DATA'!B54=""),"",('ENTRY DATA'!B54))</f>
        <v/>
      </c>
      <c r="F54" s="12"/>
      <c r="G54" s="12"/>
      <c r="H54" s="72"/>
      <c r="I54" s="71"/>
      <c r="J54" s="72"/>
      <c r="K54" s="12"/>
      <c r="L54" s="20">
        <f t="shared" si="0"/>
        <v>0</v>
      </c>
      <c r="M54" s="19" t="str">
        <f t="shared" si="1"/>
        <v/>
      </c>
      <c r="N54" s="12"/>
      <c r="O54" s="119"/>
      <c r="P54" s="95" t="str">
        <f t="shared" si="2"/>
        <v/>
      </c>
      <c r="Q54" s="12"/>
      <c r="S54" s="128"/>
      <c r="T54" s="66"/>
      <c r="U54" s="128"/>
      <c r="W54" s="128"/>
      <c r="X54" s="12"/>
      <c r="Y54" t="str">
        <f t="shared" si="3"/>
        <v/>
      </c>
      <c r="Z54" t="str">
        <f t="shared" si="4"/>
        <v/>
      </c>
      <c r="AA54" s="12"/>
      <c r="AB54" s="95" t="e">
        <f t="shared" si="5"/>
        <v>#VALUE!</v>
      </c>
      <c r="AC54" s="95" t="e">
        <f t="shared" si="6"/>
        <v>#VALUE!</v>
      </c>
      <c r="AD54" s="12"/>
    </row>
    <row r="55" spans="1:30" ht="15.75" thickBot="1" x14ac:dyDescent="0.3">
      <c r="A55" s="12"/>
      <c r="B55" s="22"/>
      <c r="C55" t="str">
        <f>IF(AND('ENTRY DATA'!D55=""),"",('ENTRY DATA'!D55))</f>
        <v/>
      </c>
      <c r="D55" t="str">
        <f>IF(AND('ENTRY DATA'!F55=""),"",('ENTRY DATA'!F55))</f>
        <v/>
      </c>
      <c r="E55" s="34" t="str">
        <f>IF(AND('ENTRY DATA'!B55=""),"",('ENTRY DATA'!B55))</f>
        <v/>
      </c>
      <c r="F55" s="12"/>
      <c r="G55" s="12"/>
      <c r="H55" s="72"/>
      <c r="I55" s="71"/>
      <c r="J55" s="72"/>
      <c r="K55" s="12"/>
      <c r="L55" s="20">
        <f t="shared" si="0"/>
        <v>0</v>
      </c>
      <c r="M55" s="19" t="str">
        <f t="shared" si="1"/>
        <v/>
      </c>
      <c r="N55" s="12"/>
      <c r="O55" s="119"/>
      <c r="P55" s="95" t="str">
        <f t="shared" si="2"/>
        <v/>
      </c>
      <c r="Q55" s="12"/>
      <c r="S55" s="128"/>
      <c r="T55" s="66"/>
      <c r="U55" s="128"/>
      <c r="W55" s="128"/>
      <c r="X55" s="12"/>
      <c r="Y55" t="str">
        <f t="shared" si="3"/>
        <v/>
      </c>
      <c r="Z55" t="str">
        <f t="shared" si="4"/>
        <v/>
      </c>
      <c r="AA55" s="12"/>
      <c r="AB55" s="95" t="e">
        <f t="shared" si="5"/>
        <v>#VALUE!</v>
      </c>
      <c r="AC55" s="95" t="e">
        <f t="shared" si="6"/>
        <v>#VALUE!</v>
      </c>
      <c r="AD55" s="12"/>
    </row>
    <row r="56" spans="1:30" ht="15.75" thickBot="1" x14ac:dyDescent="0.3">
      <c r="A56" s="12"/>
      <c r="B56" s="22"/>
      <c r="C56" t="str">
        <f>IF(AND('ENTRY DATA'!D56=""),"",('ENTRY DATA'!D56))</f>
        <v/>
      </c>
      <c r="D56" t="str">
        <f>IF(AND('ENTRY DATA'!F56=""),"",('ENTRY DATA'!F56))</f>
        <v/>
      </c>
      <c r="E56" s="34" t="str">
        <f>IF(AND('ENTRY DATA'!B56=""),"",('ENTRY DATA'!B56))</f>
        <v/>
      </c>
      <c r="F56" s="12"/>
      <c r="G56" s="12"/>
      <c r="H56" s="72"/>
      <c r="I56" s="71"/>
      <c r="J56" s="72"/>
      <c r="K56" s="12"/>
      <c r="L56" s="20">
        <f t="shared" si="0"/>
        <v>0</v>
      </c>
      <c r="M56" s="19" t="str">
        <f t="shared" si="1"/>
        <v/>
      </c>
      <c r="N56" s="12"/>
      <c r="O56" s="119"/>
      <c r="P56" s="95" t="str">
        <f t="shared" si="2"/>
        <v/>
      </c>
      <c r="Q56" s="12"/>
      <c r="S56" s="128"/>
      <c r="T56" s="66"/>
      <c r="U56" s="128"/>
      <c r="W56" s="128"/>
      <c r="X56" s="12"/>
      <c r="Y56" t="str">
        <f t="shared" si="3"/>
        <v/>
      </c>
      <c r="Z56" t="str">
        <f t="shared" si="4"/>
        <v/>
      </c>
      <c r="AA56" s="12"/>
      <c r="AB56" s="95" t="e">
        <f t="shared" si="5"/>
        <v>#VALUE!</v>
      </c>
      <c r="AC56" s="95" t="e">
        <f t="shared" si="6"/>
        <v>#VALUE!</v>
      </c>
      <c r="AD56" s="12"/>
    </row>
    <row r="57" spans="1:30" ht="15.75" thickBot="1" x14ac:dyDescent="0.3">
      <c r="A57" s="12"/>
      <c r="B57" s="22"/>
      <c r="C57" t="str">
        <f>IF(AND('ENTRY DATA'!D57=""),"",('ENTRY DATA'!D57))</f>
        <v/>
      </c>
      <c r="D57" t="str">
        <f>IF(AND('ENTRY DATA'!F57=""),"",('ENTRY DATA'!F57))</f>
        <v/>
      </c>
      <c r="E57" s="34" t="str">
        <f>IF(AND('ENTRY DATA'!B57=""),"",('ENTRY DATA'!B57))</f>
        <v/>
      </c>
      <c r="F57" s="12"/>
      <c r="G57" s="12"/>
      <c r="H57" s="72"/>
      <c r="I57" s="71"/>
      <c r="J57" s="72"/>
      <c r="K57" s="12"/>
      <c r="L57" s="20">
        <f t="shared" si="0"/>
        <v>0</v>
      </c>
      <c r="M57" s="19" t="str">
        <f t="shared" si="1"/>
        <v/>
      </c>
      <c r="N57" s="12"/>
      <c r="O57" s="119"/>
      <c r="P57" s="95" t="str">
        <f t="shared" si="2"/>
        <v/>
      </c>
      <c r="Q57" s="12"/>
      <c r="S57" s="128"/>
      <c r="T57" s="66"/>
      <c r="U57" s="128"/>
      <c r="W57" s="128"/>
      <c r="X57" s="12"/>
      <c r="Y57" t="str">
        <f t="shared" si="3"/>
        <v/>
      </c>
      <c r="Z57" t="str">
        <f t="shared" si="4"/>
        <v/>
      </c>
      <c r="AA57" s="12"/>
      <c r="AB57" s="95" t="e">
        <f t="shared" si="5"/>
        <v>#VALUE!</v>
      </c>
      <c r="AC57" s="95" t="e">
        <f t="shared" si="6"/>
        <v>#VALUE!</v>
      </c>
      <c r="AD57" s="12"/>
    </row>
    <row r="58" spans="1:30" ht="15.75" thickBot="1" x14ac:dyDescent="0.3">
      <c r="A58" s="12"/>
      <c r="B58" s="22"/>
      <c r="C58" t="str">
        <f>IF(AND('ENTRY DATA'!D58=""),"",('ENTRY DATA'!D58))</f>
        <v/>
      </c>
      <c r="D58" t="str">
        <f>IF(AND('ENTRY DATA'!F58=""),"",('ENTRY DATA'!F58))</f>
        <v/>
      </c>
      <c r="E58" s="34" t="str">
        <f>IF(AND('ENTRY DATA'!B58=""),"",('ENTRY DATA'!B58))</f>
        <v/>
      </c>
      <c r="F58" s="12"/>
      <c r="G58" s="12"/>
      <c r="H58" s="72"/>
      <c r="I58" s="71"/>
      <c r="J58" s="72"/>
      <c r="K58" s="12"/>
      <c r="L58" s="20">
        <f t="shared" si="0"/>
        <v>0</v>
      </c>
      <c r="M58" s="19" t="str">
        <f t="shared" si="1"/>
        <v/>
      </c>
      <c r="N58" s="12"/>
      <c r="O58" s="119"/>
      <c r="P58" s="95" t="str">
        <f t="shared" si="2"/>
        <v/>
      </c>
      <c r="Q58" s="12"/>
      <c r="S58" s="128"/>
      <c r="T58" s="66"/>
      <c r="U58" s="128"/>
      <c r="W58" s="128"/>
      <c r="X58" s="12"/>
      <c r="Y58" t="str">
        <f t="shared" si="3"/>
        <v/>
      </c>
      <c r="Z58" t="str">
        <f t="shared" si="4"/>
        <v/>
      </c>
      <c r="AA58" s="12"/>
      <c r="AB58" s="95" t="e">
        <f t="shared" si="5"/>
        <v>#VALUE!</v>
      </c>
      <c r="AC58" s="95" t="e">
        <f t="shared" si="6"/>
        <v>#VALUE!</v>
      </c>
      <c r="AD58" s="12"/>
    </row>
    <row r="59" spans="1:30" ht="15.75" thickBot="1" x14ac:dyDescent="0.3">
      <c r="A59" s="12"/>
      <c r="B59" s="22"/>
      <c r="C59" t="str">
        <f>IF(AND('ENTRY DATA'!D59=""),"",('ENTRY DATA'!D59))</f>
        <v/>
      </c>
      <c r="D59" t="str">
        <f>IF(AND('ENTRY DATA'!F59=""),"",('ENTRY DATA'!F59))</f>
        <v/>
      </c>
      <c r="E59" s="34" t="str">
        <f>IF(AND('ENTRY DATA'!B59=""),"",('ENTRY DATA'!B59))</f>
        <v/>
      </c>
      <c r="F59" s="12"/>
      <c r="G59" s="12"/>
      <c r="H59" s="72"/>
      <c r="I59" s="71"/>
      <c r="J59" s="72"/>
      <c r="K59" s="12"/>
      <c r="L59" s="20">
        <f t="shared" si="0"/>
        <v>0</v>
      </c>
      <c r="M59" s="19" t="str">
        <f t="shared" si="1"/>
        <v/>
      </c>
      <c r="N59" s="12"/>
      <c r="O59" s="119"/>
      <c r="P59" s="95" t="str">
        <f t="shared" si="2"/>
        <v/>
      </c>
      <c r="Q59" s="12"/>
      <c r="S59" s="128"/>
      <c r="T59" s="66"/>
      <c r="U59" s="128"/>
      <c r="W59" s="128"/>
      <c r="X59" s="12"/>
      <c r="Y59" t="str">
        <f t="shared" si="3"/>
        <v/>
      </c>
      <c r="Z59" t="str">
        <f t="shared" si="4"/>
        <v/>
      </c>
      <c r="AA59" s="12"/>
      <c r="AB59" s="95" t="e">
        <f t="shared" si="5"/>
        <v>#VALUE!</v>
      </c>
      <c r="AC59" s="95" t="e">
        <f t="shared" si="6"/>
        <v>#VALUE!</v>
      </c>
      <c r="AD59" s="12"/>
    </row>
    <row r="60" spans="1:30" ht="15.75" thickBot="1" x14ac:dyDescent="0.3">
      <c r="A60" s="12"/>
      <c r="B60" s="22"/>
      <c r="C60" t="str">
        <f>IF(AND('ENTRY DATA'!D60=""),"",('ENTRY DATA'!D60))</f>
        <v/>
      </c>
      <c r="D60" t="str">
        <f>IF(AND('ENTRY DATA'!F60=""),"",('ENTRY DATA'!F60))</f>
        <v/>
      </c>
      <c r="E60" s="34" t="str">
        <f>IF(AND('ENTRY DATA'!B60=""),"",('ENTRY DATA'!B60))</f>
        <v/>
      </c>
      <c r="F60" s="12"/>
      <c r="G60" s="12"/>
      <c r="H60" s="72"/>
      <c r="I60" s="71"/>
      <c r="J60" s="72"/>
      <c r="K60" s="12"/>
      <c r="L60" s="20">
        <f t="shared" si="0"/>
        <v>0</v>
      </c>
      <c r="M60" s="19" t="str">
        <f t="shared" si="1"/>
        <v/>
      </c>
      <c r="N60" s="12"/>
      <c r="O60" s="119"/>
      <c r="P60" s="95" t="str">
        <f t="shared" si="2"/>
        <v/>
      </c>
      <c r="Q60" s="12"/>
      <c r="S60" s="128"/>
      <c r="T60" s="66"/>
      <c r="U60" s="128"/>
      <c r="W60" s="128"/>
      <c r="X60" s="12"/>
      <c r="Y60" t="str">
        <f t="shared" si="3"/>
        <v/>
      </c>
      <c r="Z60" t="str">
        <f t="shared" si="4"/>
        <v/>
      </c>
      <c r="AA60" s="12"/>
      <c r="AB60" s="95" t="e">
        <f t="shared" si="5"/>
        <v>#VALUE!</v>
      </c>
      <c r="AC60" s="95" t="e">
        <f t="shared" si="6"/>
        <v>#VALUE!</v>
      </c>
      <c r="AD60" s="12"/>
    </row>
    <row r="61" spans="1:30" ht="15.75" thickBot="1" x14ac:dyDescent="0.3">
      <c r="A61" s="12"/>
      <c r="B61" s="22"/>
      <c r="C61" t="str">
        <f>IF(AND('ENTRY DATA'!D61=""),"",('ENTRY DATA'!D61))</f>
        <v/>
      </c>
      <c r="D61" t="str">
        <f>IF(AND('ENTRY DATA'!F61=""),"",('ENTRY DATA'!F61))</f>
        <v/>
      </c>
      <c r="E61" s="34" t="str">
        <f>IF(AND('ENTRY DATA'!B61=""),"",('ENTRY DATA'!B61))</f>
        <v/>
      </c>
      <c r="F61" s="12"/>
      <c r="G61" s="12"/>
      <c r="H61" s="72"/>
      <c r="I61" s="71"/>
      <c r="J61" s="72"/>
      <c r="K61" s="12"/>
      <c r="L61" s="20">
        <f t="shared" si="0"/>
        <v>0</v>
      </c>
      <c r="M61" s="19" t="str">
        <f t="shared" si="1"/>
        <v/>
      </c>
      <c r="N61" s="12"/>
      <c r="O61" s="119"/>
      <c r="P61" s="95" t="str">
        <f t="shared" si="2"/>
        <v/>
      </c>
      <c r="Q61" s="12"/>
      <c r="S61" s="128"/>
      <c r="T61" s="66"/>
      <c r="U61" s="128"/>
      <c r="W61" s="128"/>
      <c r="X61" s="12"/>
      <c r="Y61" t="str">
        <f t="shared" si="3"/>
        <v/>
      </c>
      <c r="Z61" t="str">
        <f t="shared" si="4"/>
        <v/>
      </c>
      <c r="AA61" s="12"/>
      <c r="AB61" s="95" t="e">
        <f t="shared" si="5"/>
        <v>#VALUE!</v>
      </c>
      <c r="AC61" s="95" t="e">
        <f t="shared" si="6"/>
        <v>#VALUE!</v>
      </c>
      <c r="AD61" s="12"/>
    </row>
    <row r="62" spans="1:30" ht="15.75" thickBot="1" x14ac:dyDescent="0.3">
      <c r="A62" s="12"/>
      <c r="B62" s="22"/>
      <c r="C62" t="str">
        <f>IF(AND('ENTRY DATA'!D62=""),"",('ENTRY DATA'!D62))</f>
        <v/>
      </c>
      <c r="D62" t="str">
        <f>IF(AND('ENTRY DATA'!F62=""),"",('ENTRY DATA'!F62))</f>
        <v/>
      </c>
      <c r="E62" s="34" t="str">
        <f>IF(AND('ENTRY DATA'!B62=""),"",('ENTRY DATA'!B62))</f>
        <v/>
      </c>
      <c r="F62" s="12"/>
      <c r="G62" s="12"/>
      <c r="H62" s="72"/>
      <c r="I62" s="71"/>
      <c r="J62" s="72"/>
      <c r="K62" s="12"/>
      <c r="L62" s="20">
        <f t="shared" si="0"/>
        <v>0</v>
      </c>
      <c r="M62" s="19" t="str">
        <f t="shared" si="1"/>
        <v/>
      </c>
      <c r="N62" s="12"/>
      <c r="O62" s="119"/>
      <c r="P62" s="95" t="str">
        <f t="shared" si="2"/>
        <v/>
      </c>
      <c r="Q62" s="12"/>
      <c r="S62" s="128"/>
      <c r="T62" s="66"/>
      <c r="U62" s="128"/>
      <c r="W62" s="128"/>
      <c r="X62" s="12"/>
      <c r="Y62" t="str">
        <f t="shared" si="3"/>
        <v/>
      </c>
      <c r="Z62" t="str">
        <f t="shared" si="4"/>
        <v/>
      </c>
      <c r="AA62" s="12"/>
      <c r="AB62" s="95" t="e">
        <f t="shared" si="5"/>
        <v>#VALUE!</v>
      </c>
      <c r="AC62" s="95" t="e">
        <f t="shared" si="6"/>
        <v>#VALUE!</v>
      </c>
      <c r="AD62" s="12"/>
    </row>
    <row r="63" spans="1:30" ht="15.75" thickBot="1" x14ac:dyDescent="0.3">
      <c r="A63" s="12"/>
      <c r="B63" s="22"/>
      <c r="C63" t="str">
        <f>IF(AND('ENTRY DATA'!D63=""),"",('ENTRY DATA'!D63))</f>
        <v/>
      </c>
      <c r="D63" t="str">
        <f>IF(AND('ENTRY DATA'!F63=""),"",('ENTRY DATA'!F63))</f>
        <v/>
      </c>
      <c r="E63" s="34" t="str">
        <f>IF(AND('ENTRY DATA'!B63=""),"",('ENTRY DATA'!B63))</f>
        <v/>
      </c>
      <c r="F63" s="12"/>
      <c r="G63" s="12"/>
      <c r="H63" s="72"/>
      <c r="I63" s="71"/>
      <c r="J63" s="72"/>
      <c r="K63" s="12"/>
      <c r="L63" s="20">
        <f t="shared" si="0"/>
        <v>0</v>
      </c>
      <c r="M63" s="19" t="str">
        <f t="shared" si="1"/>
        <v/>
      </c>
      <c r="N63" s="12"/>
      <c r="O63" s="119"/>
      <c r="P63" s="95" t="str">
        <f t="shared" si="2"/>
        <v/>
      </c>
      <c r="Q63" s="12"/>
      <c r="S63" s="128"/>
      <c r="T63" s="66"/>
      <c r="U63" s="128"/>
      <c r="W63" s="128"/>
      <c r="X63" s="12"/>
      <c r="Y63" t="str">
        <f t="shared" si="3"/>
        <v/>
      </c>
      <c r="Z63" t="str">
        <f t="shared" si="4"/>
        <v/>
      </c>
      <c r="AA63" s="12"/>
      <c r="AB63" s="95" t="e">
        <f t="shared" si="5"/>
        <v>#VALUE!</v>
      </c>
      <c r="AC63" s="95" t="e">
        <f t="shared" si="6"/>
        <v>#VALUE!</v>
      </c>
      <c r="AD63" s="12"/>
    </row>
    <row r="64" spans="1:30" ht="15.75" thickBot="1" x14ac:dyDescent="0.3">
      <c r="A64" s="12"/>
      <c r="B64" s="22"/>
      <c r="C64" t="str">
        <f>IF(AND('ENTRY DATA'!D64=""),"",('ENTRY DATA'!D64))</f>
        <v/>
      </c>
      <c r="D64" t="str">
        <f>IF(AND('ENTRY DATA'!F64=""),"",('ENTRY DATA'!F64))</f>
        <v/>
      </c>
      <c r="E64" s="34" t="str">
        <f>IF(AND('ENTRY DATA'!B64=""),"",('ENTRY DATA'!B64))</f>
        <v/>
      </c>
      <c r="F64" s="12"/>
      <c r="G64" s="12"/>
      <c r="H64" s="72"/>
      <c r="I64" s="71"/>
      <c r="J64" s="72"/>
      <c r="K64" s="12"/>
      <c r="L64" s="20">
        <f t="shared" si="0"/>
        <v>0</v>
      </c>
      <c r="M64" s="19" t="str">
        <f t="shared" si="1"/>
        <v/>
      </c>
      <c r="N64" s="12"/>
      <c r="O64" s="119"/>
      <c r="P64" s="95" t="str">
        <f t="shared" si="2"/>
        <v/>
      </c>
      <c r="Q64" s="12"/>
      <c r="S64" s="128"/>
      <c r="T64" s="66"/>
      <c r="U64" s="128"/>
      <c r="W64" s="128"/>
      <c r="X64" s="12"/>
      <c r="Y64" t="str">
        <f t="shared" si="3"/>
        <v/>
      </c>
      <c r="Z64" t="str">
        <f t="shared" si="4"/>
        <v/>
      </c>
      <c r="AA64" s="12"/>
      <c r="AB64" s="95" t="e">
        <f t="shared" si="5"/>
        <v>#VALUE!</v>
      </c>
      <c r="AC64" s="95" t="e">
        <f t="shared" si="6"/>
        <v>#VALUE!</v>
      </c>
      <c r="AD64" s="12"/>
    </row>
    <row r="65" spans="1:30" ht="15.75" thickBot="1" x14ac:dyDescent="0.3">
      <c r="A65" s="12"/>
      <c r="B65" s="22"/>
      <c r="C65" t="str">
        <f>IF(AND('ENTRY DATA'!D65=""),"",('ENTRY DATA'!D65))</f>
        <v/>
      </c>
      <c r="D65" t="str">
        <f>IF(AND('ENTRY DATA'!F65=""),"",('ENTRY DATA'!F65))</f>
        <v/>
      </c>
      <c r="E65" s="34" t="str">
        <f>IF(AND('ENTRY DATA'!B65=""),"",('ENTRY DATA'!B65))</f>
        <v/>
      </c>
      <c r="F65" s="12"/>
      <c r="G65" s="12"/>
      <c r="H65" s="72"/>
      <c r="I65" s="71"/>
      <c r="J65" s="72"/>
      <c r="K65" s="12"/>
      <c r="L65" s="20">
        <f t="shared" si="0"/>
        <v>0</v>
      </c>
      <c r="M65" s="19" t="str">
        <f t="shared" si="1"/>
        <v/>
      </c>
      <c r="N65" s="12"/>
      <c r="O65" s="119"/>
      <c r="P65" s="95" t="str">
        <f t="shared" si="2"/>
        <v/>
      </c>
      <c r="Q65" s="12"/>
      <c r="S65" s="128"/>
      <c r="T65" s="66"/>
      <c r="U65" s="128"/>
      <c r="W65" s="128"/>
      <c r="X65" s="12"/>
      <c r="Y65" t="str">
        <f t="shared" si="3"/>
        <v/>
      </c>
      <c r="Z65" t="str">
        <f t="shared" si="4"/>
        <v/>
      </c>
      <c r="AA65" s="12"/>
      <c r="AB65" s="95" t="e">
        <f t="shared" si="5"/>
        <v>#VALUE!</v>
      </c>
      <c r="AC65" s="95" t="e">
        <f t="shared" si="6"/>
        <v>#VALUE!</v>
      </c>
      <c r="AD65" s="12"/>
    </row>
    <row r="66" spans="1:30" ht="15.75" thickBot="1" x14ac:dyDescent="0.3">
      <c r="A66" s="12"/>
      <c r="B66" s="22"/>
      <c r="C66" t="str">
        <f>IF(AND('ENTRY DATA'!D66=""),"",('ENTRY DATA'!D66))</f>
        <v/>
      </c>
      <c r="D66" t="str">
        <f>IF(AND('ENTRY DATA'!F66=""),"",('ENTRY DATA'!F66))</f>
        <v/>
      </c>
      <c r="E66" s="34" t="str">
        <f>IF(AND('ENTRY DATA'!B66=""),"",('ENTRY DATA'!B66))</f>
        <v/>
      </c>
      <c r="F66" s="12"/>
      <c r="G66" s="12"/>
      <c r="H66" s="72"/>
      <c r="I66" s="71"/>
      <c r="J66" s="72"/>
      <c r="K66" s="12"/>
      <c r="L66" s="20">
        <f t="shared" si="0"/>
        <v>0</v>
      </c>
      <c r="M66" s="19" t="str">
        <f t="shared" si="1"/>
        <v/>
      </c>
      <c r="N66" s="12"/>
      <c r="O66" s="119"/>
      <c r="P66" s="95" t="str">
        <f t="shared" si="2"/>
        <v/>
      </c>
      <c r="Q66" s="12"/>
      <c r="S66" s="128"/>
      <c r="T66" s="66"/>
      <c r="U66" s="128"/>
      <c r="W66" s="128"/>
      <c r="X66" s="12"/>
      <c r="Y66" t="str">
        <f t="shared" si="3"/>
        <v/>
      </c>
      <c r="Z66" t="str">
        <f t="shared" si="4"/>
        <v/>
      </c>
      <c r="AA66" s="12"/>
      <c r="AB66" s="95" t="e">
        <f t="shared" si="5"/>
        <v>#VALUE!</v>
      </c>
      <c r="AC66" s="95" t="e">
        <f t="shared" si="6"/>
        <v>#VALUE!</v>
      </c>
      <c r="AD66" s="12"/>
    </row>
    <row r="67" spans="1:30" ht="15.75" thickBot="1" x14ac:dyDescent="0.3">
      <c r="A67" s="12"/>
      <c r="B67" s="22"/>
      <c r="C67" t="str">
        <f>IF(AND('ENTRY DATA'!D67=""),"",('ENTRY DATA'!D67))</f>
        <v/>
      </c>
      <c r="D67" t="str">
        <f>IF(AND('ENTRY DATA'!F67=""),"",('ENTRY DATA'!F67))</f>
        <v/>
      </c>
      <c r="E67" s="34" t="str">
        <f>IF(AND('ENTRY DATA'!B67=""),"",('ENTRY DATA'!B67))</f>
        <v/>
      </c>
      <c r="F67" s="12"/>
      <c r="G67" s="12"/>
      <c r="H67" s="72"/>
      <c r="I67" s="71"/>
      <c r="J67" s="72"/>
      <c r="K67" s="12"/>
      <c r="L67" s="20">
        <f t="shared" si="0"/>
        <v>0</v>
      </c>
      <c r="M67" s="19" t="str">
        <f t="shared" si="1"/>
        <v/>
      </c>
      <c r="N67" s="12"/>
      <c r="O67" s="119"/>
      <c r="P67" s="95" t="str">
        <f t="shared" si="2"/>
        <v/>
      </c>
      <c r="Q67" s="12"/>
      <c r="S67" s="128"/>
      <c r="T67" s="66"/>
      <c r="U67" s="128"/>
      <c r="W67" s="128"/>
      <c r="X67" s="12"/>
      <c r="Y67" t="str">
        <f t="shared" si="3"/>
        <v/>
      </c>
      <c r="Z67" t="str">
        <f t="shared" si="4"/>
        <v/>
      </c>
      <c r="AA67" s="12"/>
      <c r="AB67" s="95" t="e">
        <f t="shared" si="5"/>
        <v>#VALUE!</v>
      </c>
      <c r="AC67" s="95" t="e">
        <f t="shared" si="6"/>
        <v>#VALUE!</v>
      </c>
      <c r="AD67" s="12"/>
    </row>
    <row r="68" spans="1:30" ht="15.75" thickBot="1" x14ac:dyDescent="0.3">
      <c r="A68" s="12"/>
      <c r="B68" s="22"/>
      <c r="C68" t="str">
        <f>IF(AND('ENTRY DATA'!D68=""),"",('ENTRY DATA'!D68))</f>
        <v/>
      </c>
      <c r="D68" t="str">
        <f>IF(AND('ENTRY DATA'!F68=""),"",('ENTRY DATA'!F68))</f>
        <v/>
      </c>
      <c r="E68" s="34" t="str">
        <f>IF(AND('ENTRY DATA'!B68=""),"",('ENTRY DATA'!B68))</f>
        <v/>
      </c>
      <c r="F68" s="12"/>
      <c r="G68" s="12"/>
      <c r="H68" s="72"/>
      <c r="I68" s="71"/>
      <c r="J68" s="72"/>
      <c r="K68" s="12"/>
      <c r="L68" s="20">
        <f t="shared" si="0"/>
        <v>0</v>
      </c>
      <c r="M68" s="19" t="str">
        <f t="shared" si="1"/>
        <v/>
      </c>
      <c r="N68" s="12"/>
      <c r="O68" s="119"/>
      <c r="P68" s="95" t="str">
        <f t="shared" si="2"/>
        <v/>
      </c>
      <c r="Q68" s="12"/>
      <c r="S68" s="128"/>
      <c r="T68" s="66"/>
      <c r="U68" s="128"/>
      <c r="W68" s="128"/>
      <c r="X68" s="12"/>
      <c r="Y68" t="str">
        <f t="shared" si="3"/>
        <v/>
      </c>
      <c r="Z68" t="str">
        <f t="shared" si="4"/>
        <v/>
      </c>
      <c r="AA68" s="12"/>
      <c r="AB68" s="95" t="e">
        <f t="shared" si="5"/>
        <v>#VALUE!</v>
      </c>
      <c r="AC68" s="95" t="e">
        <f t="shared" si="6"/>
        <v>#VALUE!</v>
      </c>
      <c r="AD68" s="12"/>
    </row>
    <row r="69" spans="1:30" ht="15.75" thickBot="1" x14ac:dyDescent="0.3">
      <c r="A69" s="12"/>
      <c r="B69" s="22"/>
      <c r="C69" t="str">
        <f>IF(AND('ENTRY DATA'!D69=""),"",('ENTRY DATA'!D69))</f>
        <v/>
      </c>
      <c r="D69" t="str">
        <f>IF(AND('ENTRY DATA'!F69=""),"",('ENTRY DATA'!F69))</f>
        <v/>
      </c>
      <c r="E69" s="34" t="str">
        <f>IF(AND('ENTRY DATA'!B69=""),"",('ENTRY DATA'!B69))</f>
        <v/>
      </c>
      <c r="F69" s="12"/>
      <c r="G69" s="12"/>
      <c r="H69" s="72"/>
      <c r="I69" s="71"/>
      <c r="J69" s="72"/>
      <c r="K69" s="12"/>
      <c r="L69" s="20">
        <f t="shared" si="0"/>
        <v>0</v>
      </c>
      <c r="M69" s="19" t="str">
        <f t="shared" si="1"/>
        <v/>
      </c>
      <c r="N69" s="12"/>
      <c r="O69" s="119"/>
      <c r="P69" s="95" t="str">
        <f t="shared" si="2"/>
        <v/>
      </c>
      <c r="Q69" s="12"/>
      <c r="S69" s="128"/>
      <c r="T69" s="66"/>
      <c r="U69" s="128"/>
      <c r="W69" s="128"/>
      <c r="X69" s="12"/>
      <c r="Y69" t="str">
        <f t="shared" si="3"/>
        <v/>
      </c>
      <c r="Z69" t="str">
        <f t="shared" si="4"/>
        <v/>
      </c>
      <c r="AA69" s="12"/>
      <c r="AB69" s="95" t="e">
        <f t="shared" si="5"/>
        <v>#VALUE!</v>
      </c>
      <c r="AC69" s="95" t="e">
        <f t="shared" si="6"/>
        <v>#VALUE!</v>
      </c>
      <c r="AD69" s="12"/>
    </row>
    <row r="70" spans="1:30" ht="15.75" thickBot="1" x14ac:dyDescent="0.3">
      <c r="A70" s="12"/>
      <c r="B70" s="22"/>
      <c r="C70" t="str">
        <f>IF(AND('ENTRY DATA'!D70=""),"",('ENTRY DATA'!D70))</f>
        <v/>
      </c>
      <c r="D70" t="str">
        <f>IF(AND('ENTRY DATA'!F70=""),"",('ENTRY DATA'!F70))</f>
        <v/>
      </c>
      <c r="E70" s="34" t="str">
        <f>IF(AND('ENTRY DATA'!B70=""),"",('ENTRY DATA'!B70))</f>
        <v/>
      </c>
      <c r="F70" s="12"/>
      <c r="G70" s="12"/>
      <c r="H70" s="72"/>
      <c r="I70" s="71"/>
      <c r="J70" s="72"/>
      <c r="K70" s="12"/>
      <c r="L70" s="20">
        <f t="shared" ref="L70:L133" si="7">COUNT(H70:J70)</f>
        <v>0</v>
      </c>
      <c r="M70" s="19" t="str">
        <f t="shared" ref="M70:M133" si="8">IF(AND(H70="",I70="",J70=""),"",(H70+I70+J70))</f>
        <v/>
      </c>
      <c r="N70" s="12"/>
      <c r="O70" s="119"/>
      <c r="P70" s="95" t="str">
        <f t="shared" ref="P70:P133" si="9">C70</f>
        <v/>
      </c>
      <c r="Q70" s="12"/>
      <c r="S70" s="128"/>
      <c r="T70" s="66"/>
      <c r="U70" s="128"/>
      <c r="W70" s="128"/>
      <c r="X70" s="12"/>
      <c r="Y70" t="str">
        <f t="shared" ref="Y70:Y133" si="10">IF(AND(R70="",T70="",V70=""),"",SUM(R70,T70,V70))</f>
        <v/>
      </c>
      <c r="Z70" t="str">
        <f t="shared" ref="Z70:Z133" si="11">IF(AND(S70="",U70="",W70=""),"",SUM(S70,U70,W70))</f>
        <v/>
      </c>
      <c r="AA70" s="12"/>
      <c r="AB70" s="95" t="e">
        <f t="shared" ref="AB70:AB133" si="12">Y70/L70</f>
        <v>#VALUE!</v>
      </c>
      <c r="AC70" s="95" t="e">
        <f t="shared" ref="AC70:AC133" si="13">Z70/L70</f>
        <v>#VALUE!</v>
      </c>
      <c r="AD70" s="12"/>
    </row>
    <row r="71" spans="1:30" ht="15.75" thickBot="1" x14ac:dyDescent="0.3">
      <c r="A71" s="12"/>
      <c r="B71" s="22"/>
      <c r="C71" t="str">
        <f>IF(AND('ENTRY DATA'!D71=""),"",('ENTRY DATA'!D71))</f>
        <v/>
      </c>
      <c r="D71" t="str">
        <f>IF(AND('ENTRY DATA'!F71=""),"",('ENTRY DATA'!F71))</f>
        <v/>
      </c>
      <c r="E71" s="34" t="str">
        <f>IF(AND('ENTRY DATA'!B71=""),"",('ENTRY DATA'!B71))</f>
        <v/>
      </c>
      <c r="F71" s="12"/>
      <c r="G71" s="12"/>
      <c r="H71" s="72"/>
      <c r="I71" s="71"/>
      <c r="J71" s="72"/>
      <c r="K71" s="12"/>
      <c r="L71" s="20">
        <f t="shared" si="7"/>
        <v>0</v>
      </c>
      <c r="M71" s="19" t="str">
        <f t="shared" si="8"/>
        <v/>
      </c>
      <c r="N71" s="12"/>
      <c r="O71" s="119"/>
      <c r="P71" s="95" t="str">
        <f t="shared" si="9"/>
        <v/>
      </c>
      <c r="Q71" s="12"/>
      <c r="S71" s="128"/>
      <c r="T71" s="66"/>
      <c r="U71" s="128"/>
      <c r="W71" s="128"/>
      <c r="X71" s="12"/>
      <c r="Y71" t="str">
        <f t="shared" si="10"/>
        <v/>
      </c>
      <c r="Z71" t="str">
        <f t="shared" si="11"/>
        <v/>
      </c>
      <c r="AA71" s="12"/>
      <c r="AB71" s="95" t="e">
        <f t="shared" si="12"/>
        <v>#VALUE!</v>
      </c>
      <c r="AC71" s="95" t="e">
        <f t="shared" si="13"/>
        <v>#VALUE!</v>
      </c>
      <c r="AD71" s="12"/>
    </row>
    <row r="72" spans="1:30" ht="15.75" thickBot="1" x14ac:dyDescent="0.3">
      <c r="A72" s="12"/>
      <c r="B72" s="22"/>
      <c r="C72" t="str">
        <f>IF(AND('ENTRY DATA'!D72=""),"",('ENTRY DATA'!D72))</f>
        <v/>
      </c>
      <c r="D72" t="str">
        <f>IF(AND('ENTRY DATA'!F72=""),"",('ENTRY DATA'!F72))</f>
        <v/>
      </c>
      <c r="E72" s="34" t="str">
        <f>IF(AND('ENTRY DATA'!B72=""),"",('ENTRY DATA'!B72))</f>
        <v/>
      </c>
      <c r="F72" s="12"/>
      <c r="G72" s="12"/>
      <c r="H72" s="72"/>
      <c r="I72" s="71"/>
      <c r="J72" s="72"/>
      <c r="K72" s="12"/>
      <c r="L72" s="20">
        <f t="shared" si="7"/>
        <v>0</v>
      </c>
      <c r="M72" s="19" t="str">
        <f t="shared" si="8"/>
        <v/>
      </c>
      <c r="N72" s="12"/>
      <c r="O72" s="119"/>
      <c r="P72" s="95" t="str">
        <f t="shared" si="9"/>
        <v/>
      </c>
      <c r="Q72" s="12"/>
      <c r="S72" s="128"/>
      <c r="T72" s="66"/>
      <c r="U72" s="128"/>
      <c r="W72" s="128"/>
      <c r="X72" s="12"/>
      <c r="Y72" t="str">
        <f t="shared" si="10"/>
        <v/>
      </c>
      <c r="Z72" t="str">
        <f t="shared" si="11"/>
        <v/>
      </c>
      <c r="AA72" s="12"/>
      <c r="AB72" s="95" t="e">
        <f t="shared" si="12"/>
        <v>#VALUE!</v>
      </c>
      <c r="AC72" s="95" t="e">
        <f t="shared" si="13"/>
        <v>#VALUE!</v>
      </c>
      <c r="AD72" s="12"/>
    </row>
    <row r="73" spans="1:30" ht="15.75" thickBot="1" x14ac:dyDescent="0.3">
      <c r="A73" s="12"/>
      <c r="B73" s="22"/>
      <c r="C73" t="str">
        <f>IF(AND('ENTRY DATA'!D73=""),"",('ENTRY DATA'!D73))</f>
        <v/>
      </c>
      <c r="D73" t="str">
        <f>IF(AND('ENTRY DATA'!F73=""),"",('ENTRY DATA'!F73))</f>
        <v/>
      </c>
      <c r="E73" s="34" t="str">
        <f>IF(AND('ENTRY DATA'!B73=""),"",('ENTRY DATA'!B73))</f>
        <v/>
      </c>
      <c r="F73" s="12"/>
      <c r="G73" s="12"/>
      <c r="H73" s="72"/>
      <c r="I73" s="71"/>
      <c r="J73" s="72"/>
      <c r="K73" s="12"/>
      <c r="L73" s="20">
        <f t="shared" si="7"/>
        <v>0</v>
      </c>
      <c r="M73" s="19" t="str">
        <f t="shared" si="8"/>
        <v/>
      </c>
      <c r="N73" s="12"/>
      <c r="O73" s="119"/>
      <c r="P73" s="95" t="str">
        <f t="shared" si="9"/>
        <v/>
      </c>
      <c r="Q73" s="12"/>
      <c r="S73" s="128"/>
      <c r="T73" s="66"/>
      <c r="U73" s="128"/>
      <c r="W73" s="128"/>
      <c r="X73" s="12"/>
      <c r="Y73" t="str">
        <f t="shared" si="10"/>
        <v/>
      </c>
      <c r="Z73" t="str">
        <f t="shared" si="11"/>
        <v/>
      </c>
      <c r="AA73" s="12"/>
      <c r="AB73" s="95" t="e">
        <f t="shared" si="12"/>
        <v>#VALUE!</v>
      </c>
      <c r="AC73" s="95" t="e">
        <f t="shared" si="13"/>
        <v>#VALUE!</v>
      </c>
      <c r="AD73" s="12"/>
    </row>
    <row r="74" spans="1:30" ht="15.75" thickBot="1" x14ac:dyDescent="0.3">
      <c r="A74" s="12"/>
      <c r="B74" s="22"/>
      <c r="C74" t="str">
        <f>IF(AND('ENTRY DATA'!D74=""),"",('ENTRY DATA'!D74))</f>
        <v/>
      </c>
      <c r="D74" t="str">
        <f>IF(AND('ENTRY DATA'!F74=""),"",('ENTRY DATA'!F74))</f>
        <v/>
      </c>
      <c r="E74" s="34" t="str">
        <f>IF(AND('ENTRY DATA'!B74=""),"",('ENTRY DATA'!B74))</f>
        <v/>
      </c>
      <c r="F74" s="12"/>
      <c r="G74" s="12"/>
      <c r="H74" s="72"/>
      <c r="I74" s="71"/>
      <c r="J74" s="72"/>
      <c r="K74" s="12"/>
      <c r="L74" s="20">
        <f t="shared" si="7"/>
        <v>0</v>
      </c>
      <c r="M74" s="19" t="str">
        <f t="shared" si="8"/>
        <v/>
      </c>
      <c r="N74" s="12"/>
      <c r="O74" s="119"/>
      <c r="P74" s="95" t="str">
        <f t="shared" si="9"/>
        <v/>
      </c>
      <c r="Q74" s="12"/>
      <c r="S74" s="128"/>
      <c r="T74" s="66"/>
      <c r="U74" s="128"/>
      <c r="W74" s="128"/>
      <c r="X74" s="12"/>
      <c r="Y74" t="str">
        <f t="shared" si="10"/>
        <v/>
      </c>
      <c r="Z74" t="str">
        <f t="shared" si="11"/>
        <v/>
      </c>
      <c r="AA74" s="12"/>
      <c r="AB74" s="95" t="e">
        <f t="shared" si="12"/>
        <v>#VALUE!</v>
      </c>
      <c r="AC74" s="95" t="e">
        <f t="shared" si="13"/>
        <v>#VALUE!</v>
      </c>
      <c r="AD74" s="12"/>
    </row>
    <row r="75" spans="1:30" ht="15.75" thickBot="1" x14ac:dyDescent="0.3">
      <c r="A75" s="12"/>
      <c r="B75" s="22"/>
      <c r="C75" t="str">
        <f>IF(AND('ENTRY DATA'!D75=""),"",('ENTRY DATA'!D75))</f>
        <v/>
      </c>
      <c r="D75" t="str">
        <f>IF(AND('ENTRY DATA'!F75=""),"",('ENTRY DATA'!F75))</f>
        <v/>
      </c>
      <c r="E75" s="34" t="str">
        <f>IF(AND('ENTRY DATA'!B75=""),"",('ENTRY DATA'!B75))</f>
        <v/>
      </c>
      <c r="F75" s="12"/>
      <c r="G75" s="12"/>
      <c r="H75" s="72"/>
      <c r="I75" s="71"/>
      <c r="J75" s="72"/>
      <c r="K75" s="12"/>
      <c r="L75" s="20">
        <f t="shared" si="7"/>
        <v>0</v>
      </c>
      <c r="M75" s="19" t="str">
        <f t="shared" si="8"/>
        <v/>
      </c>
      <c r="N75" s="12"/>
      <c r="O75" s="119"/>
      <c r="P75" s="95" t="str">
        <f t="shared" si="9"/>
        <v/>
      </c>
      <c r="Q75" s="12"/>
      <c r="S75" s="128"/>
      <c r="T75" s="66"/>
      <c r="U75" s="128"/>
      <c r="W75" s="128"/>
      <c r="X75" s="12"/>
      <c r="Y75" t="str">
        <f t="shared" si="10"/>
        <v/>
      </c>
      <c r="Z75" t="str">
        <f t="shared" si="11"/>
        <v/>
      </c>
      <c r="AA75" s="12"/>
      <c r="AB75" s="95" t="e">
        <f t="shared" si="12"/>
        <v>#VALUE!</v>
      </c>
      <c r="AC75" s="95" t="e">
        <f t="shared" si="13"/>
        <v>#VALUE!</v>
      </c>
      <c r="AD75" s="12"/>
    </row>
    <row r="76" spans="1:30" ht="15.75" thickBot="1" x14ac:dyDescent="0.3">
      <c r="A76" s="12"/>
      <c r="B76" s="22"/>
      <c r="C76" t="str">
        <f>IF(AND('ENTRY DATA'!D76=""),"",('ENTRY DATA'!D76))</f>
        <v/>
      </c>
      <c r="D76" t="str">
        <f>IF(AND('ENTRY DATA'!F76=""),"",('ENTRY DATA'!F76))</f>
        <v/>
      </c>
      <c r="E76" s="34" t="str">
        <f>IF(AND('ENTRY DATA'!B76=""),"",('ENTRY DATA'!B76))</f>
        <v/>
      </c>
      <c r="F76" s="12"/>
      <c r="G76" s="12"/>
      <c r="H76" s="72"/>
      <c r="I76" s="71"/>
      <c r="J76" s="72"/>
      <c r="K76" s="12"/>
      <c r="L76" s="20">
        <f t="shared" si="7"/>
        <v>0</v>
      </c>
      <c r="M76" s="19" t="str">
        <f t="shared" si="8"/>
        <v/>
      </c>
      <c r="N76" s="12"/>
      <c r="O76" s="119"/>
      <c r="P76" s="95" t="str">
        <f t="shared" si="9"/>
        <v/>
      </c>
      <c r="Q76" s="12"/>
      <c r="S76" s="128"/>
      <c r="T76" s="66"/>
      <c r="U76" s="128"/>
      <c r="W76" s="128"/>
      <c r="X76" s="12"/>
      <c r="Y76" t="str">
        <f t="shared" si="10"/>
        <v/>
      </c>
      <c r="Z76" t="str">
        <f t="shared" si="11"/>
        <v/>
      </c>
      <c r="AA76" s="12"/>
      <c r="AB76" s="95" t="e">
        <f t="shared" si="12"/>
        <v>#VALUE!</v>
      </c>
      <c r="AC76" s="95" t="e">
        <f t="shared" si="13"/>
        <v>#VALUE!</v>
      </c>
      <c r="AD76" s="12"/>
    </row>
    <row r="77" spans="1:30" ht="15.75" thickBot="1" x14ac:dyDescent="0.3">
      <c r="A77" s="12"/>
      <c r="B77" s="22"/>
      <c r="C77" t="str">
        <f>IF(AND('ENTRY DATA'!D77=""),"",('ENTRY DATA'!D77))</f>
        <v/>
      </c>
      <c r="D77" t="str">
        <f>IF(AND('ENTRY DATA'!F77=""),"",('ENTRY DATA'!F77))</f>
        <v/>
      </c>
      <c r="E77" s="34" t="str">
        <f>IF(AND('ENTRY DATA'!B77=""),"",('ENTRY DATA'!B77))</f>
        <v/>
      </c>
      <c r="F77" s="12"/>
      <c r="G77" s="12"/>
      <c r="H77" s="72"/>
      <c r="I77" s="71"/>
      <c r="J77" s="72"/>
      <c r="K77" s="12"/>
      <c r="L77" s="20">
        <f t="shared" si="7"/>
        <v>0</v>
      </c>
      <c r="M77" s="19" t="str">
        <f t="shared" si="8"/>
        <v/>
      </c>
      <c r="N77" s="12"/>
      <c r="O77" s="119"/>
      <c r="P77" s="95" t="str">
        <f t="shared" si="9"/>
        <v/>
      </c>
      <c r="Q77" s="12"/>
      <c r="S77" s="128"/>
      <c r="T77" s="66"/>
      <c r="U77" s="128"/>
      <c r="W77" s="128"/>
      <c r="X77" s="12"/>
      <c r="Y77" t="str">
        <f t="shared" si="10"/>
        <v/>
      </c>
      <c r="Z77" t="str">
        <f t="shared" si="11"/>
        <v/>
      </c>
      <c r="AA77" s="12"/>
      <c r="AB77" s="95" t="e">
        <f t="shared" si="12"/>
        <v>#VALUE!</v>
      </c>
      <c r="AC77" s="95" t="e">
        <f t="shared" si="13"/>
        <v>#VALUE!</v>
      </c>
      <c r="AD77" s="12"/>
    </row>
    <row r="78" spans="1:30" ht="15.75" thickBot="1" x14ac:dyDescent="0.3">
      <c r="A78" s="12"/>
      <c r="B78" s="22"/>
      <c r="C78" t="str">
        <f>IF(AND('ENTRY DATA'!D78=""),"",('ENTRY DATA'!D78))</f>
        <v/>
      </c>
      <c r="D78" t="str">
        <f>IF(AND('ENTRY DATA'!F78=""),"",('ENTRY DATA'!F78))</f>
        <v/>
      </c>
      <c r="E78" s="34" t="str">
        <f>IF(AND('ENTRY DATA'!B78=""),"",('ENTRY DATA'!B78))</f>
        <v/>
      </c>
      <c r="F78" s="12"/>
      <c r="G78" s="12"/>
      <c r="H78" s="72"/>
      <c r="I78" s="71"/>
      <c r="J78" s="72"/>
      <c r="K78" s="12"/>
      <c r="L78" s="20">
        <f t="shared" si="7"/>
        <v>0</v>
      </c>
      <c r="M78" s="19" t="str">
        <f t="shared" si="8"/>
        <v/>
      </c>
      <c r="N78" s="12"/>
      <c r="O78" s="119"/>
      <c r="P78" s="95" t="str">
        <f t="shared" si="9"/>
        <v/>
      </c>
      <c r="Q78" s="12"/>
      <c r="S78" s="128"/>
      <c r="T78" s="66"/>
      <c r="U78" s="128"/>
      <c r="W78" s="128"/>
      <c r="X78" s="12"/>
      <c r="Y78" t="str">
        <f t="shared" si="10"/>
        <v/>
      </c>
      <c r="Z78" t="str">
        <f t="shared" si="11"/>
        <v/>
      </c>
      <c r="AA78" s="12"/>
      <c r="AB78" s="95" t="e">
        <f t="shared" si="12"/>
        <v>#VALUE!</v>
      </c>
      <c r="AC78" s="95" t="e">
        <f t="shared" si="13"/>
        <v>#VALUE!</v>
      </c>
      <c r="AD78" s="12"/>
    </row>
    <row r="79" spans="1:30" ht="15.75" thickBot="1" x14ac:dyDescent="0.3">
      <c r="A79" s="12"/>
      <c r="B79" s="22"/>
      <c r="C79" t="str">
        <f>IF(AND('ENTRY DATA'!D79=""),"",('ENTRY DATA'!D79))</f>
        <v/>
      </c>
      <c r="D79" t="str">
        <f>IF(AND('ENTRY DATA'!F79=""),"",('ENTRY DATA'!F79))</f>
        <v/>
      </c>
      <c r="E79" s="34" t="str">
        <f>IF(AND('ENTRY DATA'!B79=""),"",('ENTRY DATA'!B79))</f>
        <v/>
      </c>
      <c r="F79" s="12"/>
      <c r="G79" s="12"/>
      <c r="H79" s="72"/>
      <c r="I79" s="71"/>
      <c r="J79" s="72"/>
      <c r="K79" s="12"/>
      <c r="L79" s="20">
        <f t="shared" si="7"/>
        <v>0</v>
      </c>
      <c r="M79" s="19" t="str">
        <f t="shared" si="8"/>
        <v/>
      </c>
      <c r="N79" s="12"/>
      <c r="O79" s="119"/>
      <c r="P79" s="95" t="str">
        <f t="shared" si="9"/>
        <v/>
      </c>
      <c r="Q79" s="12"/>
      <c r="S79" s="128"/>
      <c r="T79" s="66"/>
      <c r="U79" s="128"/>
      <c r="W79" s="128"/>
      <c r="X79" s="12"/>
      <c r="Y79" t="str">
        <f t="shared" si="10"/>
        <v/>
      </c>
      <c r="Z79" t="str">
        <f t="shared" si="11"/>
        <v/>
      </c>
      <c r="AA79" s="12"/>
      <c r="AB79" s="95" t="e">
        <f t="shared" si="12"/>
        <v>#VALUE!</v>
      </c>
      <c r="AC79" s="95" t="e">
        <f t="shared" si="13"/>
        <v>#VALUE!</v>
      </c>
      <c r="AD79" s="12"/>
    </row>
    <row r="80" spans="1:30" ht="15.75" thickBot="1" x14ac:dyDescent="0.3">
      <c r="A80" s="12"/>
      <c r="B80" s="22"/>
      <c r="C80" t="str">
        <f>IF(AND('ENTRY DATA'!D80=""),"",('ENTRY DATA'!D80))</f>
        <v/>
      </c>
      <c r="D80" t="str">
        <f>IF(AND('ENTRY DATA'!F80=""),"",('ENTRY DATA'!F80))</f>
        <v/>
      </c>
      <c r="E80" s="34" t="str">
        <f>IF(AND('ENTRY DATA'!B80=""),"",('ENTRY DATA'!B80))</f>
        <v/>
      </c>
      <c r="F80" s="12"/>
      <c r="G80" s="12"/>
      <c r="H80" s="72"/>
      <c r="I80" s="71"/>
      <c r="J80" s="72"/>
      <c r="K80" s="12"/>
      <c r="L80" s="20">
        <f t="shared" si="7"/>
        <v>0</v>
      </c>
      <c r="M80" s="19" t="str">
        <f t="shared" si="8"/>
        <v/>
      </c>
      <c r="N80" s="12"/>
      <c r="O80" s="119"/>
      <c r="P80" s="95" t="str">
        <f t="shared" si="9"/>
        <v/>
      </c>
      <c r="Q80" s="12"/>
      <c r="S80" s="128"/>
      <c r="T80" s="66"/>
      <c r="U80" s="128"/>
      <c r="W80" s="128"/>
      <c r="X80" s="12"/>
      <c r="Y80" t="str">
        <f t="shared" si="10"/>
        <v/>
      </c>
      <c r="Z80" t="str">
        <f t="shared" si="11"/>
        <v/>
      </c>
      <c r="AA80" s="12"/>
      <c r="AB80" s="95" t="e">
        <f t="shared" si="12"/>
        <v>#VALUE!</v>
      </c>
      <c r="AC80" s="95" t="e">
        <f t="shared" si="13"/>
        <v>#VALUE!</v>
      </c>
      <c r="AD80" s="12"/>
    </row>
    <row r="81" spans="1:30" ht="15.75" thickBot="1" x14ac:dyDescent="0.3">
      <c r="A81" s="12"/>
      <c r="B81" s="22"/>
      <c r="C81" t="str">
        <f>IF(AND('ENTRY DATA'!D81=""),"",('ENTRY DATA'!D81))</f>
        <v/>
      </c>
      <c r="D81" t="str">
        <f>IF(AND('ENTRY DATA'!F81=""),"",('ENTRY DATA'!F81))</f>
        <v/>
      </c>
      <c r="E81" s="34" t="str">
        <f>IF(AND('ENTRY DATA'!B81=""),"",('ENTRY DATA'!B81))</f>
        <v/>
      </c>
      <c r="F81" s="12"/>
      <c r="G81" s="12"/>
      <c r="H81" s="72"/>
      <c r="I81" s="71"/>
      <c r="J81" s="72"/>
      <c r="K81" s="12"/>
      <c r="L81" s="20">
        <f t="shared" si="7"/>
        <v>0</v>
      </c>
      <c r="M81" s="19" t="str">
        <f t="shared" si="8"/>
        <v/>
      </c>
      <c r="N81" s="12"/>
      <c r="O81" s="119"/>
      <c r="P81" s="95" t="str">
        <f t="shared" si="9"/>
        <v/>
      </c>
      <c r="Q81" s="12"/>
      <c r="S81" s="128"/>
      <c r="T81" s="66"/>
      <c r="U81" s="128"/>
      <c r="W81" s="128"/>
      <c r="X81" s="12"/>
      <c r="Y81" t="str">
        <f t="shared" si="10"/>
        <v/>
      </c>
      <c r="Z81" t="str">
        <f t="shared" si="11"/>
        <v/>
      </c>
      <c r="AA81" s="12"/>
      <c r="AB81" s="95" t="e">
        <f t="shared" si="12"/>
        <v>#VALUE!</v>
      </c>
      <c r="AC81" s="95" t="e">
        <f t="shared" si="13"/>
        <v>#VALUE!</v>
      </c>
      <c r="AD81" s="12"/>
    </row>
    <row r="82" spans="1:30" ht="15.75" thickBot="1" x14ac:dyDescent="0.3">
      <c r="A82" s="12"/>
      <c r="B82" s="22"/>
      <c r="C82" t="str">
        <f>IF(AND('ENTRY DATA'!D82=""),"",('ENTRY DATA'!D82))</f>
        <v/>
      </c>
      <c r="D82" t="str">
        <f>IF(AND('ENTRY DATA'!F82=""),"",('ENTRY DATA'!F82))</f>
        <v/>
      </c>
      <c r="E82" s="34" t="str">
        <f>IF(AND('ENTRY DATA'!B82=""),"",('ENTRY DATA'!B82))</f>
        <v/>
      </c>
      <c r="F82" s="12"/>
      <c r="G82" s="12"/>
      <c r="H82" s="72"/>
      <c r="I82" s="71"/>
      <c r="J82" s="72"/>
      <c r="K82" s="12"/>
      <c r="L82" s="20">
        <f t="shared" si="7"/>
        <v>0</v>
      </c>
      <c r="M82" s="19" t="str">
        <f t="shared" si="8"/>
        <v/>
      </c>
      <c r="N82" s="12"/>
      <c r="O82" s="119"/>
      <c r="P82" s="95" t="str">
        <f t="shared" si="9"/>
        <v/>
      </c>
      <c r="Q82" s="12"/>
      <c r="S82" s="128"/>
      <c r="T82" s="66"/>
      <c r="U82" s="128"/>
      <c r="W82" s="128"/>
      <c r="X82" s="12"/>
      <c r="Y82" t="str">
        <f t="shared" si="10"/>
        <v/>
      </c>
      <c r="Z82" t="str">
        <f t="shared" si="11"/>
        <v/>
      </c>
      <c r="AA82" s="12"/>
      <c r="AB82" s="95" t="e">
        <f t="shared" si="12"/>
        <v>#VALUE!</v>
      </c>
      <c r="AC82" s="95" t="e">
        <f t="shared" si="13"/>
        <v>#VALUE!</v>
      </c>
      <c r="AD82" s="12"/>
    </row>
    <row r="83" spans="1:30" ht="15.75" thickBot="1" x14ac:dyDescent="0.3">
      <c r="A83" s="12"/>
      <c r="B83" s="22"/>
      <c r="C83" t="str">
        <f>IF(AND('ENTRY DATA'!D83=""),"",('ENTRY DATA'!D83))</f>
        <v/>
      </c>
      <c r="D83" t="str">
        <f>IF(AND('ENTRY DATA'!F83=""),"",('ENTRY DATA'!F83))</f>
        <v/>
      </c>
      <c r="E83" s="34" t="str">
        <f>IF(AND('ENTRY DATA'!B83=""),"",('ENTRY DATA'!B83))</f>
        <v/>
      </c>
      <c r="F83" s="12"/>
      <c r="G83" s="12"/>
      <c r="H83" s="72"/>
      <c r="I83" s="71"/>
      <c r="J83" s="72"/>
      <c r="K83" s="12"/>
      <c r="L83" s="20">
        <f t="shared" si="7"/>
        <v>0</v>
      </c>
      <c r="M83" s="19" t="str">
        <f t="shared" si="8"/>
        <v/>
      </c>
      <c r="N83" s="12"/>
      <c r="O83" s="119"/>
      <c r="P83" s="95" t="str">
        <f t="shared" si="9"/>
        <v/>
      </c>
      <c r="Q83" s="12"/>
      <c r="S83" s="128"/>
      <c r="T83" s="66"/>
      <c r="U83" s="128"/>
      <c r="W83" s="128"/>
      <c r="X83" s="12"/>
      <c r="Y83" t="str">
        <f t="shared" si="10"/>
        <v/>
      </c>
      <c r="Z83" t="str">
        <f t="shared" si="11"/>
        <v/>
      </c>
      <c r="AA83" s="12"/>
      <c r="AB83" s="95" t="e">
        <f t="shared" si="12"/>
        <v>#VALUE!</v>
      </c>
      <c r="AC83" s="95" t="e">
        <f t="shared" si="13"/>
        <v>#VALUE!</v>
      </c>
      <c r="AD83" s="12"/>
    </row>
    <row r="84" spans="1:30" ht="15.75" thickBot="1" x14ac:dyDescent="0.3">
      <c r="A84" s="12"/>
      <c r="B84" s="22"/>
      <c r="C84" t="str">
        <f>IF(AND('ENTRY DATA'!D84=""),"",('ENTRY DATA'!D84))</f>
        <v/>
      </c>
      <c r="D84" t="str">
        <f>IF(AND('ENTRY DATA'!F84=""),"",('ENTRY DATA'!F84))</f>
        <v/>
      </c>
      <c r="E84" s="34" t="str">
        <f>IF(AND('ENTRY DATA'!B84=""),"",('ENTRY DATA'!B84))</f>
        <v/>
      </c>
      <c r="F84" s="12"/>
      <c r="G84" s="12"/>
      <c r="H84" s="72"/>
      <c r="I84" s="71"/>
      <c r="J84" s="72"/>
      <c r="K84" s="12"/>
      <c r="L84" s="20">
        <f t="shared" si="7"/>
        <v>0</v>
      </c>
      <c r="M84" s="19" t="str">
        <f t="shared" si="8"/>
        <v/>
      </c>
      <c r="N84" s="12"/>
      <c r="O84" s="119"/>
      <c r="P84" s="95" t="str">
        <f t="shared" si="9"/>
        <v/>
      </c>
      <c r="Q84" s="12"/>
      <c r="S84" s="128"/>
      <c r="T84" s="66"/>
      <c r="U84" s="128"/>
      <c r="W84" s="128"/>
      <c r="X84" s="12"/>
      <c r="Y84" t="str">
        <f t="shared" si="10"/>
        <v/>
      </c>
      <c r="Z84" t="str">
        <f t="shared" si="11"/>
        <v/>
      </c>
      <c r="AA84" s="12"/>
      <c r="AB84" s="95" t="e">
        <f t="shared" si="12"/>
        <v>#VALUE!</v>
      </c>
      <c r="AC84" s="95" t="e">
        <f t="shared" si="13"/>
        <v>#VALUE!</v>
      </c>
      <c r="AD84" s="12"/>
    </row>
    <row r="85" spans="1:30" ht="15.75" thickBot="1" x14ac:dyDescent="0.3">
      <c r="A85" s="12"/>
      <c r="B85" s="22"/>
      <c r="C85" t="str">
        <f>IF(AND('ENTRY DATA'!D85=""),"",('ENTRY DATA'!D85))</f>
        <v/>
      </c>
      <c r="D85" t="str">
        <f>IF(AND('ENTRY DATA'!F85=""),"",('ENTRY DATA'!F85))</f>
        <v/>
      </c>
      <c r="E85" s="34" t="str">
        <f>IF(AND('ENTRY DATA'!B85=""),"",('ENTRY DATA'!B85))</f>
        <v/>
      </c>
      <c r="F85" s="12"/>
      <c r="G85" s="12"/>
      <c r="H85" s="72"/>
      <c r="I85" s="71"/>
      <c r="J85" s="72"/>
      <c r="K85" s="12"/>
      <c r="L85" s="20">
        <f t="shared" si="7"/>
        <v>0</v>
      </c>
      <c r="M85" s="19" t="str">
        <f t="shared" si="8"/>
        <v/>
      </c>
      <c r="N85" s="12"/>
      <c r="O85" s="119"/>
      <c r="P85" s="95" t="str">
        <f t="shared" si="9"/>
        <v/>
      </c>
      <c r="Q85" s="12"/>
      <c r="S85" s="128"/>
      <c r="T85" s="66"/>
      <c r="U85" s="128"/>
      <c r="W85" s="128"/>
      <c r="X85" s="12"/>
      <c r="Y85" t="str">
        <f t="shared" si="10"/>
        <v/>
      </c>
      <c r="Z85" t="str">
        <f t="shared" si="11"/>
        <v/>
      </c>
      <c r="AA85" s="12"/>
      <c r="AB85" s="95" t="e">
        <f t="shared" si="12"/>
        <v>#VALUE!</v>
      </c>
      <c r="AC85" s="95" t="e">
        <f t="shared" si="13"/>
        <v>#VALUE!</v>
      </c>
      <c r="AD85" s="12"/>
    </row>
    <row r="86" spans="1:30" ht="15.75" thickBot="1" x14ac:dyDescent="0.3">
      <c r="A86" s="12"/>
      <c r="B86" s="22"/>
      <c r="C86" t="str">
        <f>IF(AND('ENTRY DATA'!D86=""),"",('ENTRY DATA'!D86))</f>
        <v/>
      </c>
      <c r="D86" t="str">
        <f>IF(AND('ENTRY DATA'!F86=""),"",('ENTRY DATA'!F86))</f>
        <v/>
      </c>
      <c r="E86" s="34" t="str">
        <f>IF(AND('ENTRY DATA'!B86=""),"",('ENTRY DATA'!B86))</f>
        <v/>
      </c>
      <c r="F86" s="12"/>
      <c r="G86" s="12"/>
      <c r="H86" s="72"/>
      <c r="I86" s="71"/>
      <c r="J86" s="72"/>
      <c r="K86" s="12"/>
      <c r="L86" s="20">
        <f t="shared" si="7"/>
        <v>0</v>
      </c>
      <c r="M86" s="19" t="str">
        <f t="shared" si="8"/>
        <v/>
      </c>
      <c r="N86" s="12"/>
      <c r="O86" s="119"/>
      <c r="P86" s="95" t="str">
        <f t="shared" si="9"/>
        <v/>
      </c>
      <c r="Q86" s="12"/>
      <c r="S86" s="128"/>
      <c r="T86" s="66"/>
      <c r="U86" s="128"/>
      <c r="W86" s="128"/>
      <c r="X86" s="12"/>
      <c r="Y86" t="str">
        <f t="shared" si="10"/>
        <v/>
      </c>
      <c r="Z86" t="str">
        <f t="shared" si="11"/>
        <v/>
      </c>
      <c r="AA86" s="12"/>
      <c r="AB86" s="95" t="e">
        <f t="shared" si="12"/>
        <v>#VALUE!</v>
      </c>
      <c r="AC86" s="95" t="e">
        <f t="shared" si="13"/>
        <v>#VALUE!</v>
      </c>
      <c r="AD86" s="12"/>
    </row>
    <row r="87" spans="1:30" ht="15.75" thickBot="1" x14ac:dyDescent="0.3">
      <c r="A87" s="12"/>
      <c r="B87" s="22"/>
      <c r="C87" t="str">
        <f>IF(AND('ENTRY DATA'!D87=""),"",('ENTRY DATA'!D87))</f>
        <v/>
      </c>
      <c r="D87" t="str">
        <f>IF(AND('ENTRY DATA'!F87=""),"",('ENTRY DATA'!F87))</f>
        <v/>
      </c>
      <c r="E87" s="34" t="str">
        <f>IF(AND('ENTRY DATA'!B87=""),"",('ENTRY DATA'!B87))</f>
        <v/>
      </c>
      <c r="F87" s="12"/>
      <c r="G87" s="12"/>
      <c r="H87" s="72"/>
      <c r="I87" s="71"/>
      <c r="J87" s="72"/>
      <c r="K87" s="12"/>
      <c r="L87" s="20">
        <f t="shared" si="7"/>
        <v>0</v>
      </c>
      <c r="M87" s="19" t="str">
        <f t="shared" si="8"/>
        <v/>
      </c>
      <c r="N87" s="12"/>
      <c r="O87" s="119"/>
      <c r="P87" s="95" t="str">
        <f t="shared" si="9"/>
        <v/>
      </c>
      <c r="Q87" s="12"/>
      <c r="S87" s="128"/>
      <c r="T87" s="66"/>
      <c r="U87" s="128"/>
      <c r="W87" s="128"/>
      <c r="X87" s="12"/>
      <c r="Y87" t="str">
        <f t="shared" si="10"/>
        <v/>
      </c>
      <c r="Z87" t="str">
        <f t="shared" si="11"/>
        <v/>
      </c>
      <c r="AA87" s="12"/>
      <c r="AB87" s="95" t="e">
        <f t="shared" si="12"/>
        <v>#VALUE!</v>
      </c>
      <c r="AC87" s="95" t="e">
        <f t="shared" si="13"/>
        <v>#VALUE!</v>
      </c>
      <c r="AD87" s="12"/>
    </row>
    <row r="88" spans="1:30" ht="15.75" thickBot="1" x14ac:dyDescent="0.3">
      <c r="A88" s="12"/>
      <c r="B88" s="22"/>
      <c r="C88" t="str">
        <f>IF(AND('ENTRY DATA'!D88=""),"",('ENTRY DATA'!D88))</f>
        <v/>
      </c>
      <c r="D88" t="str">
        <f>IF(AND('ENTRY DATA'!F88=""),"",('ENTRY DATA'!F88))</f>
        <v/>
      </c>
      <c r="E88" s="34" t="str">
        <f>IF(AND('ENTRY DATA'!B88=""),"",('ENTRY DATA'!B88))</f>
        <v/>
      </c>
      <c r="F88" s="12"/>
      <c r="G88" s="12"/>
      <c r="H88" s="72"/>
      <c r="I88" s="71"/>
      <c r="J88" s="72"/>
      <c r="K88" s="12"/>
      <c r="L88" s="20">
        <f t="shared" si="7"/>
        <v>0</v>
      </c>
      <c r="M88" s="19" t="str">
        <f t="shared" si="8"/>
        <v/>
      </c>
      <c r="N88" s="12"/>
      <c r="O88" s="119"/>
      <c r="P88" s="95" t="str">
        <f t="shared" si="9"/>
        <v/>
      </c>
      <c r="Q88" s="12"/>
      <c r="S88" s="128"/>
      <c r="T88" s="66"/>
      <c r="U88" s="128"/>
      <c r="W88" s="128"/>
      <c r="X88" s="12"/>
      <c r="Y88" t="str">
        <f t="shared" si="10"/>
        <v/>
      </c>
      <c r="Z88" t="str">
        <f t="shared" si="11"/>
        <v/>
      </c>
      <c r="AA88" s="12"/>
      <c r="AB88" s="95" t="e">
        <f t="shared" si="12"/>
        <v>#VALUE!</v>
      </c>
      <c r="AC88" s="95" t="e">
        <f t="shared" si="13"/>
        <v>#VALUE!</v>
      </c>
      <c r="AD88" s="12"/>
    </row>
    <row r="89" spans="1:30" ht="15.75" thickBot="1" x14ac:dyDescent="0.3">
      <c r="A89" s="12"/>
      <c r="B89" s="22"/>
      <c r="C89" t="str">
        <f>IF(AND('ENTRY DATA'!D89=""),"",('ENTRY DATA'!D89))</f>
        <v/>
      </c>
      <c r="D89" t="str">
        <f>IF(AND('ENTRY DATA'!F89=""),"",('ENTRY DATA'!F89))</f>
        <v/>
      </c>
      <c r="E89" s="34" t="str">
        <f>IF(AND('ENTRY DATA'!B89=""),"",('ENTRY DATA'!B89))</f>
        <v/>
      </c>
      <c r="F89" s="12"/>
      <c r="G89" s="12"/>
      <c r="H89" s="72"/>
      <c r="I89" s="71"/>
      <c r="J89" s="72"/>
      <c r="K89" s="12"/>
      <c r="L89" s="20">
        <f t="shared" si="7"/>
        <v>0</v>
      </c>
      <c r="M89" s="19" t="str">
        <f t="shared" si="8"/>
        <v/>
      </c>
      <c r="N89" s="12"/>
      <c r="O89" s="119"/>
      <c r="P89" s="95" t="str">
        <f t="shared" si="9"/>
        <v/>
      </c>
      <c r="Q89" s="12"/>
      <c r="S89" s="128"/>
      <c r="T89" s="66"/>
      <c r="U89" s="128"/>
      <c r="W89" s="128"/>
      <c r="X89" s="12"/>
      <c r="Y89" t="str">
        <f t="shared" si="10"/>
        <v/>
      </c>
      <c r="Z89" t="str">
        <f t="shared" si="11"/>
        <v/>
      </c>
      <c r="AA89" s="12"/>
      <c r="AB89" s="95" t="e">
        <f t="shared" si="12"/>
        <v>#VALUE!</v>
      </c>
      <c r="AC89" s="95" t="e">
        <f t="shared" si="13"/>
        <v>#VALUE!</v>
      </c>
      <c r="AD89" s="12"/>
    </row>
    <row r="90" spans="1:30" ht="15.75" thickBot="1" x14ac:dyDescent="0.3">
      <c r="A90" s="12"/>
      <c r="B90" s="22"/>
      <c r="C90" t="str">
        <f>IF(AND('ENTRY DATA'!D90=""),"",('ENTRY DATA'!D90))</f>
        <v/>
      </c>
      <c r="D90" t="str">
        <f>IF(AND('ENTRY DATA'!F90=""),"",('ENTRY DATA'!F90))</f>
        <v/>
      </c>
      <c r="E90" s="34" t="str">
        <f>IF(AND('ENTRY DATA'!B90=""),"",('ENTRY DATA'!B90))</f>
        <v/>
      </c>
      <c r="F90" s="12"/>
      <c r="G90" s="12"/>
      <c r="H90" s="72"/>
      <c r="I90" s="71"/>
      <c r="J90" s="72"/>
      <c r="K90" s="12"/>
      <c r="L90" s="20">
        <f t="shared" si="7"/>
        <v>0</v>
      </c>
      <c r="M90" s="19" t="str">
        <f t="shared" si="8"/>
        <v/>
      </c>
      <c r="N90" s="12"/>
      <c r="O90" s="119"/>
      <c r="P90" s="95" t="str">
        <f t="shared" si="9"/>
        <v/>
      </c>
      <c r="Q90" s="12"/>
      <c r="S90" s="128"/>
      <c r="T90" s="66"/>
      <c r="U90" s="128"/>
      <c r="W90" s="128"/>
      <c r="X90" s="12"/>
      <c r="Y90" t="str">
        <f t="shared" si="10"/>
        <v/>
      </c>
      <c r="Z90" t="str">
        <f t="shared" si="11"/>
        <v/>
      </c>
      <c r="AA90" s="12"/>
      <c r="AB90" s="95" t="e">
        <f t="shared" si="12"/>
        <v>#VALUE!</v>
      </c>
      <c r="AC90" s="95" t="e">
        <f t="shared" si="13"/>
        <v>#VALUE!</v>
      </c>
      <c r="AD90" s="12"/>
    </row>
    <row r="91" spans="1:30" ht="15.75" thickBot="1" x14ac:dyDescent="0.3">
      <c r="A91" s="12"/>
      <c r="B91" s="22"/>
      <c r="C91" t="str">
        <f>IF(AND('ENTRY DATA'!D91=""),"",('ENTRY DATA'!D91))</f>
        <v/>
      </c>
      <c r="D91" t="str">
        <f>IF(AND('ENTRY DATA'!F91=""),"",('ENTRY DATA'!F91))</f>
        <v/>
      </c>
      <c r="E91" s="34" t="str">
        <f>IF(AND('ENTRY DATA'!B91=""),"",('ENTRY DATA'!B91))</f>
        <v/>
      </c>
      <c r="F91" s="12"/>
      <c r="G91" s="12"/>
      <c r="H91" s="72"/>
      <c r="I91" s="71"/>
      <c r="J91" s="72"/>
      <c r="K91" s="12"/>
      <c r="L91" s="20">
        <f t="shared" si="7"/>
        <v>0</v>
      </c>
      <c r="M91" s="19" t="str">
        <f t="shared" si="8"/>
        <v/>
      </c>
      <c r="N91" s="12"/>
      <c r="O91" s="119"/>
      <c r="P91" s="95" t="str">
        <f t="shared" si="9"/>
        <v/>
      </c>
      <c r="Q91" s="12"/>
      <c r="S91" s="128"/>
      <c r="T91" s="66"/>
      <c r="U91" s="128"/>
      <c r="W91" s="128"/>
      <c r="X91" s="12"/>
      <c r="Y91" t="str">
        <f t="shared" si="10"/>
        <v/>
      </c>
      <c r="Z91" t="str">
        <f t="shared" si="11"/>
        <v/>
      </c>
      <c r="AA91" s="12"/>
      <c r="AB91" s="95" t="e">
        <f t="shared" si="12"/>
        <v>#VALUE!</v>
      </c>
      <c r="AC91" s="95" t="e">
        <f t="shared" si="13"/>
        <v>#VALUE!</v>
      </c>
      <c r="AD91" s="12"/>
    </row>
    <row r="92" spans="1:30" ht="15.75" thickBot="1" x14ac:dyDescent="0.3">
      <c r="A92" s="12"/>
      <c r="B92" s="22"/>
      <c r="C92" t="str">
        <f>IF(AND('ENTRY DATA'!D92=""),"",('ENTRY DATA'!D92))</f>
        <v/>
      </c>
      <c r="D92" t="str">
        <f>IF(AND('ENTRY DATA'!F92=""),"",('ENTRY DATA'!F92))</f>
        <v/>
      </c>
      <c r="E92" s="34" t="str">
        <f>IF(AND('ENTRY DATA'!B92=""),"",('ENTRY DATA'!B92))</f>
        <v/>
      </c>
      <c r="F92" s="12"/>
      <c r="G92" s="12"/>
      <c r="H92" s="72"/>
      <c r="I92" s="71"/>
      <c r="J92" s="72"/>
      <c r="K92" s="12"/>
      <c r="L92" s="20">
        <f t="shared" si="7"/>
        <v>0</v>
      </c>
      <c r="M92" s="19" t="str">
        <f t="shared" si="8"/>
        <v/>
      </c>
      <c r="N92" s="12"/>
      <c r="O92" s="119"/>
      <c r="P92" s="95" t="str">
        <f t="shared" si="9"/>
        <v/>
      </c>
      <c r="Q92" s="12"/>
      <c r="S92" s="128"/>
      <c r="T92" s="66"/>
      <c r="U92" s="128"/>
      <c r="W92" s="128"/>
      <c r="X92" s="12"/>
      <c r="Y92" t="str">
        <f t="shared" si="10"/>
        <v/>
      </c>
      <c r="Z92" t="str">
        <f t="shared" si="11"/>
        <v/>
      </c>
      <c r="AA92" s="12"/>
      <c r="AB92" s="95" t="e">
        <f t="shared" si="12"/>
        <v>#VALUE!</v>
      </c>
      <c r="AC92" s="95" t="e">
        <f t="shared" si="13"/>
        <v>#VALUE!</v>
      </c>
      <c r="AD92" s="12"/>
    </row>
    <row r="93" spans="1:30" ht="15.75" thickBot="1" x14ac:dyDescent="0.3">
      <c r="A93" s="12"/>
      <c r="B93" s="22"/>
      <c r="C93" t="str">
        <f>IF(AND('ENTRY DATA'!D93=""),"",('ENTRY DATA'!D93))</f>
        <v/>
      </c>
      <c r="D93" t="str">
        <f>IF(AND('ENTRY DATA'!F93=""),"",('ENTRY DATA'!F93))</f>
        <v/>
      </c>
      <c r="E93" s="34" t="str">
        <f>IF(AND('ENTRY DATA'!B93=""),"",('ENTRY DATA'!B93))</f>
        <v/>
      </c>
      <c r="F93" s="12"/>
      <c r="G93" s="12"/>
      <c r="H93" s="72"/>
      <c r="I93" s="71"/>
      <c r="J93" s="72"/>
      <c r="K93" s="12"/>
      <c r="L93" s="20">
        <f t="shared" si="7"/>
        <v>0</v>
      </c>
      <c r="M93" s="19" t="str">
        <f t="shared" si="8"/>
        <v/>
      </c>
      <c r="N93" s="12"/>
      <c r="O93" s="119"/>
      <c r="P93" s="95" t="str">
        <f t="shared" si="9"/>
        <v/>
      </c>
      <c r="Q93" s="12"/>
      <c r="S93" s="128"/>
      <c r="T93" s="66"/>
      <c r="U93" s="128"/>
      <c r="W93" s="128"/>
      <c r="X93" s="12"/>
      <c r="Y93" t="str">
        <f t="shared" si="10"/>
        <v/>
      </c>
      <c r="Z93" t="str">
        <f t="shared" si="11"/>
        <v/>
      </c>
      <c r="AA93" s="12"/>
      <c r="AB93" s="95" t="e">
        <f t="shared" si="12"/>
        <v>#VALUE!</v>
      </c>
      <c r="AC93" s="95" t="e">
        <f t="shared" si="13"/>
        <v>#VALUE!</v>
      </c>
      <c r="AD93" s="12"/>
    </row>
    <row r="94" spans="1:30" ht="15.75" thickBot="1" x14ac:dyDescent="0.3">
      <c r="A94" s="12"/>
      <c r="B94" s="22"/>
      <c r="C94" t="str">
        <f>IF(AND('ENTRY DATA'!D94=""),"",('ENTRY DATA'!D94))</f>
        <v/>
      </c>
      <c r="D94" t="str">
        <f>IF(AND('ENTRY DATA'!F94=""),"",('ENTRY DATA'!F94))</f>
        <v/>
      </c>
      <c r="E94" s="34" t="str">
        <f>IF(AND('ENTRY DATA'!B94=""),"",('ENTRY DATA'!B94))</f>
        <v/>
      </c>
      <c r="F94" s="12"/>
      <c r="G94" s="12"/>
      <c r="H94" s="72"/>
      <c r="I94" s="71"/>
      <c r="J94" s="72"/>
      <c r="K94" s="12"/>
      <c r="L94" s="20">
        <f t="shared" si="7"/>
        <v>0</v>
      </c>
      <c r="M94" s="19" t="str">
        <f t="shared" si="8"/>
        <v/>
      </c>
      <c r="N94" s="12"/>
      <c r="O94" s="119"/>
      <c r="P94" s="95" t="str">
        <f t="shared" si="9"/>
        <v/>
      </c>
      <c r="Q94" s="12"/>
      <c r="S94" s="128"/>
      <c r="T94" s="66"/>
      <c r="U94" s="128"/>
      <c r="W94" s="128"/>
      <c r="X94" s="12"/>
      <c r="Y94" t="str">
        <f t="shared" si="10"/>
        <v/>
      </c>
      <c r="Z94" t="str">
        <f t="shared" si="11"/>
        <v/>
      </c>
      <c r="AA94" s="12"/>
      <c r="AB94" s="95" t="e">
        <f t="shared" si="12"/>
        <v>#VALUE!</v>
      </c>
      <c r="AC94" s="95" t="e">
        <f t="shared" si="13"/>
        <v>#VALUE!</v>
      </c>
      <c r="AD94" s="12"/>
    </row>
    <row r="95" spans="1:30" ht="15.75" thickBot="1" x14ac:dyDescent="0.3">
      <c r="A95" s="12"/>
      <c r="B95" s="22"/>
      <c r="C95" t="str">
        <f>IF(AND('ENTRY DATA'!D95=""),"",('ENTRY DATA'!D95))</f>
        <v/>
      </c>
      <c r="D95" t="str">
        <f>IF(AND('ENTRY DATA'!F95=""),"",('ENTRY DATA'!F95))</f>
        <v/>
      </c>
      <c r="E95" s="34" t="str">
        <f>IF(AND('ENTRY DATA'!B95=""),"",('ENTRY DATA'!B95))</f>
        <v/>
      </c>
      <c r="F95" s="12"/>
      <c r="G95" s="12"/>
      <c r="H95" s="72"/>
      <c r="I95" s="71"/>
      <c r="J95" s="72"/>
      <c r="K95" s="12"/>
      <c r="L95" s="20">
        <f t="shared" si="7"/>
        <v>0</v>
      </c>
      <c r="M95" s="19" t="str">
        <f t="shared" si="8"/>
        <v/>
      </c>
      <c r="N95" s="12"/>
      <c r="O95" s="119"/>
      <c r="P95" s="95" t="str">
        <f t="shared" si="9"/>
        <v/>
      </c>
      <c r="Q95" s="12"/>
      <c r="S95" s="128"/>
      <c r="T95" s="66"/>
      <c r="U95" s="128"/>
      <c r="W95" s="128"/>
      <c r="X95" s="12"/>
      <c r="Y95" t="str">
        <f t="shared" si="10"/>
        <v/>
      </c>
      <c r="Z95" t="str">
        <f t="shared" si="11"/>
        <v/>
      </c>
      <c r="AA95" s="12"/>
      <c r="AB95" s="95" t="e">
        <f t="shared" si="12"/>
        <v>#VALUE!</v>
      </c>
      <c r="AC95" s="95" t="e">
        <f t="shared" si="13"/>
        <v>#VALUE!</v>
      </c>
      <c r="AD95" s="12"/>
    </row>
    <row r="96" spans="1:30" ht="15.75" thickBot="1" x14ac:dyDescent="0.3">
      <c r="A96" s="12"/>
      <c r="B96" s="22"/>
      <c r="C96" t="str">
        <f>IF(AND('ENTRY DATA'!D96=""),"",('ENTRY DATA'!D96))</f>
        <v/>
      </c>
      <c r="D96" t="str">
        <f>IF(AND('ENTRY DATA'!F96=""),"",('ENTRY DATA'!F96))</f>
        <v/>
      </c>
      <c r="E96" s="34" t="str">
        <f>IF(AND('ENTRY DATA'!B96=""),"",('ENTRY DATA'!B96))</f>
        <v/>
      </c>
      <c r="F96" s="12"/>
      <c r="G96" s="12"/>
      <c r="H96" s="72"/>
      <c r="I96" s="71"/>
      <c r="J96" s="72"/>
      <c r="K96" s="12"/>
      <c r="L96" s="20">
        <f t="shared" si="7"/>
        <v>0</v>
      </c>
      <c r="M96" s="19" t="str">
        <f t="shared" si="8"/>
        <v/>
      </c>
      <c r="N96" s="12"/>
      <c r="O96" s="119"/>
      <c r="P96" s="95" t="str">
        <f t="shared" si="9"/>
        <v/>
      </c>
      <c r="Q96" s="12"/>
      <c r="S96" s="128"/>
      <c r="T96" s="66"/>
      <c r="U96" s="128"/>
      <c r="W96" s="128"/>
      <c r="X96" s="12"/>
      <c r="Y96" t="str">
        <f t="shared" si="10"/>
        <v/>
      </c>
      <c r="Z96" t="str">
        <f t="shared" si="11"/>
        <v/>
      </c>
      <c r="AA96" s="12"/>
      <c r="AB96" s="95" t="e">
        <f t="shared" si="12"/>
        <v>#VALUE!</v>
      </c>
      <c r="AC96" s="95" t="e">
        <f t="shared" si="13"/>
        <v>#VALUE!</v>
      </c>
      <c r="AD96" s="12"/>
    </row>
    <row r="97" spans="1:30" ht="15.75" thickBot="1" x14ac:dyDescent="0.3">
      <c r="A97" s="12"/>
      <c r="B97" s="22"/>
      <c r="C97" t="str">
        <f>IF(AND('ENTRY DATA'!D97=""),"",('ENTRY DATA'!D97))</f>
        <v/>
      </c>
      <c r="D97" t="str">
        <f>IF(AND('ENTRY DATA'!F97=""),"",('ENTRY DATA'!F97))</f>
        <v/>
      </c>
      <c r="E97" s="34" t="str">
        <f>IF(AND('ENTRY DATA'!B97=""),"",('ENTRY DATA'!B97))</f>
        <v/>
      </c>
      <c r="F97" s="12"/>
      <c r="G97" s="12"/>
      <c r="H97" s="72"/>
      <c r="I97" s="71"/>
      <c r="J97" s="72"/>
      <c r="K97" s="12"/>
      <c r="L97" s="20">
        <f t="shared" si="7"/>
        <v>0</v>
      </c>
      <c r="M97" s="19" t="str">
        <f t="shared" si="8"/>
        <v/>
      </c>
      <c r="N97" s="12"/>
      <c r="O97" s="119"/>
      <c r="P97" s="95" t="str">
        <f t="shared" si="9"/>
        <v/>
      </c>
      <c r="Q97" s="12"/>
      <c r="S97" s="128"/>
      <c r="T97" s="66"/>
      <c r="U97" s="128"/>
      <c r="W97" s="128"/>
      <c r="X97" s="12"/>
      <c r="Y97" t="str">
        <f t="shared" si="10"/>
        <v/>
      </c>
      <c r="Z97" t="str">
        <f t="shared" si="11"/>
        <v/>
      </c>
      <c r="AA97" s="12"/>
      <c r="AB97" s="95" t="e">
        <f t="shared" si="12"/>
        <v>#VALUE!</v>
      </c>
      <c r="AC97" s="95" t="e">
        <f t="shared" si="13"/>
        <v>#VALUE!</v>
      </c>
      <c r="AD97" s="12"/>
    </row>
    <row r="98" spans="1:30" ht="15.75" thickBot="1" x14ac:dyDescent="0.3">
      <c r="A98" s="12"/>
      <c r="B98" s="22"/>
      <c r="C98" t="str">
        <f>IF(AND('ENTRY DATA'!D98=""),"",('ENTRY DATA'!D98))</f>
        <v/>
      </c>
      <c r="D98" t="str">
        <f>IF(AND('ENTRY DATA'!F98=""),"",('ENTRY DATA'!F98))</f>
        <v/>
      </c>
      <c r="E98" s="34" t="str">
        <f>IF(AND('ENTRY DATA'!B98=""),"",('ENTRY DATA'!B98))</f>
        <v/>
      </c>
      <c r="F98" s="12"/>
      <c r="G98" s="12"/>
      <c r="H98" s="72"/>
      <c r="I98" s="71"/>
      <c r="J98" s="72"/>
      <c r="K98" s="12"/>
      <c r="L98" s="20">
        <f t="shared" si="7"/>
        <v>0</v>
      </c>
      <c r="M98" s="19" t="str">
        <f t="shared" si="8"/>
        <v/>
      </c>
      <c r="N98" s="12"/>
      <c r="O98" s="119"/>
      <c r="P98" s="95" t="str">
        <f t="shared" si="9"/>
        <v/>
      </c>
      <c r="Q98" s="12"/>
      <c r="S98" s="128"/>
      <c r="T98" s="66"/>
      <c r="U98" s="128"/>
      <c r="W98" s="128"/>
      <c r="X98" s="12"/>
      <c r="Y98" t="str">
        <f t="shared" si="10"/>
        <v/>
      </c>
      <c r="Z98" t="str">
        <f t="shared" si="11"/>
        <v/>
      </c>
      <c r="AA98" s="12"/>
      <c r="AB98" s="95" t="e">
        <f t="shared" si="12"/>
        <v>#VALUE!</v>
      </c>
      <c r="AC98" s="95" t="e">
        <f t="shared" si="13"/>
        <v>#VALUE!</v>
      </c>
      <c r="AD98" s="12"/>
    </row>
    <row r="99" spans="1:30" ht="15.75" thickBot="1" x14ac:dyDescent="0.3">
      <c r="A99" s="12"/>
      <c r="B99" s="22"/>
      <c r="C99" t="str">
        <f>IF(AND('ENTRY DATA'!D99=""),"",('ENTRY DATA'!D99))</f>
        <v/>
      </c>
      <c r="D99" t="str">
        <f>IF(AND('ENTRY DATA'!F99=""),"",('ENTRY DATA'!F99))</f>
        <v/>
      </c>
      <c r="E99" s="34" t="str">
        <f>IF(AND('ENTRY DATA'!B99=""),"",('ENTRY DATA'!B99))</f>
        <v/>
      </c>
      <c r="F99" s="12"/>
      <c r="G99" s="12"/>
      <c r="H99" s="72"/>
      <c r="I99" s="71"/>
      <c r="J99" s="72"/>
      <c r="K99" s="12"/>
      <c r="L99" s="20">
        <f t="shared" si="7"/>
        <v>0</v>
      </c>
      <c r="M99" s="19" t="str">
        <f t="shared" si="8"/>
        <v/>
      </c>
      <c r="N99" s="12"/>
      <c r="O99" s="119"/>
      <c r="P99" s="95" t="str">
        <f t="shared" si="9"/>
        <v/>
      </c>
      <c r="Q99" s="12"/>
      <c r="S99" s="128"/>
      <c r="T99" s="66"/>
      <c r="U99" s="128"/>
      <c r="W99" s="128"/>
      <c r="X99" s="12"/>
      <c r="Y99" t="str">
        <f t="shared" si="10"/>
        <v/>
      </c>
      <c r="Z99" t="str">
        <f t="shared" si="11"/>
        <v/>
      </c>
      <c r="AA99" s="12"/>
      <c r="AB99" s="95" t="e">
        <f t="shared" si="12"/>
        <v>#VALUE!</v>
      </c>
      <c r="AC99" s="95" t="e">
        <f t="shared" si="13"/>
        <v>#VALUE!</v>
      </c>
      <c r="AD99" s="12"/>
    </row>
    <row r="100" spans="1:30" ht="15.75" thickBot="1" x14ac:dyDescent="0.3">
      <c r="A100" s="12"/>
      <c r="B100" s="22"/>
      <c r="C100" t="str">
        <f>IF(AND('ENTRY DATA'!D100=""),"",('ENTRY DATA'!D100))</f>
        <v/>
      </c>
      <c r="D100" t="str">
        <f>IF(AND('ENTRY DATA'!F100=""),"",('ENTRY DATA'!F100))</f>
        <v/>
      </c>
      <c r="E100" s="34" t="str">
        <f>IF(AND('ENTRY DATA'!B100=""),"",('ENTRY DATA'!B100))</f>
        <v/>
      </c>
      <c r="F100" s="12"/>
      <c r="G100" s="12"/>
      <c r="H100" s="72"/>
      <c r="I100" s="71"/>
      <c r="J100" s="72"/>
      <c r="K100" s="12"/>
      <c r="L100" s="20">
        <f t="shared" si="7"/>
        <v>0</v>
      </c>
      <c r="M100" s="19" t="str">
        <f t="shared" si="8"/>
        <v/>
      </c>
      <c r="N100" s="12"/>
      <c r="O100" s="119"/>
      <c r="P100" s="95" t="str">
        <f t="shared" si="9"/>
        <v/>
      </c>
      <c r="Q100" s="12"/>
      <c r="S100" s="128"/>
      <c r="T100" s="66"/>
      <c r="U100" s="128"/>
      <c r="W100" s="128"/>
      <c r="X100" s="12"/>
      <c r="Y100" t="str">
        <f t="shared" si="10"/>
        <v/>
      </c>
      <c r="Z100" t="str">
        <f t="shared" si="11"/>
        <v/>
      </c>
      <c r="AA100" s="12"/>
      <c r="AB100" s="95" t="e">
        <f t="shared" si="12"/>
        <v>#VALUE!</v>
      </c>
      <c r="AC100" s="95" t="e">
        <f t="shared" si="13"/>
        <v>#VALUE!</v>
      </c>
      <c r="AD100" s="12"/>
    </row>
    <row r="101" spans="1:30" ht="15.75" thickBot="1" x14ac:dyDescent="0.3">
      <c r="A101" s="12"/>
      <c r="B101" s="22"/>
      <c r="C101" t="str">
        <f>IF(AND('ENTRY DATA'!D101=""),"",('ENTRY DATA'!D101))</f>
        <v/>
      </c>
      <c r="D101" t="str">
        <f>IF(AND('ENTRY DATA'!F101=""),"",('ENTRY DATA'!F101))</f>
        <v/>
      </c>
      <c r="E101" s="34" t="str">
        <f>IF(AND('ENTRY DATA'!B101=""),"",('ENTRY DATA'!B101))</f>
        <v/>
      </c>
      <c r="F101" s="12"/>
      <c r="G101" s="12"/>
      <c r="H101" s="72"/>
      <c r="I101" s="71"/>
      <c r="J101" s="72"/>
      <c r="K101" s="12"/>
      <c r="L101" s="20">
        <f t="shared" si="7"/>
        <v>0</v>
      </c>
      <c r="M101" s="19" t="str">
        <f t="shared" si="8"/>
        <v/>
      </c>
      <c r="N101" s="12"/>
      <c r="O101" s="119"/>
      <c r="P101" s="95" t="str">
        <f t="shared" si="9"/>
        <v/>
      </c>
      <c r="Q101" s="12"/>
      <c r="S101" s="128"/>
      <c r="T101" s="66"/>
      <c r="U101" s="128"/>
      <c r="W101" s="128"/>
      <c r="X101" s="12"/>
      <c r="Y101" t="str">
        <f t="shared" si="10"/>
        <v/>
      </c>
      <c r="Z101" t="str">
        <f t="shared" si="11"/>
        <v/>
      </c>
      <c r="AA101" s="12"/>
      <c r="AB101" s="95" t="e">
        <f t="shared" si="12"/>
        <v>#VALUE!</v>
      </c>
      <c r="AC101" s="95" t="e">
        <f t="shared" si="13"/>
        <v>#VALUE!</v>
      </c>
      <c r="AD101" s="12"/>
    </row>
    <row r="102" spans="1:30" ht="15.75" thickBot="1" x14ac:dyDescent="0.3">
      <c r="A102" s="12"/>
      <c r="B102" s="22"/>
      <c r="C102" t="str">
        <f>IF(AND('ENTRY DATA'!D102=""),"",('ENTRY DATA'!D102))</f>
        <v/>
      </c>
      <c r="D102" t="str">
        <f>IF(AND('ENTRY DATA'!F102=""),"",('ENTRY DATA'!F102))</f>
        <v/>
      </c>
      <c r="E102" s="34" t="str">
        <f>IF(AND('ENTRY DATA'!B102=""),"",('ENTRY DATA'!B102))</f>
        <v/>
      </c>
      <c r="F102" s="12"/>
      <c r="G102" s="12"/>
      <c r="H102" s="72"/>
      <c r="I102" s="71"/>
      <c r="J102" s="72"/>
      <c r="K102" s="12"/>
      <c r="L102" s="20">
        <f t="shared" si="7"/>
        <v>0</v>
      </c>
      <c r="M102" s="19" t="str">
        <f t="shared" si="8"/>
        <v/>
      </c>
      <c r="N102" s="12"/>
      <c r="O102" s="119"/>
      <c r="P102" s="95" t="str">
        <f t="shared" si="9"/>
        <v/>
      </c>
      <c r="Q102" s="12"/>
      <c r="S102" s="128"/>
      <c r="T102" s="66"/>
      <c r="U102" s="128"/>
      <c r="W102" s="128"/>
      <c r="X102" s="12"/>
      <c r="Y102" t="str">
        <f t="shared" si="10"/>
        <v/>
      </c>
      <c r="Z102" t="str">
        <f t="shared" si="11"/>
        <v/>
      </c>
      <c r="AA102" s="12"/>
      <c r="AB102" s="95" t="e">
        <f t="shared" si="12"/>
        <v>#VALUE!</v>
      </c>
      <c r="AC102" s="95" t="e">
        <f t="shared" si="13"/>
        <v>#VALUE!</v>
      </c>
      <c r="AD102" s="12"/>
    </row>
    <row r="103" spans="1:30" ht="15.75" thickBot="1" x14ac:dyDescent="0.3">
      <c r="A103" s="12"/>
      <c r="B103" s="22"/>
      <c r="C103" t="str">
        <f>IF(AND('ENTRY DATA'!D103=""),"",('ENTRY DATA'!D103))</f>
        <v/>
      </c>
      <c r="D103" t="str">
        <f>IF(AND('ENTRY DATA'!F103=""),"",('ENTRY DATA'!F103))</f>
        <v/>
      </c>
      <c r="E103" s="34" t="str">
        <f>IF(AND('ENTRY DATA'!B103=""),"",('ENTRY DATA'!B103))</f>
        <v/>
      </c>
      <c r="F103" s="12"/>
      <c r="G103" s="12"/>
      <c r="H103" s="72"/>
      <c r="I103" s="71"/>
      <c r="J103" s="72"/>
      <c r="K103" s="12"/>
      <c r="L103" s="20">
        <f t="shared" si="7"/>
        <v>0</v>
      </c>
      <c r="M103" s="19" t="str">
        <f t="shared" si="8"/>
        <v/>
      </c>
      <c r="N103" s="12"/>
      <c r="O103" s="119"/>
      <c r="P103" s="95" t="str">
        <f t="shared" si="9"/>
        <v/>
      </c>
      <c r="Q103" s="12"/>
      <c r="S103" s="128"/>
      <c r="T103" s="66"/>
      <c r="U103" s="128"/>
      <c r="W103" s="128"/>
      <c r="X103" s="12"/>
      <c r="Y103" t="str">
        <f t="shared" si="10"/>
        <v/>
      </c>
      <c r="Z103" t="str">
        <f t="shared" si="11"/>
        <v/>
      </c>
      <c r="AA103" s="12"/>
      <c r="AB103" s="95" t="e">
        <f t="shared" si="12"/>
        <v>#VALUE!</v>
      </c>
      <c r="AC103" s="95" t="e">
        <f t="shared" si="13"/>
        <v>#VALUE!</v>
      </c>
      <c r="AD103" s="12"/>
    </row>
    <row r="104" spans="1:30" ht="15.75" thickBot="1" x14ac:dyDescent="0.3">
      <c r="A104" s="12"/>
      <c r="B104" s="22"/>
      <c r="C104" t="str">
        <f>IF(AND('ENTRY DATA'!D104=""),"",('ENTRY DATA'!D104))</f>
        <v/>
      </c>
      <c r="D104" t="str">
        <f>IF(AND('ENTRY DATA'!F104=""),"",('ENTRY DATA'!F104))</f>
        <v/>
      </c>
      <c r="E104" s="34" t="str">
        <f>IF(AND('ENTRY DATA'!B104=""),"",('ENTRY DATA'!B104))</f>
        <v/>
      </c>
      <c r="F104" s="12"/>
      <c r="G104" s="12"/>
      <c r="H104" s="72"/>
      <c r="I104" s="71"/>
      <c r="J104" s="72"/>
      <c r="K104" s="12"/>
      <c r="L104" s="20">
        <f t="shared" si="7"/>
        <v>0</v>
      </c>
      <c r="M104" s="19" t="str">
        <f t="shared" si="8"/>
        <v/>
      </c>
      <c r="N104" s="12"/>
      <c r="O104" s="119"/>
      <c r="P104" s="95" t="str">
        <f t="shared" si="9"/>
        <v/>
      </c>
      <c r="Q104" s="12"/>
      <c r="S104" s="128"/>
      <c r="T104" s="66"/>
      <c r="U104" s="128"/>
      <c r="W104" s="128"/>
      <c r="X104" s="12"/>
      <c r="Y104" t="str">
        <f t="shared" si="10"/>
        <v/>
      </c>
      <c r="Z104" t="str">
        <f t="shared" si="11"/>
        <v/>
      </c>
      <c r="AA104" s="12"/>
      <c r="AB104" s="95" t="e">
        <f t="shared" si="12"/>
        <v>#VALUE!</v>
      </c>
      <c r="AC104" s="95" t="e">
        <f t="shared" si="13"/>
        <v>#VALUE!</v>
      </c>
      <c r="AD104" s="12"/>
    </row>
    <row r="105" spans="1:30" ht="15.75" thickBot="1" x14ac:dyDescent="0.3">
      <c r="A105" s="12"/>
      <c r="B105" s="22"/>
      <c r="C105" t="str">
        <f>IF(AND('ENTRY DATA'!D105=""),"",('ENTRY DATA'!D105))</f>
        <v/>
      </c>
      <c r="D105" t="str">
        <f>IF(AND('ENTRY DATA'!F105=""),"",('ENTRY DATA'!F105))</f>
        <v/>
      </c>
      <c r="E105" s="34" t="str">
        <f>IF(AND('ENTRY DATA'!B105=""),"",('ENTRY DATA'!B105))</f>
        <v/>
      </c>
      <c r="F105" s="12"/>
      <c r="G105" s="12"/>
      <c r="H105" s="72"/>
      <c r="I105" s="71"/>
      <c r="J105" s="72"/>
      <c r="K105" s="12"/>
      <c r="L105" s="20">
        <f t="shared" si="7"/>
        <v>0</v>
      </c>
      <c r="M105" s="19" t="str">
        <f t="shared" si="8"/>
        <v/>
      </c>
      <c r="N105" s="12"/>
      <c r="O105" s="119"/>
      <c r="P105" s="95" t="str">
        <f t="shared" si="9"/>
        <v/>
      </c>
      <c r="Q105" s="12"/>
      <c r="S105" s="128"/>
      <c r="T105" s="66"/>
      <c r="U105" s="128"/>
      <c r="W105" s="128"/>
      <c r="X105" s="12"/>
      <c r="Y105" t="str">
        <f t="shared" si="10"/>
        <v/>
      </c>
      <c r="Z105" t="str">
        <f t="shared" si="11"/>
        <v/>
      </c>
      <c r="AA105" s="12"/>
      <c r="AB105" s="95" t="e">
        <f t="shared" si="12"/>
        <v>#VALUE!</v>
      </c>
      <c r="AC105" s="95" t="e">
        <f t="shared" si="13"/>
        <v>#VALUE!</v>
      </c>
      <c r="AD105" s="12"/>
    </row>
    <row r="106" spans="1:30" ht="15.75" thickBot="1" x14ac:dyDescent="0.3">
      <c r="A106" s="12"/>
      <c r="B106" s="22"/>
      <c r="C106" t="str">
        <f>IF(AND('ENTRY DATA'!D106=""),"",('ENTRY DATA'!D106))</f>
        <v/>
      </c>
      <c r="D106" t="str">
        <f>IF(AND('ENTRY DATA'!F106=""),"",('ENTRY DATA'!F106))</f>
        <v/>
      </c>
      <c r="E106" s="34" t="str">
        <f>IF(AND('ENTRY DATA'!B106=""),"",('ENTRY DATA'!B106))</f>
        <v/>
      </c>
      <c r="F106" s="12"/>
      <c r="G106" s="12"/>
      <c r="H106" s="72"/>
      <c r="I106" s="71"/>
      <c r="J106" s="72"/>
      <c r="K106" s="12"/>
      <c r="L106" s="20">
        <f t="shared" si="7"/>
        <v>0</v>
      </c>
      <c r="M106" s="19" t="str">
        <f t="shared" si="8"/>
        <v/>
      </c>
      <c r="N106" s="12"/>
      <c r="O106" s="119"/>
      <c r="P106" s="95" t="str">
        <f t="shared" si="9"/>
        <v/>
      </c>
      <c r="Q106" s="12"/>
      <c r="S106" s="128"/>
      <c r="T106" s="66"/>
      <c r="U106" s="128"/>
      <c r="W106" s="128"/>
      <c r="X106" s="12"/>
      <c r="Y106" t="str">
        <f t="shared" si="10"/>
        <v/>
      </c>
      <c r="Z106" t="str">
        <f t="shared" si="11"/>
        <v/>
      </c>
      <c r="AA106" s="12"/>
      <c r="AB106" s="95" t="e">
        <f t="shared" si="12"/>
        <v>#VALUE!</v>
      </c>
      <c r="AC106" s="95" t="e">
        <f t="shared" si="13"/>
        <v>#VALUE!</v>
      </c>
      <c r="AD106" s="12"/>
    </row>
    <row r="107" spans="1:30" ht="15.75" thickBot="1" x14ac:dyDescent="0.3">
      <c r="A107" s="12"/>
      <c r="B107" s="22"/>
      <c r="C107" t="str">
        <f>IF(AND('ENTRY DATA'!D107=""),"",('ENTRY DATA'!D107))</f>
        <v/>
      </c>
      <c r="D107" t="str">
        <f>IF(AND('ENTRY DATA'!F107=""),"",('ENTRY DATA'!F107))</f>
        <v/>
      </c>
      <c r="E107" s="34" t="str">
        <f>IF(AND('ENTRY DATA'!B107=""),"",('ENTRY DATA'!B107))</f>
        <v/>
      </c>
      <c r="F107" s="12"/>
      <c r="G107" s="12"/>
      <c r="H107" s="72"/>
      <c r="I107" s="71"/>
      <c r="J107" s="72"/>
      <c r="K107" s="12"/>
      <c r="L107" s="20">
        <f t="shared" si="7"/>
        <v>0</v>
      </c>
      <c r="M107" s="19" t="str">
        <f t="shared" si="8"/>
        <v/>
      </c>
      <c r="N107" s="12"/>
      <c r="O107" s="119"/>
      <c r="P107" s="95" t="str">
        <f t="shared" si="9"/>
        <v/>
      </c>
      <c r="Q107" s="12"/>
      <c r="S107" s="128"/>
      <c r="T107" s="66"/>
      <c r="U107" s="128"/>
      <c r="W107" s="128"/>
      <c r="X107" s="12"/>
      <c r="Y107" t="str">
        <f t="shared" si="10"/>
        <v/>
      </c>
      <c r="Z107" t="str">
        <f t="shared" si="11"/>
        <v/>
      </c>
      <c r="AA107" s="12"/>
      <c r="AB107" s="95" t="e">
        <f t="shared" si="12"/>
        <v>#VALUE!</v>
      </c>
      <c r="AC107" s="95" t="e">
        <f t="shared" si="13"/>
        <v>#VALUE!</v>
      </c>
      <c r="AD107" s="12"/>
    </row>
    <row r="108" spans="1:30" ht="15.75" thickBot="1" x14ac:dyDescent="0.3">
      <c r="A108" s="12"/>
      <c r="B108" s="22"/>
      <c r="C108" t="str">
        <f>IF(AND('ENTRY DATA'!D108=""),"",('ENTRY DATA'!D108))</f>
        <v/>
      </c>
      <c r="D108" t="str">
        <f>IF(AND('ENTRY DATA'!F108=""),"",('ENTRY DATA'!F108))</f>
        <v/>
      </c>
      <c r="E108" s="34" t="str">
        <f>IF(AND('ENTRY DATA'!B108=""),"",('ENTRY DATA'!B108))</f>
        <v/>
      </c>
      <c r="F108" s="12"/>
      <c r="G108" s="12"/>
      <c r="H108" s="72"/>
      <c r="I108" s="71"/>
      <c r="J108" s="72"/>
      <c r="K108" s="12"/>
      <c r="L108" s="20">
        <f t="shared" si="7"/>
        <v>0</v>
      </c>
      <c r="M108" s="19" t="str">
        <f t="shared" si="8"/>
        <v/>
      </c>
      <c r="N108" s="12"/>
      <c r="O108" s="119"/>
      <c r="P108" s="95" t="str">
        <f t="shared" si="9"/>
        <v/>
      </c>
      <c r="Q108" s="12"/>
      <c r="S108" s="128"/>
      <c r="T108" s="66"/>
      <c r="U108" s="128"/>
      <c r="W108" s="128"/>
      <c r="X108" s="12"/>
      <c r="Y108" t="str">
        <f t="shared" si="10"/>
        <v/>
      </c>
      <c r="Z108" t="str">
        <f t="shared" si="11"/>
        <v/>
      </c>
      <c r="AA108" s="12"/>
      <c r="AB108" s="95" t="e">
        <f t="shared" si="12"/>
        <v>#VALUE!</v>
      </c>
      <c r="AC108" s="95" t="e">
        <f t="shared" si="13"/>
        <v>#VALUE!</v>
      </c>
      <c r="AD108" s="12"/>
    </row>
    <row r="109" spans="1:30" ht="15.75" thickBot="1" x14ac:dyDescent="0.3">
      <c r="A109" s="12"/>
      <c r="B109" s="22"/>
      <c r="C109" t="str">
        <f>IF(AND('ENTRY DATA'!D109=""),"",('ENTRY DATA'!D109))</f>
        <v/>
      </c>
      <c r="D109" t="str">
        <f>IF(AND('ENTRY DATA'!F109=""),"",('ENTRY DATA'!F109))</f>
        <v/>
      </c>
      <c r="E109" s="34" t="str">
        <f>IF(AND('ENTRY DATA'!B109=""),"",('ENTRY DATA'!B109))</f>
        <v/>
      </c>
      <c r="F109" s="12"/>
      <c r="G109" s="12"/>
      <c r="H109" s="72"/>
      <c r="I109" s="71"/>
      <c r="J109" s="72"/>
      <c r="K109" s="12"/>
      <c r="L109" s="20">
        <f t="shared" si="7"/>
        <v>0</v>
      </c>
      <c r="M109" s="19" t="str">
        <f t="shared" si="8"/>
        <v/>
      </c>
      <c r="N109" s="12"/>
      <c r="O109" s="119"/>
      <c r="P109" s="95" t="str">
        <f t="shared" si="9"/>
        <v/>
      </c>
      <c r="Q109" s="12"/>
      <c r="S109" s="128"/>
      <c r="T109" s="66"/>
      <c r="U109" s="128"/>
      <c r="W109" s="128"/>
      <c r="X109" s="12"/>
      <c r="Y109" t="str">
        <f t="shared" si="10"/>
        <v/>
      </c>
      <c r="Z109" t="str">
        <f t="shared" si="11"/>
        <v/>
      </c>
      <c r="AA109" s="12"/>
      <c r="AB109" s="95" t="e">
        <f t="shared" si="12"/>
        <v>#VALUE!</v>
      </c>
      <c r="AC109" s="95" t="e">
        <f t="shared" si="13"/>
        <v>#VALUE!</v>
      </c>
      <c r="AD109" s="12"/>
    </row>
    <row r="110" spans="1:30" ht="15.75" thickBot="1" x14ac:dyDescent="0.3">
      <c r="A110" s="12"/>
      <c r="B110" s="22"/>
      <c r="C110" t="str">
        <f>IF(AND('ENTRY DATA'!D110=""),"",('ENTRY DATA'!D110))</f>
        <v/>
      </c>
      <c r="D110" t="str">
        <f>IF(AND('ENTRY DATA'!F110=""),"",('ENTRY DATA'!F110))</f>
        <v/>
      </c>
      <c r="E110" s="34" t="str">
        <f>IF(AND('ENTRY DATA'!B110=""),"",('ENTRY DATA'!B110))</f>
        <v/>
      </c>
      <c r="F110" s="12"/>
      <c r="G110" s="12"/>
      <c r="H110" s="72"/>
      <c r="I110" s="71"/>
      <c r="J110" s="72"/>
      <c r="K110" s="12"/>
      <c r="L110" s="20">
        <f t="shared" si="7"/>
        <v>0</v>
      </c>
      <c r="M110" s="19" t="str">
        <f t="shared" si="8"/>
        <v/>
      </c>
      <c r="N110" s="12"/>
      <c r="O110" s="119"/>
      <c r="P110" s="95" t="str">
        <f t="shared" si="9"/>
        <v/>
      </c>
      <c r="Q110" s="12"/>
      <c r="S110" s="128"/>
      <c r="T110" s="66"/>
      <c r="U110" s="128"/>
      <c r="W110" s="128"/>
      <c r="X110" s="12"/>
      <c r="Y110" t="str">
        <f t="shared" si="10"/>
        <v/>
      </c>
      <c r="Z110" t="str">
        <f t="shared" si="11"/>
        <v/>
      </c>
      <c r="AA110" s="12"/>
      <c r="AB110" s="95" t="e">
        <f t="shared" si="12"/>
        <v>#VALUE!</v>
      </c>
      <c r="AC110" s="95" t="e">
        <f t="shared" si="13"/>
        <v>#VALUE!</v>
      </c>
      <c r="AD110" s="12"/>
    </row>
    <row r="111" spans="1:30" ht="15.75" thickBot="1" x14ac:dyDescent="0.3">
      <c r="A111" s="12"/>
      <c r="B111" s="22"/>
      <c r="C111" t="str">
        <f>IF(AND('ENTRY DATA'!D111=""),"",('ENTRY DATA'!D111))</f>
        <v/>
      </c>
      <c r="D111" t="str">
        <f>IF(AND('ENTRY DATA'!F111=""),"",('ENTRY DATA'!F111))</f>
        <v/>
      </c>
      <c r="E111" s="34" t="str">
        <f>IF(AND('ENTRY DATA'!B111=""),"",('ENTRY DATA'!B111))</f>
        <v/>
      </c>
      <c r="F111" s="12"/>
      <c r="G111" s="12"/>
      <c r="H111" s="72"/>
      <c r="I111" s="71"/>
      <c r="J111" s="72"/>
      <c r="K111" s="12"/>
      <c r="L111" s="20">
        <f t="shared" si="7"/>
        <v>0</v>
      </c>
      <c r="M111" s="19" t="str">
        <f t="shared" si="8"/>
        <v/>
      </c>
      <c r="N111" s="12"/>
      <c r="O111" s="119"/>
      <c r="P111" s="95" t="str">
        <f t="shared" si="9"/>
        <v/>
      </c>
      <c r="Q111" s="12"/>
      <c r="S111" s="128"/>
      <c r="T111" s="66"/>
      <c r="U111" s="128"/>
      <c r="W111" s="128"/>
      <c r="X111" s="12"/>
      <c r="Y111" t="str">
        <f t="shared" si="10"/>
        <v/>
      </c>
      <c r="Z111" t="str">
        <f t="shared" si="11"/>
        <v/>
      </c>
      <c r="AA111" s="12"/>
      <c r="AB111" s="95" t="e">
        <f t="shared" si="12"/>
        <v>#VALUE!</v>
      </c>
      <c r="AC111" s="95" t="e">
        <f t="shared" si="13"/>
        <v>#VALUE!</v>
      </c>
      <c r="AD111" s="12"/>
    </row>
    <row r="112" spans="1:30" ht="15.75" thickBot="1" x14ac:dyDescent="0.3">
      <c r="A112" s="12"/>
      <c r="B112" s="22"/>
      <c r="C112" t="str">
        <f>IF(AND('ENTRY DATA'!D112=""),"",('ENTRY DATA'!D112))</f>
        <v/>
      </c>
      <c r="D112" t="str">
        <f>IF(AND('ENTRY DATA'!F112=""),"",('ENTRY DATA'!F112))</f>
        <v/>
      </c>
      <c r="E112" s="34" t="str">
        <f>IF(AND('ENTRY DATA'!B112=""),"",('ENTRY DATA'!B112))</f>
        <v/>
      </c>
      <c r="F112" s="12"/>
      <c r="G112" s="12"/>
      <c r="H112" s="72"/>
      <c r="I112" s="71"/>
      <c r="J112" s="72"/>
      <c r="K112" s="12"/>
      <c r="L112" s="20">
        <f t="shared" si="7"/>
        <v>0</v>
      </c>
      <c r="M112" s="19" t="str">
        <f t="shared" si="8"/>
        <v/>
      </c>
      <c r="N112" s="12"/>
      <c r="O112" s="119"/>
      <c r="P112" s="95" t="str">
        <f t="shared" si="9"/>
        <v/>
      </c>
      <c r="Q112" s="12"/>
      <c r="S112" s="128"/>
      <c r="T112" s="66"/>
      <c r="U112" s="128"/>
      <c r="W112" s="128"/>
      <c r="X112" s="12"/>
      <c r="Y112" t="str">
        <f t="shared" si="10"/>
        <v/>
      </c>
      <c r="Z112" t="str">
        <f t="shared" si="11"/>
        <v/>
      </c>
      <c r="AA112" s="12"/>
      <c r="AB112" s="95" t="e">
        <f t="shared" si="12"/>
        <v>#VALUE!</v>
      </c>
      <c r="AC112" s="95" t="e">
        <f t="shared" si="13"/>
        <v>#VALUE!</v>
      </c>
      <c r="AD112" s="12"/>
    </row>
    <row r="113" spans="1:30" ht="15.75" thickBot="1" x14ac:dyDescent="0.3">
      <c r="A113" s="12"/>
      <c r="B113" s="22"/>
      <c r="C113" t="str">
        <f>IF(AND('ENTRY DATA'!D113=""),"",('ENTRY DATA'!D113))</f>
        <v/>
      </c>
      <c r="D113" t="str">
        <f>IF(AND('ENTRY DATA'!F113=""),"",('ENTRY DATA'!F113))</f>
        <v/>
      </c>
      <c r="E113" s="34" t="str">
        <f>IF(AND('ENTRY DATA'!B113=""),"",('ENTRY DATA'!B113))</f>
        <v/>
      </c>
      <c r="F113" s="12"/>
      <c r="G113" s="12"/>
      <c r="H113" s="72"/>
      <c r="I113" s="71"/>
      <c r="J113" s="72"/>
      <c r="K113" s="12"/>
      <c r="L113" s="20">
        <f t="shared" si="7"/>
        <v>0</v>
      </c>
      <c r="M113" s="19" t="str">
        <f t="shared" si="8"/>
        <v/>
      </c>
      <c r="N113" s="12"/>
      <c r="O113" s="119"/>
      <c r="P113" s="95" t="str">
        <f t="shared" si="9"/>
        <v/>
      </c>
      <c r="Q113" s="12"/>
      <c r="S113" s="128"/>
      <c r="T113" s="66"/>
      <c r="U113" s="128"/>
      <c r="W113" s="128"/>
      <c r="X113" s="12"/>
      <c r="Y113" t="str">
        <f t="shared" si="10"/>
        <v/>
      </c>
      <c r="Z113" t="str">
        <f t="shared" si="11"/>
        <v/>
      </c>
      <c r="AA113" s="12"/>
      <c r="AB113" s="95" t="e">
        <f t="shared" si="12"/>
        <v>#VALUE!</v>
      </c>
      <c r="AC113" s="95" t="e">
        <f t="shared" si="13"/>
        <v>#VALUE!</v>
      </c>
      <c r="AD113" s="12"/>
    </row>
    <row r="114" spans="1:30" ht="15.75" thickBot="1" x14ac:dyDescent="0.3">
      <c r="A114" s="12"/>
      <c r="B114" s="22"/>
      <c r="C114" t="str">
        <f>IF(AND('ENTRY DATA'!D114=""),"",('ENTRY DATA'!D114))</f>
        <v/>
      </c>
      <c r="D114" t="str">
        <f>IF(AND('ENTRY DATA'!F114=""),"",('ENTRY DATA'!F114))</f>
        <v/>
      </c>
      <c r="E114" s="34" t="str">
        <f>IF(AND('ENTRY DATA'!B114=""),"",('ENTRY DATA'!B114))</f>
        <v/>
      </c>
      <c r="F114" s="12"/>
      <c r="G114" s="12"/>
      <c r="H114" s="72"/>
      <c r="I114" s="71"/>
      <c r="J114" s="72"/>
      <c r="K114" s="12"/>
      <c r="L114" s="20">
        <f t="shared" si="7"/>
        <v>0</v>
      </c>
      <c r="M114" s="19" t="str">
        <f t="shared" si="8"/>
        <v/>
      </c>
      <c r="N114" s="12"/>
      <c r="O114" s="119"/>
      <c r="P114" s="95" t="str">
        <f t="shared" si="9"/>
        <v/>
      </c>
      <c r="Q114" s="12"/>
      <c r="S114" s="128"/>
      <c r="T114" s="66"/>
      <c r="U114" s="128"/>
      <c r="W114" s="128"/>
      <c r="X114" s="12"/>
      <c r="Y114" t="str">
        <f t="shared" si="10"/>
        <v/>
      </c>
      <c r="Z114" t="str">
        <f t="shared" si="11"/>
        <v/>
      </c>
      <c r="AA114" s="12"/>
      <c r="AB114" s="95" t="e">
        <f t="shared" si="12"/>
        <v>#VALUE!</v>
      </c>
      <c r="AC114" s="95" t="e">
        <f t="shared" si="13"/>
        <v>#VALUE!</v>
      </c>
      <c r="AD114" s="12"/>
    </row>
    <row r="115" spans="1:30" ht="15.75" thickBot="1" x14ac:dyDescent="0.3">
      <c r="A115" s="12"/>
      <c r="B115" s="22"/>
      <c r="C115" t="str">
        <f>IF(AND('ENTRY DATA'!D115=""),"",('ENTRY DATA'!D115))</f>
        <v/>
      </c>
      <c r="D115" t="str">
        <f>IF(AND('ENTRY DATA'!F115=""),"",('ENTRY DATA'!F115))</f>
        <v/>
      </c>
      <c r="E115" s="34" t="str">
        <f>IF(AND('ENTRY DATA'!B115=""),"",('ENTRY DATA'!B115))</f>
        <v/>
      </c>
      <c r="F115" s="12"/>
      <c r="G115" s="12"/>
      <c r="H115" s="72"/>
      <c r="I115" s="71"/>
      <c r="J115" s="72"/>
      <c r="K115" s="12"/>
      <c r="L115" s="20">
        <f t="shared" si="7"/>
        <v>0</v>
      </c>
      <c r="M115" s="19" t="str">
        <f t="shared" si="8"/>
        <v/>
      </c>
      <c r="N115" s="12"/>
      <c r="O115" s="119"/>
      <c r="P115" s="95" t="str">
        <f t="shared" si="9"/>
        <v/>
      </c>
      <c r="Q115" s="12"/>
      <c r="S115" s="128"/>
      <c r="T115" s="66"/>
      <c r="U115" s="128"/>
      <c r="W115" s="128"/>
      <c r="X115" s="12"/>
      <c r="Y115" t="str">
        <f t="shared" si="10"/>
        <v/>
      </c>
      <c r="Z115" t="str">
        <f t="shared" si="11"/>
        <v/>
      </c>
      <c r="AA115" s="12"/>
      <c r="AB115" s="95" t="e">
        <f t="shared" si="12"/>
        <v>#VALUE!</v>
      </c>
      <c r="AC115" s="95" t="e">
        <f t="shared" si="13"/>
        <v>#VALUE!</v>
      </c>
      <c r="AD115" s="12"/>
    </row>
    <row r="116" spans="1:30" ht="15.75" thickBot="1" x14ac:dyDescent="0.3">
      <c r="A116" s="12"/>
      <c r="B116" s="22"/>
      <c r="C116" t="str">
        <f>IF(AND('ENTRY DATA'!D116=""),"",('ENTRY DATA'!D116))</f>
        <v/>
      </c>
      <c r="D116" t="str">
        <f>IF(AND('ENTRY DATA'!F116=""),"",('ENTRY DATA'!F116))</f>
        <v/>
      </c>
      <c r="E116" s="34" t="str">
        <f>IF(AND('ENTRY DATA'!B116=""),"",('ENTRY DATA'!B116))</f>
        <v/>
      </c>
      <c r="F116" s="12"/>
      <c r="G116" s="12"/>
      <c r="H116" s="72"/>
      <c r="I116" s="71"/>
      <c r="J116" s="72"/>
      <c r="K116" s="12"/>
      <c r="L116" s="20">
        <f t="shared" si="7"/>
        <v>0</v>
      </c>
      <c r="M116" s="19" t="str">
        <f t="shared" si="8"/>
        <v/>
      </c>
      <c r="N116" s="12"/>
      <c r="O116" s="119"/>
      <c r="P116" s="95" t="str">
        <f t="shared" si="9"/>
        <v/>
      </c>
      <c r="Q116" s="12"/>
      <c r="S116" s="128"/>
      <c r="T116" s="66"/>
      <c r="U116" s="128"/>
      <c r="W116" s="128"/>
      <c r="X116" s="12"/>
      <c r="Y116" t="str">
        <f t="shared" si="10"/>
        <v/>
      </c>
      <c r="Z116" t="str">
        <f t="shared" si="11"/>
        <v/>
      </c>
      <c r="AA116" s="12"/>
      <c r="AB116" s="95" t="e">
        <f t="shared" si="12"/>
        <v>#VALUE!</v>
      </c>
      <c r="AC116" s="95" t="e">
        <f t="shared" si="13"/>
        <v>#VALUE!</v>
      </c>
      <c r="AD116" s="12"/>
    </row>
    <row r="117" spans="1:30" ht="15.75" thickBot="1" x14ac:dyDescent="0.3">
      <c r="A117" s="12"/>
      <c r="B117" s="22"/>
      <c r="C117" t="str">
        <f>IF(AND('ENTRY DATA'!D117=""),"",('ENTRY DATA'!D117))</f>
        <v/>
      </c>
      <c r="D117" t="str">
        <f>IF(AND('ENTRY DATA'!F117=""),"",('ENTRY DATA'!F117))</f>
        <v/>
      </c>
      <c r="E117" s="34" t="str">
        <f>IF(AND('ENTRY DATA'!B117=""),"",('ENTRY DATA'!B117))</f>
        <v/>
      </c>
      <c r="F117" s="12"/>
      <c r="G117" s="12"/>
      <c r="H117" s="72"/>
      <c r="I117" s="71"/>
      <c r="J117" s="72"/>
      <c r="K117" s="12"/>
      <c r="L117" s="20">
        <f t="shared" si="7"/>
        <v>0</v>
      </c>
      <c r="M117" s="19" t="str">
        <f t="shared" si="8"/>
        <v/>
      </c>
      <c r="N117" s="12"/>
      <c r="O117" s="119"/>
      <c r="P117" s="95" t="str">
        <f t="shared" si="9"/>
        <v/>
      </c>
      <c r="Q117" s="12"/>
      <c r="S117" s="128"/>
      <c r="T117" s="66"/>
      <c r="U117" s="128"/>
      <c r="W117" s="128"/>
      <c r="X117" s="12"/>
      <c r="Y117" t="str">
        <f t="shared" si="10"/>
        <v/>
      </c>
      <c r="Z117" t="str">
        <f t="shared" si="11"/>
        <v/>
      </c>
      <c r="AA117" s="12"/>
      <c r="AB117" s="95" t="e">
        <f t="shared" si="12"/>
        <v>#VALUE!</v>
      </c>
      <c r="AC117" s="95" t="e">
        <f t="shared" si="13"/>
        <v>#VALUE!</v>
      </c>
      <c r="AD117" s="12"/>
    </row>
    <row r="118" spans="1:30" ht="15.75" thickBot="1" x14ac:dyDescent="0.3">
      <c r="A118" s="12"/>
      <c r="B118" s="22"/>
      <c r="C118" t="str">
        <f>IF(AND('ENTRY DATA'!D118=""),"",('ENTRY DATA'!D118))</f>
        <v/>
      </c>
      <c r="D118" t="str">
        <f>IF(AND('ENTRY DATA'!F118=""),"",('ENTRY DATA'!F118))</f>
        <v/>
      </c>
      <c r="E118" s="34" t="str">
        <f>IF(AND('ENTRY DATA'!B118=""),"",('ENTRY DATA'!B118))</f>
        <v/>
      </c>
      <c r="F118" s="12"/>
      <c r="G118" s="12"/>
      <c r="H118" s="72"/>
      <c r="I118" s="71"/>
      <c r="J118" s="72"/>
      <c r="K118" s="12"/>
      <c r="L118" s="20">
        <f t="shared" si="7"/>
        <v>0</v>
      </c>
      <c r="M118" s="19" t="str">
        <f t="shared" si="8"/>
        <v/>
      </c>
      <c r="N118" s="12"/>
      <c r="O118" s="119"/>
      <c r="P118" s="95" t="str">
        <f t="shared" si="9"/>
        <v/>
      </c>
      <c r="Q118" s="12"/>
      <c r="S118" s="128"/>
      <c r="T118" s="66"/>
      <c r="U118" s="128"/>
      <c r="W118" s="128"/>
      <c r="X118" s="12"/>
      <c r="Y118" t="str">
        <f t="shared" si="10"/>
        <v/>
      </c>
      <c r="Z118" t="str">
        <f t="shared" si="11"/>
        <v/>
      </c>
      <c r="AA118" s="12"/>
      <c r="AB118" s="95" t="e">
        <f t="shared" si="12"/>
        <v>#VALUE!</v>
      </c>
      <c r="AC118" s="95" t="e">
        <f t="shared" si="13"/>
        <v>#VALUE!</v>
      </c>
      <c r="AD118" s="12"/>
    </row>
    <row r="119" spans="1:30" ht="15.75" thickBot="1" x14ac:dyDescent="0.3">
      <c r="A119" s="12"/>
      <c r="B119" s="22"/>
      <c r="C119" t="str">
        <f>IF(AND('ENTRY DATA'!D119=""),"",('ENTRY DATA'!D119))</f>
        <v/>
      </c>
      <c r="D119" t="str">
        <f>IF(AND('ENTRY DATA'!F119=""),"",('ENTRY DATA'!F119))</f>
        <v/>
      </c>
      <c r="E119" s="34" t="str">
        <f>IF(AND('ENTRY DATA'!B119=""),"",('ENTRY DATA'!B119))</f>
        <v/>
      </c>
      <c r="F119" s="12"/>
      <c r="G119" s="12"/>
      <c r="H119" s="72"/>
      <c r="I119" s="71"/>
      <c r="J119" s="72"/>
      <c r="K119" s="12"/>
      <c r="L119" s="20">
        <f t="shared" si="7"/>
        <v>0</v>
      </c>
      <c r="M119" s="19" t="str">
        <f t="shared" si="8"/>
        <v/>
      </c>
      <c r="N119" s="12"/>
      <c r="O119" s="119"/>
      <c r="P119" s="95" t="str">
        <f t="shared" si="9"/>
        <v/>
      </c>
      <c r="Q119" s="12"/>
      <c r="S119" s="128"/>
      <c r="T119" s="66"/>
      <c r="U119" s="128"/>
      <c r="W119" s="128"/>
      <c r="X119" s="12"/>
      <c r="Y119" t="str">
        <f t="shared" si="10"/>
        <v/>
      </c>
      <c r="Z119" t="str">
        <f t="shared" si="11"/>
        <v/>
      </c>
      <c r="AA119" s="12"/>
      <c r="AB119" s="95" t="e">
        <f t="shared" si="12"/>
        <v>#VALUE!</v>
      </c>
      <c r="AC119" s="95" t="e">
        <f t="shared" si="13"/>
        <v>#VALUE!</v>
      </c>
      <c r="AD119" s="12"/>
    </row>
    <row r="120" spans="1:30" ht="15.75" thickBot="1" x14ac:dyDescent="0.3">
      <c r="A120" s="12"/>
      <c r="B120" s="22"/>
      <c r="C120" t="str">
        <f>IF(AND('ENTRY DATA'!D120=""),"",('ENTRY DATA'!D120))</f>
        <v/>
      </c>
      <c r="D120" t="str">
        <f>IF(AND('ENTRY DATA'!F120=""),"",('ENTRY DATA'!F120))</f>
        <v/>
      </c>
      <c r="E120" s="34" t="str">
        <f>IF(AND('ENTRY DATA'!B120=""),"",('ENTRY DATA'!B120))</f>
        <v/>
      </c>
      <c r="F120" s="12"/>
      <c r="G120" s="12"/>
      <c r="H120" s="72"/>
      <c r="I120" s="71"/>
      <c r="J120" s="72"/>
      <c r="K120" s="12"/>
      <c r="L120" s="20">
        <f t="shared" si="7"/>
        <v>0</v>
      </c>
      <c r="M120" s="19" t="str">
        <f t="shared" si="8"/>
        <v/>
      </c>
      <c r="N120" s="12"/>
      <c r="O120" s="119"/>
      <c r="P120" s="95" t="str">
        <f t="shared" si="9"/>
        <v/>
      </c>
      <c r="Q120" s="12"/>
      <c r="S120" s="128"/>
      <c r="T120" s="66"/>
      <c r="U120" s="128"/>
      <c r="W120" s="128"/>
      <c r="X120" s="12"/>
      <c r="Y120" t="str">
        <f t="shared" si="10"/>
        <v/>
      </c>
      <c r="Z120" t="str">
        <f t="shared" si="11"/>
        <v/>
      </c>
      <c r="AA120" s="12"/>
      <c r="AB120" s="95" t="e">
        <f t="shared" si="12"/>
        <v>#VALUE!</v>
      </c>
      <c r="AC120" s="95" t="e">
        <f t="shared" si="13"/>
        <v>#VALUE!</v>
      </c>
      <c r="AD120" s="12"/>
    </row>
    <row r="121" spans="1:30" ht="15.75" thickBot="1" x14ac:dyDescent="0.3">
      <c r="A121" s="12"/>
      <c r="B121" s="22"/>
      <c r="C121" t="str">
        <f>IF(AND('ENTRY DATA'!D121=""),"",('ENTRY DATA'!D121))</f>
        <v/>
      </c>
      <c r="D121" t="str">
        <f>IF(AND('ENTRY DATA'!F121=""),"",('ENTRY DATA'!F121))</f>
        <v/>
      </c>
      <c r="E121" s="34" t="str">
        <f>IF(AND('ENTRY DATA'!B121=""),"",('ENTRY DATA'!B121))</f>
        <v/>
      </c>
      <c r="F121" s="12"/>
      <c r="G121" s="12"/>
      <c r="H121" s="72"/>
      <c r="I121" s="71"/>
      <c r="J121" s="72"/>
      <c r="K121" s="12"/>
      <c r="L121" s="20">
        <f t="shared" si="7"/>
        <v>0</v>
      </c>
      <c r="M121" s="19" t="str">
        <f t="shared" si="8"/>
        <v/>
      </c>
      <c r="N121" s="12"/>
      <c r="O121" s="119"/>
      <c r="P121" s="95" t="str">
        <f t="shared" si="9"/>
        <v/>
      </c>
      <c r="Q121" s="12"/>
      <c r="S121" s="128"/>
      <c r="T121" s="66"/>
      <c r="U121" s="128"/>
      <c r="W121" s="128"/>
      <c r="X121" s="12"/>
      <c r="Y121" t="str">
        <f t="shared" si="10"/>
        <v/>
      </c>
      <c r="Z121" t="str">
        <f t="shared" si="11"/>
        <v/>
      </c>
      <c r="AA121" s="12"/>
      <c r="AB121" s="95" t="e">
        <f t="shared" si="12"/>
        <v>#VALUE!</v>
      </c>
      <c r="AC121" s="95" t="e">
        <f t="shared" si="13"/>
        <v>#VALUE!</v>
      </c>
      <c r="AD121" s="12"/>
    </row>
    <row r="122" spans="1:30" ht="15.75" thickBot="1" x14ac:dyDescent="0.3">
      <c r="A122" s="12"/>
      <c r="B122" s="22"/>
      <c r="C122" t="str">
        <f>IF(AND('ENTRY DATA'!D122=""),"",('ENTRY DATA'!D122))</f>
        <v/>
      </c>
      <c r="D122" t="str">
        <f>IF(AND('ENTRY DATA'!F122=""),"",('ENTRY DATA'!F122))</f>
        <v/>
      </c>
      <c r="E122" s="34" t="str">
        <f>IF(AND('ENTRY DATA'!B122=""),"",('ENTRY DATA'!B122))</f>
        <v/>
      </c>
      <c r="F122" s="12"/>
      <c r="G122" s="12"/>
      <c r="H122" s="72"/>
      <c r="I122" s="71"/>
      <c r="J122" s="72"/>
      <c r="K122" s="12"/>
      <c r="L122" s="20">
        <f t="shared" si="7"/>
        <v>0</v>
      </c>
      <c r="M122" s="19" t="str">
        <f t="shared" si="8"/>
        <v/>
      </c>
      <c r="N122" s="12"/>
      <c r="O122" s="119"/>
      <c r="P122" s="95" t="str">
        <f t="shared" si="9"/>
        <v/>
      </c>
      <c r="Q122" s="12"/>
      <c r="S122" s="128"/>
      <c r="T122" s="66"/>
      <c r="U122" s="128"/>
      <c r="W122" s="128"/>
      <c r="X122" s="12"/>
      <c r="Y122" t="str">
        <f t="shared" si="10"/>
        <v/>
      </c>
      <c r="Z122" t="str">
        <f t="shared" si="11"/>
        <v/>
      </c>
      <c r="AA122" s="12"/>
      <c r="AB122" s="95" t="e">
        <f t="shared" si="12"/>
        <v>#VALUE!</v>
      </c>
      <c r="AC122" s="95" t="e">
        <f t="shared" si="13"/>
        <v>#VALUE!</v>
      </c>
      <c r="AD122" s="12"/>
    </row>
    <row r="123" spans="1:30" ht="15.75" thickBot="1" x14ac:dyDescent="0.3">
      <c r="A123" s="12"/>
      <c r="B123" s="22"/>
      <c r="C123" t="str">
        <f>IF(AND('ENTRY DATA'!D123=""),"",('ENTRY DATA'!D123))</f>
        <v/>
      </c>
      <c r="D123" t="str">
        <f>IF(AND('ENTRY DATA'!F123=""),"",('ENTRY DATA'!F123))</f>
        <v/>
      </c>
      <c r="E123" s="34" t="str">
        <f>IF(AND('ENTRY DATA'!B123=""),"",('ENTRY DATA'!B123))</f>
        <v/>
      </c>
      <c r="F123" s="12"/>
      <c r="G123" s="12"/>
      <c r="H123" s="72"/>
      <c r="I123" s="71"/>
      <c r="J123" s="72"/>
      <c r="K123" s="12"/>
      <c r="L123" s="20">
        <f t="shared" si="7"/>
        <v>0</v>
      </c>
      <c r="M123" s="19" t="str">
        <f t="shared" si="8"/>
        <v/>
      </c>
      <c r="N123" s="12"/>
      <c r="O123" s="119"/>
      <c r="P123" s="95" t="str">
        <f t="shared" si="9"/>
        <v/>
      </c>
      <c r="Q123" s="12"/>
      <c r="S123" s="128"/>
      <c r="T123" s="66"/>
      <c r="U123" s="128"/>
      <c r="W123" s="128"/>
      <c r="X123" s="12"/>
      <c r="Y123" t="str">
        <f t="shared" si="10"/>
        <v/>
      </c>
      <c r="Z123" t="str">
        <f t="shared" si="11"/>
        <v/>
      </c>
      <c r="AA123" s="12"/>
      <c r="AB123" s="95" t="e">
        <f t="shared" si="12"/>
        <v>#VALUE!</v>
      </c>
      <c r="AC123" s="95" t="e">
        <f t="shared" si="13"/>
        <v>#VALUE!</v>
      </c>
      <c r="AD123" s="12"/>
    </row>
    <row r="124" spans="1:30" ht="15.75" thickBot="1" x14ac:dyDescent="0.3">
      <c r="A124" s="12"/>
      <c r="B124" s="22"/>
      <c r="C124" t="str">
        <f>IF(AND('ENTRY DATA'!D124=""),"",('ENTRY DATA'!D124))</f>
        <v/>
      </c>
      <c r="D124" t="str">
        <f>IF(AND('ENTRY DATA'!F124=""),"",('ENTRY DATA'!F124))</f>
        <v/>
      </c>
      <c r="E124" s="34" t="str">
        <f>IF(AND('ENTRY DATA'!B124=""),"",('ENTRY DATA'!B124))</f>
        <v/>
      </c>
      <c r="F124" s="12"/>
      <c r="G124" s="12"/>
      <c r="H124" s="72"/>
      <c r="I124" s="71"/>
      <c r="J124" s="72"/>
      <c r="K124" s="12"/>
      <c r="L124" s="20">
        <f t="shared" si="7"/>
        <v>0</v>
      </c>
      <c r="M124" s="19" t="str">
        <f t="shared" si="8"/>
        <v/>
      </c>
      <c r="N124" s="12"/>
      <c r="O124" s="119"/>
      <c r="P124" s="95" t="str">
        <f t="shared" si="9"/>
        <v/>
      </c>
      <c r="Q124" s="12"/>
      <c r="S124" s="128"/>
      <c r="T124" s="66"/>
      <c r="U124" s="128"/>
      <c r="W124" s="128"/>
      <c r="X124" s="12"/>
      <c r="Y124" t="str">
        <f t="shared" si="10"/>
        <v/>
      </c>
      <c r="Z124" t="str">
        <f t="shared" si="11"/>
        <v/>
      </c>
      <c r="AA124" s="12"/>
      <c r="AB124" s="95" t="e">
        <f t="shared" si="12"/>
        <v>#VALUE!</v>
      </c>
      <c r="AC124" s="95" t="e">
        <f t="shared" si="13"/>
        <v>#VALUE!</v>
      </c>
      <c r="AD124" s="12"/>
    </row>
    <row r="125" spans="1:30" ht="15.75" thickBot="1" x14ac:dyDescent="0.3">
      <c r="A125" s="12"/>
      <c r="B125" s="22"/>
      <c r="C125" t="str">
        <f>IF(AND('ENTRY DATA'!D125=""),"",('ENTRY DATA'!D125))</f>
        <v/>
      </c>
      <c r="D125" t="str">
        <f>IF(AND('ENTRY DATA'!F125=""),"",('ENTRY DATA'!F125))</f>
        <v/>
      </c>
      <c r="E125" s="34" t="str">
        <f>IF(AND('ENTRY DATA'!B125=""),"",('ENTRY DATA'!B125))</f>
        <v/>
      </c>
      <c r="F125" s="12"/>
      <c r="G125" s="12"/>
      <c r="H125" s="72"/>
      <c r="I125" s="71"/>
      <c r="J125" s="72"/>
      <c r="K125" s="12"/>
      <c r="L125" s="20">
        <f t="shared" si="7"/>
        <v>0</v>
      </c>
      <c r="M125" s="19" t="str">
        <f t="shared" si="8"/>
        <v/>
      </c>
      <c r="N125" s="12"/>
      <c r="O125" s="119"/>
      <c r="P125" s="95" t="str">
        <f t="shared" si="9"/>
        <v/>
      </c>
      <c r="Q125" s="12"/>
      <c r="S125" s="128"/>
      <c r="T125" s="66"/>
      <c r="U125" s="128"/>
      <c r="W125" s="128"/>
      <c r="X125" s="12"/>
      <c r="Y125" t="str">
        <f t="shared" si="10"/>
        <v/>
      </c>
      <c r="Z125" t="str">
        <f t="shared" si="11"/>
        <v/>
      </c>
      <c r="AA125" s="12"/>
      <c r="AB125" s="95" t="e">
        <f t="shared" si="12"/>
        <v>#VALUE!</v>
      </c>
      <c r="AC125" s="95" t="e">
        <f t="shared" si="13"/>
        <v>#VALUE!</v>
      </c>
      <c r="AD125" s="12"/>
    </row>
    <row r="126" spans="1:30" ht="15.75" thickBot="1" x14ac:dyDescent="0.3">
      <c r="A126" s="12"/>
      <c r="B126" s="22"/>
      <c r="C126" t="str">
        <f>IF(AND('ENTRY DATA'!D126=""),"",('ENTRY DATA'!D126))</f>
        <v/>
      </c>
      <c r="D126" t="str">
        <f>IF(AND('ENTRY DATA'!F126=""),"",('ENTRY DATA'!F126))</f>
        <v/>
      </c>
      <c r="E126" s="34" t="str">
        <f>IF(AND('ENTRY DATA'!B126=""),"",('ENTRY DATA'!B126))</f>
        <v/>
      </c>
      <c r="F126" s="12"/>
      <c r="G126" s="12"/>
      <c r="H126" s="72"/>
      <c r="I126" s="71"/>
      <c r="J126" s="72"/>
      <c r="K126" s="12"/>
      <c r="L126" s="20">
        <f t="shared" si="7"/>
        <v>0</v>
      </c>
      <c r="M126" s="19" t="str">
        <f t="shared" si="8"/>
        <v/>
      </c>
      <c r="N126" s="12"/>
      <c r="O126" s="119"/>
      <c r="P126" s="95" t="str">
        <f t="shared" si="9"/>
        <v/>
      </c>
      <c r="Q126" s="12"/>
      <c r="S126" s="128"/>
      <c r="T126" s="66"/>
      <c r="U126" s="128"/>
      <c r="W126" s="128"/>
      <c r="X126" s="12"/>
      <c r="Y126" t="str">
        <f t="shared" si="10"/>
        <v/>
      </c>
      <c r="Z126" t="str">
        <f t="shared" si="11"/>
        <v/>
      </c>
      <c r="AA126" s="12"/>
      <c r="AB126" s="95" t="e">
        <f t="shared" si="12"/>
        <v>#VALUE!</v>
      </c>
      <c r="AC126" s="95" t="e">
        <f t="shared" si="13"/>
        <v>#VALUE!</v>
      </c>
      <c r="AD126" s="12"/>
    </row>
    <row r="127" spans="1:30" ht="15.75" thickBot="1" x14ac:dyDescent="0.3">
      <c r="A127" s="12"/>
      <c r="B127" s="22"/>
      <c r="C127" t="str">
        <f>IF(AND('ENTRY DATA'!D127=""),"",('ENTRY DATA'!D127))</f>
        <v/>
      </c>
      <c r="D127" t="str">
        <f>IF(AND('ENTRY DATA'!F127=""),"",('ENTRY DATA'!F127))</f>
        <v/>
      </c>
      <c r="E127" s="34" t="str">
        <f>IF(AND('ENTRY DATA'!B127=""),"",('ENTRY DATA'!B127))</f>
        <v/>
      </c>
      <c r="F127" s="12"/>
      <c r="G127" s="12"/>
      <c r="H127" s="72"/>
      <c r="I127" s="71"/>
      <c r="J127" s="72"/>
      <c r="K127" s="12"/>
      <c r="L127" s="20">
        <f t="shared" si="7"/>
        <v>0</v>
      </c>
      <c r="M127" s="19" t="str">
        <f t="shared" si="8"/>
        <v/>
      </c>
      <c r="N127" s="12"/>
      <c r="O127" s="119"/>
      <c r="P127" s="95" t="str">
        <f t="shared" si="9"/>
        <v/>
      </c>
      <c r="Q127" s="12"/>
      <c r="S127" s="128"/>
      <c r="T127" s="66"/>
      <c r="U127" s="128"/>
      <c r="W127" s="128"/>
      <c r="X127" s="12"/>
      <c r="Y127" t="str">
        <f t="shared" si="10"/>
        <v/>
      </c>
      <c r="Z127" t="str">
        <f t="shared" si="11"/>
        <v/>
      </c>
      <c r="AA127" s="12"/>
      <c r="AB127" s="95" t="e">
        <f t="shared" si="12"/>
        <v>#VALUE!</v>
      </c>
      <c r="AC127" s="95" t="e">
        <f t="shared" si="13"/>
        <v>#VALUE!</v>
      </c>
      <c r="AD127" s="12"/>
    </row>
    <row r="128" spans="1:30" ht="15.75" thickBot="1" x14ac:dyDescent="0.3">
      <c r="A128" s="12"/>
      <c r="B128" s="22"/>
      <c r="C128" t="str">
        <f>IF(AND('ENTRY DATA'!D128=""),"",('ENTRY DATA'!D128))</f>
        <v/>
      </c>
      <c r="D128" t="str">
        <f>IF(AND('ENTRY DATA'!F128=""),"",('ENTRY DATA'!F128))</f>
        <v/>
      </c>
      <c r="E128" s="34" t="str">
        <f>IF(AND('ENTRY DATA'!B128=""),"",('ENTRY DATA'!B128))</f>
        <v/>
      </c>
      <c r="F128" s="12"/>
      <c r="G128" s="12"/>
      <c r="H128" s="72"/>
      <c r="I128" s="71"/>
      <c r="J128" s="72"/>
      <c r="K128" s="12"/>
      <c r="L128" s="20">
        <f t="shared" si="7"/>
        <v>0</v>
      </c>
      <c r="M128" s="19" t="str">
        <f t="shared" si="8"/>
        <v/>
      </c>
      <c r="N128" s="12"/>
      <c r="O128" s="119"/>
      <c r="P128" s="95" t="str">
        <f t="shared" si="9"/>
        <v/>
      </c>
      <c r="Q128" s="12"/>
      <c r="S128" s="128"/>
      <c r="T128" s="66"/>
      <c r="U128" s="128"/>
      <c r="W128" s="128"/>
      <c r="X128" s="12"/>
      <c r="Y128" t="str">
        <f t="shared" si="10"/>
        <v/>
      </c>
      <c r="Z128" t="str">
        <f t="shared" si="11"/>
        <v/>
      </c>
      <c r="AA128" s="12"/>
      <c r="AB128" s="95" t="e">
        <f t="shared" si="12"/>
        <v>#VALUE!</v>
      </c>
      <c r="AC128" s="95" t="e">
        <f t="shared" si="13"/>
        <v>#VALUE!</v>
      </c>
      <c r="AD128" s="12"/>
    </row>
    <row r="129" spans="1:30" ht="15.75" thickBot="1" x14ac:dyDescent="0.3">
      <c r="A129" s="12"/>
      <c r="B129" s="22"/>
      <c r="C129" t="str">
        <f>IF(AND('ENTRY DATA'!D129=""),"",('ENTRY DATA'!D129))</f>
        <v/>
      </c>
      <c r="D129" t="str">
        <f>IF(AND('ENTRY DATA'!F129=""),"",('ENTRY DATA'!F129))</f>
        <v/>
      </c>
      <c r="E129" s="34" t="str">
        <f>IF(AND('ENTRY DATA'!B129=""),"",('ENTRY DATA'!B129))</f>
        <v/>
      </c>
      <c r="F129" s="12"/>
      <c r="G129" s="12"/>
      <c r="H129" s="72"/>
      <c r="I129" s="71"/>
      <c r="J129" s="72"/>
      <c r="K129" s="12"/>
      <c r="L129" s="20">
        <f t="shared" si="7"/>
        <v>0</v>
      </c>
      <c r="M129" s="19" t="str">
        <f t="shared" si="8"/>
        <v/>
      </c>
      <c r="N129" s="12"/>
      <c r="O129" s="119"/>
      <c r="P129" s="95" t="str">
        <f t="shared" si="9"/>
        <v/>
      </c>
      <c r="Q129" s="12"/>
      <c r="S129" s="128"/>
      <c r="T129" s="66"/>
      <c r="U129" s="128"/>
      <c r="W129" s="128"/>
      <c r="X129" s="12"/>
      <c r="Y129" t="str">
        <f t="shared" si="10"/>
        <v/>
      </c>
      <c r="Z129" t="str">
        <f t="shared" si="11"/>
        <v/>
      </c>
      <c r="AA129" s="12"/>
      <c r="AB129" s="95" t="e">
        <f t="shared" si="12"/>
        <v>#VALUE!</v>
      </c>
      <c r="AC129" s="95" t="e">
        <f t="shared" si="13"/>
        <v>#VALUE!</v>
      </c>
      <c r="AD129" s="12"/>
    </row>
    <row r="130" spans="1:30" ht="15.75" thickBot="1" x14ac:dyDescent="0.3">
      <c r="A130" s="12"/>
      <c r="B130" s="22"/>
      <c r="C130" t="str">
        <f>IF(AND('ENTRY DATA'!D130=""),"",('ENTRY DATA'!D130))</f>
        <v/>
      </c>
      <c r="D130" t="str">
        <f>IF(AND('ENTRY DATA'!F130=""),"",('ENTRY DATA'!F130))</f>
        <v/>
      </c>
      <c r="E130" s="34" t="str">
        <f>IF(AND('ENTRY DATA'!B130=""),"",('ENTRY DATA'!B130))</f>
        <v/>
      </c>
      <c r="F130" s="12"/>
      <c r="G130" s="12"/>
      <c r="H130" s="72"/>
      <c r="I130" s="71"/>
      <c r="J130" s="72"/>
      <c r="K130" s="12"/>
      <c r="L130" s="20">
        <f t="shared" si="7"/>
        <v>0</v>
      </c>
      <c r="M130" s="19" t="str">
        <f t="shared" si="8"/>
        <v/>
      </c>
      <c r="N130" s="12"/>
      <c r="O130" s="119"/>
      <c r="P130" s="95" t="str">
        <f t="shared" si="9"/>
        <v/>
      </c>
      <c r="Q130" s="12"/>
      <c r="S130" s="128"/>
      <c r="T130" s="66"/>
      <c r="U130" s="128"/>
      <c r="W130" s="128"/>
      <c r="X130" s="12"/>
      <c r="Y130" t="str">
        <f t="shared" si="10"/>
        <v/>
      </c>
      <c r="Z130" t="str">
        <f t="shared" si="11"/>
        <v/>
      </c>
      <c r="AA130" s="12"/>
      <c r="AB130" s="95" t="e">
        <f t="shared" si="12"/>
        <v>#VALUE!</v>
      </c>
      <c r="AC130" s="95" t="e">
        <f t="shared" si="13"/>
        <v>#VALUE!</v>
      </c>
      <c r="AD130" s="12"/>
    </row>
    <row r="131" spans="1:30" ht="15.75" thickBot="1" x14ac:dyDescent="0.3">
      <c r="A131" s="12"/>
      <c r="B131" s="22"/>
      <c r="C131" t="str">
        <f>IF(AND('ENTRY DATA'!D131=""),"",('ENTRY DATA'!D131))</f>
        <v/>
      </c>
      <c r="D131" t="str">
        <f>IF(AND('ENTRY DATA'!F131=""),"",('ENTRY DATA'!F131))</f>
        <v/>
      </c>
      <c r="E131" s="34" t="str">
        <f>IF(AND('ENTRY DATA'!B131=""),"",('ENTRY DATA'!B131))</f>
        <v/>
      </c>
      <c r="F131" s="12"/>
      <c r="G131" s="12"/>
      <c r="H131" s="72"/>
      <c r="I131" s="71"/>
      <c r="J131" s="72"/>
      <c r="K131" s="12"/>
      <c r="L131" s="20">
        <f t="shared" si="7"/>
        <v>0</v>
      </c>
      <c r="M131" s="19" t="str">
        <f t="shared" si="8"/>
        <v/>
      </c>
      <c r="N131" s="12"/>
      <c r="O131" s="119"/>
      <c r="P131" s="95" t="str">
        <f t="shared" si="9"/>
        <v/>
      </c>
      <c r="Q131" s="12"/>
      <c r="S131" s="128"/>
      <c r="T131" s="66"/>
      <c r="U131" s="128"/>
      <c r="W131" s="128"/>
      <c r="X131" s="12"/>
      <c r="Y131" t="str">
        <f t="shared" si="10"/>
        <v/>
      </c>
      <c r="Z131" t="str">
        <f t="shared" si="11"/>
        <v/>
      </c>
      <c r="AA131" s="12"/>
      <c r="AB131" s="95" t="e">
        <f t="shared" si="12"/>
        <v>#VALUE!</v>
      </c>
      <c r="AC131" s="95" t="e">
        <f t="shared" si="13"/>
        <v>#VALUE!</v>
      </c>
      <c r="AD131" s="12"/>
    </row>
    <row r="132" spans="1:30" ht="15.75" thickBot="1" x14ac:dyDescent="0.3">
      <c r="A132" s="12"/>
      <c r="B132" s="22"/>
      <c r="C132" t="str">
        <f>IF(AND('ENTRY DATA'!D132=""),"",('ENTRY DATA'!D132))</f>
        <v/>
      </c>
      <c r="D132" t="str">
        <f>IF(AND('ENTRY DATA'!F132=""),"",('ENTRY DATA'!F132))</f>
        <v/>
      </c>
      <c r="E132" s="34" t="str">
        <f>IF(AND('ENTRY DATA'!B132=""),"",('ENTRY DATA'!B132))</f>
        <v/>
      </c>
      <c r="F132" s="12"/>
      <c r="G132" s="12"/>
      <c r="H132" s="72"/>
      <c r="I132" s="71"/>
      <c r="J132" s="72"/>
      <c r="K132" s="12"/>
      <c r="L132" s="20">
        <f t="shared" si="7"/>
        <v>0</v>
      </c>
      <c r="M132" s="19" t="str">
        <f t="shared" si="8"/>
        <v/>
      </c>
      <c r="N132" s="12"/>
      <c r="O132" s="119"/>
      <c r="P132" s="95" t="str">
        <f t="shared" si="9"/>
        <v/>
      </c>
      <c r="Q132" s="12"/>
      <c r="S132" s="128"/>
      <c r="T132" s="66"/>
      <c r="U132" s="128"/>
      <c r="W132" s="128"/>
      <c r="X132" s="12"/>
      <c r="Y132" t="str">
        <f t="shared" si="10"/>
        <v/>
      </c>
      <c r="Z132" t="str">
        <f t="shared" si="11"/>
        <v/>
      </c>
      <c r="AA132" s="12"/>
      <c r="AB132" s="95" t="e">
        <f t="shared" si="12"/>
        <v>#VALUE!</v>
      </c>
      <c r="AC132" s="95" t="e">
        <f t="shared" si="13"/>
        <v>#VALUE!</v>
      </c>
      <c r="AD132" s="12"/>
    </row>
    <row r="133" spans="1:30" ht="15.75" thickBot="1" x14ac:dyDescent="0.3">
      <c r="A133" s="12"/>
      <c r="B133" s="22"/>
      <c r="C133" t="str">
        <f>IF(AND('ENTRY DATA'!D133=""),"",('ENTRY DATA'!D133))</f>
        <v/>
      </c>
      <c r="D133" t="str">
        <f>IF(AND('ENTRY DATA'!F133=""),"",('ENTRY DATA'!F133))</f>
        <v/>
      </c>
      <c r="E133" s="34" t="str">
        <f>IF(AND('ENTRY DATA'!B133=""),"",('ENTRY DATA'!B133))</f>
        <v/>
      </c>
      <c r="F133" s="12"/>
      <c r="G133" s="12"/>
      <c r="H133" s="72"/>
      <c r="I133" s="71"/>
      <c r="J133" s="72"/>
      <c r="K133" s="12"/>
      <c r="L133" s="20">
        <f t="shared" si="7"/>
        <v>0</v>
      </c>
      <c r="M133" s="19" t="str">
        <f t="shared" si="8"/>
        <v/>
      </c>
      <c r="N133" s="12"/>
      <c r="O133" s="119"/>
      <c r="P133" s="95" t="str">
        <f t="shared" si="9"/>
        <v/>
      </c>
      <c r="Q133" s="12"/>
      <c r="S133" s="128"/>
      <c r="T133" s="66"/>
      <c r="U133" s="128"/>
      <c r="W133" s="128"/>
      <c r="X133" s="12"/>
      <c r="Y133" t="str">
        <f t="shared" si="10"/>
        <v/>
      </c>
      <c r="Z133" t="str">
        <f t="shared" si="11"/>
        <v/>
      </c>
      <c r="AA133" s="12"/>
      <c r="AB133" s="95" t="e">
        <f t="shared" si="12"/>
        <v>#VALUE!</v>
      </c>
      <c r="AC133" s="95" t="e">
        <f t="shared" si="13"/>
        <v>#VALUE!</v>
      </c>
      <c r="AD133" s="12"/>
    </row>
    <row r="134" spans="1:30" ht="15.75" thickBot="1" x14ac:dyDescent="0.3">
      <c r="A134" s="12"/>
      <c r="B134" s="22"/>
      <c r="C134" t="str">
        <f>IF(AND('ENTRY DATA'!D134=""),"",('ENTRY DATA'!D134))</f>
        <v/>
      </c>
      <c r="D134" t="str">
        <f>IF(AND('ENTRY DATA'!F134=""),"",('ENTRY DATA'!F134))</f>
        <v/>
      </c>
      <c r="E134" s="34" t="str">
        <f>IF(AND('ENTRY DATA'!B134=""),"",('ENTRY DATA'!B134))</f>
        <v/>
      </c>
      <c r="F134" s="12"/>
      <c r="G134" s="12"/>
      <c r="H134" s="72"/>
      <c r="I134" s="71"/>
      <c r="J134" s="72"/>
      <c r="K134" s="12"/>
      <c r="L134" s="20">
        <f t="shared" ref="L134:L197" si="14">COUNT(H134:J134)</f>
        <v>0</v>
      </c>
      <c r="M134" s="19" t="str">
        <f t="shared" ref="M134:M197" si="15">IF(AND(H134="",I134="",J134=""),"",(H134+I134+J134))</f>
        <v/>
      </c>
      <c r="N134" s="12"/>
      <c r="O134" s="119"/>
      <c r="P134" s="95" t="str">
        <f t="shared" ref="P134:P197" si="16">C134</f>
        <v/>
      </c>
      <c r="Q134" s="12"/>
      <c r="S134" s="128"/>
      <c r="T134" s="66"/>
      <c r="U134" s="128"/>
      <c r="W134" s="128"/>
      <c r="X134" s="12"/>
      <c r="Y134" t="str">
        <f t="shared" ref="Y134:Y197" si="17">IF(AND(R134="",T134="",V134=""),"",SUM(R134,T134,V134))</f>
        <v/>
      </c>
      <c r="Z134" t="str">
        <f t="shared" ref="Z134:Z197" si="18">IF(AND(S134="",U134="",W134=""),"",SUM(S134,U134,W134))</f>
        <v/>
      </c>
      <c r="AA134" s="12"/>
      <c r="AB134" s="95" t="e">
        <f t="shared" ref="AB134:AB197" si="19">Y134/L134</f>
        <v>#VALUE!</v>
      </c>
      <c r="AC134" s="95" t="e">
        <f t="shared" ref="AC134:AC197" si="20">Z134/L134</f>
        <v>#VALUE!</v>
      </c>
      <c r="AD134" s="12"/>
    </row>
    <row r="135" spans="1:30" ht="15.75" thickBot="1" x14ac:dyDescent="0.3">
      <c r="A135" s="12"/>
      <c r="B135" s="22"/>
      <c r="C135" t="str">
        <f>IF(AND('ENTRY DATA'!D135=""),"",('ENTRY DATA'!D135))</f>
        <v/>
      </c>
      <c r="D135" t="str">
        <f>IF(AND('ENTRY DATA'!F135=""),"",('ENTRY DATA'!F135))</f>
        <v/>
      </c>
      <c r="E135" s="34" t="str">
        <f>IF(AND('ENTRY DATA'!B135=""),"",('ENTRY DATA'!B135))</f>
        <v/>
      </c>
      <c r="F135" s="12"/>
      <c r="G135" s="12"/>
      <c r="H135" s="72"/>
      <c r="I135" s="71"/>
      <c r="J135" s="72"/>
      <c r="K135" s="12"/>
      <c r="L135" s="20">
        <f t="shared" si="14"/>
        <v>0</v>
      </c>
      <c r="M135" s="19" t="str">
        <f t="shared" si="15"/>
        <v/>
      </c>
      <c r="N135" s="12"/>
      <c r="O135" s="119"/>
      <c r="P135" s="95" t="str">
        <f t="shared" si="16"/>
        <v/>
      </c>
      <c r="Q135" s="12"/>
      <c r="S135" s="128"/>
      <c r="T135" s="66"/>
      <c r="U135" s="128"/>
      <c r="W135" s="128"/>
      <c r="X135" s="12"/>
      <c r="Y135" t="str">
        <f t="shared" si="17"/>
        <v/>
      </c>
      <c r="Z135" t="str">
        <f t="shared" si="18"/>
        <v/>
      </c>
      <c r="AA135" s="12"/>
      <c r="AB135" s="95" t="e">
        <f t="shared" si="19"/>
        <v>#VALUE!</v>
      </c>
      <c r="AC135" s="95" t="e">
        <f t="shared" si="20"/>
        <v>#VALUE!</v>
      </c>
      <c r="AD135" s="12"/>
    </row>
    <row r="136" spans="1:30" ht="15.75" thickBot="1" x14ac:dyDescent="0.3">
      <c r="A136" s="12"/>
      <c r="B136" s="22"/>
      <c r="C136" t="str">
        <f>IF(AND('ENTRY DATA'!D136=""),"",('ENTRY DATA'!D136))</f>
        <v/>
      </c>
      <c r="D136" t="str">
        <f>IF(AND('ENTRY DATA'!F136=""),"",('ENTRY DATA'!F136))</f>
        <v/>
      </c>
      <c r="E136" s="34" t="str">
        <f>IF(AND('ENTRY DATA'!B136=""),"",('ENTRY DATA'!B136))</f>
        <v/>
      </c>
      <c r="F136" s="12"/>
      <c r="G136" s="12"/>
      <c r="H136" s="72"/>
      <c r="I136" s="71"/>
      <c r="J136" s="72"/>
      <c r="K136" s="12"/>
      <c r="L136" s="20">
        <f t="shared" si="14"/>
        <v>0</v>
      </c>
      <c r="M136" s="19" t="str">
        <f t="shared" si="15"/>
        <v/>
      </c>
      <c r="N136" s="12"/>
      <c r="O136" s="119"/>
      <c r="P136" s="95" t="str">
        <f t="shared" si="16"/>
        <v/>
      </c>
      <c r="Q136" s="12"/>
      <c r="S136" s="128"/>
      <c r="T136" s="66"/>
      <c r="U136" s="128"/>
      <c r="W136" s="128"/>
      <c r="X136" s="12"/>
      <c r="Y136" t="str">
        <f t="shared" si="17"/>
        <v/>
      </c>
      <c r="Z136" t="str">
        <f t="shared" si="18"/>
        <v/>
      </c>
      <c r="AA136" s="12"/>
      <c r="AB136" s="95" t="e">
        <f t="shared" si="19"/>
        <v>#VALUE!</v>
      </c>
      <c r="AC136" s="95" t="e">
        <f t="shared" si="20"/>
        <v>#VALUE!</v>
      </c>
      <c r="AD136" s="12"/>
    </row>
    <row r="137" spans="1:30" ht="15.75" thickBot="1" x14ac:dyDescent="0.3">
      <c r="A137" s="12"/>
      <c r="B137" s="22"/>
      <c r="C137" t="str">
        <f>IF(AND('ENTRY DATA'!D137=""),"",('ENTRY DATA'!D137))</f>
        <v/>
      </c>
      <c r="D137" t="str">
        <f>IF(AND('ENTRY DATA'!F137=""),"",('ENTRY DATA'!F137))</f>
        <v/>
      </c>
      <c r="E137" s="34" t="str">
        <f>IF(AND('ENTRY DATA'!B137=""),"",('ENTRY DATA'!B137))</f>
        <v/>
      </c>
      <c r="F137" s="12"/>
      <c r="G137" s="12"/>
      <c r="H137" s="72"/>
      <c r="I137" s="71"/>
      <c r="J137" s="72"/>
      <c r="K137" s="12"/>
      <c r="L137" s="20">
        <f t="shared" si="14"/>
        <v>0</v>
      </c>
      <c r="M137" s="19" t="str">
        <f t="shared" si="15"/>
        <v/>
      </c>
      <c r="N137" s="12"/>
      <c r="O137" s="119"/>
      <c r="P137" s="95" t="str">
        <f t="shared" si="16"/>
        <v/>
      </c>
      <c r="Q137" s="12"/>
      <c r="S137" s="128"/>
      <c r="T137" s="66"/>
      <c r="U137" s="128"/>
      <c r="W137" s="128"/>
      <c r="X137" s="12"/>
      <c r="Y137" t="str">
        <f t="shared" si="17"/>
        <v/>
      </c>
      <c r="Z137" t="str">
        <f t="shared" si="18"/>
        <v/>
      </c>
      <c r="AA137" s="12"/>
      <c r="AB137" s="95" t="e">
        <f t="shared" si="19"/>
        <v>#VALUE!</v>
      </c>
      <c r="AC137" s="95" t="e">
        <f t="shared" si="20"/>
        <v>#VALUE!</v>
      </c>
      <c r="AD137" s="12"/>
    </row>
    <row r="138" spans="1:30" ht="15.75" thickBot="1" x14ac:dyDescent="0.3">
      <c r="A138" s="12"/>
      <c r="B138" s="22"/>
      <c r="C138" t="str">
        <f>IF(AND('ENTRY DATA'!D138=""),"",('ENTRY DATA'!D138))</f>
        <v/>
      </c>
      <c r="D138" t="str">
        <f>IF(AND('ENTRY DATA'!F138=""),"",('ENTRY DATA'!F138))</f>
        <v/>
      </c>
      <c r="E138" s="34" t="str">
        <f>IF(AND('ENTRY DATA'!B138=""),"",('ENTRY DATA'!B138))</f>
        <v/>
      </c>
      <c r="F138" s="12"/>
      <c r="G138" s="12"/>
      <c r="H138" s="72"/>
      <c r="I138" s="71"/>
      <c r="J138" s="72"/>
      <c r="K138" s="12"/>
      <c r="L138" s="20">
        <f t="shared" si="14"/>
        <v>0</v>
      </c>
      <c r="M138" s="19" t="str">
        <f t="shared" si="15"/>
        <v/>
      </c>
      <c r="N138" s="12"/>
      <c r="O138" s="119"/>
      <c r="P138" s="95" t="str">
        <f t="shared" si="16"/>
        <v/>
      </c>
      <c r="Q138" s="12"/>
      <c r="S138" s="128"/>
      <c r="T138" s="66"/>
      <c r="U138" s="128"/>
      <c r="W138" s="128"/>
      <c r="X138" s="12"/>
      <c r="Y138" t="str">
        <f t="shared" si="17"/>
        <v/>
      </c>
      <c r="Z138" t="str">
        <f t="shared" si="18"/>
        <v/>
      </c>
      <c r="AA138" s="12"/>
      <c r="AB138" s="95" t="e">
        <f t="shared" si="19"/>
        <v>#VALUE!</v>
      </c>
      <c r="AC138" s="95" t="e">
        <f t="shared" si="20"/>
        <v>#VALUE!</v>
      </c>
      <c r="AD138" s="12"/>
    </row>
    <row r="139" spans="1:30" ht="15.75" thickBot="1" x14ac:dyDescent="0.3">
      <c r="A139" s="12"/>
      <c r="B139" s="22"/>
      <c r="C139" t="str">
        <f>IF(AND('ENTRY DATA'!D139=""),"",('ENTRY DATA'!D139))</f>
        <v/>
      </c>
      <c r="D139" t="str">
        <f>IF(AND('ENTRY DATA'!F139=""),"",('ENTRY DATA'!F139))</f>
        <v/>
      </c>
      <c r="E139" s="34" t="str">
        <f>IF(AND('ENTRY DATA'!B139=""),"",('ENTRY DATA'!B139))</f>
        <v/>
      </c>
      <c r="F139" s="12"/>
      <c r="G139" s="12"/>
      <c r="H139" s="72"/>
      <c r="I139" s="71"/>
      <c r="J139" s="72"/>
      <c r="K139" s="12"/>
      <c r="L139" s="20">
        <f t="shared" si="14"/>
        <v>0</v>
      </c>
      <c r="M139" s="19" t="str">
        <f t="shared" si="15"/>
        <v/>
      </c>
      <c r="N139" s="12"/>
      <c r="O139" s="119"/>
      <c r="P139" s="95" t="str">
        <f t="shared" si="16"/>
        <v/>
      </c>
      <c r="Q139" s="12"/>
      <c r="S139" s="128"/>
      <c r="T139" s="66"/>
      <c r="U139" s="128"/>
      <c r="W139" s="128"/>
      <c r="X139" s="12"/>
      <c r="Y139" t="str">
        <f t="shared" si="17"/>
        <v/>
      </c>
      <c r="Z139" t="str">
        <f t="shared" si="18"/>
        <v/>
      </c>
      <c r="AA139" s="12"/>
      <c r="AB139" s="95" t="e">
        <f t="shared" si="19"/>
        <v>#VALUE!</v>
      </c>
      <c r="AC139" s="95" t="e">
        <f t="shared" si="20"/>
        <v>#VALUE!</v>
      </c>
      <c r="AD139" s="12"/>
    </row>
    <row r="140" spans="1:30" ht="15.75" thickBot="1" x14ac:dyDescent="0.3">
      <c r="A140" s="12"/>
      <c r="B140" s="22"/>
      <c r="C140" t="str">
        <f>IF(AND('ENTRY DATA'!D140=""),"",('ENTRY DATA'!D140))</f>
        <v/>
      </c>
      <c r="D140" t="str">
        <f>IF(AND('ENTRY DATA'!F140=""),"",('ENTRY DATA'!F140))</f>
        <v/>
      </c>
      <c r="E140" s="34" t="str">
        <f>IF(AND('ENTRY DATA'!B140=""),"",('ENTRY DATA'!B140))</f>
        <v/>
      </c>
      <c r="F140" s="12"/>
      <c r="G140" s="12"/>
      <c r="H140" s="72"/>
      <c r="I140" s="71"/>
      <c r="J140" s="72"/>
      <c r="K140" s="12"/>
      <c r="L140" s="20">
        <f t="shared" si="14"/>
        <v>0</v>
      </c>
      <c r="M140" s="19" t="str">
        <f t="shared" si="15"/>
        <v/>
      </c>
      <c r="N140" s="12"/>
      <c r="O140" s="119"/>
      <c r="P140" s="95" t="str">
        <f t="shared" si="16"/>
        <v/>
      </c>
      <c r="Q140" s="12"/>
      <c r="S140" s="128"/>
      <c r="T140" s="66"/>
      <c r="U140" s="128"/>
      <c r="W140" s="128"/>
      <c r="X140" s="12"/>
      <c r="Y140" t="str">
        <f t="shared" si="17"/>
        <v/>
      </c>
      <c r="Z140" t="str">
        <f t="shared" si="18"/>
        <v/>
      </c>
      <c r="AA140" s="12"/>
      <c r="AB140" s="95" t="e">
        <f t="shared" si="19"/>
        <v>#VALUE!</v>
      </c>
      <c r="AC140" s="95" t="e">
        <f t="shared" si="20"/>
        <v>#VALUE!</v>
      </c>
      <c r="AD140" s="12"/>
    </row>
    <row r="141" spans="1:30" ht="15.75" thickBot="1" x14ac:dyDescent="0.3">
      <c r="A141" s="12"/>
      <c r="B141" s="22"/>
      <c r="C141" t="str">
        <f>IF(AND('ENTRY DATA'!D141=""),"",('ENTRY DATA'!D141))</f>
        <v/>
      </c>
      <c r="D141" t="str">
        <f>IF(AND('ENTRY DATA'!F141=""),"",('ENTRY DATA'!F141))</f>
        <v/>
      </c>
      <c r="E141" s="34" t="str">
        <f>IF(AND('ENTRY DATA'!B141=""),"",('ENTRY DATA'!B141))</f>
        <v/>
      </c>
      <c r="F141" s="12"/>
      <c r="G141" s="12"/>
      <c r="H141" s="72"/>
      <c r="I141" s="71"/>
      <c r="J141" s="72"/>
      <c r="K141" s="12"/>
      <c r="L141" s="20">
        <f t="shared" si="14"/>
        <v>0</v>
      </c>
      <c r="M141" s="19" t="str">
        <f t="shared" si="15"/>
        <v/>
      </c>
      <c r="N141" s="12"/>
      <c r="O141" s="119"/>
      <c r="P141" s="95" t="str">
        <f t="shared" si="16"/>
        <v/>
      </c>
      <c r="Q141" s="12"/>
      <c r="S141" s="128"/>
      <c r="T141" s="66"/>
      <c r="U141" s="128"/>
      <c r="W141" s="128"/>
      <c r="X141" s="12"/>
      <c r="Y141" t="str">
        <f t="shared" si="17"/>
        <v/>
      </c>
      <c r="Z141" t="str">
        <f t="shared" si="18"/>
        <v/>
      </c>
      <c r="AA141" s="12"/>
      <c r="AB141" s="95" t="e">
        <f t="shared" si="19"/>
        <v>#VALUE!</v>
      </c>
      <c r="AC141" s="95" t="e">
        <f t="shared" si="20"/>
        <v>#VALUE!</v>
      </c>
      <c r="AD141" s="12"/>
    </row>
    <row r="142" spans="1:30" ht="15.75" thickBot="1" x14ac:dyDescent="0.3">
      <c r="A142" s="12"/>
      <c r="B142" s="22"/>
      <c r="C142" t="str">
        <f>IF(AND('ENTRY DATA'!D142=""),"",('ENTRY DATA'!D142))</f>
        <v/>
      </c>
      <c r="D142" t="str">
        <f>IF(AND('ENTRY DATA'!F142=""),"",('ENTRY DATA'!F142))</f>
        <v/>
      </c>
      <c r="E142" s="34" t="str">
        <f>IF(AND('ENTRY DATA'!B142=""),"",('ENTRY DATA'!B142))</f>
        <v/>
      </c>
      <c r="F142" s="12"/>
      <c r="G142" s="12"/>
      <c r="H142" s="72"/>
      <c r="I142" s="71"/>
      <c r="J142" s="72"/>
      <c r="K142" s="12"/>
      <c r="L142" s="20">
        <f t="shared" si="14"/>
        <v>0</v>
      </c>
      <c r="M142" s="19" t="str">
        <f t="shared" si="15"/>
        <v/>
      </c>
      <c r="N142" s="12"/>
      <c r="O142" s="119"/>
      <c r="P142" s="95" t="str">
        <f t="shared" si="16"/>
        <v/>
      </c>
      <c r="Q142" s="12"/>
      <c r="S142" s="128"/>
      <c r="T142" s="66"/>
      <c r="U142" s="128"/>
      <c r="W142" s="128"/>
      <c r="X142" s="12"/>
      <c r="Y142" t="str">
        <f t="shared" si="17"/>
        <v/>
      </c>
      <c r="Z142" t="str">
        <f t="shared" si="18"/>
        <v/>
      </c>
      <c r="AA142" s="12"/>
      <c r="AB142" s="95" t="e">
        <f t="shared" si="19"/>
        <v>#VALUE!</v>
      </c>
      <c r="AC142" s="95" t="e">
        <f t="shared" si="20"/>
        <v>#VALUE!</v>
      </c>
      <c r="AD142" s="12"/>
    </row>
    <row r="143" spans="1:30" ht="15.75" thickBot="1" x14ac:dyDescent="0.3">
      <c r="A143" s="12"/>
      <c r="B143" s="22"/>
      <c r="C143" t="str">
        <f>IF(AND('ENTRY DATA'!D143=""),"",('ENTRY DATA'!D143))</f>
        <v/>
      </c>
      <c r="D143" t="str">
        <f>IF(AND('ENTRY DATA'!F143=""),"",('ENTRY DATA'!F143))</f>
        <v/>
      </c>
      <c r="E143" s="34" t="str">
        <f>IF(AND('ENTRY DATA'!B143=""),"",('ENTRY DATA'!B143))</f>
        <v/>
      </c>
      <c r="F143" s="12"/>
      <c r="G143" s="12"/>
      <c r="H143" s="72"/>
      <c r="I143" s="71"/>
      <c r="J143" s="72"/>
      <c r="K143" s="12"/>
      <c r="L143" s="20">
        <f t="shared" si="14"/>
        <v>0</v>
      </c>
      <c r="M143" s="19" t="str">
        <f t="shared" si="15"/>
        <v/>
      </c>
      <c r="N143" s="12"/>
      <c r="O143" s="119"/>
      <c r="P143" s="95" t="str">
        <f t="shared" si="16"/>
        <v/>
      </c>
      <c r="Q143" s="12"/>
      <c r="S143" s="128"/>
      <c r="T143" s="66"/>
      <c r="U143" s="128"/>
      <c r="W143" s="128"/>
      <c r="X143" s="12"/>
      <c r="Y143" t="str">
        <f t="shared" si="17"/>
        <v/>
      </c>
      <c r="Z143" t="str">
        <f t="shared" si="18"/>
        <v/>
      </c>
      <c r="AA143" s="12"/>
      <c r="AB143" s="95" t="e">
        <f t="shared" si="19"/>
        <v>#VALUE!</v>
      </c>
      <c r="AC143" s="95" t="e">
        <f t="shared" si="20"/>
        <v>#VALUE!</v>
      </c>
      <c r="AD143" s="12"/>
    </row>
    <row r="144" spans="1:30" ht="15.75" thickBot="1" x14ac:dyDescent="0.3">
      <c r="A144" s="12"/>
      <c r="B144" s="22"/>
      <c r="C144" t="str">
        <f>IF(AND('ENTRY DATA'!D144=""),"",('ENTRY DATA'!D144))</f>
        <v/>
      </c>
      <c r="D144" t="str">
        <f>IF(AND('ENTRY DATA'!F144=""),"",('ENTRY DATA'!F144))</f>
        <v/>
      </c>
      <c r="E144" s="34" t="str">
        <f>IF(AND('ENTRY DATA'!B144=""),"",('ENTRY DATA'!B144))</f>
        <v/>
      </c>
      <c r="F144" s="12"/>
      <c r="G144" s="12"/>
      <c r="H144" s="72"/>
      <c r="I144" s="71"/>
      <c r="J144" s="72"/>
      <c r="K144" s="12"/>
      <c r="L144" s="20">
        <f t="shared" si="14"/>
        <v>0</v>
      </c>
      <c r="M144" s="19" t="str">
        <f t="shared" si="15"/>
        <v/>
      </c>
      <c r="N144" s="12"/>
      <c r="O144" s="119"/>
      <c r="P144" s="95" t="str">
        <f t="shared" si="16"/>
        <v/>
      </c>
      <c r="Q144" s="12"/>
      <c r="S144" s="128"/>
      <c r="T144" s="66"/>
      <c r="U144" s="128"/>
      <c r="W144" s="128"/>
      <c r="X144" s="12"/>
      <c r="Y144" t="str">
        <f t="shared" si="17"/>
        <v/>
      </c>
      <c r="Z144" t="str">
        <f t="shared" si="18"/>
        <v/>
      </c>
      <c r="AA144" s="12"/>
      <c r="AB144" s="95" t="e">
        <f t="shared" si="19"/>
        <v>#VALUE!</v>
      </c>
      <c r="AC144" s="95" t="e">
        <f t="shared" si="20"/>
        <v>#VALUE!</v>
      </c>
      <c r="AD144" s="12"/>
    </row>
    <row r="145" spans="1:30" ht="15.75" thickBot="1" x14ac:dyDescent="0.3">
      <c r="A145" s="12"/>
      <c r="B145" s="22"/>
      <c r="C145" t="str">
        <f>IF(AND('ENTRY DATA'!D145=""),"",('ENTRY DATA'!D145))</f>
        <v/>
      </c>
      <c r="D145" t="str">
        <f>IF(AND('ENTRY DATA'!F145=""),"",('ENTRY DATA'!F145))</f>
        <v/>
      </c>
      <c r="E145" s="34" t="str">
        <f>IF(AND('ENTRY DATA'!B145=""),"",('ENTRY DATA'!B145))</f>
        <v/>
      </c>
      <c r="F145" s="12"/>
      <c r="G145" s="12"/>
      <c r="H145" s="72"/>
      <c r="I145" s="71"/>
      <c r="J145" s="72"/>
      <c r="K145" s="12"/>
      <c r="L145" s="20">
        <f t="shared" si="14"/>
        <v>0</v>
      </c>
      <c r="M145" s="19" t="str">
        <f t="shared" si="15"/>
        <v/>
      </c>
      <c r="N145" s="12"/>
      <c r="O145" s="119"/>
      <c r="P145" s="95" t="str">
        <f t="shared" si="16"/>
        <v/>
      </c>
      <c r="Q145" s="12"/>
      <c r="S145" s="128"/>
      <c r="T145" s="66"/>
      <c r="U145" s="128"/>
      <c r="W145" s="128"/>
      <c r="X145" s="12"/>
      <c r="Y145" t="str">
        <f t="shared" si="17"/>
        <v/>
      </c>
      <c r="Z145" t="str">
        <f t="shared" si="18"/>
        <v/>
      </c>
      <c r="AA145" s="12"/>
      <c r="AB145" s="95" t="e">
        <f t="shared" si="19"/>
        <v>#VALUE!</v>
      </c>
      <c r="AC145" s="95" t="e">
        <f t="shared" si="20"/>
        <v>#VALUE!</v>
      </c>
      <c r="AD145" s="12"/>
    </row>
    <row r="146" spans="1:30" ht="15.75" thickBot="1" x14ac:dyDescent="0.3">
      <c r="A146" s="12"/>
      <c r="B146" s="22"/>
      <c r="C146" t="str">
        <f>IF(AND('ENTRY DATA'!D146=""),"",('ENTRY DATA'!D146))</f>
        <v/>
      </c>
      <c r="D146" t="str">
        <f>IF(AND('ENTRY DATA'!F146=""),"",('ENTRY DATA'!F146))</f>
        <v/>
      </c>
      <c r="E146" s="34" t="str">
        <f>IF(AND('ENTRY DATA'!B146=""),"",('ENTRY DATA'!B146))</f>
        <v/>
      </c>
      <c r="F146" s="12"/>
      <c r="G146" s="12"/>
      <c r="H146" s="72"/>
      <c r="I146" s="71"/>
      <c r="J146" s="72"/>
      <c r="K146" s="12"/>
      <c r="L146" s="20">
        <f t="shared" si="14"/>
        <v>0</v>
      </c>
      <c r="M146" s="19" t="str">
        <f t="shared" si="15"/>
        <v/>
      </c>
      <c r="N146" s="12"/>
      <c r="O146" s="119"/>
      <c r="P146" s="95" t="str">
        <f t="shared" si="16"/>
        <v/>
      </c>
      <c r="Q146" s="12"/>
      <c r="S146" s="128"/>
      <c r="T146" s="66"/>
      <c r="U146" s="128"/>
      <c r="W146" s="128"/>
      <c r="X146" s="12"/>
      <c r="Y146" t="str">
        <f t="shared" si="17"/>
        <v/>
      </c>
      <c r="Z146" t="str">
        <f t="shared" si="18"/>
        <v/>
      </c>
      <c r="AA146" s="12"/>
      <c r="AB146" s="95" t="e">
        <f t="shared" si="19"/>
        <v>#VALUE!</v>
      </c>
      <c r="AC146" s="95" t="e">
        <f t="shared" si="20"/>
        <v>#VALUE!</v>
      </c>
      <c r="AD146" s="12"/>
    </row>
    <row r="147" spans="1:30" ht="15.75" thickBot="1" x14ac:dyDescent="0.3">
      <c r="A147" s="12"/>
      <c r="B147" s="22"/>
      <c r="C147" t="str">
        <f>IF(AND('ENTRY DATA'!D147=""),"",('ENTRY DATA'!D147))</f>
        <v/>
      </c>
      <c r="D147" t="str">
        <f>IF(AND('ENTRY DATA'!F147=""),"",('ENTRY DATA'!F147))</f>
        <v/>
      </c>
      <c r="E147" s="34" t="str">
        <f>IF(AND('ENTRY DATA'!B147=""),"",('ENTRY DATA'!B147))</f>
        <v/>
      </c>
      <c r="F147" s="12"/>
      <c r="G147" s="12"/>
      <c r="H147" s="72"/>
      <c r="I147" s="71"/>
      <c r="J147" s="72"/>
      <c r="K147" s="12"/>
      <c r="L147" s="20">
        <f t="shared" si="14"/>
        <v>0</v>
      </c>
      <c r="M147" s="19" t="str">
        <f t="shared" si="15"/>
        <v/>
      </c>
      <c r="N147" s="12"/>
      <c r="O147" s="119"/>
      <c r="P147" s="95" t="str">
        <f t="shared" si="16"/>
        <v/>
      </c>
      <c r="Q147" s="12"/>
      <c r="S147" s="128"/>
      <c r="T147" s="66"/>
      <c r="U147" s="128"/>
      <c r="W147" s="128"/>
      <c r="X147" s="12"/>
      <c r="Y147" t="str">
        <f t="shared" si="17"/>
        <v/>
      </c>
      <c r="Z147" t="str">
        <f t="shared" si="18"/>
        <v/>
      </c>
      <c r="AA147" s="12"/>
      <c r="AB147" s="95" t="e">
        <f t="shared" si="19"/>
        <v>#VALUE!</v>
      </c>
      <c r="AC147" s="95" t="e">
        <f t="shared" si="20"/>
        <v>#VALUE!</v>
      </c>
      <c r="AD147" s="12"/>
    </row>
    <row r="148" spans="1:30" ht="15.75" thickBot="1" x14ac:dyDescent="0.3">
      <c r="A148" s="12"/>
      <c r="B148" s="22"/>
      <c r="C148" t="str">
        <f>IF(AND('ENTRY DATA'!D148=""),"",('ENTRY DATA'!D148))</f>
        <v/>
      </c>
      <c r="D148" t="str">
        <f>IF(AND('ENTRY DATA'!F148=""),"",('ENTRY DATA'!F148))</f>
        <v/>
      </c>
      <c r="E148" s="34" t="str">
        <f>IF(AND('ENTRY DATA'!B148=""),"",('ENTRY DATA'!B148))</f>
        <v/>
      </c>
      <c r="F148" s="12"/>
      <c r="G148" s="12"/>
      <c r="H148" s="72"/>
      <c r="I148" s="71"/>
      <c r="J148" s="72"/>
      <c r="K148" s="12"/>
      <c r="L148" s="20">
        <f t="shared" si="14"/>
        <v>0</v>
      </c>
      <c r="M148" s="19" t="str">
        <f t="shared" si="15"/>
        <v/>
      </c>
      <c r="N148" s="12"/>
      <c r="O148" s="119"/>
      <c r="P148" s="95" t="str">
        <f t="shared" si="16"/>
        <v/>
      </c>
      <c r="Q148" s="12"/>
      <c r="S148" s="128"/>
      <c r="T148" s="66"/>
      <c r="U148" s="128"/>
      <c r="W148" s="128"/>
      <c r="X148" s="12"/>
      <c r="Y148" t="str">
        <f t="shared" si="17"/>
        <v/>
      </c>
      <c r="Z148" t="str">
        <f t="shared" si="18"/>
        <v/>
      </c>
      <c r="AA148" s="12"/>
      <c r="AB148" s="95" t="e">
        <f t="shared" si="19"/>
        <v>#VALUE!</v>
      </c>
      <c r="AC148" s="95" t="e">
        <f t="shared" si="20"/>
        <v>#VALUE!</v>
      </c>
      <c r="AD148" s="12"/>
    </row>
    <row r="149" spans="1:30" ht="15.75" thickBot="1" x14ac:dyDescent="0.3">
      <c r="A149" s="12"/>
      <c r="B149" s="22"/>
      <c r="C149" t="str">
        <f>IF(AND('ENTRY DATA'!D149=""),"",('ENTRY DATA'!D149))</f>
        <v/>
      </c>
      <c r="D149" t="str">
        <f>IF(AND('ENTRY DATA'!F149=""),"",('ENTRY DATA'!F149))</f>
        <v/>
      </c>
      <c r="E149" s="34" t="str">
        <f>IF(AND('ENTRY DATA'!B149=""),"",('ENTRY DATA'!B149))</f>
        <v/>
      </c>
      <c r="F149" s="12"/>
      <c r="G149" s="12"/>
      <c r="H149" s="72"/>
      <c r="I149" s="71"/>
      <c r="J149" s="72"/>
      <c r="K149" s="12"/>
      <c r="L149" s="20">
        <f t="shared" si="14"/>
        <v>0</v>
      </c>
      <c r="M149" s="19" t="str">
        <f t="shared" si="15"/>
        <v/>
      </c>
      <c r="N149" s="12"/>
      <c r="O149" s="119"/>
      <c r="P149" s="95" t="str">
        <f t="shared" si="16"/>
        <v/>
      </c>
      <c r="Q149" s="12"/>
      <c r="S149" s="128"/>
      <c r="T149" s="66"/>
      <c r="U149" s="128"/>
      <c r="W149" s="128"/>
      <c r="X149" s="12"/>
      <c r="Y149" t="str">
        <f t="shared" si="17"/>
        <v/>
      </c>
      <c r="Z149" t="str">
        <f t="shared" si="18"/>
        <v/>
      </c>
      <c r="AA149" s="12"/>
      <c r="AB149" s="95" t="e">
        <f t="shared" si="19"/>
        <v>#VALUE!</v>
      </c>
      <c r="AC149" s="95" t="e">
        <f t="shared" si="20"/>
        <v>#VALUE!</v>
      </c>
      <c r="AD149" s="12"/>
    </row>
    <row r="150" spans="1:30" ht="15.75" thickBot="1" x14ac:dyDescent="0.3">
      <c r="A150" s="12"/>
      <c r="B150" s="22"/>
      <c r="C150" t="str">
        <f>IF(AND('ENTRY DATA'!D150=""),"",('ENTRY DATA'!D150))</f>
        <v/>
      </c>
      <c r="D150" t="str">
        <f>IF(AND('ENTRY DATA'!F150=""),"",('ENTRY DATA'!F150))</f>
        <v/>
      </c>
      <c r="E150" s="34" t="str">
        <f>IF(AND('ENTRY DATA'!B150=""),"",('ENTRY DATA'!B150))</f>
        <v/>
      </c>
      <c r="F150" s="12"/>
      <c r="G150" s="12"/>
      <c r="H150" s="72"/>
      <c r="I150" s="71"/>
      <c r="J150" s="72"/>
      <c r="K150" s="12"/>
      <c r="L150" s="20">
        <f t="shared" si="14"/>
        <v>0</v>
      </c>
      <c r="M150" s="19" t="str">
        <f t="shared" si="15"/>
        <v/>
      </c>
      <c r="N150" s="12"/>
      <c r="O150" s="119"/>
      <c r="P150" s="95" t="str">
        <f t="shared" si="16"/>
        <v/>
      </c>
      <c r="Q150" s="12"/>
      <c r="S150" s="128"/>
      <c r="T150" s="66"/>
      <c r="U150" s="128"/>
      <c r="W150" s="128"/>
      <c r="X150" s="12"/>
      <c r="Y150" t="str">
        <f t="shared" si="17"/>
        <v/>
      </c>
      <c r="Z150" t="str">
        <f t="shared" si="18"/>
        <v/>
      </c>
      <c r="AA150" s="12"/>
      <c r="AB150" s="95" t="e">
        <f t="shared" si="19"/>
        <v>#VALUE!</v>
      </c>
      <c r="AC150" s="95" t="e">
        <f t="shared" si="20"/>
        <v>#VALUE!</v>
      </c>
      <c r="AD150" s="12"/>
    </row>
    <row r="151" spans="1:30" ht="15.75" thickBot="1" x14ac:dyDescent="0.3">
      <c r="A151" s="12"/>
      <c r="B151" s="22"/>
      <c r="C151" t="str">
        <f>IF(AND('ENTRY DATA'!D151=""),"",('ENTRY DATA'!D151))</f>
        <v/>
      </c>
      <c r="D151" t="str">
        <f>IF(AND('ENTRY DATA'!F151=""),"",('ENTRY DATA'!F151))</f>
        <v/>
      </c>
      <c r="E151" s="34" t="str">
        <f>IF(AND('ENTRY DATA'!B151=""),"",('ENTRY DATA'!B151))</f>
        <v/>
      </c>
      <c r="F151" s="12"/>
      <c r="G151" s="12"/>
      <c r="H151" s="72"/>
      <c r="I151" s="71"/>
      <c r="J151" s="72"/>
      <c r="K151" s="12"/>
      <c r="L151" s="20">
        <f t="shared" si="14"/>
        <v>0</v>
      </c>
      <c r="M151" s="19" t="str">
        <f t="shared" si="15"/>
        <v/>
      </c>
      <c r="N151" s="12"/>
      <c r="O151" s="119"/>
      <c r="P151" s="95" t="str">
        <f t="shared" si="16"/>
        <v/>
      </c>
      <c r="Q151" s="12"/>
      <c r="S151" s="128"/>
      <c r="T151" s="66"/>
      <c r="U151" s="128"/>
      <c r="W151" s="128"/>
      <c r="X151" s="12"/>
      <c r="Y151" t="str">
        <f t="shared" si="17"/>
        <v/>
      </c>
      <c r="Z151" t="str">
        <f t="shared" si="18"/>
        <v/>
      </c>
      <c r="AA151" s="12"/>
      <c r="AB151" s="95" t="e">
        <f t="shared" si="19"/>
        <v>#VALUE!</v>
      </c>
      <c r="AC151" s="95" t="e">
        <f t="shared" si="20"/>
        <v>#VALUE!</v>
      </c>
      <c r="AD151" s="12"/>
    </row>
    <row r="152" spans="1:30" ht="15.75" thickBot="1" x14ac:dyDescent="0.3">
      <c r="A152" s="12"/>
      <c r="B152" s="22"/>
      <c r="C152" t="str">
        <f>IF(AND('ENTRY DATA'!D152=""),"",('ENTRY DATA'!D152))</f>
        <v/>
      </c>
      <c r="D152" t="str">
        <f>IF(AND('ENTRY DATA'!F152=""),"",('ENTRY DATA'!F152))</f>
        <v/>
      </c>
      <c r="E152" s="34" t="str">
        <f>IF(AND('ENTRY DATA'!B152=""),"",('ENTRY DATA'!B152))</f>
        <v/>
      </c>
      <c r="F152" s="12"/>
      <c r="G152" s="12"/>
      <c r="H152" s="72"/>
      <c r="I152" s="71"/>
      <c r="J152" s="72"/>
      <c r="K152" s="12"/>
      <c r="L152" s="20">
        <f t="shared" si="14"/>
        <v>0</v>
      </c>
      <c r="M152" s="19" t="str">
        <f t="shared" si="15"/>
        <v/>
      </c>
      <c r="N152" s="12"/>
      <c r="O152" s="119"/>
      <c r="P152" s="95" t="str">
        <f t="shared" si="16"/>
        <v/>
      </c>
      <c r="Q152" s="12"/>
      <c r="S152" s="128"/>
      <c r="T152" s="66"/>
      <c r="U152" s="128"/>
      <c r="W152" s="128"/>
      <c r="X152" s="12"/>
      <c r="Y152" t="str">
        <f t="shared" si="17"/>
        <v/>
      </c>
      <c r="Z152" t="str">
        <f t="shared" si="18"/>
        <v/>
      </c>
      <c r="AA152" s="12"/>
      <c r="AB152" s="95" t="e">
        <f t="shared" si="19"/>
        <v>#VALUE!</v>
      </c>
      <c r="AC152" s="95" t="e">
        <f t="shared" si="20"/>
        <v>#VALUE!</v>
      </c>
      <c r="AD152" s="12"/>
    </row>
    <row r="153" spans="1:30" ht="15.75" thickBot="1" x14ac:dyDescent="0.3">
      <c r="A153" s="12"/>
      <c r="B153" s="22"/>
      <c r="C153" t="str">
        <f>IF(AND('ENTRY DATA'!D153=""),"",('ENTRY DATA'!D153))</f>
        <v/>
      </c>
      <c r="D153" t="str">
        <f>IF(AND('ENTRY DATA'!F153=""),"",('ENTRY DATA'!F153))</f>
        <v/>
      </c>
      <c r="E153" s="34" t="str">
        <f>IF(AND('ENTRY DATA'!B153=""),"",('ENTRY DATA'!B153))</f>
        <v/>
      </c>
      <c r="F153" s="12"/>
      <c r="G153" s="12"/>
      <c r="H153" s="72"/>
      <c r="I153" s="71"/>
      <c r="J153" s="72"/>
      <c r="K153" s="12"/>
      <c r="L153" s="20">
        <f t="shared" si="14"/>
        <v>0</v>
      </c>
      <c r="M153" s="19" t="str">
        <f t="shared" si="15"/>
        <v/>
      </c>
      <c r="N153" s="12"/>
      <c r="O153" s="119"/>
      <c r="P153" s="95" t="str">
        <f t="shared" si="16"/>
        <v/>
      </c>
      <c r="Q153" s="12"/>
      <c r="S153" s="128"/>
      <c r="T153" s="66"/>
      <c r="U153" s="128"/>
      <c r="W153" s="128"/>
      <c r="X153" s="12"/>
      <c r="Y153" t="str">
        <f t="shared" si="17"/>
        <v/>
      </c>
      <c r="Z153" t="str">
        <f t="shared" si="18"/>
        <v/>
      </c>
      <c r="AA153" s="12"/>
      <c r="AB153" s="95" t="e">
        <f t="shared" si="19"/>
        <v>#VALUE!</v>
      </c>
      <c r="AC153" s="95" t="e">
        <f t="shared" si="20"/>
        <v>#VALUE!</v>
      </c>
      <c r="AD153" s="12"/>
    </row>
    <row r="154" spans="1:30" ht="15.75" thickBot="1" x14ac:dyDescent="0.3">
      <c r="A154" s="12"/>
      <c r="B154" s="22"/>
      <c r="C154" t="str">
        <f>IF(AND('ENTRY DATA'!D154=""),"",('ENTRY DATA'!D154))</f>
        <v/>
      </c>
      <c r="D154" t="str">
        <f>IF(AND('ENTRY DATA'!F154=""),"",('ENTRY DATA'!F154))</f>
        <v/>
      </c>
      <c r="E154" s="34" t="str">
        <f>IF(AND('ENTRY DATA'!B154=""),"",('ENTRY DATA'!B154))</f>
        <v/>
      </c>
      <c r="F154" s="12"/>
      <c r="G154" s="12"/>
      <c r="H154" s="72"/>
      <c r="I154" s="71"/>
      <c r="J154" s="72"/>
      <c r="K154" s="12"/>
      <c r="L154" s="20">
        <f t="shared" si="14"/>
        <v>0</v>
      </c>
      <c r="M154" s="19" t="str">
        <f t="shared" si="15"/>
        <v/>
      </c>
      <c r="N154" s="12"/>
      <c r="O154" s="119"/>
      <c r="P154" s="95" t="str">
        <f t="shared" si="16"/>
        <v/>
      </c>
      <c r="Q154" s="12"/>
      <c r="S154" s="128"/>
      <c r="T154" s="66"/>
      <c r="U154" s="128"/>
      <c r="W154" s="128"/>
      <c r="X154" s="12"/>
      <c r="Y154" t="str">
        <f t="shared" si="17"/>
        <v/>
      </c>
      <c r="Z154" t="str">
        <f t="shared" si="18"/>
        <v/>
      </c>
      <c r="AA154" s="12"/>
      <c r="AB154" s="95" t="e">
        <f t="shared" si="19"/>
        <v>#VALUE!</v>
      </c>
      <c r="AC154" s="95" t="e">
        <f t="shared" si="20"/>
        <v>#VALUE!</v>
      </c>
      <c r="AD154" s="12"/>
    </row>
    <row r="155" spans="1:30" ht="15.75" thickBot="1" x14ac:dyDescent="0.3">
      <c r="A155" s="12"/>
      <c r="B155" s="22"/>
      <c r="C155" t="str">
        <f>IF(AND('ENTRY DATA'!D155=""),"",('ENTRY DATA'!D155))</f>
        <v/>
      </c>
      <c r="D155" t="str">
        <f>IF(AND('ENTRY DATA'!F155=""),"",('ENTRY DATA'!F155))</f>
        <v/>
      </c>
      <c r="E155" s="34" t="str">
        <f>IF(AND('ENTRY DATA'!B155=""),"",('ENTRY DATA'!B155))</f>
        <v/>
      </c>
      <c r="F155" s="12"/>
      <c r="G155" s="12"/>
      <c r="H155" s="72"/>
      <c r="I155" s="71"/>
      <c r="J155" s="72"/>
      <c r="K155" s="12"/>
      <c r="L155" s="20">
        <f t="shared" si="14"/>
        <v>0</v>
      </c>
      <c r="M155" s="19" t="str">
        <f t="shared" si="15"/>
        <v/>
      </c>
      <c r="N155" s="12"/>
      <c r="O155" s="119"/>
      <c r="P155" s="95" t="str">
        <f t="shared" si="16"/>
        <v/>
      </c>
      <c r="Q155" s="12"/>
      <c r="S155" s="128"/>
      <c r="T155" s="66"/>
      <c r="U155" s="128"/>
      <c r="W155" s="128"/>
      <c r="X155" s="12"/>
      <c r="Y155" t="str">
        <f t="shared" si="17"/>
        <v/>
      </c>
      <c r="Z155" t="str">
        <f t="shared" si="18"/>
        <v/>
      </c>
      <c r="AA155" s="12"/>
      <c r="AB155" s="95" t="e">
        <f t="shared" si="19"/>
        <v>#VALUE!</v>
      </c>
      <c r="AC155" s="95" t="e">
        <f t="shared" si="20"/>
        <v>#VALUE!</v>
      </c>
      <c r="AD155" s="12"/>
    </row>
    <row r="156" spans="1:30" ht="15.75" thickBot="1" x14ac:dyDescent="0.3">
      <c r="A156" s="12"/>
      <c r="B156" s="22"/>
      <c r="C156" t="str">
        <f>IF(AND('ENTRY DATA'!D156=""),"",('ENTRY DATA'!D156))</f>
        <v/>
      </c>
      <c r="D156" t="str">
        <f>IF(AND('ENTRY DATA'!F156=""),"",('ENTRY DATA'!F156))</f>
        <v/>
      </c>
      <c r="E156" s="34" t="str">
        <f>IF(AND('ENTRY DATA'!B156=""),"",('ENTRY DATA'!B156))</f>
        <v/>
      </c>
      <c r="F156" s="12"/>
      <c r="G156" s="12"/>
      <c r="H156" s="72"/>
      <c r="I156" s="71"/>
      <c r="J156" s="72"/>
      <c r="K156" s="12"/>
      <c r="L156" s="20">
        <f t="shared" si="14"/>
        <v>0</v>
      </c>
      <c r="M156" s="19" t="str">
        <f t="shared" si="15"/>
        <v/>
      </c>
      <c r="N156" s="12"/>
      <c r="O156" s="119"/>
      <c r="P156" s="95" t="str">
        <f t="shared" si="16"/>
        <v/>
      </c>
      <c r="Q156" s="12"/>
      <c r="S156" s="128"/>
      <c r="T156" s="66"/>
      <c r="U156" s="128"/>
      <c r="W156" s="128"/>
      <c r="X156" s="12"/>
      <c r="Y156" t="str">
        <f t="shared" si="17"/>
        <v/>
      </c>
      <c r="Z156" t="str">
        <f t="shared" si="18"/>
        <v/>
      </c>
      <c r="AA156" s="12"/>
      <c r="AB156" s="95" t="e">
        <f t="shared" si="19"/>
        <v>#VALUE!</v>
      </c>
      <c r="AC156" s="95" t="e">
        <f t="shared" si="20"/>
        <v>#VALUE!</v>
      </c>
      <c r="AD156" s="12"/>
    </row>
    <row r="157" spans="1:30" ht="15.75" thickBot="1" x14ac:dyDescent="0.3">
      <c r="A157" s="12"/>
      <c r="B157" s="22"/>
      <c r="C157" t="str">
        <f>IF(AND('ENTRY DATA'!D157=""),"",('ENTRY DATA'!D157))</f>
        <v/>
      </c>
      <c r="D157" t="str">
        <f>IF(AND('ENTRY DATA'!F157=""),"",('ENTRY DATA'!F157))</f>
        <v/>
      </c>
      <c r="E157" s="34" t="str">
        <f>IF(AND('ENTRY DATA'!B157=""),"",('ENTRY DATA'!B157))</f>
        <v/>
      </c>
      <c r="F157" s="12"/>
      <c r="G157" s="12"/>
      <c r="H157" s="72"/>
      <c r="I157" s="71"/>
      <c r="J157" s="72"/>
      <c r="K157" s="12"/>
      <c r="L157" s="20">
        <f t="shared" si="14"/>
        <v>0</v>
      </c>
      <c r="M157" s="19" t="str">
        <f t="shared" si="15"/>
        <v/>
      </c>
      <c r="N157" s="12"/>
      <c r="O157" s="119"/>
      <c r="P157" s="95" t="str">
        <f t="shared" si="16"/>
        <v/>
      </c>
      <c r="Q157" s="12"/>
      <c r="S157" s="128"/>
      <c r="T157" s="66"/>
      <c r="U157" s="128"/>
      <c r="W157" s="128"/>
      <c r="X157" s="12"/>
      <c r="Y157" t="str">
        <f t="shared" si="17"/>
        <v/>
      </c>
      <c r="Z157" t="str">
        <f t="shared" si="18"/>
        <v/>
      </c>
      <c r="AA157" s="12"/>
      <c r="AB157" s="95" t="e">
        <f t="shared" si="19"/>
        <v>#VALUE!</v>
      </c>
      <c r="AC157" s="95" t="e">
        <f t="shared" si="20"/>
        <v>#VALUE!</v>
      </c>
      <c r="AD157" s="12"/>
    </row>
    <row r="158" spans="1:30" ht="15.75" thickBot="1" x14ac:dyDescent="0.3">
      <c r="A158" s="12"/>
      <c r="B158" s="22"/>
      <c r="C158" t="str">
        <f>IF(AND('ENTRY DATA'!D158=""),"",('ENTRY DATA'!D158))</f>
        <v/>
      </c>
      <c r="D158" t="str">
        <f>IF(AND('ENTRY DATA'!F158=""),"",('ENTRY DATA'!F158))</f>
        <v/>
      </c>
      <c r="E158" s="34" t="str">
        <f>IF(AND('ENTRY DATA'!B158=""),"",('ENTRY DATA'!B158))</f>
        <v/>
      </c>
      <c r="F158" s="12"/>
      <c r="G158" s="12"/>
      <c r="H158" s="72"/>
      <c r="I158" s="71"/>
      <c r="J158" s="72"/>
      <c r="K158" s="12"/>
      <c r="L158" s="20">
        <f t="shared" si="14"/>
        <v>0</v>
      </c>
      <c r="M158" s="19" t="str">
        <f t="shared" si="15"/>
        <v/>
      </c>
      <c r="N158" s="12"/>
      <c r="O158" s="119"/>
      <c r="P158" s="95" t="str">
        <f t="shared" si="16"/>
        <v/>
      </c>
      <c r="Q158" s="12"/>
      <c r="S158" s="128"/>
      <c r="T158" s="66"/>
      <c r="U158" s="128"/>
      <c r="W158" s="128"/>
      <c r="X158" s="12"/>
      <c r="Y158" t="str">
        <f t="shared" si="17"/>
        <v/>
      </c>
      <c r="Z158" t="str">
        <f t="shared" si="18"/>
        <v/>
      </c>
      <c r="AA158" s="12"/>
      <c r="AB158" s="95" t="e">
        <f t="shared" si="19"/>
        <v>#VALUE!</v>
      </c>
      <c r="AC158" s="95" t="e">
        <f t="shared" si="20"/>
        <v>#VALUE!</v>
      </c>
      <c r="AD158" s="12"/>
    </row>
    <row r="159" spans="1:30" ht="15.75" thickBot="1" x14ac:dyDescent="0.3">
      <c r="A159" s="12"/>
      <c r="B159" s="22"/>
      <c r="C159" t="str">
        <f>IF(AND('ENTRY DATA'!D159=""),"",('ENTRY DATA'!D159))</f>
        <v/>
      </c>
      <c r="D159" t="str">
        <f>IF(AND('ENTRY DATA'!F159=""),"",('ENTRY DATA'!F159))</f>
        <v/>
      </c>
      <c r="E159" s="34" t="str">
        <f>IF(AND('ENTRY DATA'!B159=""),"",('ENTRY DATA'!B159))</f>
        <v/>
      </c>
      <c r="F159" s="12"/>
      <c r="G159" s="12"/>
      <c r="H159" s="72"/>
      <c r="I159" s="71"/>
      <c r="J159" s="72"/>
      <c r="K159" s="12"/>
      <c r="L159" s="20">
        <f t="shared" si="14"/>
        <v>0</v>
      </c>
      <c r="M159" s="19" t="str">
        <f t="shared" si="15"/>
        <v/>
      </c>
      <c r="N159" s="12"/>
      <c r="O159" s="119"/>
      <c r="P159" s="95" t="str">
        <f t="shared" si="16"/>
        <v/>
      </c>
      <c r="Q159" s="12"/>
      <c r="S159" s="128"/>
      <c r="T159" s="66"/>
      <c r="U159" s="128"/>
      <c r="W159" s="128"/>
      <c r="X159" s="12"/>
      <c r="Y159" t="str">
        <f t="shared" si="17"/>
        <v/>
      </c>
      <c r="Z159" t="str">
        <f t="shared" si="18"/>
        <v/>
      </c>
      <c r="AA159" s="12"/>
      <c r="AB159" s="95" t="e">
        <f t="shared" si="19"/>
        <v>#VALUE!</v>
      </c>
      <c r="AC159" s="95" t="e">
        <f t="shared" si="20"/>
        <v>#VALUE!</v>
      </c>
      <c r="AD159" s="12"/>
    </row>
    <row r="160" spans="1:30" ht="15.75" thickBot="1" x14ac:dyDescent="0.3">
      <c r="A160" s="12"/>
      <c r="B160" s="22"/>
      <c r="C160" t="str">
        <f>IF(AND('ENTRY DATA'!D160=""),"",('ENTRY DATA'!D160))</f>
        <v/>
      </c>
      <c r="D160" t="str">
        <f>IF(AND('ENTRY DATA'!F160=""),"",('ENTRY DATA'!F160))</f>
        <v/>
      </c>
      <c r="E160" s="34" t="str">
        <f>IF(AND('ENTRY DATA'!B160=""),"",('ENTRY DATA'!B160))</f>
        <v/>
      </c>
      <c r="F160" s="12"/>
      <c r="G160" s="12"/>
      <c r="H160" s="72"/>
      <c r="I160" s="71"/>
      <c r="J160" s="72"/>
      <c r="K160" s="12"/>
      <c r="L160" s="20">
        <f t="shared" si="14"/>
        <v>0</v>
      </c>
      <c r="M160" s="19" t="str">
        <f t="shared" si="15"/>
        <v/>
      </c>
      <c r="N160" s="12"/>
      <c r="O160" s="119"/>
      <c r="P160" s="95" t="str">
        <f t="shared" si="16"/>
        <v/>
      </c>
      <c r="Q160" s="12"/>
      <c r="S160" s="128"/>
      <c r="T160" s="66"/>
      <c r="U160" s="128"/>
      <c r="W160" s="128"/>
      <c r="X160" s="12"/>
      <c r="Y160" t="str">
        <f t="shared" si="17"/>
        <v/>
      </c>
      <c r="Z160" t="str">
        <f t="shared" si="18"/>
        <v/>
      </c>
      <c r="AA160" s="12"/>
      <c r="AB160" s="95" t="e">
        <f t="shared" si="19"/>
        <v>#VALUE!</v>
      </c>
      <c r="AC160" s="95" t="e">
        <f t="shared" si="20"/>
        <v>#VALUE!</v>
      </c>
      <c r="AD160" s="12"/>
    </row>
    <row r="161" spans="1:30" ht="15.75" thickBot="1" x14ac:dyDescent="0.3">
      <c r="A161" s="12"/>
      <c r="B161" s="22"/>
      <c r="C161" t="str">
        <f>IF(AND('ENTRY DATA'!D161=""),"",('ENTRY DATA'!D161))</f>
        <v/>
      </c>
      <c r="D161" t="str">
        <f>IF(AND('ENTRY DATA'!F161=""),"",('ENTRY DATA'!F161))</f>
        <v/>
      </c>
      <c r="E161" s="34" t="str">
        <f>IF(AND('ENTRY DATA'!B161=""),"",('ENTRY DATA'!B161))</f>
        <v/>
      </c>
      <c r="F161" s="12"/>
      <c r="G161" s="12"/>
      <c r="H161" s="72"/>
      <c r="I161" s="71"/>
      <c r="J161" s="72"/>
      <c r="K161" s="12"/>
      <c r="L161" s="20">
        <f t="shared" si="14"/>
        <v>0</v>
      </c>
      <c r="M161" s="19" t="str">
        <f t="shared" si="15"/>
        <v/>
      </c>
      <c r="N161" s="12"/>
      <c r="O161" s="119"/>
      <c r="P161" s="95" t="str">
        <f t="shared" si="16"/>
        <v/>
      </c>
      <c r="Q161" s="12"/>
      <c r="S161" s="128"/>
      <c r="T161" s="66"/>
      <c r="U161" s="128"/>
      <c r="W161" s="128"/>
      <c r="X161" s="12"/>
      <c r="Y161" t="str">
        <f t="shared" si="17"/>
        <v/>
      </c>
      <c r="Z161" t="str">
        <f t="shared" si="18"/>
        <v/>
      </c>
      <c r="AA161" s="12"/>
      <c r="AB161" s="95" t="e">
        <f t="shared" si="19"/>
        <v>#VALUE!</v>
      </c>
      <c r="AC161" s="95" t="e">
        <f t="shared" si="20"/>
        <v>#VALUE!</v>
      </c>
      <c r="AD161" s="12"/>
    </row>
    <row r="162" spans="1:30" ht="15.75" thickBot="1" x14ac:dyDescent="0.3">
      <c r="A162" s="12"/>
      <c r="B162" s="22"/>
      <c r="C162" t="str">
        <f>IF(AND('ENTRY DATA'!D162=""),"",('ENTRY DATA'!D162))</f>
        <v/>
      </c>
      <c r="D162" t="str">
        <f>IF(AND('ENTRY DATA'!F162=""),"",('ENTRY DATA'!F162))</f>
        <v/>
      </c>
      <c r="E162" s="34" t="str">
        <f>IF(AND('ENTRY DATA'!B162=""),"",('ENTRY DATA'!B162))</f>
        <v/>
      </c>
      <c r="F162" s="12"/>
      <c r="G162" s="12"/>
      <c r="H162" s="72"/>
      <c r="I162" s="71"/>
      <c r="J162" s="72"/>
      <c r="K162" s="12"/>
      <c r="L162" s="20">
        <f t="shared" si="14"/>
        <v>0</v>
      </c>
      <c r="M162" s="19" t="str">
        <f t="shared" si="15"/>
        <v/>
      </c>
      <c r="N162" s="12"/>
      <c r="O162" s="119"/>
      <c r="P162" s="95" t="str">
        <f t="shared" si="16"/>
        <v/>
      </c>
      <c r="Q162" s="12"/>
      <c r="S162" s="128"/>
      <c r="T162" s="66"/>
      <c r="U162" s="128"/>
      <c r="W162" s="128"/>
      <c r="X162" s="12"/>
      <c r="Y162" t="str">
        <f t="shared" si="17"/>
        <v/>
      </c>
      <c r="Z162" t="str">
        <f t="shared" si="18"/>
        <v/>
      </c>
      <c r="AA162" s="12"/>
      <c r="AB162" s="95" t="e">
        <f t="shared" si="19"/>
        <v>#VALUE!</v>
      </c>
      <c r="AC162" s="95" t="e">
        <f t="shared" si="20"/>
        <v>#VALUE!</v>
      </c>
      <c r="AD162" s="12"/>
    </row>
    <row r="163" spans="1:30" ht="15.75" thickBot="1" x14ac:dyDescent="0.3">
      <c r="A163" s="12"/>
      <c r="B163" s="22"/>
      <c r="C163" t="str">
        <f>IF(AND('ENTRY DATA'!D163=""),"",('ENTRY DATA'!D163))</f>
        <v/>
      </c>
      <c r="D163" t="str">
        <f>IF(AND('ENTRY DATA'!F163=""),"",('ENTRY DATA'!F163))</f>
        <v/>
      </c>
      <c r="E163" s="34" t="str">
        <f>IF(AND('ENTRY DATA'!B163=""),"",('ENTRY DATA'!B163))</f>
        <v/>
      </c>
      <c r="F163" s="12"/>
      <c r="G163" s="12"/>
      <c r="H163" s="72"/>
      <c r="I163" s="71"/>
      <c r="J163" s="72"/>
      <c r="K163" s="12"/>
      <c r="L163" s="20">
        <f t="shared" si="14"/>
        <v>0</v>
      </c>
      <c r="M163" s="19" t="str">
        <f t="shared" si="15"/>
        <v/>
      </c>
      <c r="N163" s="12"/>
      <c r="O163" s="119"/>
      <c r="P163" s="95" t="str">
        <f t="shared" si="16"/>
        <v/>
      </c>
      <c r="Q163" s="12"/>
      <c r="S163" s="128"/>
      <c r="T163" s="66"/>
      <c r="U163" s="128"/>
      <c r="W163" s="128"/>
      <c r="X163" s="12"/>
      <c r="Y163" t="str">
        <f t="shared" si="17"/>
        <v/>
      </c>
      <c r="Z163" t="str">
        <f t="shared" si="18"/>
        <v/>
      </c>
      <c r="AA163" s="12"/>
      <c r="AB163" s="95" t="e">
        <f t="shared" si="19"/>
        <v>#VALUE!</v>
      </c>
      <c r="AC163" s="95" t="e">
        <f t="shared" si="20"/>
        <v>#VALUE!</v>
      </c>
      <c r="AD163" s="12"/>
    </row>
    <row r="164" spans="1:30" ht="15.75" thickBot="1" x14ac:dyDescent="0.3">
      <c r="A164" s="12"/>
      <c r="B164" s="22"/>
      <c r="C164" t="str">
        <f>IF(AND('ENTRY DATA'!D164=""),"",('ENTRY DATA'!D164))</f>
        <v/>
      </c>
      <c r="D164" t="str">
        <f>IF(AND('ENTRY DATA'!F164=""),"",('ENTRY DATA'!F164))</f>
        <v/>
      </c>
      <c r="E164" s="34" t="str">
        <f>IF(AND('ENTRY DATA'!B164=""),"",('ENTRY DATA'!B164))</f>
        <v/>
      </c>
      <c r="F164" s="12"/>
      <c r="G164" s="12"/>
      <c r="H164" s="72"/>
      <c r="I164" s="71"/>
      <c r="J164" s="72"/>
      <c r="K164" s="12"/>
      <c r="L164" s="20">
        <f t="shared" si="14"/>
        <v>0</v>
      </c>
      <c r="M164" s="19" t="str">
        <f t="shared" si="15"/>
        <v/>
      </c>
      <c r="N164" s="12"/>
      <c r="O164" s="119"/>
      <c r="P164" s="95" t="str">
        <f t="shared" si="16"/>
        <v/>
      </c>
      <c r="Q164" s="12"/>
      <c r="S164" s="128"/>
      <c r="T164" s="66"/>
      <c r="U164" s="128"/>
      <c r="W164" s="128"/>
      <c r="X164" s="12"/>
      <c r="Y164" t="str">
        <f t="shared" si="17"/>
        <v/>
      </c>
      <c r="Z164" t="str">
        <f t="shared" si="18"/>
        <v/>
      </c>
      <c r="AA164" s="12"/>
      <c r="AB164" s="95" t="e">
        <f t="shared" si="19"/>
        <v>#VALUE!</v>
      </c>
      <c r="AC164" s="95" t="e">
        <f t="shared" si="20"/>
        <v>#VALUE!</v>
      </c>
      <c r="AD164" s="12"/>
    </row>
    <row r="165" spans="1:30" ht="15.75" thickBot="1" x14ac:dyDescent="0.3">
      <c r="A165" s="12"/>
      <c r="B165" s="22"/>
      <c r="C165" t="str">
        <f>IF(AND('ENTRY DATA'!D165=""),"",('ENTRY DATA'!D165))</f>
        <v/>
      </c>
      <c r="D165" t="str">
        <f>IF(AND('ENTRY DATA'!F165=""),"",('ENTRY DATA'!F165))</f>
        <v/>
      </c>
      <c r="E165" s="34" t="str">
        <f>IF(AND('ENTRY DATA'!B165=""),"",('ENTRY DATA'!B165))</f>
        <v/>
      </c>
      <c r="F165" s="12"/>
      <c r="G165" s="12"/>
      <c r="H165" s="72"/>
      <c r="I165" s="71"/>
      <c r="J165" s="72"/>
      <c r="K165" s="12"/>
      <c r="L165" s="20">
        <f t="shared" si="14"/>
        <v>0</v>
      </c>
      <c r="M165" s="19" t="str">
        <f t="shared" si="15"/>
        <v/>
      </c>
      <c r="N165" s="12"/>
      <c r="O165" s="119"/>
      <c r="P165" s="95" t="str">
        <f t="shared" si="16"/>
        <v/>
      </c>
      <c r="Q165" s="12"/>
      <c r="S165" s="128"/>
      <c r="T165" s="66"/>
      <c r="U165" s="128"/>
      <c r="W165" s="128"/>
      <c r="X165" s="12"/>
      <c r="Y165" t="str">
        <f t="shared" si="17"/>
        <v/>
      </c>
      <c r="Z165" t="str">
        <f t="shared" si="18"/>
        <v/>
      </c>
      <c r="AA165" s="12"/>
      <c r="AB165" s="95" t="e">
        <f t="shared" si="19"/>
        <v>#VALUE!</v>
      </c>
      <c r="AC165" s="95" t="e">
        <f t="shared" si="20"/>
        <v>#VALUE!</v>
      </c>
      <c r="AD165" s="12"/>
    </row>
    <row r="166" spans="1:30" ht="15.75" thickBot="1" x14ac:dyDescent="0.3">
      <c r="A166" s="12"/>
      <c r="B166" s="22"/>
      <c r="C166" t="str">
        <f>IF(AND('ENTRY DATA'!D166=""),"",('ENTRY DATA'!D166))</f>
        <v/>
      </c>
      <c r="D166" t="str">
        <f>IF(AND('ENTRY DATA'!F166=""),"",('ENTRY DATA'!F166))</f>
        <v/>
      </c>
      <c r="E166" s="34" t="str">
        <f>IF(AND('ENTRY DATA'!B166=""),"",('ENTRY DATA'!B166))</f>
        <v/>
      </c>
      <c r="F166" s="12"/>
      <c r="G166" s="12"/>
      <c r="H166" s="72"/>
      <c r="I166" s="71"/>
      <c r="J166" s="72"/>
      <c r="K166" s="12"/>
      <c r="L166" s="20">
        <f t="shared" si="14"/>
        <v>0</v>
      </c>
      <c r="M166" s="19" t="str">
        <f t="shared" si="15"/>
        <v/>
      </c>
      <c r="N166" s="12"/>
      <c r="O166" s="119"/>
      <c r="P166" s="95" t="str">
        <f t="shared" si="16"/>
        <v/>
      </c>
      <c r="Q166" s="12"/>
      <c r="S166" s="128"/>
      <c r="T166" s="66"/>
      <c r="U166" s="128"/>
      <c r="W166" s="128"/>
      <c r="X166" s="12"/>
      <c r="Y166" t="str">
        <f t="shared" si="17"/>
        <v/>
      </c>
      <c r="Z166" t="str">
        <f t="shared" si="18"/>
        <v/>
      </c>
      <c r="AA166" s="12"/>
      <c r="AB166" s="95" t="e">
        <f t="shared" si="19"/>
        <v>#VALUE!</v>
      </c>
      <c r="AC166" s="95" t="e">
        <f t="shared" si="20"/>
        <v>#VALUE!</v>
      </c>
      <c r="AD166" s="12"/>
    </row>
    <row r="167" spans="1:30" ht="15.75" thickBot="1" x14ac:dyDescent="0.3">
      <c r="A167" s="12"/>
      <c r="B167" s="22"/>
      <c r="C167" t="str">
        <f>IF(AND('ENTRY DATA'!D167=""),"",('ENTRY DATA'!D167))</f>
        <v/>
      </c>
      <c r="D167" t="str">
        <f>IF(AND('ENTRY DATA'!F167=""),"",('ENTRY DATA'!F167))</f>
        <v/>
      </c>
      <c r="E167" s="34" t="str">
        <f>IF(AND('ENTRY DATA'!B167=""),"",('ENTRY DATA'!B167))</f>
        <v/>
      </c>
      <c r="F167" s="12"/>
      <c r="G167" s="12"/>
      <c r="H167" s="72"/>
      <c r="I167" s="71"/>
      <c r="J167" s="72"/>
      <c r="K167" s="12"/>
      <c r="L167" s="20">
        <f t="shared" si="14"/>
        <v>0</v>
      </c>
      <c r="M167" s="19" t="str">
        <f t="shared" si="15"/>
        <v/>
      </c>
      <c r="N167" s="12"/>
      <c r="O167" s="119"/>
      <c r="P167" s="95" t="str">
        <f t="shared" si="16"/>
        <v/>
      </c>
      <c r="Q167" s="12"/>
      <c r="S167" s="128"/>
      <c r="T167" s="66"/>
      <c r="U167" s="128"/>
      <c r="W167" s="128"/>
      <c r="X167" s="12"/>
      <c r="Y167" t="str">
        <f t="shared" si="17"/>
        <v/>
      </c>
      <c r="Z167" t="str">
        <f t="shared" si="18"/>
        <v/>
      </c>
      <c r="AA167" s="12"/>
      <c r="AB167" s="95" t="e">
        <f t="shared" si="19"/>
        <v>#VALUE!</v>
      </c>
      <c r="AC167" s="95" t="e">
        <f t="shared" si="20"/>
        <v>#VALUE!</v>
      </c>
      <c r="AD167" s="12"/>
    </row>
    <row r="168" spans="1:30" ht="15.75" thickBot="1" x14ac:dyDescent="0.3">
      <c r="A168" s="12"/>
      <c r="B168" s="22"/>
      <c r="C168" t="str">
        <f>IF(AND('ENTRY DATA'!D168=""),"",('ENTRY DATA'!D168))</f>
        <v/>
      </c>
      <c r="D168" t="str">
        <f>IF(AND('ENTRY DATA'!F168=""),"",('ENTRY DATA'!F168))</f>
        <v/>
      </c>
      <c r="E168" s="34" t="str">
        <f>IF(AND('ENTRY DATA'!B168=""),"",('ENTRY DATA'!B168))</f>
        <v/>
      </c>
      <c r="F168" s="12"/>
      <c r="G168" s="12"/>
      <c r="H168" s="72"/>
      <c r="I168" s="71"/>
      <c r="J168" s="72"/>
      <c r="K168" s="12"/>
      <c r="L168" s="20">
        <f t="shared" si="14"/>
        <v>0</v>
      </c>
      <c r="M168" s="19" t="str">
        <f t="shared" si="15"/>
        <v/>
      </c>
      <c r="N168" s="12"/>
      <c r="O168" s="119"/>
      <c r="P168" s="95" t="str">
        <f t="shared" si="16"/>
        <v/>
      </c>
      <c r="Q168" s="12"/>
      <c r="S168" s="128"/>
      <c r="T168" s="66"/>
      <c r="U168" s="128"/>
      <c r="W168" s="128"/>
      <c r="X168" s="12"/>
      <c r="Y168" t="str">
        <f t="shared" si="17"/>
        <v/>
      </c>
      <c r="Z168" t="str">
        <f t="shared" si="18"/>
        <v/>
      </c>
      <c r="AA168" s="12"/>
      <c r="AB168" s="95" t="e">
        <f t="shared" si="19"/>
        <v>#VALUE!</v>
      </c>
      <c r="AC168" s="95" t="e">
        <f t="shared" si="20"/>
        <v>#VALUE!</v>
      </c>
      <c r="AD168" s="12"/>
    </row>
    <row r="169" spans="1:30" ht="15.75" thickBot="1" x14ac:dyDescent="0.3">
      <c r="A169" s="12"/>
      <c r="B169" s="22"/>
      <c r="C169" t="str">
        <f>IF(AND('ENTRY DATA'!D169=""),"",('ENTRY DATA'!D169))</f>
        <v/>
      </c>
      <c r="D169" t="str">
        <f>IF(AND('ENTRY DATA'!F169=""),"",('ENTRY DATA'!F169))</f>
        <v/>
      </c>
      <c r="E169" s="34" t="str">
        <f>IF(AND('ENTRY DATA'!B169=""),"",('ENTRY DATA'!B169))</f>
        <v/>
      </c>
      <c r="F169" s="12"/>
      <c r="G169" s="12"/>
      <c r="H169" s="72"/>
      <c r="I169" s="71"/>
      <c r="J169" s="72"/>
      <c r="K169" s="12"/>
      <c r="L169" s="20">
        <f t="shared" si="14"/>
        <v>0</v>
      </c>
      <c r="M169" s="19" t="str">
        <f t="shared" si="15"/>
        <v/>
      </c>
      <c r="N169" s="12"/>
      <c r="O169" s="119"/>
      <c r="P169" s="95" t="str">
        <f t="shared" si="16"/>
        <v/>
      </c>
      <c r="Q169" s="12"/>
      <c r="S169" s="128"/>
      <c r="T169" s="66"/>
      <c r="U169" s="128"/>
      <c r="W169" s="128"/>
      <c r="X169" s="12"/>
      <c r="Y169" t="str">
        <f t="shared" si="17"/>
        <v/>
      </c>
      <c r="Z169" t="str">
        <f t="shared" si="18"/>
        <v/>
      </c>
      <c r="AA169" s="12"/>
      <c r="AB169" s="95" t="e">
        <f t="shared" si="19"/>
        <v>#VALUE!</v>
      </c>
      <c r="AC169" s="95" t="e">
        <f t="shared" si="20"/>
        <v>#VALUE!</v>
      </c>
      <c r="AD169" s="12"/>
    </row>
    <row r="170" spans="1:30" ht="15.75" thickBot="1" x14ac:dyDescent="0.3">
      <c r="A170" s="12"/>
      <c r="B170" s="22"/>
      <c r="C170" t="str">
        <f>IF(AND('ENTRY DATA'!D170=""),"",('ENTRY DATA'!D170))</f>
        <v/>
      </c>
      <c r="D170" t="str">
        <f>IF(AND('ENTRY DATA'!F170=""),"",('ENTRY DATA'!F170))</f>
        <v/>
      </c>
      <c r="E170" s="34" t="str">
        <f>IF(AND('ENTRY DATA'!B170=""),"",('ENTRY DATA'!B170))</f>
        <v/>
      </c>
      <c r="F170" s="12"/>
      <c r="G170" s="12"/>
      <c r="H170" s="72"/>
      <c r="I170" s="71"/>
      <c r="J170" s="72"/>
      <c r="K170" s="12"/>
      <c r="L170" s="20">
        <f t="shared" si="14"/>
        <v>0</v>
      </c>
      <c r="M170" s="19" t="str">
        <f t="shared" si="15"/>
        <v/>
      </c>
      <c r="N170" s="12"/>
      <c r="O170" s="119"/>
      <c r="P170" s="95" t="str">
        <f t="shared" si="16"/>
        <v/>
      </c>
      <c r="Q170" s="12"/>
      <c r="S170" s="128"/>
      <c r="T170" s="66"/>
      <c r="U170" s="128"/>
      <c r="W170" s="128"/>
      <c r="X170" s="12"/>
      <c r="Y170" t="str">
        <f t="shared" si="17"/>
        <v/>
      </c>
      <c r="Z170" t="str">
        <f t="shared" si="18"/>
        <v/>
      </c>
      <c r="AA170" s="12"/>
      <c r="AB170" s="95" t="e">
        <f t="shared" si="19"/>
        <v>#VALUE!</v>
      </c>
      <c r="AC170" s="95" t="e">
        <f t="shared" si="20"/>
        <v>#VALUE!</v>
      </c>
      <c r="AD170" s="12"/>
    </row>
    <row r="171" spans="1:30" ht="15.75" thickBot="1" x14ac:dyDescent="0.3">
      <c r="A171" s="12"/>
      <c r="B171" s="22"/>
      <c r="C171" t="str">
        <f>IF(AND('ENTRY DATA'!D171=""),"",('ENTRY DATA'!D171))</f>
        <v/>
      </c>
      <c r="D171" t="str">
        <f>IF(AND('ENTRY DATA'!F171=""),"",('ENTRY DATA'!F171))</f>
        <v/>
      </c>
      <c r="E171" s="34" t="str">
        <f>IF(AND('ENTRY DATA'!B171=""),"",('ENTRY DATA'!B171))</f>
        <v/>
      </c>
      <c r="F171" s="12"/>
      <c r="G171" s="12"/>
      <c r="H171" s="72"/>
      <c r="I171" s="71"/>
      <c r="J171" s="72"/>
      <c r="K171" s="12"/>
      <c r="L171" s="20">
        <f t="shared" si="14"/>
        <v>0</v>
      </c>
      <c r="M171" s="19" t="str">
        <f t="shared" si="15"/>
        <v/>
      </c>
      <c r="N171" s="12"/>
      <c r="O171" s="119"/>
      <c r="P171" s="95" t="str">
        <f t="shared" si="16"/>
        <v/>
      </c>
      <c r="Q171" s="12"/>
      <c r="S171" s="128"/>
      <c r="T171" s="66"/>
      <c r="U171" s="128"/>
      <c r="W171" s="128"/>
      <c r="X171" s="12"/>
      <c r="Y171" t="str">
        <f t="shared" si="17"/>
        <v/>
      </c>
      <c r="Z171" t="str">
        <f t="shared" si="18"/>
        <v/>
      </c>
      <c r="AA171" s="12"/>
      <c r="AB171" s="95" t="e">
        <f t="shared" si="19"/>
        <v>#VALUE!</v>
      </c>
      <c r="AC171" s="95" t="e">
        <f t="shared" si="20"/>
        <v>#VALUE!</v>
      </c>
      <c r="AD171" s="12"/>
    </row>
    <row r="172" spans="1:30" ht="15.75" thickBot="1" x14ac:dyDescent="0.3">
      <c r="A172" s="12"/>
      <c r="B172" s="22"/>
      <c r="C172" t="str">
        <f>IF(AND('ENTRY DATA'!D172=""),"",('ENTRY DATA'!D172))</f>
        <v/>
      </c>
      <c r="D172" t="str">
        <f>IF(AND('ENTRY DATA'!F172=""),"",('ENTRY DATA'!F172))</f>
        <v/>
      </c>
      <c r="E172" s="34" t="str">
        <f>IF(AND('ENTRY DATA'!B172=""),"",('ENTRY DATA'!B172))</f>
        <v/>
      </c>
      <c r="F172" s="12"/>
      <c r="G172" s="12"/>
      <c r="H172" s="72"/>
      <c r="I172" s="71"/>
      <c r="J172" s="72"/>
      <c r="K172" s="12"/>
      <c r="L172" s="20">
        <f t="shared" si="14"/>
        <v>0</v>
      </c>
      <c r="M172" s="19" t="str">
        <f t="shared" si="15"/>
        <v/>
      </c>
      <c r="N172" s="12"/>
      <c r="O172" s="119"/>
      <c r="P172" s="95" t="str">
        <f t="shared" si="16"/>
        <v/>
      </c>
      <c r="Q172" s="12"/>
      <c r="S172" s="128"/>
      <c r="T172" s="66"/>
      <c r="U172" s="128"/>
      <c r="W172" s="128"/>
      <c r="X172" s="12"/>
      <c r="Y172" t="str">
        <f t="shared" si="17"/>
        <v/>
      </c>
      <c r="Z172" t="str">
        <f t="shared" si="18"/>
        <v/>
      </c>
      <c r="AA172" s="12"/>
      <c r="AB172" s="95" t="e">
        <f t="shared" si="19"/>
        <v>#VALUE!</v>
      </c>
      <c r="AC172" s="95" t="e">
        <f t="shared" si="20"/>
        <v>#VALUE!</v>
      </c>
      <c r="AD172" s="12"/>
    </row>
    <row r="173" spans="1:30" ht="15.75" thickBot="1" x14ac:dyDescent="0.3">
      <c r="A173" s="12"/>
      <c r="B173" s="22"/>
      <c r="C173" t="str">
        <f>IF(AND('ENTRY DATA'!D173=""),"",('ENTRY DATA'!D173))</f>
        <v/>
      </c>
      <c r="D173" t="str">
        <f>IF(AND('ENTRY DATA'!F173=""),"",('ENTRY DATA'!F173))</f>
        <v/>
      </c>
      <c r="E173" s="34" t="str">
        <f>IF(AND('ENTRY DATA'!B173=""),"",('ENTRY DATA'!B173))</f>
        <v/>
      </c>
      <c r="F173" s="12"/>
      <c r="G173" s="12"/>
      <c r="H173" s="72"/>
      <c r="I173" s="71"/>
      <c r="J173" s="72"/>
      <c r="K173" s="12"/>
      <c r="L173" s="20">
        <f t="shared" si="14"/>
        <v>0</v>
      </c>
      <c r="M173" s="19" t="str">
        <f t="shared" si="15"/>
        <v/>
      </c>
      <c r="N173" s="12"/>
      <c r="O173" s="119"/>
      <c r="P173" s="95" t="str">
        <f t="shared" si="16"/>
        <v/>
      </c>
      <c r="Q173" s="12"/>
      <c r="S173" s="128"/>
      <c r="T173" s="66"/>
      <c r="U173" s="128"/>
      <c r="W173" s="128"/>
      <c r="X173" s="12"/>
      <c r="Y173" t="str">
        <f t="shared" si="17"/>
        <v/>
      </c>
      <c r="Z173" t="str">
        <f t="shared" si="18"/>
        <v/>
      </c>
      <c r="AA173" s="12"/>
      <c r="AB173" s="95" t="e">
        <f t="shared" si="19"/>
        <v>#VALUE!</v>
      </c>
      <c r="AC173" s="95" t="e">
        <f t="shared" si="20"/>
        <v>#VALUE!</v>
      </c>
      <c r="AD173" s="12"/>
    </row>
    <row r="174" spans="1:30" ht="15.75" thickBot="1" x14ac:dyDescent="0.3">
      <c r="A174" s="12"/>
      <c r="B174" s="22"/>
      <c r="C174" t="str">
        <f>IF(AND('ENTRY DATA'!D174=""),"",('ENTRY DATA'!D174))</f>
        <v/>
      </c>
      <c r="D174" t="str">
        <f>IF(AND('ENTRY DATA'!F174=""),"",('ENTRY DATA'!F174))</f>
        <v/>
      </c>
      <c r="E174" s="34" t="str">
        <f>IF(AND('ENTRY DATA'!B174=""),"",('ENTRY DATA'!B174))</f>
        <v/>
      </c>
      <c r="F174" s="12"/>
      <c r="G174" s="12"/>
      <c r="H174" s="72"/>
      <c r="I174" s="71"/>
      <c r="J174" s="72"/>
      <c r="K174" s="12"/>
      <c r="L174" s="20">
        <f t="shared" si="14"/>
        <v>0</v>
      </c>
      <c r="M174" s="19" t="str">
        <f t="shared" si="15"/>
        <v/>
      </c>
      <c r="N174" s="12"/>
      <c r="O174" s="119"/>
      <c r="P174" s="95" t="str">
        <f t="shared" si="16"/>
        <v/>
      </c>
      <c r="Q174" s="12"/>
      <c r="S174" s="128"/>
      <c r="T174" s="66"/>
      <c r="U174" s="128"/>
      <c r="W174" s="128"/>
      <c r="X174" s="12"/>
      <c r="Y174" t="str">
        <f t="shared" si="17"/>
        <v/>
      </c>
      <c r="Z174" t="str">
        <f t="shared" si="18"/>
        <v/>
      </c>
      <c r="AA174" s="12"/>
      <c r="AB174" s="95" t="e">
        <f t="shared" si="19"/>
        <v>#VALUE!</v>
      </c>
      <c r="AC174" s="95" t="e">
        <f t="shared" si="20"/>
        <v>#VALUE!</v>
      </c>
      <c r="AD174" s="12"/>
    </row>
    <row r="175" spans="1:30" ht="15.75" thickBot="1" x14ac:dyDescent="0.3">
      <c r="A175" s="12"/>
      <c r="B175" s="22"/>
      <c r="C175" t="str">
        <f>IF(AND('ENTRY DATA'!D175=""),"",('ENTRY DATA'!D175))</f>
        <v/>
      </c>
      <c r="D175" t="str">
        <f>IF(AND('ENTRY DATA'!F175=""),"",('ENTRY DATA'!F175))</f>
        <v/>
      </c>
      <c r="E175" s="34" t="str">
        <f>IF(AND('ENTRY DATA'!B175=""),"",('ENTRY DATA'!B175))</f>
        <v/>
      </c>
      <c r="F175" s="12"/>
      <c r="G175" s="12"/>
      <c r="H175" s="72"/>
      <c r="I175" s="71"/>
      <c r="J175" s="72"/>
      <c r="K175" s="12"/>
      <c r="L175" s="20">
        <f t="shared" si="14"/>
        <v>0</v>
      </c>
      <c r="M175" s="19" t="str">
        <f t="shared" si="15"/>
        <v/>
      </c>
      <c r="N175" s="12"/>
      <c r="O175" s="119"/>
      <c r="P175" s="95" t="str">
        <f t="shared" si="16"/>
        <v/>
      </c>
      <c r="Q175" s="12"/>
      <c r="S175" s="128"/>
      <c r="T175" s="66"/>
      <c r="U175" s="128"/>
      <c r="W175" s="128"/>
      <c r="X175" s="12"/>
      <c r="Y175" t="str">
        <f t="shared" si="17"/>
        <v/>
      </c>
      <c r="Z175" t="str">
        <f t="shared" si="18"/>
        <v/>
      </c>
      <c r="AA175" s="12"/>
      <c r="AB175" s="95" t="e">
        <f t="shared" si="19"/>
        <v>#VALUE!</v>
      </c>
      <c r="AC175" s="95" t="e">
        <f t="shared" si="20"/>
        <v>#VALUE!</v>
      </c>
      <c r="AD175" s="12"/>
    </row>
    <row r="176" spans="1:30" ht="15.75" thickBot="1" x14ac:dyDescent="0.3">
      <c r="A176" s="12"/>
      <c r="B176" s="22"/>
      <c r="C176" t="str">
        <f>IF(AND('ENTRY DATA'!D176=""),"",('ENTRY DATA'!D176))</f>
        <v/>
      </c>
      <c r="D176" t="str">
        <f>IF(AND('ENTRY DATA'!F176=""),"",('ENTRY DATA'!F176))</f>
        <v/>
      </c>
      <c r="E176" s="34" t="str">
        <f>IF(AND('ENTRY DATA'!B176=""),"",('ENTRY DATA'!B176))</f>
        <v/>
      </c>
      <c r="F176" s="12"/>
      <c r="G176" s="12"/>
      <c r="H176" s="72"/>
      <c r="I176" s="71"/>
      <c r="J176" s="72"/>
      <c r="K176" s="12"/>
      <c r="L176" s="20">
        <f t="shared" si="14"/>
        <v>0</v>
      </c>
      <c r="M176" s="19" t="str">
        <f t="shared" si="15"/>
        <v/>
      </c>
      <c r="N176" s="12"/>
      <c r="O176" s="119"/>
      <c r="P176" s="95" t="str">
        <f t="shared" si="16"/>
        <v/>
      </c>
      <c r="Q176" s="12"/>
      <c r="S176" s="128"/>
      <c r="T176" s="66"/>
      <c r="U176" s="128"/>
      <c r="W176" s="128"/>
      <c r="X176" s="12"/>
      <c r="Y176" t="str">
        <f t="shared" si="17"/>
        <v/>
      </c>
      <c r="Z176" t="str">
        <f t="shared" si="18"/>
        <v/>
      </c>
      <c r="AA176" s="12"/>
      <c r="AB176" s="95" t="e">
        <f t="shared" si="19"/>
        <v>#VALUE!</v>
      </c>
      <c r="AC176" s="95" t="e">
        <f t="shared" si="20"/>
        <v>#VALUE!</v>
      </c>
      <c r="AD176" s="12"/>
    </row>
    <row r="177" spans="1:30" ht="15.75" thickBot="1" x14ac:dyDescent="0.3">
      <c r="A177" s="12"/>
      <c r="B177" s="22"/>
      <c r="C177" t="str">
        <f>IF(AND('ENTRY DATA'!D177=""),"",('ENTRY DATA'!D177))</f>
        <v/>
      </c>
      <c r="D177" t="str">
        <f>IF(AND('ENTRY DATA'!F177=""),"",('ENTRY DATA'!F177))</f>
        <v/>
      </c>
      <c r="E177" s="34" t="str">
        <f>IF(AND('ENTRY DATA'!B177=""),"",('ENTRY DATA'!B177))</f>
        <v/>
      </c>
      <c r="F177" s="12"/>
      <c r="G177" s="12"/>
      <c r="H177" s="72"/>
      <c r="I177" s="71"/>
      <c r="J177" s="72"/>
      <c r="K177" s="12"/>
      <c r="L177" s="20">
        <f t="shared" si="14"/>
        <v>0</v>
      </c>
      <c r="M177" s="19" t="str">
        <f t="shared" si="15"/>
        <v/>
      </c>
      <c r="N177" s="12"/>
      <c r="O177" s="119"/>
      <c r="P177" s="95" t="str">
        <f t="shared" si="16"/>
        <v/>
      </c>
      <c r="Q177" s="12"/>
      <c r="S177" s="128"/>
      <c r="T177" s="66"/>
      <c r="U177" s="128"/>
      <c r="W177" s="128"/>
      <c r="X177" s="12"/>
      <c r="Y177" t="str">
        <f t="shared" si="17"/>
        <v/>
      </c>
      <c r="Z177" t="str">
        <f t="shared" si="18"/>
        <v/>
      </c>
      <c r="AA177" s="12"/>
      <c r="AB177" s="95" t="e">
        <f t="shared" si="19"/>
        <v>#VALUE!</v>
      </c>
      <c r="AC177" s="95" t="e">
        <f t="shared" si="20"/>
        <v>#VALUE!</v>
      </c>
      <c r="AD177" s="12"/>
    </row>
    <row r="178" spans="1:30" ht="15.75" thickBot="1" x14ac:dyDescent="0.3">
      <c r="A178" s="12"/>
      <c r="B178" s="22"/>
      <c r="C178" t="str">
        <f>IF(AND('ENTRY DATA'!D178=""),"",('ENTRY DATA'!D178))</f>
        <v/>
      </c>
      <c r="D178" t="str">
        <f>IF(AND('ENTRY DATA'!F178=""),"",('ENTRY DATA'!F178))</f>
        <v/>
      </c>
      <c r="E178" s="34" t="str">
        <f>IF(AND('ENTRY DATA'!B178=""),"",('ENTRY DATA'!B178))</f>
        <v/>
      </c>
      <c r="F178" s="12"/>
      <c r="G178" s="12"/>
      <c r="H178" s="72"/>
      <c r="I178" s="71"/>
      <c r="J178" s="72"/>
      <c r="K178" s="12"/>
      <c r="L178" s="20">
        <f t="shared" si="14"/>
        <v>0</v>
      </c>
      <c r="M178" s="19" t="str">
        <f t="shared" si="15"/>
        <v/>
      </c>
      <c r="N178" s="12"/>
      <c r="O178" s="119"/>
      <c r="P178" s="95" t="str">
        <f t="shared" si="16"/>
        <v/>
      </c>
      <c r="Q178" s="12"/>
      <c r="S178" s="128"/>
      <c r="T178" s="66"/>
      <c r="U178" s="128"/>
      <c r="W178" s="128"/>
      <c r="X178" s="12"/>
      <c r="Y178" t="str">
        <f t="shared" si="17"/>
        <v/>
      </c>
      <c r="Z178" t="str">
        <f t="shared" si="18"/>
        <v/>
      </c>
      <c r="AA178" s="12"/>
      <c r="AB178" s="95" t="e">
        <f t="shared" si="19"/>
        <v>#VALUE!</v>
      </c>
      <c r="AC178" s="95" t="e">
        <f t="shared" si="20"/>
        <v>#VALUE!</v>
      </c>
      <c r="AD178" s="12"/>
    </row>
    <row r="179" spans="1:30" ht="15.75" thickBot="1" x14ac:dyDescent="0.3">
      <c r="A179" s="12"/>
      <c r="B179" s="22"/>
      <c r="C179" t="str">
        <f>IF(AND('ENTRY DATA'!D179=""),"",('ENTRY DATA'!D179))</f>
        <v/>
      </c>
      <c r="D179" t="str">
        <f>IF(AND('ENTRY DATA'!F179=""),"",('ENTRY DATA'!F179))</f>
        <v/>
      </c>
      <c r="E179" s="34" t="str">
        <f>IF(AND('ENTRY DATA'!B179=""),"",('ENTRY DATA'!B179))</f>
        <v/>
      </c>
      <c r="F179" s="12"/>
      <c r="G179" s="12"/>
      <c r="H179" s="72"/>
      <c r="I179" s="71"/>
      <c r="J179" s="72"/>
      <c r="K179" s="12"/>
      <c r="L179" s="20">
        <f t="shared" si="14"/>
        <v>0</v>
      </c>
      <c r="M179" s="19" t="str">
        <f t="shared" si="15"/>
        <v/>
      </c>
      <c r="N179" s="12"/>
      <c r="O179" s="119"/>
      <c r="P179" s="95" t="str">
        <f t="shared" si="16"/>
        <v/>
      </c>
      <c r="Q179" s="12"/>
      <c r="S179" s="128"/>
      <c r="T179" s="66"/>
      <c r="U179" s="128"/>
      <c r="W179" s="128"/>
      <c r="X179" s="12"/>
      <c r="Y179" t="str">
        <f t="shared" si="17"/>
        <v/>
      </c>
      <c r="Z179" t="str">
        <f t="shared" si="18"/>
        <v/>
      </c>
      <c r="AA179" s="12"/>
      <c r="AB179" s="95" t="e">
        <f t="shared" si="19"/>
        <v>#VALUE!</v>
      </c>
      <c r="AC179" s="95" t="e">
        <f t="shared" si="20"/>
        <v>#VALUE!</v>
      </c>
      <c r="AD179" s="12"/>
    </row>
    <row r="180" spans="1:30" ht="15.75" thickBot="1" x14ac:dyDescent="0.3">
      <c r="A180" s="12"/>
      <c r="B180" s="22"/>
      <c r="C180" t="str">
        <f>IF(AND('ENTRY DATA'!D180=""),"",('ENTRY DATA'!D180))</f>
        <v/>
      </c>
      <c r="D180" t="str">
        <f>IF(AND('ENTRY DATA'!F180=""),"",('ENTRY DATA'!F180))</f>
        <v/>
      </c>
      <c r="E180" s="34" t="str">
        <f>IF(AND('ENTRY DATA'!B180=""),"",('ENTRY DATA'!B180))</f>
        <v/>
      </c>
      <c r="F180" s="12"/>
      <c r="G180" s="12"/>
      <c r="H180" s="72"/>
      <c r="I180" s="71"/>
      <c r="J180" s="72"/>
      <c r="K180" s="12"/>
      <c r="L180" s="20">
        <f t="shared" si="14"/>
        <v>0</v>
      </c>
      <c r="M180" s="19" t="str">
        <f t="shared" si="15"/>
        <v/>
      </c>
      <c r="N180" s="12"/>
      <c r="O180" s="119"/>
      <c r="P180" s="95" t="str">
        <f t="shared" si="16"/>
        <v/>
      </c>
      <c r="Q180" s="12"/>
      <c r="S180" s="128"/>
      <c r="T180" s="66"/>
      <c r="U180" s="128"/>
      <c r="W180" s="128"/>
      <c r="X180" s="12"/>
      <c r="Y180" t="str">
        <f t="shared" si="17"/>
        <v/>
      </c>
      <c r="Z180" t="str">
        <f t="shared" si="18"/>
        <v/>
      </c>
      <c r="AA180" s="12"/>
      <c r="AB180" s="95" t="e">
        <f t="shared" si="19"/>
        <v>#VALUE!</v>
      </c>
      <c r="AC180" s="95" t="e">
        <f t="shared" si="20"/>
        <v>#VALUE!</v>
      </c>
      <c r="AD180" s="12"/>
    </row>
    <row r="181" spans="1:30" ht="15.75" thickBot="1" x14ac:dyDescent="0.3">
      <c r="A181" s="12"/>
      <c r="B181" s="22"/>
      <c r="C181" t="str">
        <f>IF(AND('ENTRY DATA'!D181=""),"",('ENTRY DATA'!D181))</f>
        <v/>
      </c>
      <c r="D181" t="str">
        <f>IF(AND('ENTRY DATA'!F181=""),"",('ENTRY DATA'!F181))</f>
        <v/>
      </c>
      <c r="E181" s="34" t="str">
        <f>IF(AND('ENTRY DATA'!B181=""),"",('ENTRY DATA'!B181))</f>
        <v/>
      </c>
      <c r="F181" s="12"/>
      <c r="G181" s="12"/>
      <c r="H181" s="72"/>
      <c r="I181" s="71"/>
      <c r="J181" s="72"/>
      <c r="K181" s="12"/>
      <c r="L181" s="20">
        <f t="shared" si="14"/>
        <v>0</v>
      </c>
      <c r="M181" s="19" t="str">
        <f t="shared" si="15"/>
        <v/>
      </c>
      <c r="N181" s="12"/>
      <c r="O181" s="119"/>
      <c r="P181" s="95" t="str">
        <f t="shared" si="16"/>
        <v/>
      </c>
      <c r="Q181" s="12"/>
      <c r="S181" s="128"/>
      <c r="T181" s="66"/>
      <c r="U181" s="128"/>
      <c r="W181" s="128"/>
      <c r="X181" s="12"/>
      <c r="Y181" t="str">
        <f t="shared" si="17"/>
        <v/>
      </c>
      <c r="Z181" t="str">
        <f t="shared" si="18"/>
        <v/>
      </c>
      <c r="AA181" s="12"/>
      <c r="AB181" s="95" t="e">
        <f t="shared" si="19"/>
        <v>#VALUE!</v>
      </c>
      <c r="AC181" s="95" t="e">
        <f t="shared" si="20"/>
        <v>#VALUE!</v>
      </c>
      <c r="AD181" s="12"/>
    </row>
    <row r="182" spans="1:30" ht="15.75" thickBot="1" x14ac:dyDescent="0.3">
      <c r="A182" s="12"/>
      <c r="B182" s="22"/>
      <c r="C182" t="str">
        <f>IF(AND('ENTRY DATA'!D182=""),"",('ENTRY DATA'!D182))</f>
        <v/>
      </c>
      <c r="D182" t="str">
        <f>IF(AND('ENTRY DATA'!F182=""),"",('ENTRY DATA'!F182))</f>
        <v/>
      </c>
      <c r="E182" s="34" t="str">
        <f>IF(AND('ENTRY DATA'!B182=""),"",('ENTRY DATA'!B182))</f>
        <v/>
      </c>
      <c r="F182" s="12"/>
      <c r="G182" s="12"/>
      <c r="H182" s="72"/>
      <c r="I182" s="71"/>
      <c r="J182" s="72"/>
      <c r="K182" s="12"/>
      <c r="L182" s="20">
        <f t="shared" si="14"/>
        <v>0</v>
      </c>
      <c r="M182" s="19" t="str">
        <f t="shared" si="15"/>
        <v/>
      </c>
      <c r="N182" s="12"/>
      <c r="O182" s="119"/>
      <c r="P182" s="95" t="str">
        <f t="shared" si="16"/>
        <v/>
      </c>
      <c r="Q182" s="12"/>
      <c r="S182" s="128"/>
      <c r="T182" s="66"/>
      <c r="U182" s="128"/>
      <c r="W182" s="128"/>
      <c r="X182" s="12"/>
      <c r="Y182" t="str">
        <f t="shared" si="17"/>
        <v/>
      </c>
      <c r="Z182" t="str">
        <f t="shared" si="18"/>
        <v/>
      </c>
      <c r="AA182" s="12"/>
      <c r="AB182" s="95" t="e">
        <f t="shared" si="19"/>
        <v>#VALUE!</v>
      </c>
      <c r="AC182" s="95" t="e">
        <f t="shared" si="20"/>
        <v>#VALUE!</v>
      </c>
      <c r="AD182" s="12"/>
    </row>
    <row r="183" spans="1:30" ht="15.75" thickBot="1" x14ac:dyDescent="0.3">
      <c r="A183" s="12"/>
      <c r="B183" s="22"/>
      <c r="C183" t="str">
        <f>IF(AND('ENTRY DATA'!D183=""),"",('ENTRY DATA'!D183))</f>
        <v/>
      </c>
      <c r="D183" t="str">
        <f>IF(AND('ENTRY DATA'!F183=""),"",('ENTRY DATA'!F183))</f>
        <v/>
      </c>
      <c r="E183" s="34" t="str">
        <f>IF(AND('ENTRY DATA'!B183=""),"",('ENTRY DATA'!B183))</f>
        <v/>
      </c>
      <c r="F183" s="12"/>
      <c r="G183" s="12"/>
      <c r="H183" s="72"/>
      <c r="I183" s="71"/>
      <c r="J183" s="72"/>
      <c r="K183" s="12"/>
      <c r="L183" s="20">
        <f t="shared" si="14"/>
        <v>0</v>
      </c>
      <c r="M183" s="19" t="str">
        <f t="shared" si="15"/>
        <v/>
      </c>
      <c r="N183" s="12"/>
      <c r="O183" s="119"/>
      <c r="P183" s="95" t="str">
        <f t="shared" si="16"/>
        <v/>
      </c>
      <c r="Q183" s="12"/>
      <c r="S183" s="128"/>
      <c r="T183" s="66"/>
      <c r="U183" s="128"/>
      <c r="W183" s="128"/>
      <c r="X183" s="12"/>
      <c r="Y183" t="str">
        <f t="shared" si="17"/>
        <v/>
      </c>
      <c r="Z183" t="str">
        <f t="shared" si="18"/>
        <v/>
      </c>
      <c r="AA183" s="12"/>
      <c r="AB183" s="95" t="e">
        <f t="shared" si="19"/>
        <v>#VALUE!</v>
      </c>
      <c r="AC183" s="95" t="e">
        <f t="shared" si="20"/>
        <v>#VALUE!</v>
      </c>
      <c r="AD183" s="12"/>
    </row>
    <row r="184" spans="1:30" ht="15.75" thickBot="1" x14ac:dyDescent="0.3">
      <c r="A184" s="12"/>
      <c r="B184" s="22"/>
      <c r="C184" t="str">
        <f>IF(AND('ENTRY DATA'!D184=""),"",('ENTRY DATA'!D184))</f>
        <v/>
      </c>
      <c r="D184" t="str">
        <f>IF(AND('ENTRY DATA'!F184=""),"",('ENTRY DATA'!F184))</f>
        <v/>
      </c>
      <c r="E184" s="34" t="str">
        <f>IF(AND('ENTRY DATA'!B184=""),"",('ENTRY DATA'!B184))</f>
        <v/>
      </c>
      <c r="F184" s="12"/>
      <c r="G184" s="12"/>
      <c r="H184" s="72"/>
      <c r="I184" s="71"/>
      <c r="J184" s="72"/>
      <c r="K184" s="12"/>
      <c r="L184" s="20">
        <f t="shared" si="14"/>
        <v>0</v>
      </c>
      <c r="M184" s="19" t="str">
        <f t="shared" si="15"/>
        <v/>
      </c>
      <c r="N184" s="12"/>
      <c r="O184" s="119"/>
      <c r="P184" s="95" t="str">
        <f t="shared" si="16"/>
        <v/>
      </c>
      <c r="Q184" s="12"/>
      <c r="S184" s="128"/>
      <c r="T184" s="66"/>
      <c r="U184" s="128"/>
      <c r="W184" s="128"/>
      <c r="X184" s="12"/>
      <c r="Y184" t="str">
        <f t="shared" si="17"/>
        <v/>
      </c>
      <c r="Z184" t="str">
        <f t="shared" si="18"/>
        <v/>
      </c>
      <c r="AA184" s="12"/>
      <c r="AB184" s="95" t="e">
        <f t="shared" si="19"/>
        <v>#VALUE!</v>
      </c>
      <c r="AC184" s="95" t="e">
        <f t="shared" si="20"/>
        <v>#VALUE!</v>
      </c>
      <c r="AD184" s="12"/>
    </row>
    <row r="185" spans="1:30" ht="15.75" thickBot="1" x14ac:dyDescent="0.3">
      <c r="A185" s="12"/>
      <c r="B185" s="22"/>
      <c r="C185" t="str">
        <f>IF(AND('ENTRY DATA'!D185=""),"",('ENTRY DATA'!D185))</f>
        <v/>
      </c>
      <c r="D185" t="str">
        <f>IF(AND('ENTRY DATA'!F185=""),"",('ENTRY DATA'!F185))</f>
        <v/>
      </c>
      <c r="E185" s="34" t="str">
        <f>IF(AND('ENTRY DATA'!B185=""),"",('ENTRY DATA'!B185))</f>
        <v/>
      </c>
      <c r="F185" s="12"/>
      <c r="G185" s="12"/>
      <c r="H185" s="72"/>
      <c r="I185" s="71"/>
      <c r="J185" s="72"/>
      <c r="K185" s="12"/>
      <c r="L185" s="20">
        <f t="shared" si="14"/>
        <v>0</v>
      </c>
      <c r="M185" s="19" t="str">
        <f t="shared" si="15"/>
        <v/>
      </c>
      <c r="N185" s="12"/>
      <c r="O185" s="119"/>
      <c r="P185" s="95" t="str">
        <f t="shared" si="16"/>
        <v/>
      </c>
      <c r="Q185" s="12"/>
      <c r="S185" s="128"/>
      <c r="T185" s="66"/>
      <c r="U185" s="128"/>
      <c r="W185" s="128"/>
      <c r="X185" s="12"/>
      <c r="Y185" t="str">
        <f t="shared" si="17"/>
        <v/>
      </c>
      <c r="Z185" t="str">
        <f t="shared" si="18"/>
        <v/>
      </c>
      <c r="AA185" s="12"/>
      <c r="AB185" s="95" t="e">
        <f t="shared" si="19"/>
        <v>#VALUE!</v>
      </c>
      <c r="AC185" s="95" t="e">
        <f t="shared" si="20"/>
        <v>#VALUE!</v>
      </c>
      <c r="AD185" s="12"/>
    </row>
    <row r="186" spans="1:30" ht="15.75" thickBot="1" x14ac:dyDescent="0.3">
      <c r="A186" s="12"/>
      <c r="B186" s="22"/>
      <c r="C186" t="str">
        <f>IF(AND('ENTRY DATA'!D186=""),"",('ENTRY DATA'!D186))</f>
        <v/>
      </c>
      <c r="D186" t="str">
        <f>IF(AND('ENTRY DATA'!F186=""),"",('ENTRY DATA'!F186))</f>
        <v/>
      </c>
      <c r="E186" s="34" t="str">
        <f>IF(AND('ENTRY DATA'!B186=""),"",('ENTRY DATA'!B186))</f>
        <v/>
      </c>
      <c r="F186" s="12"/>
      <c r="G186" s="12"/>
      <c r="H186" s="72"/>
      <c r="I186" s="71"/>
      <c r="J186" s="72"/>
      <c r="K186" s="12"/>
      <c r="L186" s="20">
        <f t="shared" si="14"/>
        <v>0</v>
      </c>
      <c r="M186" s="19" t="str">
        <f t="shared" si="15"/>
        <v/>
      </c>
      <c r="N186" s="12"/>
      <c r="O186" s="119"/>
      <c r="P186" s="95" t="str">
        <f t="shared" si="16"/>
        <v/>
      </c>
      <c r="Q186" s="12"/>
      <c r="S186" s="128"/>
      <c r="T186" s="66"/>
      <c r="U186" s="128"/>
      <c r="W186" s="128"/>
      <c r="X186" s="12"/>
      <c r="Y186" t="str">
        <f t="shared" si="17"/>
        <v/>
      </c>
      <c r="Z186" t="str">
        <f t="shared" si="18"/>
        <v/>
      </c>
      <c r="AA186" s="12"/>
      <c r="AB186" s="95" t="e">
        <f t="shared" si="19"/>
        <v>#VALUE!</v>
      </c>
      <c r="AC186" s="95" t="e">
        <f t="shared" si="20"/>
        <v>#VALUE!</v>
      </c>
      <c r="AD186" s="12"/>
    </row>
    <row r="187" spans="1:30" ht="15.75" thickBot="1" x14ac:dyDescent="0.3">
      <c r="A187" s="12"/>
      <c r="B187" s="22"/>
      <c r="C187" t="str">
        <f>IF(AND('ENTRY DATA'!D187=""),"",('ENTRY DATA'!D187))</f>
        <v/>
      </c>
      <c r="D187" t="str">
        <f>IF(AND('ENTRY DATA'!F187=""),"",('ENTRY DATA'!F187))</f>
        <v/>
      </c>
      <c r="E187" s="34" t="str">
        <f>IF(AND('ENTRY DATA'!B187=""),"",('ENTRY DATA'!B187))</f>
        <v/>
      </c>
      <c r="F187" s="12"/>
      <c r="G187" s="12"/>
      <c r="H187" s="72"/>
      <c r="I187" s="71"/>
      <c r="J187" s="72"/>
      <c r="K187" s="12"/>
      <c r="L187" s="20">
        <f t="shared" si="14"/>
        <v>0</v>
      </c>
      <c r="M187" s="19" t="str">
        <f t="shared" si="15"/>
        <v/>
      </c>
      <c r="N187" s="12"/>
      <c r="O187" s="119"/>
      <c r="P187" s="95" t="str">
        <f t="shared" si="16"/>
        <v/>
      </c>
      <c r="Q187" s="12"/>
      <c r="S187" s="128"/>
      <c r="T187" s="66"/>
      <c r="U187" s="128"/>
      <c r="W187" s="128"/>
      <c r="X187" s="12"/>
      <c r="Y187" t="str">
        <f t="shared" si="17"/>
        <v/>
      </c>
      <c r="Z187" t="str">
        <f t="shared" si="18"/>
        <v/>
      </c>
      <c r="AA187" s="12"/>
      <c r="AB187" s="95" t="e">
        <f t="shared" si="19"/>
        <v>#VALUE!</v>
      </c>
      <c r="AC187" s="95" t="e">
        <f t="shared" si="20"/>
        <v>#VALUE!</v>
      </c>
      <c r="AD187" s="12"/>
    </row>
    <row r="188" spans="1:30" ht="15.75" thickBot="1" x14ac:dyDescent="0.3">
      <c r="A188" s="12"/>
      <c r="B188" s="22"/>
      <c r="C188" t="str">
        <f>IF(AND('ENTRY DATA'!D188=""),"",('ENTRY DATA'!D188))</f>
        <v/>
      </c>
      <c r="D188" t="str">
        <f>IF(AND('ENTRY DATA'!F188=""),"",('ENTRY DATA'!F188))</f>
        <v/>
      </c>
      <c r="E188" s="34" t="str">
        <f>IF(AND('ENTRY DATA'!B188=""),"",('ENTRY DATA'!B188))</f>
        <v/>
      </c>
      <c r="F188" s="12"/>
      <c r="G188" s="12"/>
      <c r="H188" s="72"/>
      <c r="I188" s="71"/>
      <c r="J188" s="72"/>
      <c r="K188" s="12"/>
      <c r="L188" s="20">
        <f t="shared" si="14"/>
        <v>0</v>
      </c>
      <c r="M188" s="19" t="str">
        <f t="shared" si="15"/>
        <v/>
      </c>
      <c r="N188" s="12"/>
      <c r="O188" s="119"/>
      <c r="P188" s="95" t="str">
        <f t="shared" si="16"/>
        <v/>
      </c>
      <c r="Q188" s="12"/>
      <c r="S188" s="128"/>
      <c r="T188" s="66"/>
      <c r="U188" s="128"/>
      <c r="W188" s="128"/>
      <c r="X188" s="12"/>
      <c r="Y188" t="str">
        <f t="shared" si="17"/>
        <v/>
      </c>
      <c r="Z188" t="str">
        <f t="shared" si="18"/>
        <v/>
      </c>
      <c r="AA188" s="12"/>
      <c r="AB188" s="95" t="e">
        <f t="shared" si="19"/>
        <v>#VALUE!</v>
      </c>
      <c r="AC188" s="95" t="e">
        <f t="shared" si="20"/>
        <v>#VALUE!</v>
      </c>
      <c r="AD188" s="12"/>
    </row>
    <row r="189" spans="1:30" ht="15.75" thickBot="1" x14ac:dyDescent="0.3">
      <c r="A189" s="12"/>
      <c r="B189" s="22"/>
      <c r="C189" t="str">
        <f>IF(AND('ENTRY DATA'!D189=""),"",('ENTRY DATA'!D189))</f>
        <v/>
      </c>
      <c r="D189" t="str">
        <f>IF(AND('ENTRY DATA'!F189=""),"",('ENTRY DATA'!F189))</f>
        <v/>
      </c>
      <c r="E189" s="34" t="str">
        <f>IF(AND('ENTRY DATA'!B189=""),"",('ENTRY DATA'!B189))</f>
        <v/>
      </c>
      <c r="F189" s="12"/>
      <c r="G189" s="12"/>
      <c r="H189" s="72"/>
      <c r="I189" s="71"/>
      <c r="J189" s="72"/>
      <c r="K189" s="12"/>
      <c r="L189" s="20">
        <f t="shared" si="14"/>
        <v>0</v>
      </c>
      <c r="M189" s="19" t="str">
        <f t="shared" si="15"/>
        <v/>
      </c>
      <c r="N189" s="12"/>
      <c r="O189" s="119"/>
      <c r="P189" s="95" t="str">
        <f t="shared" si="16"/>
        <v/>
      </c>
      <c r="Q189" s="12"/>
      <c r="S189" s="128"/>
      <c r="T189" s="66"/>
      <c r="U189" s="128"/>
      <c r="W189" s="128"/>
      <c r="X189" s="12"/>
      <c r="Y189" t="str">
        <f t="shared" si="17"/>
        <v/>
      </c>
      <c r="Z189" t="str">
        <f t="shared" si="18"/>
        <v/>
      </c>
      <c r="AA189" s="12"/>
      <c r="AB189" s="95" t="e">
        <f t="shared" si="19"/>
        <v>#VALUE!</v>
      </c>
      <c r="AC189" s="95" t="e">
        <f t="shared" si="20"/>
        <v>#VALUE!</v>
      </c>
      <c r="AD189" s="12"/>
    </row>
    <row r="190" spans="1:30" ht="15.75" thickBot="1" x14ac:dyDescent="0.3">
      <c r="A190" s="12"/>
      <c r="B190" s="22"/>
      <c r="C190" t="str">
        <f>IF(AND('ENTRY DATA'!D190=""),"",('ENTRY DATA'!D190))</f>
        <v/>
      </c>
      <c r="D190" t="str">
        <f>IF(AND('ENTRY DATA'!F190=""),"",('ENTRY DATA'!F190))</f>
        <v/>
      </c>
      <c r="E190" s="34" t="str">
        <f>IF(AND('ENTRY DATA'!B190=""),"",('ENTRY DATA'!B190))</f>
        <v/>
      </c>
      <c r="F190" s="12"/>
      <c r="G190" s="12"/>
      <c r="H190" s="72"/>
      <c r="I190" s="71"/>
      <c r="J190" s="72"/>
      <c r="K190" s="12"/>
      <c r="L190" s="20">
        <f t="shared" si="14"/>
        <v>0</v>
      </c>
      <c r="M190" s="19" t="str">
        <f t="shared" si="15"/>
        <v/>
      </c>
      <c r="N190" s="12"/>
      <c r="O190" s="119"/>
      <c r="P190" s="95" t="str">
        <f t="shared" si="16"/>
        <v/>
      </c>
      <c r="Q190" s="12"/>
      <c r="S190" s="128"/>
      <c r="T190" s="66"/>
      <c r="U190" s="128"/>
      <c r="W190" s="128"/>
      <c r="X190" s="12"/>
      <c r="Y190" t="str">
        <f t="shared" si="17"/>
        <v/>
      </c>
      <c r="Z190" t="str">
        <f t="shared" si="18"/>
        <v/>
      </c>
      <c r="AA190" s="12"/>
      <c r="AB190" s="95" t="e">
        <f t="shared" si="19"/>
        <v>#VALUE!</v>
      </c>
      <c r="AC190" s="95" t="e">
        <f t="shared" si="20"/>
        <v>#VALUE!</v>
      </c>
      <c r="AD190" s="12"/>
    </row>
    <row r="191" spans="1:30" ht="15.75" thickBot="1" x14ac:dyDescent="0.3">
      <c r="A191" s="12"/>
      <c r="B191" s="22"/>
      <c r="C191" t="str">
        <f>IF(AND('ENTRY DATA'!D191=""),"",('ENTRY DATA'!D191))</f>
        <v/>
      </c>
      <c r="D191" t="str">
        <f>IF(AND('ENTRY DATA'!F191=""),"",('ENTRY DATA'!F191))</f>
        <v/>
      </c>
      <c r="E191" s="34" t="str">
        <f>IF(AND('ENTRY DATA'!B191=""),"",('ENTRY DATA'!B191))</f>
        <v/>
      </c>
      <c r="F191" s="12"/>
      <c r="G191" s="12"/>
      <c r="H191" s="72"/>
      <c r="I191" s="71"/>
      <c r="J191" s="72"/>
      <c r="K191" s="12"/>
      <c r="L191" s="20">
        <f t="shared" si="14"/>
        <v>0</v>
      </c>
      <c r="M191" s="19" t="str">
        <f t="shared" si="15"/>
        <v/>
      </c>
      <c r="N191" s="12"/>
      <c r="O191" s="119"/>
      <c r="P191" s="95" t="str">
        <f t="shared" si="16"/>
        <v/>
      </c>
      <c r="Q191" s="12"/>
      <c r="S191" s="128"/>
      <c r="T191" s="66"/>
      <c r="U191" s="128"/>
      <c r="W191" s="128"/>
      <c r="X191" s="12"/>
      <c r="Y191" t="str">
        <f t="shared" si="17"/>
        <v/>
      </c>
      <c r="Z191" t="str">
        <f t="shared" si="18"/>
        <v/>
      </c>
      <c r="AA191" s="12"/>
      <c r="AB191" s="95" t="e">
        <f t="shared" si="19"/>
        <v>#VALUE!</v>
      </c>
      <c r="AC191" s="95" t="e">
        <f t="shared" si="20"/>
        <v>#VALUE!</v>
      </c>
      <c r="AD191" s="12"/>
    </row>
    <row r="192" spans="1:30" ht="15.75" thickBot="1" x14ac:dyDescent="0.3">
      <c r="A192" s="12"/>
      <c r="B192" s="22"/>
      <c r="C192" t="str">
        <f>IF(AND('ENTRY DATA'!D192=""),"",('ENTRY DATA'!D192))</f>
        <v/>
      </c>
      <c r="D192" t="str">
        <f>IF(AND('ENTRY DATA'!F192=""),"",('ENTRY DATA'!F192))</f>
        <v/>
      </c>
      <c r="E192" s="34" t="str">
        <f>IF(AND('ENTRY DATA'!B192=""),"",('ENTRY DATA'!B192))</f>
        <v/>
      </c>
      <c r="F192" s="12"/>
      <c r="G192" s="12"/>
      <c r="H192" s="72"/>
      <c r="I192" s="71"/>
      <c r="J192" s="72"/>
      <c r="K192" s="12"/>
      <c r="L192" s="20">
        <f t="shared" si="14"/>
        <v>0</v>
      </c>
      <c r="M192" s="19" t="str">
        <f t="shared" si="15"/>
        <v/>
      </c>
      <c r="N192" s="12"/>
      <c r="O192" s="119"/>
      <c r="P192" s="95" t="str">
        <f t="shared" si="16"/>
        <v/>
      </c>
      <c r="Q192" s="12"/>
      <c r="S192" s="128"/>
      <c r="T192" s="66"/>
      <c r="U192" s="128"/>
      <c r="W192" s="128"/>
      <c r="X192" s="12"/>
      <c r="Y192" t="str">
        <f t="shared" si="17"/>
        <v/>
      </c>
      <c r="Z192" t="str">
        <f t="shared" si="18"/>
        <v/>
      </c>
      <c r="AA192" s="12"/>
      <c r="AB192" s="95" t="e">
        <f t="shared" si="19"/>
        <v>#VALUE!</v>
      </c>
      <c r="AC192" s="95" t="e">
        <f t="shared" si="20"/>
        <v>#VALUE!</v>
      </c>
      <c r="AD192" s="12"/>
    </row>
    <row r="193" spans="1:30" ht="15.75" thickBot="1" x14ac:dyDescent="0.3">
      <c r="A193" s="12"/>
      <c r="B193" s="22"/>
      <c r="C193" t="str">
        <f>IF(AND('ENTRY DATA'!D193=""),"",('ENTRY DATA'!D193))</f>
        <v/>
      </c>
      <c r="D193" t="str">
        <f>IF(AND('ENTRY DATA'!F193=""),"",('ENTRY DATA'!F193))</f>
        <v/>
      </c>
      <c r="E193" s="34" t="str">
        <f>IF(AND('ENTRY DATA'!B193=""),"",('ENTRY DATA'!B193))</f>
        <v/>
      </c>
      <c r="F193" s="12"/>
      <c r="G193" s="12"/>
      <c r="H193" s="72"/>
      <c r="I193" s="71"/>
      <c r="J193" s="72"/>
      <c r="K193" s="12"/>
      <c r="L193" s="20">
        <f t="shared" si="14"/>
        <v>0</v>
      </c>
      <c r="M193" s="19" t="str">
        <f t="shared" si="15"/>
        <v/>
      </c>
      <c r="N193" s="12"/>
      <c r="O193" s="119"/>
      <c r="P193" s="95" t="str">
        <f t="shared" si="16"/>
        <v/>
      </c>
      <c r="Q193" s="12"/>
      <c r="S193" s="128"/>
      <c r="T193" s="66"/>
      <c r="U193" s="128"/>
      <c r="W193" s="128"/>
      <c r="X193" s="12"/>
      <c r="Y193" t="str">
        <f t="shared" si="17"/>
        <v/>
      </c>
      <c r="Z193" t="str">
        <f t="shared" si="18"/>
        <v/>
      </c>
      <c r="AA193" s="12"/>
      <c r="AB193" s="95" t="e">
        <f t="shared" si="19"/>
        <v>#VALUE!</v>
      </c>
      <c r="AC193" s="95" t="e">
        <f t="shared" si="20"/>
        <v>#VALUE!</v>
      </c>
      <c r="AD193" s="12"/>
    </row>
    <row r="194" spans="1:30" ht="15.75" thickBot="1" x14ac:dyDescent="0.3">
      <c r="A194" s="12"/>
      <c r="B194" s="22"/>
      <c r="C194" t="str">
        <f>IF(AND('ENTRY DATA'!D194=""),"",('ENTRY DATA'!D194))</f>
        <v/>
      </c>
      <c r="D194" t="str">
        <f>IF(AND('ENTRY DATA'!F194=""),"",('ENTRY DATA'!F194))</f>
        <v/>
      </c>
      <c r="E194" s="34" t="str">
        <f>IF(AND('ENTRY DATA'!B194=""),"",('ENTRY DATA'!B194))</f>
        <v/>
      </c>
      <c r="F194" s="12"/>
      <c r="G194" s="12"/>
      <c r="H194" s="72"/>
      <c r="I194" s="71"/>
      <c r="J194" s="72"/>
      <c r="K194" s="12"/>
      <c r="L194" s="20">
        <f t="shared" si="14"/>
        <v>0</v>
      </c>
      <c r="M194" s="19" t="str">
        <f t="shared" si="15"/>
        <v/>
      </c>
      <c r="N194" s="12"/>
      <c r="O194" s="119"/>
      <c r="P194" s="95" t="str">
        <f t="shared" si="16"/>
        <v/>
      </c>
      <c r="Q194" s="12"/>
      <c r="S194" s="128"/>
      <c r="T194" s="66"/>
      <c r="U194" s="128"/>
      <c r="W194" s="128"/>
      <c r="X194" s="12"/>
      <c r="Y194" t="str">
        <f t="shared" si="17"/>
        <v/>
      </c>
      <c r="Z194" t="str">
        <f t="shared" si="18"/>
        <v/>
      </c>
      <c r="AA194" s="12"/>
      <c r="AB194" s="95" t="e">
        <f t="shared" si="19"/>
        <v>#VALUE!</v>
      </c>
      <c r="AC194" s="95" t="e">
        <f t="shared" si="20"/>
        <v>#VALUE!</v>
      </c>
      <c r="AD194" s="12"/>
    </row>
    <row r="195" spans="1:30" ht="15.75" thickBot="1" x14ac:dyDescent="0.3">
      <c r="A195" s="12"/>
      <c r="B195" s="22"/>
      <c r="C195" t="str">
        <f>IF(AND('ENTRY DATA'!D195=""),"",('ENTRY DATA'!D195))</f>
        <v/>
      </c>
      <c r="D195" t="str">
        <f>IF(AND('ENTRY DATA'!F195=""),"",('ENTRY DATA'!F195))</f>
        <v/>
      </c>
      <c r="E195" s="34" t="str">
        <f>IF(AND('ENTRY DATA'!B195=""),"",('ENTRY DATA'!B195))</f>
        <v/>
      </c>
      <c r="F195" s="12"/>
      <c r="G195" s="12"/>
      <c r="H195" s="72"/>
      <c r="I195" s="71"/>
      <c r="J195" s="72"/>
      <c r="K195" s="12"/>
      <c r="L195" s="20">
        <f t="shared" si="14"/>
        <v>0</v>
      </c>
      <c r="M195" s="19" t="str">
        <f t="shared" si="15"/>
        <v/>
      </c>
      <c r="N195" s="12"/>
      <c r="O195" s="119"/>
      <c r="P195" s="95" t="str">
        <f t="shared" si="16"/>
        <v/>
      </c>
      <c r="Q195" s="12"/>
      <c r="S195" s="128"/>
      <c r="T195" s="66"/>
      <c r="U195" s="128"/>
      <c r="W195" s="128"/>
      <c r="X195" s="12"/>
      <c r="Y195" t="str">
        <f t="shared" si="17"/>
        <v/>
      </c>
      <c r="Z195" t="str">
        <f t="shared" si="18"/>
        <v/>
      </c>
      <c r="AA195" s="12"/>
      <c r="AB195" s="95" t="e">
        <f t="shared" si="19"/>
        <v>#VALUE!</v>
      </c>
      <c r="AC195" s="95" t="e">
        <f t="shared" si="20"/>
        <v>#VALUE!</v>
      </c>
      <c r="AD195" s="12"/>
    </row>
    <row r="196" spans="1:30" ht="15.75" thickBot="1" x14ac:dyDescent="0.3">
      <c r="A196" s="12"/>
      <c r="B196" s="22"/>
      <c r="C196" t="str">
        <f>IF(AND('ENTRY DATA'!D196=""),"",('ENTRY DATA'!D196))</f>
        <v/>
      </c>
      <c r="D196" t="str">
        <f>IF(AND('ENTRY DATA'!F196=""),"",('ENTRY DATA'!F196))</f>
        <v/>
      </c>
      <c r="E196" s="34" t="str">
        <f>IF(AND('ENTRY DATA'!B196=""),"",('ENTRY DATA'!B196))</f>
        <v/>
      </c>
      <c r="F196" s="12"/>
      <c r="G196" s="12"/>
      <c r="H196" s="72"/>
      <c r="I196" s="71"/>
      <c r="J196" s="72"/>
      <c r="K196" s="12"/>
      <c r="L196" s="20">
        <f t="shared" si="14"/>
        <v>0</v>
      </c>
      <c r="M196" s="19" t="str">
        <f t="shared" si="15"/>
        <v/>
      </c>
      <c r="N196" s="12"/>
      <c r="O196" s="119"/>
      <c r="P196" s="95" t="str">
        <f t="shared" si="16"/>
        <v/>
      </c>
      <c r="Q196" s="12"/>
      <c r="S196" s="128"/>
      <c r="T196" s="66"/>
      <c r="U196" s="128"/>
      <c r="W196" s="128"/>
      <c r="X196" s="12"/>
      <c r="Y196" t="str">
        <f t="shared" si="17"/>
        <v/>
      </c>
      <c r="Z196" t="str">
        <f t="shared" si="18"/>
        <v/>
      </c>
      <c r="AA196" s="12"/>
      <c r="AB196" s="95" t="e">
        <f t="shared" si="19"/>
        <v>#VALUE!</v>
      </c>
      <c r="AC196" s="95" t="e">
        <f t="shared" si="20"/>
        <v>#VALUE!</v>
      </c>
      <c r="AD196" s="12"/>
    </row>
    <row r="197" spans="1:30" ht="15.75" thickBot="1" x14ac:dyDescent="0.3">
      <c r="A197" s="12"/>
      <c r="B197" s="22"/>
      <c r="C197" t="str">
        <f>IF(AND('ENTRY DATA'!D197=""),"",('ENTRY DATA'!D197))</f>
        <v/>
      </c>
      <c r="D197" t="str">
        <f>IF(AND('ENTRY DATA'!F197=""),"",('ENTRY DATA'!F197))</f>
        <v/>
      </c>
      <c r="E197" s="34" t="str">
        <f>IF(AND('ENTRY DATA'!B197=""),"",('ENTRY DATA'!B197))</f>
        <v/>
      </c>
      <c r="F197" s="12"/>
      <c r="G197" s="12"/>
      <c r="H197" s="72"/>
      <c r="I197" s="71"/>
      <c r="J197" s="72"/>
      <c r="K197" s="12"/>
      <c r="L197" s="20">
        <f t="shared" si="14"/>
        <v>0</v>
      </c>
      <c r="M197" s="19" t="str">
        <f t="shared" si="15"/>
        <v/>
      </c>
      <c r="N197" s="12"/>
      <c r="O197" s="119"/>
      <c r="P197" s="95" t="str">
        <f t="shared" si="16"/>
        <v/>
      </c>
      <c r="Q197" s="12"/>
      <c r="S197" s="128"/>
      <c r="T197" s="66"/>
      <c r="U197" s="128"/>
      <c r="W197" s="128"/>
      <c r="X197" s="12"/>
      <c r="Y197" t="str">
        <f t="shared" si="17"/>
        <v/>
      </c>
      <c r="Z197" t="str">
        <f t="shared" si="18"/>
        <v/>
      </c>
      <c r="AA197" s="12"/>
      <c r="AB197" s="95" t="e">
        <f t="shared" si="19"/>
        <v>#VALUE!</v>
      </c>
      <c r="AC197" s="95" t="e">
        <f t="shared" si="20"/>
        <v>#VALUE!</v>
      </c>
      <c r="AD197" s="12"/>
    </row>
    <row r="198" spans="1:30" ht="15.75" thickBot="1" x14ac:dyDescent="0.3">
      <c r="A198" s="12"/>
      <c r="B198" s="22"/>
      <c r="C198" t="str">
        <f>IF(AND('ENTRY DATA'!D198=""),"",('ENTRY DATA'!D198))</f>
        <v/>
      </c>
      <c r="D198" t="str">
        <f>IF(AND('ENTRY DATA'!F198=""),"",('ENTRY DATA'!F198))</f>
        <v/>
      </c>
      <c r="E198" s="34" t="str">
        <f>IF(AND('ENTRY DATA'!B198=""),"",('ENTRY DATA'!B198))</f>
        <v/>
      </c>
      <c r="F198" s="12"/>
      <c r="G198" s="12"/>
      <c r="H198" s="72"/>
      <c r="I198" s="71"/>
      <c r="J198" s="72"/>
      <c r="K198" s="12"/>
      <c r="L198" s="20">
        <f t="shared" ref="L198:L261" si="21">COUNT(H198:J198)</f>
        <v>0</v>
      </c>
      <c r="M198" s="19" t="str">
        <f t="shared" ref="M198:M261" si="22">IF(AND(H198="",I198="",J198=""),"",(H198+I198+J198))</f>
        <v/>
      </c>
      <c r="N198" s="12"/>
      <c r="O198" s="119"/>
      <c r="P198" s="95" t="str">
        <f t="shared" ref="P198:P261" si="23">C198</f>
        <v/>
      </c>
      <c r="Q198" s="12"/>
      <c r="S198" s="128"/>
      <c r="T198" s="66"/>
      <c r="U198" s="128"/>
      <c r="W198" s="128"/>
      <c r="X198" s="12"/>
      <c r="Y198" t="str">
        <f t="shared" ref="Y198:Y261" si="24">IF(AND(R198="",T198="",V198=""),"",SUM(R198,T198,V198))</f>
        <v/>
      </c>
      <c r="Z198" t="str">
        <f t="shared" ref="Z198:Z261" si="25">IF(AND(S198="",U198="",W198=""),"",SUM(S198,U198,W198))</f>
        <v/>
      </c>
      <c r="AA198" s="12"/>
      <c r="AB198" s="95" t="e">
        <f t="shared" ref="AB198:AB261" si="26">Y198/L198</f>
        <v>#VALUE!</v>
      </c>
      <c r="AC198" s="95" t="e">
        <f t="shared" ref="AC198:AC261" si="27">Z198/L198</f>
        <v>#VALUE!</v>
      </c>
      <c r="AD198" s="12"/>
    </row>
    <row r="199" spans="1:30" ht="15.75" thickBot="1" x14ac:dyDescent="0.3">
      <c r="A199" s="12"/>
      <c r="B199" s="22"/>
      <c r="C199" t="str">
        <f>IF(AND('ENTRY DATA'!D199=""),"",('ENTRY DATA'!D199))</f>
        <v/>
      </c>
      <c r="D199" t="str">
        <f>IF(AND('ENTRY DATA'!F199=""),"",('ENTRY DATA'!F199))</f>
        <v/>
      </c>
      <c r="E199" s="34" t="str">
        <f>IF(AND('ENTRY DATA'!B199=""),"",('ENTRY DATA'!B199))</f>
        <v/>
      </c>
      <c r="F199" s="12"/>
      <c r="G199" s="12"/>
      <c r="H199" s="72"/>
      <c r="I199" s="71"/>
      <c r="J199" s="72"/>
      <c r="K199" s="12"/>
      <c r="L199" s="20">
        <f t="shared" si="21"/>
        <v>0</v>
      </c>
      <c r="M199" s="19" t="str">
        <f t="shared" si="22"/>
        <v/>
      </c>
      <c r="N199" s="12"/>
      <c r="O199" s="119"/>
      <c r="P199" s="95" t="str">
        <f t="shared" si="23"/>
        <v/>
      </c>
      <c r="Q199" s="12"/>
      <c r="S199" s="128"/>
      <c r="T199" s="66"/>
      <c r="U199" s="128"/>
      <c r="W199" s="128"/>
      <c r="X199" s="12"/>
      <c r="Y199" t="str">
        <f t="shared" si="24"/>
        <v/>
      </c>
      <c r="Z199" t="str">
        <f t="shared" si="25"/>
        <v/>
      </c>
      <c r="AA199" s="12"/>
      <c r="AB199" s="95" t="e">
        <f t="shared" si="26"/>
        <v>#VALUE!</v>
      </c>
      <c r="AC199" s="95" t="e">
        <f t="shared" si="27"/>
        <v>#VALUE!</v>
      </c>
      <c r="AD199" s="12"/>
    </row>
    <row r="200" spans="1:30" ht="15.75" thickBot="1" x14ac:dyDescent="0.3">
      <c r="A200" s="12"/>
      <c r="B200" s="22"/>
      <c r="C200" t="str">
        <f>IF(AND('ENTRY DATA'!D200=""),"",('ENTRY DATA'!D200))</f>
        <v/>
      </c>
      <c r="D200" t="str">
        <f>IF(AND('ENTRY DATA'!F200=""),"",('ENTRY DATA'!F200))</f>
        <v/>
      </c>
      <c r="E200" s="34" t="str">
        <f>IF(AND('ENTRY DATA'!B200=""),"",('ENTRY DATA'!B200))</f>
        <v/>
      </c>
      <c r="F200" s="12"/>
      <c r="G200" s="12"/>
      <c r="H200" s="73"/>
      <c r="I200" s="71"/>
      <c r="J200" s="73"/>
      <c r="K200" s="12"/>
      <c r="L200" s="20">
        <f t="shared" si="21"/>
        <v>0</v>
      </c>
      <c r="M200" s="19" t="str">
        <f t="shared" si="22"/>
        <v/>
      </c>
      <c r="N200" s="12"/>
      <c r="O200" s="119"/>
      <c r="P200" s="95" t="str">
        <f t="shared" si="23"/>
        <v/>
      </c>
      <c r="Q200" s="12"/>
      <c r="S200" s="128"/>
      <c r="T200" s="66"/>
      <c r="U200" s="128"/>
      <c r="W200" s="128"/>
      <c r="X200" s="12"/>
      <c r="Y200" t="str">
        <f t="shared" si="24"/>
        <v/>
      </c>
      <c r="Z200" t="str">
        <f t="shared" si="25"/>
        <v/>
      </c>
      <c r="AA200" s="12"/>
      <c r="AB200" s="95" t="e">
        <f t="shared" si="26"/>
        <v>#VALUE!</v>
      </c>
      <c r="AC200" s="95" t="e">
        <f t="shared" si="27"/>
        <v>#VALUE!</v>
      </c>
      <c r="AD200" s="12"/>
    </row>
    <row r="201" spans="1:30" ht="15.75" thickBot="1" x14ac:dyDescent="0.3">
      <c r="A201" s="12"/>
      <c r="B201" s="22"/>
      <c r="C201" t="str">
        <f>IF(AND('ENTRY DATA'!D201=""),"",('ENTRY DATA'!D201))</f>
        <v/>
      </c>
      <c r="D201" t="str">
        <f>IF(AND('ENTRY DATA'!F201=""),"",('ENTRY DATA'!F201))</f>
        <v/>
      </c>
      <c r="E201" s="34" t="str">
        <f>IF(AND('ENTRY DATA'!B201=""),"",('ENTRY DATA'!B201))</f>
        <v/>
      </c>
      <c r="F201" s="12"/>
      <c r="G201" s="12"/>
      <c r="H201" s="73"/>
      <c r="I201" s="71"/>
      <c r="J201" s="73"/>
      <c r="K201" s="12"/>
      <c r="L201" s="20">
        <f t="shared" si="21"/>
        <v>0</v>
      </c>
      <c r="M201" s="19" t="str">
        <f t="shared" si="22"/>
        <v/>
      </c>
      <c r="N201" s="12"/>
      <c r="O201" s="119"/>
      <c r="P201" s="95" t="str">
        <f t="shared" si="23"/>
        <v/>
      </c>
      <c r="Q201" s="12"/>
      <c r="S201" s="128"/>
      <c r="T201" s="66"/>
      <c r="U201" s="128"/>
      <c r="W201" s="128"/>
      <c r="X201" s="12"/>
      <c r="Y201" t="str">
        <f t="shared" si="24"/>
        <v/>
      </c>
      <c r="Z201" t="str">
        <f t="shared" si="25"/>
        <v/>
      </c>
      <c r="AA201" s="12"/>
      <c r="AB201" s="95" t="e">
        <f t="shared" si="26"/>
        <v>#VALUE!</v>
      </c>
      <c r="AC201" s="95" t="e">
        <f t="shared" si="27"/>
        <v>#VALUE!</v>
      </c>
      <c r="AD201" s="12"/>
    </row>
    <row r="202" spans="1:30" ht="15.75" thickBot="1" x14ac:dyDescent="0.3">
      <c r="A202" s="12"/>
      <c r="B202" s="22"/>
      <c r="C202" t="str">
        <f>IF(AND('ENTRY DATA'!D202=""),"",('ENTRY DATA'!D202))</f>
        <v/>
      </c>
      <c r="D202" t="str">
        <f>IF(AND('ENTRY DATA'!F202=""),"",('ENTRY DATA'!F202))</f>
        <v/>
      </c>
      <c r="E202" s="34" t="str">
        <f>IF(AND('ENTRY DATA'!B202=""),"",('ENTRY DATA'!B202))</f>
        <v/>
      </c>
      <c r="F202" s="12"/>
      <c r="G202" s="12"/>
      <c r="H202" s="73"/>
      <c r="I202" s="71"/>
      <c r="J202" s="73"/>
      <c r="K202" s="12"/>
      <c r="L202" s="20">
        <f t="shared" si="21"/>
        <v>0</v>
      </c>
      <c r="M202" s="19" t="str">
        <f t="shared" si="22"/>
        <v/>
      </c>
      <c r="N202" s="12"/>
      <c r="O202" s="119"/>
      <c r="P202" s="95" t="str">
        <f t="shared" si="23"/>
        <v/>
      </c>
      <c r="Q202" s="12"/>
      <c r="S202" s="128"/>
      <c r="T202" s="66"/>
      <c r="U202" s="128"/>
      <c r="W202" s="128"/>
      <c r="X202" s="12"/>
      <c r="Y202" t="str">
        <f t="shared" si="24"/>
        <v/>
      </c>
      <c r="Z202" t="str">
        <f t="shared" si="25"/>
        <v/>
      </c>
      <c r="AA202" s="12"/>
      <c r="AB202" s="95" t="e">
        <f t="shared" si="26"/>
        <v>#VALUE!</v>
      </c>
      <c r="AC202" s="95" t="e">
        <f t="shared" si="27"/>
        <v>#VALUE!</v>
      </c>
      <c r="AD202" s="12"/>
    </row>
    <row r="203" spans="1:30" ht="15.75" thickBot="1" x14ac:dyDescent="0.3">
      <c r="A203" s="12"/>
      <c r="B203" s="22"/>
      <c r="C203" t="str">
        <f>IF(AND('ENTRY DATA'!D203=""),"",('ENTRY DATA'!D203))</f>
        <v/>
      </c>
      <c r="D203" t="str">
        <f>IF(AND('ENTRY DATA'!F203=""),"",('ENTRY DATA'!F203))</f>
        <v/>
      </c>
      <c r="E203" s="34" t="str">
        <f>IF(AND('ENTRY DATA'!B203=""),"",('ENTRY DATA'!B203))</f>
        <v/>
      </c>
      <c r="F203" s="12"/>
      <c r="G203" s="12"/>
      <c r="H203" s="73"/>
      <c r="I203" s="71"/>
      <c r="J203" s="73"/>
      <c r="K203" s="12"/>
      <c r="L203" s="20">
        <f t="shared" si="21"/>
        <v>0</v>
      </c>
      <c r="M203" s="19" t="str">
        <f t="shared" si="22"/>
        <v/>
      </c>
      <c r="N203" s="12"/>
      <c r="O203" s="119"/>
      <c r="P203" s="95" t="str">
        <f t="shared" si="23"/>
        <v/>
      </c>
      <c r="Q203" s="12"/>
      <c r="S203" s="128"/>
      <c r="T203" s="66"/>
      <c r="U203" s="128"/>
      <c r="W203" s="128"/>
      <c r="X203" s="12"/>
      <c r="Y203" t="str">
        <f t="shared" si="24"/>
        <v/>
      </c>
      <c r="Z203" t="str">
        <f t="shared" si="25"/>
        <v/>
      </c>
      <c r="AA203" s="12"/>
      <c r="AB203" s="95" t="e">
        <f t="shared" si="26"/>
        <v>#VALUE!</v>
      </c>
      <c r="AC203" s="95" t="e">
        <f t="shared" si="27"/>
        <v>#VALUE!</v>
      </c>
      <c r="AD203" s="12"/>
    </row>
    <row r="204" spans="1:30" ht="15.75" thickBot="1" x14ac:dyDescent="0.3">
      <c r="A204" s="12"/>
      <c r="B204" s="22"/>
      <c r="C204" t="str">
        <f>IF(AND('ENTRY DATA'!D204=""),"",('ENTRY DATA'!D204))</f>
        <v/>
      </c>
      <c r="D204" t="str">
        <f>IF(AND('ENTRY DATA'!F204=""),"",('ENTRY DATA'!F204))</f>
        <v/>
      </c>
      <c r="E204" s="34" t="str">
        <f>IF(AND('ENTRY DATA'!B204=""),"",('ENTRY DATA'!B204))</f>
        <v/>
      </c>
      <c r="F204" s="12"/>
      <c r="G204" s="12"/>
      <c r="H204" s="73"/>
      <c r="I204" s="71"/>
      <c r="J204" s="73"/>
      <c r="K204" s="12"/>
      <c r="L204" s="20">
        <f t="shared" si="21"/>
        <v>0</v>
      </c>
      <c r="M204" s="19" t="str">
        <f t="shared" si="22"/>
        <v/>
      </c>
      <c r="N204" s="12"/>
      <c r="O204" s="119"/>
      <c r="P204" s="95" t="str">
        <f t="shared" si="23"/>
        <v/>
      </c>
      <c r="Q204" s="12"/>
      <c r="S204" s="128"/>
      <c r="T204" s="66"/>
      <c r="U204" s="128"/>
      <c r="W204" s="128"/>
      <c r="X204" s="12"/>
      <c r="Y204" t="str">
        <f t="shared" si="24"/>
        <v/>
      </c>
      <c r="Z204" t="str">
        <f t="shared" si="25"/>
        <v/>
      </c>
      <c r="AA204" s="12"/>
      <c r="AB204" s="95" t="e">
        <f t="shared" si="26"/>
        <v>#VALUE!</v>
      </c>
      <c r="AC204" s="95" t="e">
        <f t="shared" si="27"/>
        <v>#VALUE!</v>
      </c>
      <c r="AD204" s="12"/>
    </row>
    <row r="205" spans="1:30" ht="15.75" thickBot="1" x14ac:dyDescent="0.3">
      <c r="A205" s="12"/>
      <c r="B205" s="22"/>
      <c r="C205" t="str">
        <f>IF(AND('ENTRY DATA'!D205=""),"",('ENTRY DATA'!D205))</f>
        <v/>
      </c>
      <c r="D205" t="str">
        <f>IF(AND('ENTRY DATA'!F205=""),"",('ENTRY DATA'!F205))</f>
        <v/>
      </c>
      <c r="E205" s="34" t="str">
        <f>IF(AND('ENTRY DATA'!B205=""),"",('ENTRY DATA'!B205))</f>
        <v/>
      </c>
      <c r="F205" s="12"/>
      <c r="G205" s="12"/>
      <c r="H205" s="73"/>
      <c r="I205" s="71"/>
      <c r="J205" s="73"/>
      <c r="K205" s="12"/>
      <c r="L205" s="20">
        <f t="shared" si="21"/>
        <v>0</v>
      </c>
      <c r="M205" s="19" t="str">
        <f t="shared" si="22"/>
        <v/>
      </c>
      <c r="N205" s="12"/>
      <c r="O205" s="119"/>
      <c r="P205" s="95" t="str">
        <f t="shared" si="23"/>
        <v/>
      </c>
      <c r="Q205" s="12"/>
      <c r="S205" s="128"/>
      <c r="T205" s="66"/>
      <c r="U205" s="128"/>
      <c r="W205" s="128"/>
      <c r="X205" s="12"/>
      <c r="Y205" t="str">
        <f t="shared" si="24"/>
        <v/>
      </c>
      <c r="Z205" t="str">
        <f t="shared" si="25"/>
        <v/>
      </c>
      <c r="AA205" s="12"/>
      <c r="AB205" s="95" t="e">
        <f t="shared" si="26"/>
        <v>#VALUE!</v>
      </c>
      <c r="AC205" s="95" t="e">
        <f t="shared" si="27"/>
        <v>#VALUE!</v>
      </c>
      <c r="AD205" s="12"/>
    </row>
    <row r="206" spans="1:30" ht="15.75" thickBot="1" x14ac:dyDescent="0.3">
      <c r="A206" s="12"/>
      <c r="B206" s="22"/>
      <c r="C206" t="str">
        <f>IF(AND('ENTRY DATA'!D206=""),"",('ENTRY DATA'!D206))</f>
        <v/>
      </c>
      <c r="D206" t="str">
        <f>IF(AND('ENTRY DATA'!F206=""),"",('ENTRY DATA'!F206))</f>
        <v/>
      </c>
      <c r="E206" s="34" t="str">
        <f>IF(AND('ENTRY DATA'!B206=""),"",('ENTRY DATA'!B206))</f>
        <v/>
      </c>
      <c r="F206" s="12"/>
      <c r="G206" s="12"/>
      <c r="H206" s="73"/>
      <c r="I206" s="71"/>
      <c r="J206" s="73"/>
      <c r="K206" s="12"/>
      <c r="L206" s="20">
        <f t="shared" si="21"/>
        <v>0</v>
      </c>
      <c r="M206" s="19" t="str">
        <f t="shared" si="22"/>
        <v/>
      </c>
      <c r="N206" s="12"/>
      <c r="O206" s="119"/>
      <c r="P206" s="95" t="str">
        <f t="shared" si="23"/>
        <v/>
      </c>
      <c r="Q206" s="12"/>
      <c r="S206" s="128"/>
      <c r="T206" s="66"/>
      <c r="U206" s="128"/>
      <c r="W206" s="128"/>
      <c r="X206" s="12"/>
      <c r="Y206" t="str">
        <f t="shared" si="24"/>
        <v/>
      </c>
      <c r="Z206" t="str">
        <f t="shared" si="25"/>
        <v/>
      </c>
      <c r="AA206" s="12"/>
      <c r="AB206" s="95" t="e">
        <f t="shared" si="26"/>
        <v>#VALUE!</v>
      </c>
      <c r="AC206" s="95" t="e">
        <f t="shared" si="27"/>
        <v>#VALUE!</v>
      </c>
      <c r="AD206" s="12"/>
    </row>
    <row r="207" spans="1:30" ht="15.75" thickBot="1" x14ac:dyDescent="0.3">
      <c r="A207" s="12"/>
      <c r="B207" s="22"/>
      <c r="C207" t="str">
        <f>IF(AND('ENTRY DATA'!D207=""),"",('ENTRY DATA'!D207))</f>
        <v/>
      </c>
      <c r="D207" t="str">
        <f>IF(AND('ENTRY DATA'!F207=""),"",('ENTRY DATA'!F207))</f>
        <v/>
      </c>
      <c r="E207" s="34" t="str">
        <f>IF(AND('ENTRY DATA'!B207=""),"",('ENTRY DATA'!B207))</f>
        <v/>
      </c>
      <c r="F207" s="12"/>
      <c r="G207" s="12"/>
      <c r="H207" s="73"/>
      <c r="I207" s="71"/>
      <c r="J207" s="73"/>
      <c r="K207" s="12"/>
      <c r="L207" s="20">
        <f t="shared" si="21"/>
        <v>0</v>
      </c>
      <c r="M207" s="19" t="str">
        <f t="shared" si="22"/>
        <v/>
      </c>
      <c r="N207" s="12"/>
      <c r="O207" s="119"/>
      <c r="P207" s="95" t="str">
        <f t="shared" si="23"/>
        <v/>
      </c>
      <c r="Q207" s="12"/>
      <c r="S207" s="128"/>
      <c r="T207" s="66"/>
      <c r="U207" s="128"/>
      <c r="W207" s="128"/>
      <c r="X207" s="12"/>
      <c r="Y207" t="str">
        <f t="shared" si="24"/>
        <v/>
      </c>
      <c r="Z207" t="str">
        <f t="shared" si="25"/>
        <v/>
      </c>
      <c r="AA207" s="12"/>
      <c r="AB207" s="95" t="e">
        <f t="shared" si="26"/>
        <v>#VALUE!</v>
      </c>
      <c r="AC207" s="95" t="e">
        <f t="shared" si="27"/>
        <v>#VALUE!</v>
      </c>
      <c r="AD207" s="12"/>
    </row>
    <row r="208" spans="1:30" ht="15.75" thickBot="1" x14ac:dyDescent="0.3">
      <c r="A208" s="12"/>
      <c r="B208" s="22"/>
      <c r="C208" t="str">
        <f>IF(AND('ENTRY DATA'!D208=""),"",('ENTRY DATA'!D208))</f>
        <v/>
      </c>
      <c r="D208" t="str">
        <f>IF(AND('ENTRY DATA'!F208=""),"",('ENTRY DATA'!F208))</f>
        <v/>
      </c>
      <c r="E208" s="34" t="str">
        <f>IF(AND('ENTRY DATA'!B208=""),"",('ENTRY DATA'!B208))</f>
        <v/>
      </c>
      <c r="F208" s="12"/>
      <c r="G208" s="12"/>
      <c r="H208" s="73"/>
      <c r="I208" s="71"/>
      <c r="J208" s="73"/>
      <c r="K208" s="12"/>
      <c r="L208" s="20">
        <f t="shared" si="21"/>
        <v>0</v>
      </c>
      <c r="M208" s="19" t="str">
        <f t="shared" si="22"/>
        <v/>
      </c>
      <c r="N208" s="12"/>
      <c r="O208" s="119"/>
      <c r="P208" s="95" t="str">
        <f t="shared" si="23"/>
        <v/>
      </c>
      <c r="Q208" s="12"/>
      <c r="S208" s="128"/>
      <c r="T208" s="66"/>
      <c r="U208" s="128"/>
      <c r="W208" s="128"/>
      <c r="X208" s="12"/>
      <c r="Y208" t="str">
        <f t="shared" si="24"/>
        <v/>
      </c>
      <c r="Z208" t="str">
        <f t="shared" si="25"/>
        <v/>
      </c>
      <c r="AA208" s="12"/>
      <c r="AB208" s="95" t="e">
        <f t="shared" si="26"/>
        <v>#VALUE!</v>
      </c>
      <c r="AC208" s="95" t="e">
        <f t="shared" si="27"/>
        <v>#VALUE!</v>
      </c>
      <c r="AD208" s="12"/>
    </row>
    <row r="209" spans="1:30" ht="15.75" thickBot="1" x14ac:dyDescent="0.3">
      <c r="A209" s="12"/>
      <c r="B209" s="22"/>
      <c r="C209" t="str">
        <f>IF(AND('ENTRY DATA'!D209=""),"",('ENTRY DATA'!D209))</f>
        <v/>
      </c>
      <c r="D209" t="str">
        <f>IF(AND('ENTRY DATA'!F209=""),"",('ENTRY DATA'!F209))</f>
        <v/>
      </c>
      <c r="E209" s="34" t="str">
        <f>IF(AND('ENTRY DATA'!B209=""),"",('ENTRY DATA'!B209))</f>
        <v/>
      </c>
      <c r="F209" s="12"/>
      <c r="G209" s="12"/>
      <c r="H209" s="73"/>
      <c r="I209" s="71"/>
      <c r="J209" s="73"/>
      <c r="K209" s="12"/>
      <c r="L209" s="20">
        <f t="shared" si="21"/>
        <v>0</v>
      </c>
      <c r="M209" s="19" t="str">
        <f t="shared" si="22"/>
        <v/>
      </c>
      <c r="N209" s="12"/>
      <c r="O209" s="119"/>
      <c r="P209" s="95" t="str">
        <f t="shared" si="23"/>
        <v/>
      </c>
      <c r="Q209" s="12"/>
      <c r="S209" s="128"/>
      <c r="T209" s="66"/>
      <c r="U209" s="128"/>
      <c r="W209" s="128"/>
      <c r="X209" s="12"/>
      <c r="Y209" t="str">
        <f t="shared" si="24"/>
        <v/>
      </c>
      <c r="Z209" t="str">
        <f t="shared" si="25"/>
        <v/>
      </c>
      <c r="AA209" s="12"/>
      <c r="AB209" s="95" t="e">
        <f t="shared" si="26"/>
        <v>#VALUE!</v>
      </c>
      <c r="AC209" s="95" t="e">
        <f t="shared" si="27"/>
        <v>#VALUE!</v>
      </c>
      <c r="AD209" s="12"/>
    </row>
    <row r="210" spans="1:30" ht="15.75" thickBot="1" x14ac:dyDescent="0.3">
      <c r="A210" s="12"/>
      <c r="B210" s="22"/>
      <c r="C210" t="str">
        <f>IF(AND('ENTRY DATA'!D210=""),"",('ENTRY DATA'!D210))</f>
        <v/>
      </c>
      <c r="D210" t="str">
        <f>IF(AND('ENTRY DATA'!F210=""),"",('ENTRY DATA'!F210))</f>
        <v/>
      </c>
      <c r="E210" s="34" t="str">
        <f>IF(AND('ENTRY DATA'!B210=""),"",('ENTRY DATA'!B210))</f>
        <v/>
      </c>
      <c r="F210" s="12"/>
      <c r="G210" s="12"/>
      <c r="H210" s="73"/>
      <c r="I210" s="71"/>
      <c r="J210" s="73"/>
      <c r="K210" s="12"/>
      <c r="L210" s="20">
        <f t="shared" si="21"/>
        <v>0</v>
      </c>
      <c r="M210" s="19" t="str">
        <f t="shared" si="22"/>
        <v/>
      </c>
      <c r="N210" s="12"/>
      <c r="O210" s="119"/>
      <c r="P210" s="95" t="str">
        <f t="shared" si="23"/>
        <v/>
      </c>
      <c r="Q210" s="12"/>
      <c r="S210" s="128"/>
      <c r="T210" s="66"/>
      <c r="U210" s="128"/>
      <c r="W210" s="128"/>
      <c r="X210" s="12"/>
      <c r="Y210" t="str">
        <f t="shared" si="24"/>
        <v/>
      </c>
      <c r="Z210" t="str">
        <f t="shared" si="25"/>
        <v/>
      </c>
      <c r="AA210" s="12"/>
      <c r="AB210" s="95" t="e">
        <f t="shared" si="26"/>
        <v>#VALUE!</v>
      </c>
      <c r="AC210" s="95" t="e">
        <f t="shared" si="27"/>
        <v>#VALUE!</v>
      </c>
      <c r="AD210" s="12"/>
    </row>
    <row r="211" spans="1:30" ht="15.75" thickBot="1" x14ac:dyDescent="0.3">
      <c r="A211" s="12"/>
      <c r="B211" s="22"/>
      <c r="C211" t="str">
        <f>IF(AND('ENTRY DATA'!D211=""),"",('ENTRY DATA'!D211))</f>
        <v/>
      </c>
      <c r="D211" t="str">
        <f>IF(AND('ENTRY DATA'!F211=""),"",('ENTRY DATA'!F211))</f>
        <v/>
      </c>
      <c r="E211" s="34" t="str">
        <f>IF(AND('ENTRY DATA'!B211=""),"",('ENTRY DATA'!B211))</f>
        <v/>
      </c>
      <c r="F211" s="12"/>
      <c r="G211" s="12"/>
      <c r="H211" s="73"/>
      <c r="I211" s="71"/>
      <c r="J211" s="73"/>
      <c r="K211" s="12"/>
      <c r="L211" s="20">
        <f t="shared" si="21"/>
        <v>0</v>
      </c>
      <c r="M211" s="19" t="str">
        <f t="shared" si="22"/>
        <v/>
      </c>
      <c r="N211" s="12"/>
      <c r="O211" s="119"/>
      <c r="P211" s="95" t="str">
        <f t="shared" si="23"/>
        <v/>
      </c>
      <c r="Q211" s="12"/>
      <c r="S211" s="128"/>
      <c r="T211" s="66"/>
      <c r="U211" s="128"/>
      <c r="W211" s="128"/>
      <c r="X211" s="12"/>
      <c r="Y211" t="str">
        <f t="shared" si="24"/>
        <v/>
      </c>
      <c r="Z211" t="str">
        <f t="shared" si="25"/>
        <v/>
      </c>
      <c r="AA211" s="12"/>
      <c r="AB211" s="95" t="e">
        <f t="shared" si="26"/>
        <v>#VALUE!</v>
      </c>
      <c r="AC211" s="95" t="e">
        <f t="shared" si="27"/>
        <v>#VALUE!</v>
      </c>
      <c r="AD211" s="12"/>
    </row>
    <row r="212" spans="1:30" ht="15.75" thickBot="1" x14ac:dyDescent="0.3">
      <c r="A212" s="12"/>
      <c r="B212" s="22"/>
      <c r="C212" t="str">
        <f>IF(AND('ENTRY DATA'!D212=""),"",('ENTRY DATA'!D212))</f>
        <v/>
      </c>
      <c r="D212" t="str">
        <f>IF(AND('ENTRY DATA'!F212=""),"",('ENTRY DATA'!F212))</f>
        <v/>
      </c>
      <c r="E212" s="34" t="str">
        <f>IF(AND('ENTRY DATA'!B212=""),"",('ENTRY DATA'!B212))</f>
        <v/>
      </c>
      <c r="F212" s="12"/>
      <c r="G212" s="12"/>
      <c r="H212" s="73"/>
      <c r="I212" s="71"/>
      <c r="J212" s="73"/>
      <c r="K212" s="12"/>
      <c r="L212" s="20">
        <f t="shared" si="21"/>
        <v>0</v>
      </c>
      <c r="M212" s="19" t="str">
        <f t="shared" si="22"/>
        <v/>
      </c>
      <c r="N212" s="12"/>
      <c r="O212" s="119"/>
      <c r="P212" s="95" t="str">
        <f t="shared" si="23"/>
        <v/>
      </c>
      <c r="Q212" s="12"/>
      <c r="S212" s="128"/>
      <c r="T212" s="66"/>
      <c r="U212" s="128"/>
      <c r="W212" s="128"/>
      <c r="X212" s="12"/>
      <c r="Y212" t="str">
        <f t="shared" si="24"/>
        <v/>
      </c>
      <c r="Z212" t="str">
        <f t="shared" si="25"/>
        <v/>
      </c>
      <c r="AA212" s="12"/>
      <c r="AB212" s="95" t="e">
        <f t="shared" si="26"/>
        <v>#VALUE!</v>
      </c>
      <c r="AC212" s="95" t="e">
        <f t="shared" si="27"/>
        <v>#VALUE!</v>
      </c>
      <c r="AD212" s="12"/>
    </row>
    <row r="213" spans="1:30" ht="15.75" thickBot="1" x14ac:dyDescent="0.3">
      <c r="A213" s="12"/>
      <c r="B213" s="22"/>
      <c r="C213" t="str">
        <f>IF(AND('ENTRY DATA'!D213=""),"",('ENTRY DATA'!D213))</f>
        <v/>
      </c>
      <c r="D213" t="str">
        <f>IF(AND('ENTRY DATA'!F213=""),"",('ENTRY DATA'!F213))</f>
        <v/>
      </c>
      <c r="E213" s="34" t="str">
        <f>IF(AND('ENTRY DATA'!B213=""),"",('ENTRY DATA'!B213))</f>
        <v/>
      </c>
      <c r="F213" s="12"/>
      <c r="G213" s="12"/>
      <c r="H213" s="73"/>
      <c r="I213" s="71"/>
      <c r="J213" s="73"/>
      <c r="K213" s="12"/>
      <c r="L213" s="20">
        <f t="shared" si="21"/>
        <v>0</v>
      </c>
      <c r="M213" s="19" t="str">
        <f t="shared" si="22"/>
        <v/>
      </c>
      <c r="N213" s="12"/>
      <c r="O213" s="119"/>
      <c r="P213" s="95" t="str">
        <f t="shared" si="23"/>
        <v/>
      </c>
      <c r="Q213" s="12"/>
      <c r="S213" s="128"/>
      <c r="T213" s="66"/>
      <c r="U213" s="128"/>
      <c r="W213" s="128"/>
      <c r="X213" s="12"/>
      <c r="Y213" t="str">
        <f t="shared" si="24"/>
        <v/>
      </c>
      <c r="Z213" t="str">
        <f t="shared" si="25"/>
        <v/>
      </c>
      <c r="AA213" s="12"/>
      <c r="AB213" s="95" t="e">
        <f t="shared" si="26"/>
        <v>#VALUE!</v>
      </c>
      <c r="AC213" s="95" t="e">
        <f t="shared" si="27"/>
        <v>#VALUE!</v>
      </c>
      <c r="AD213" s="12"/>
    </row>
    <row r="214" spans="1:30" ht="15.75" thickBot="1" x14ac:dyDescent="0.3">
      <c r="A214" s="12"/>
      <c r="B214" s="22"/>
      <c r="C214" t="str">
        <f>IF(AND('ENTRY DATA'!D214=""),"",('ENTRY DATA'!D214))</f>
        <v/>
      </c>
      <c r="D214" t="str">
        <f>IF(AND('ENTRY DATA'!F214=""),"",('ENTRY DATA'!F214))</f>
        <v/>
      </c>
      <c r="E214" s="34" t="str">
        <f>IF(AND('ENTRY DATA'!B214=""),"",('ENTRY DATA'!B214))</f>
        <v/>
      </c>
      <c r="F214" s="12"/>
      <c r="G214" s="12"/>
      <c r="H214" s="73"/>
      <c r="I214" s="71"/>
      <c r="J214" s="73"/>
      <c r="K214" s="12"/>
      <c r="L214" s="20">
        <f t="shared" si="21"/>
        <v>0</v>
      </c>
      <c r="M214" s="19" t="str">
        <f t="shared" si="22"/>
        <v/>
      </c>
      <c r="N214" s="12"/>
      <c r="O214" s="119"/>
      <c r="P214" s="95" t="str">
        <f t="shared" si="23"/>
        <v/>
      </c>
      <c r="Q214" s="12"/>
      <c r="S214" s="128"/>
      <c r="T214" s="66"/>
      <c r="U214" s="128"/>
      <c r="W214" s="128"/>
      <c r="X214" s="12"/>
      <c r="Y214" t="str">
        <f t="shared" si="24"/>
        <v/>
      </c>
      <c r="Z214" t="str">
        <f t="shared" si="25"/>
        <v/>
      </c>
      <c r="AA214" s="12"/>
      <c r="AB214" s="95" t="e">
        <f t="shared" si="26"/>
        <v>#VALUE!</v>
      </c>
      <c r="AC214" s="95" t="e">
        <f t="shared" si="27"/>
        <v>#VALUE!</v>
      </c>
      <c r="AD214" s="12"/>
    </row>
    <row r="215" spans="1:30" ht="15.75" thickBot="1" x14ac:dyDescent="0.3">
      <c r="A215" s="12"/>
      <c r="B215" s="22"/>
      <c r="C215" t="str">
        <f>IF(AND('ENTRY DATA'!D215=""),"",('ENTRY DATA'!D215))</f>
        <v/>
      </c>
      <c r="D215" t="str">
        <f>IF(AND('ENTRY DATA'!F215=""),"",('ENTRY DATA'!F215))</f>
        <v/>
      </c>
      <c r="E215" s="34" t="str">
        <f>IF(AND('ENTRY DATA'!B215=""),"",('ENTRY DATA'!B215))</f>
        <v/>
      </c>
      <c r="F215" s="12"/>
      <c r="G215" s="12"/>
      <c r="H215" s="73"/>
      <c r="I215" s="71"/>
      <c r="J215" s="73"/>
      <c r="K215" s="12"/>
      <c r="L215" s="20">
        <f t="shared" si="21"/>
        <v>0</v>
      </c>
      <c r="M215" s="19" t="str">
        <f t="shared" si="22"/>
        <v/>
      </c>
      <c r="N215" s="12"/>
      <c r="O215" s="119"/>
      <c r="P215" s="95" t="str">
        <f t="shared" si="23"/>
        <v/>
      </c>
      <c r="Q215" s="12"/>
      <c r="S215" s="128"/>
      <c r="T215" s="66"/>
      <c r="U215" s="128"/>
      <c r="W215" s="128"/>
      <c r="X215" s="12"/>
      <c r="Y215" t="str">
        <f t="shared" si="24"/>
        <v/>
      </c>
      <c r="Z215" t="str">
        <f t="shared" si="25"/>
        <v/>
      </c>
      <c r="AA215" s="12"/>
      <c r="AB215" s="95" t="e">
        <f t="shared" si="26"/>
        <v>#VALUE!</v>
      </c>
      <c r="AC215" s="95" t="e">
        <f t="shared" si="27"/>
        <v>#VALUE!</v>
      </c>
      <c r="AD215" s="12"/>
    </row>
    <row r="216" spans="1:30" ht="15.75" thickBot="1" x14ac:dyDescent="0.3">
      <c r="A216" s="12"/>
      <c r="B216" s="22"/>
      <c r="C216" t="str">
        <f>IF(AND('ENTRY DATA'!D216=""),"",('ENTRY DATA'!D216))</f>
        <v/>
      </c>
      <c r="D216" t="str">
        <f>IF(AND('ENTRY DATA'!F216=""),"",('ENTRY DATA'!F216))</f>
        <v/>
      </c>
      <c r="E216" s="34" t="str">
        <f>IF(AND('ENTRY DATA'!B216=""),"",('ENTRY DATA'!B216))</f>
        <v/>
      </c>
      <c r="F216" s="12"/>
      <c r="G216" s="12"/>
      <c r="H216" s="73"/>
      <c r="I216" s="71"/>
      <c r="J216" s="73"/>
      <c r="K216" s="12"/>
      <c r="L216" s="20">
        <f t="shared" si="21"/>
        <v>0</v>
      </c>
      <c r="M216" s="19" t="str">
        <f t="shared" si="22"/>
        <v/>
      </c>
      <c r="N216" s="12"/>
      <c r="O216" s="119"/>
      <c r="P216" s="95" t="str">
        <f t="shared" si="23"/>
        <v/>
      </c>
      <c r="Q216" s="12"/>
      <c r="S216" s="128"/>
      <c r="T216" s="66"/>
      <c r="U216" s="128"/>
      <c r="W216" s="128"/>
      <c r="X216" s="12"/>
      <c r="Y216" t="str">
        <f t="shared" si="24"/>
        <v/>
      </c>
      <c r="Z216" t="str">
        <f t="shared" si="25"/>
        <v/>
      </c>
      <c r="AA216" s="12"/>
      <c r="AB216" s="95" t="e">
        <f t="shared" si="26"/>
        <v>#VALUE!</v>
      </c>
      <c r="AC216" s="95" t="e">
        <f t="shared" si="27"/>
        <v>#VALUE!</v>
      </c>
      <c r="AD216" s="12"/>
    </row>
    <row r="217" spans="1:30" ht="15.75" thickBot="1" x14ac:dyDescent="0.3">
      <c r="A217" s="12"/>
      <c r="B217" s="22"/>
      <c r="C217" t="str">
        <f>IF(AND('ENTRY DATA'!D217=""),"",('ENTRY DATA'!D217))</f>
        <v/>
      </c>
      <c r="D217" t="str">
        <f>IF(AND('ENTRY DATA'!F217=""),"",('ENTRY DATA'!F217))</f>
        <v/>
      </c>
      <c r="E217" s="34" t="str">
        <f>IF(AND('ENTRY DATA'!B217=""),"",('ENTRY DATA'!B217))</f>
        <v/>
      </c>
      <c r="F217" s="12"/>
      <c r="G217" s="12"/>
      <c r="H217" s="73"/>
      <c r="I217" s="71"/>
      <c r="J217" s="73"/>
      <c r="K217" s="12"/>
      <c r="L217" s="20">
        <f t="shared" si="21"/>
        <v>0</v>
      </c>
      <c r="M217" s="19" t="str">
        <f t="shared" si="22"/>
        <v/>
      </c>
      <c r="N217" s="12"/>
      <c r="O217" s="119"/>
      <c r="P217" s="95" t="str">
        <f t="shared" si="23"/>
        <v/>
      </c>
      <c r="Q217" s="12"/>
      <c r="S217" s="128"/>
      <c r="T217" s="66"/>
      <c r="U217" s="128"/>
      <c r="W217" s="128"/>
      <c r="X217" s="12"/>
      <c r="Y217" t="str">
        <f t="shared" si="24"/>
        <v/>
      </c>
      <c r="Z217" t="str">
        <f t="shared" si="25"/>
        <v/>
      </c>
      <c r="AA217" s="12"/>
      <c r="AB217" s="95" t="e">
        <f t="shared" si="26"/>
        <v>#VALUE!</v>
      </c>
      <c r="AC217" s="95" t="e">
        <f t="shared" si="27"/>
        <v>#VALUE!</v>
      </c>
      <c r="AD217" s="12"/>
    </row>
    <row r="218" spans="1:30" ht="15.75" thickBot="1" x14ac:dyDescent="0.3">
      <c r="A218" s="12"/>
      <c r="B218" s="22"/>
      <c r="C218" t="str">
        <f>IF(AND('ENTRY DATA'!D218=""),"",('ENTRY DATA'!D218))</f>
        <v/>
      </c>
      <c r="D218" t="str">
        <f>IF(AND('ENTRY DATA'!F218=""),"",('ENTRY DATA'!F218))</f>
        <v/>
      </c>
      <c r="E218" s="34" t="str">
        <f>IF(AND('ENTRY DATA'!B218=""),"",('ENTRY DATA'!B218))</f>
        <v/>
      </c>
      <c r="F218" s="12"/>
      <c r="G218" s="12"/>
      <c r="H218" s="73"/>
      <c r="I218" s="71"/>
      <c r="J218" s="73"/>
      <c r="K218" s="12"/>
      <c r="L218" s="20">
        <f t="shared" si="21"/>
        <v>0</v>
      </c>
      <c r="M218" s="19" t="str">
        <f t="shared" si="22"/>
        <v/>
      </c>
      <c r="N218" s="12"/>
      <c r="O218" s="119"/>
      <c r="P218" s="95" t="str">
        <f t="shared" si="23"/>
        <v/>
      </c>
      <c r="Q218" s="12"/>
      <c r="S218" s="128"/>
      <c r="T218" s="66"/>
      <c r="U218" s="128"/>
      <c r="W218" s="128"/>
      <c r="X218" s="12"/>
      <c r="Y218" t="str">
        <f t="shared" si="24"/>
        <v/>
      </c>
      <c r="Z218" t="str">
        <f t="shared" si="25"/>
        <v/>
      </c>
      <c r="AA218" s="12"/>
      <c r="AB218" s="95" t="e">
        <f t="shared" si="26"/>
        <v>#VALUE!</v>
      </c>
      <c r="AC218" s="95" t="e">
        <f t="shared" si="27"/>
        <v>#VALUE!</v>
      </c>
      <c r="AD218" s="12"/>
    </row>
    <row r="219" spans="1:30" ht="15.75" thickBot="1" x14ac:dyDescent="0.3">
      <c r="A219" s="12"/>
      <c r="B219" s="22"/>
      <c r="C219" t="str">
        <f>IF(AND('ENTRY DATA'!D219=""),"",('ENTRY DATA'!D219))</f>
        <v/>
      </c>
      <c r="D219" t="str">
        <f>IF(AND('ENTRY DATA'!F219=""),"",('ENTRY DATA'!F219))</f>
        <v/>
      </c>
      <c r="E219" s="34" t="str">
        <f>IF(AND('ENTRY DATA'!B219=""),"",('ENTRY DATA'!B219))</f>
        <v/>
      </c>
      <c r="F219" s="12"/>
      <c r="G219" s="12"/>
      <c r="H219" s="73"/>
      <c r="I219" s="71"/>
      <c r="J219" s="73"/>
      <c r="K219" s="12"/>
      <c r="L219" s="20">
        <f t="shared" si="21"/>
        <v>0</v>
      </c>
      <c r="M219" s="19" t="str">
        <f t="shared" si="22"/>
        <v/>
      </c>
      <c r="N219" s="12"/>
      <c r="O219" s="119"/>
      <c r="P219" s="95" t="str">
        <f t="shared" si="23"/>
        <v/>
      </c>
      <c r="Q219" s="12"/>
      <c r="S219" s="128"/>
      <c r="T219" s="66"/>
      <c r="U219" s="128"/>
      <c r="W219" s="128"/>
      <c r="X219" s="12"/>
      <c r="Y219" t="str">
        <f t="shared" si="24"/>
        <v/>
      </c>
      <c r="Z219" t="str">
        <f t="shared" si="25"/>
        <v/>
      </c>
      <c r="AA219" s="12"/>
      <c r="AB219" s="95" t="e">
        <f t="shared" si="26"/>
        <v>#VALUE!</v>
      </c>
      <c r="AC219" s="95" t="e">
        <f t="shared" si="27"/>
        <v>#VALUE!</v>
      </c>
      <c r="AD219" s="12"/>
    </row>
    <row r="220" spans="1:30" ht="15.75" thickBot="1" x14ac:dyDescent="0.3">
      <c r="A220" s="12"/>
      <c r="B220" s="22"/>
      <c r="C220" t="str">
        <f>IF(AND('ENTRY DATA'!D220=""),"",('ENTRY DATA'!D220))</f>
        <v/>
      </c>
      <c r="D220" t="str">
        <f>IF(AND('ENTRY DATA'!F220=""),"",('ENTRY DATA'!F220))</f>
        <v/>
      </c>
      <c r="E220" s="34" t="str">
        <f>IF(AND('ENTRY DATA'!B220=""),"",('ENTRY DATA'!B220))</f>
        <v/>
      </c>
      <c r="F220" s="12"/>
      <c r="G220" s="12"/>
      <c r="H220" s="73"/>
      <c r="I220" s="71"/>
      <c r="J220" s="73"/>
      <c r="K220" s="12"/>
      <c r="L220" s="20">
        <f t="shared" si="21"/>
        <v>0</v>
      </c>
      <c r="M220" s="19" t="str">
        <f t="shared" si="22"/>
        <v/>
      </c>
      <c r="N220" s="12"/>
      <c r="O220" s="119"/>
      <c r="P220" s="95" t="str">
        <f t="shared" si="23"/>
        <v/>
      </c>
      <c r="Q220" s="12"/>
      <c r="S220" s="128"/>
      <c r="T220" s="66"/>
      <c r="U220" s="128"/>
      <c r="W220" s="128"/>
      <c r="X220" s="12"/>
      <c r="Y220" t="str">
        <f t="shared" si="24"/>
        <v/>
      </c>
      <c r="Z220" t="str">
        <f t="shared" si="25"/>
        <v/>
      </c>
      <c r="AA220" s="12"/>
      <c r="AB220" s="95" t="e">
        <f t="shared" si="26"/>
        <v>#VALUE!</v>
      </c>
      <c r="AC220" s="95" t="e">
        <f t="shared" si="27"/>
        <v>#VALUE!</v>
      </c>
      <c r="AD220" s="12"/>
    </row>
    <row r="221" spans="1:30" ht="15.75" thickBot="1" x14ac:dyDescent="0.3">
      <c r="A221" s="12"/>
      <c r="B221" s="22"/>
      <c r="C221" t="str">
        <f>IF(AND('ENTRY DATA'!D221=""),"",('ENTRY DATA'!D221))</f>
        <v/>
      </c>
      <c r="D221" t="str">
        <f>IF(AND('ENTRY DATA'!F221=""),"",('ENTRY DATA'!F221))</f>
        <v/>
      </c>
      <c r="E221" s="34" t="str">
        <f>IF(AND('ENTRY DATA'!B221=""),"",('ENTRY DATA'!B221))</f>
        <v/>
      </c>
      <c r="F221" s="12"/>
      <c r="G221" s="12"/>
      <c r="H221" s="73"/>
      <c r="I221" s="71"/>
      <c r="J221" s="73"/>
      <c r="K221" s="12"/>
      <c r="L221" s="20">
        <f t="shared" si="21"/>
        <v>0</v>
      </c>
      <c r="M221" s="19" t="str">
        <f t="shared" si="22"/>
        <v/>
      </c>
      <c r="N221" s="12"/>
      <c r="O221" s="119"/>
      <c r="P221" s="95" t="str">
        <f t="shared" si="23"/>
        <v/>
      </c>
      <c r="Q221" s="12"/>
      <c r="S221" s="128"/>
      <c r="T221" s="66"/>
      <c r="U221" s="128"/>
      <c r="W221" s="128"/>
      <c r="X221" s="12"/>
      <c r="Y221" t="str">
        <f t="shared" si="24"/>
        <v/>
      </c>
      <c r="Z221" t="str">
        <f t="shared" si="25"/>
        <v/>
      </c>
      <c r="AA221" s="12"/>
      <c r="AB221" s="95" t="e">
        <f t="shared" si="26"/>
        <v>#VALUE!</v>
      </c>
      <c r="AC221" s="95" t="e">
        <f t="shared" si="27"/>
        <v>#VALUE!</v>
      </c>
      <c r="AD221" s="12"/>
    </row>
    <row r="222" spans="1:30" ht="15.75" thickBot="1" x14ac:dyDescent="0.3">
      <c r="A222" s="12"/>
      <c r="B222" s="22"/>
      <c r="C222" t="str">
        <f>IF(AND('ENTRY DATA'!D222=""),"",('ENTRY DATA'!D222))</f>
        <v/>
      </c>
      <c r="D222" t="str">
        <f>IF(AND('ENTRY DATA'!F222=""),"",('ENTRY DATA'!F222))</f>
        <v/>
      </c>
      <c r="E222" s="34" t="str">
        <f>IF(AND('ENTRY DATA'!B222=""),"",('ENTRY DATA'!B222))</f>
        <v/>
      </c>
      <c r="F222" s="12"/>
      <c r="G222" s="12"/>
      <c r="H222" s="73"/>
      <c r="I222" s="71"/>
      <c r="J222" s="73"/>
      <c r="K222" s="12"/>
      <c r="L222" s="20">
        <f t="shared" si="21"/>
        <v>0</v>
      </c>
      <c r="M222" s="19" t="str">
        <f t="shared" si="22"/>
        <v/>
      </c>
      <c r="N222" s="12"/>
      <c r="O222" s="119"/>
      <c r="P222" s="95" t="str">
        <f t="shared" si="23"/>
        <v/>
      </c>
      <c r="Q222" s="12"/>
      <c r="S222" s="128"/>
      <c r="T222" s="66"/>
      <c r="U222" s="128"/>
      <c r="W222" s="128"/>
      <c r="X222" s="12"/>
      <c r="Y222" t="str">
        <f t="shared" si="24"/>
        <v/>
      </c>
      <c r="Z222" t="str">
        <f t="shared" si="25"/>
        <v/>
      </c>
      <c r="AA222" s="12"/>
      <c r="AB222" s="95" t="e">
        <f t="shared" si="26"/>
        <v>#VALUE!</v>
      </c>
      <c r="AC222" s="95" t="e">
        <f t="shared" si="27"/>
        <v>#VALUE!</v>
      </c>
      <c r="AD222" s="12"/>
    </row>
    <row r="223" spans="1:30" ht="15.75" thickBot="1" x14ac:dyDescent="0.3">
      <c r="A223" s="12"/>
      <c r="B223" s="22"/>
      <c r="C223" t="str">
        <f>IF(AND('ENTRY DATA'!D223=""),"",('ENTRY DATA'!D223))</f>
        <v/>
      </c>
      <c r="D223" t="str">
        <f>IF(AND('ENTRY DATA'!F223=""),"",('ENTRY DATA'!F223))</f>
        <v/>
      </c>
      <c r="E223" s="34" t="str">
        <f>IF(AND('ENTRY DATA'!B223=""),"",('ENTRY DATA'!B223))</f>
        <v/>
      </c>
      <c r="F223" s="12"/>
      <c r="G223" s="12"/>
      <c r="H223" s="73"/>
      <c r="I223" s="71"/>
      <c r="J223" s="73"/>
      <c r="K223" s="12"/>
      <c r="L223" s="20">
        <f t="shared" si="21"/>
        <v>0</v>
      </c>
      <c r="M223" s="19" t="str">
        <f t="shared" si="22"/>
        <v/>
      </c>
      <c r="N223" s="12"/>
      <c r="O223" s="119"/>
      <c r="P223" s="95" t="str">
        <f t="shared" si="23"/>
        <v/>
      </c>
      <c r="Q223" s="12"/>
      <c r="S223" s="128"/>
      <c r="T223" s="66"/>
      <c r="U223" s="128"/>
      <c r="W223" s="128"/>
      <c r="X223" s="12"/>
      <c r="Y223" t="str">
        <f t="shared" si="24"/>
        <v/>
      </c>
      <c r="Z223" t="str">
        <f t="shared" si="25"/>
        <v/>
      </c>
      <c r="AA223" s="12"/>
      <c r="AB223" s="95" t="e">
        <f t="shared" si="26"/>
        <v>#VALUE!</v>
      </c>
      <c r="AC223" s="95" t="e">
        <f t="shared" si="27"/>
        <v>#VALUE!</v>
      </c>
      <c r="AD223" s="12"/>
    </row>
    <row r="224" spans="1:30" ht="15.75" thickBot="1" x14ac:dyDescent="0.3">
      <c r="A224" s="12"/>
      <c r="B224" s="22"/>
      <c r="C224" t="str">
        <f>IF(AND('ENTRY DATA'!D224=""),"",('ENTRY DATA'!D224))</f>
        <v/>
      </c>
      <c r="D224" t="str">
        <f>IF(AND('ENTRY DATA'!F224=""),"",('ENTRY DATA'!F224))</f>
        <v/>
      </c>
      <c r="E224" s="34" t="str">
        <f>IF(AND('ENTRY DATA'!B224=""),"",('ENTRY DATA'!B224))</f>
        <v/>
      </c>
      <c r="F224" s="12"/>
      <c r="G224" s="12"/>
      <c r="H224" s="73"/>
      <c r="I224" s="71"/>
      <c r="J224" s="73"/>
      <c r="K224" s="12"/>
      <c r="L224" s="20">
        <f t="shared" si="21"/>
        <v>0</v>
      </c>
      <c r="M224" s="19" t="str">
        <f t="shared" si="22"/>
        <v/>
      </c>
      <c r="N224" s="12"/>
      <c r="O224" s="119"/>
      <c r="P224" s="95" t="str">
        <f t="shared" si="23"/>
        <v/>
      </c>
      <c r="Q224" s="12"/>
      <c r="S224" s="128"/>
      <c r="T224" s="66"/>
      <c r="U224" s="128"/>
      <c r="W224" s="128"/>
      <c r="X224" s="12"/>
      <c r="Y224" t="str">
        <f t="shared" si="24"/>
        <v/>
      </c>
      <c r="Z224" t="str">
        <f t="shared" si="25"/>
        <v/>
      </c>
      <c r="AA224" s="12"/>
      <c r="AB224" s="95" t="e">
        <f t="shared" si="26"/>
        <v>#VALUE!</v>
      </c>
      <c r="AC224" s="95" t="e">
        <f t="shared" si="27"/>
        <v>#VALUE!</v>
      </c>
      <c r="AD224" s="12"/>
    </row>
    <row r="225" spans="1:30" ht="15.75" thickBot="1" x14ac:dyDescent="0.3">
      <c r="A225" s="12"/>
      <c r="B225" s="22"/>
      <c r="C225" t="str">
        <f>IF(AND('ENTRY DATA'!D225=""),"",('ENTRY DATA'!D225))</f>
        <v/>
      </c>
      <c r="D225" t="str">
        <f>IF(AND('ENTRY DATA'!F225=""),"",('ENTRY DATA'!F225))</f>
        <v/>
      </c>
      <c r="E225" s="34" t="str">
        <f>IF(AND('ENTRY DATA'!B225=""),"",('ENTRY DATA'!B225))</f>
        <v/>
      </c>
      <c r="F225" s="12"/>
      <c r="G225" s="12"/>
      <c r="H225" s="73"/>
      <c r="I225" s="71"/>
      <c r="J225" s="73"/>
      <c r="K225" s="12"/>
      <c r="L225" s="20">
        <f t="shared" si="21"/>
        <v>0</v>
      </c>
      <c r="M225" s="19" t="str">
        <f t="shared" si="22"/>
        <v/>
      </c>
      <c r="N225" s="12"/>
      <c r="O225" s="119"/>
      <c r="P225" s="95" t="str">
        <f t="shared" si="23"/>
        <v/>
      </c>
      <c r="Q225" s="12"/>
      <c r="S225" s="128"/>
      <c r="T225" s="66"/>
      <c r="U225" s="128"/>
      <c r="W225" s="128"/>
      <c r="X225" s="12"/>
      <c r="Y225" t="str">
        <f t="shared" si="24"/>
        <v/>
      </c>
      <c r="Z225" t="str">
        <f t="shared" si="25"/>
        <v/>
      </c>
      <c r="AA225" s="12"/>
      <c r="AB225" s="95" t="e">
        <f t="shared" si="26"/>
        <v>#VALUE!</v>
      </c>
      <c r="AC225" s="95" t="e">
        <f t="shared" si="27"/>
        <v>#VALUE!</v>
      </c>
      <c r="AD225" s="12"/>
    </row>
    <row r="226" spans="1:30" ht="15.75" thickBot="1" x14ac:dyDescent="0.3">
      <c r="A226" s="12"/>
      <c r="B226" s="22"/>
      <c r="C226" t="str">
        <f>IF(AND('ENTRY DATA'!D226=""),"",('ENTRY DATA'!D226))</f>
        <v/>
      </c>
      <c r="D226" t="str">
        <f>IF(AND('ENTRY DATA'!F226=""),"",('ENTRY DATA'!F226))</f>
        <v/>
      </c>
      <c r="E226" s="34" t="str">
        <f>IF(AND('ENTRY DATA'!B226=""),"",('ENTRY DATA'!B226))</f>
        <v/>
      </c>
      <c r="F226" s="12"/>
      <c r="G226" s="12"/>
      <c r="H226" s="73"/>
      <c r="I226" s="71"/>
      <c r="J226" s="73"/>
      <c r="K226" s="12"/>
      <c r="L226" s="20">
        <f t="shared" si="21"/>
        <v>0</v>
      </c>
      <c r="M226" s="19" t="str">
        <f t="shared" si="22"/>
        <v/>
      </c>
      <c r="N226" s="12"/>
      <c r="O226" s="119"/>
      <c r="P226" s="95" t="str">
        <f t="shared" si="23"/>
        <v/>
      </c>
      <c r="Q226" s="12"/>
      <c r="S226" s="128"/>
      <c r="T226" s="66"/>
      <c r="U226" s="128"/>
      <c r="W226" s="128"/>
      <c r="X226" s="12"/>
      <c r="Y226" t="str">
        <f t="shared" si="24"/>
        <v/>
      </c>
      <c r="Z226" t="str">
        <f t="shared" si="25"/>
        <v/>
      </c>
      <c r="AA226" s="12"/>
      <c r="AB226" s="95" t="e">
        <f t="shared" si="26"/>
        <v>#VALUE!</v>
      </c>
      <c r="AC226" s="95" t="e">
        <f t="shared" si="27"/>
        <v>#VALUE!</v>
      </c>
      <c r="AD226" s="12"/>
    </row>
    <row r="227" spans="1:30" ht="15.75" thickBot="1" x14ac:dyDescent="0.3">
      <c r="A227" s="12"/>
      <c r="B227" s="22"/>
      <c r="C227" t="str">
        <f>IF(AND('ENTRY DATA'!D227=""),"",('ENTRY DATA'!D227))</f>
        <v/>
      </c>
      <c r="D227" t="str">
        <f>IF(AND('ENTRY DATA'!F227=""),"",('ENTRY DATA'!F227))</f>
        <v/>
      </c>
      <c r="E227" s="34" t="str">
        <f>IF(AND('ENTRY DATA'!B227=""),"",('ENTRY DATA'!B227))</f>
        <v/>
      </c>
      <c r="F227" s="12"/>
      <c r="G227" s="12"/>
      <c r="H227" s="73"/>
      <c r="I227" s="71"/>
      <c r="J227" s="73"/>
      <c r="K227" s="12"/>
      <c r="L227" s="20">
        <f t="shared" si="21"/>
        <v>0</v>
      </c>
      <c r="M227" s="19" t="str">
        <f t="shared" si="22"/>
        <v/>
      </c>
      <c r="N227" s="12"/>
      <c r="O227" s="119"/>
      <c r="P227" s="95" t="str">
        <f t="shared" si="23"/>
        <v/>
      </c>
      <c r="Q227" s="12"/>
      <c r="S227" s="128"/>
      <c r="T227" s="66"/>
      <c r="U227" s="128"/>
      <c r="W227" s="128"/>
      <c r="X227" s="12"/>
      <c r="Y227" t="str">
        <f t="shared" si="24"/>
        <v/>
      </c>
      <c r="Z227" t="str">
        <f t="shared" si="25"/>
        <v/>
      </c>
      <c r="AA227" s="12"/>
      <c r="AB227" s="95" t="e">
        <f t="shared" si="26"/>
        <v>#VALUE!</v>
      </c>
      <c r="AC227" s="95" t="e">
        <f t="shared" si="27"/>
        <v>#VALUE!</v>
      </c>
      <c r="AD227" s="12"/>
    </row>
    <row r="228" spans="1:30" ht="15.75" thickBot="1" x14ac:dyDescent="0.3">
      <c r="A228" s="12"/>
      <c r="B228" s="22"/>
      <c r="C228" t="str">
        <f>IF(AND('ENTRY DATA'!D228=""),"",('ENTRY DATA'!D228))</f>
        <v/>
      </c>
      <c r="D228" t="str">
        <f>IF(AND('ENTRY DATA'!F228=""),"",('ENTRY DATA'!F228))</f>
        <v/>
      </c>
      <c r="E228" s="34" t="str">
        <f>IF(AND('ENTRY DATA'!B228=""),"",('ENTRY DATA'!B228))</f>
        <v/>
      </c>
      <c r="F228" s="12"/>
      <c r="G228" s="12"/>
      <c r="H228" s="73"/>
      <c r="I228" s="71"/>
      <c r="J228" s="73"/>
      <c r="K228" s="12"/>
      <c r="L228" s="20">
        <f t="shared" si="21"/>
        <v>0</v>
      </c>
      <c r="M228" s="19" t="str">
        <f t="shared" si="22"/>
        <v/>
      </c>
      <c r="N228" s="12"/>
      <c r="O228" s="119"/>
      <c r="P228" s="95" t="str">
        <f t="shared" si="23"/>
        <v/>
      </c>
      <c r="Q228" s="12"/>
      <c r="S228" s="128"/>
      <c r="T228" s="66"/>
      <c r="U228" s="128"/>
      <c r="W228" s="128"/>
      <c r="X228" s="12"/>
      <c r="Y228" t="str">
        <f t="shared" si="24"/>
        <v/>
      </c>
      <c r="Z228" t="str">
        <f t="shared" si="25"/>
        <v/>
      </c>
      <c r="AA228" s="12"/>
      <c r="AB228" s="95" t="e">
        <f t="shared" si="26"/>
        <v>#VALUE!</v>
      </c>
      <c r="AC228" s="95" t="e">
        <f t="shared" si="27"/>
        <v>#VALUE!</v>
      </c>
      <c r="AD228" s="12"/>
    </row>
    <row r="229" spans="1:30" ht="15.75" thickBot="1" x14ac:dyDescent="0.3">
      <c r="A229" s="12"/>
      <c r="B229" s="22"/>
      <c r="C229" t="str">
        <f>IF(AND('ENTRY DATA'!D229=""),"",('ENTRY DATA'!D229))</f>
        <v/>
      </c>
      <c r="D229" t="str">
        <f>IF(AND('ENTRY DATA'!F229=""),"",('ENTRY DATA'!F229))</f>
        <v/>
      </c>
      <c r="E229" s="34" t="str">
        <f>IF(AND('ENTRY DATA'!B229=""),"",('ENTRY DATA'!B229))</f>
        <v/>
      </c>
      <c r="F229" s="12"/>
      <c r="G229" s="12"/>
      <c r="H229" s="73"/>
      <c r="I229" s="71"/>
      <c r="J229" s="73"/>
      <c r="K229" s="12"/>
      <c r="L229" s="20">
        <f t="shared" si="21"/>
        <v>0</v>
      </c>
      <c r="M229" s="19" t="str">
        <f t="shared" si="22"/>
        <v/>
      </c>
      <c r="N229" s="12"/>
      <c r="O229" s="119"/>
      <c r="P229" s="95" t="str">
        <f t="shared" si="23"/>
        <v/>
      </c>
      <c r="Q229" s="12"/>
      <c r="S229" s="128"/>
      <c r="T229" s="66"/>
      <c r="U229" s="128"/>
      <c r="W229" s="128"/>
      <c r="X229" s="12"/>
      <c r="Y229" t="str">
        <f t="shared" si="24"/>
        <v/>
      </c>
      <c r="Z229" t="str">
        <f t="shared" si="25"/>
        <v/>
      </c>
      <c r="AA229" s="12"/>
      <c r="AB229" s="95" t="e">
        <f t="shared" si="26"/>
        <v>#VALUE!</v>
      </c>
      <c r="AC229" s="95" t="e">
        <f t="shared" si="27"/>
        <v>#VALUE!</v>
      </c>
      <c r="AD229" s="12"/>
    </row>
    <row r="230" spans="1:30" ht="15.75" thickBot="1" x14ac:dyDescent="0.3">
      <c r="A230" s="12"/>
      <c r="B230" s="22"/>
      <c r="C230" t="str">
        <f>IF(AND('ENTRY DATA'!D230=""),"",('ENTRY DATA'!D230))</f>
        <v/>
      </c>
      <c r="D230" t="str">
        <f>IF(AND('ENTRY DATA'!F230=""),"",('ENTRY DATA'!F230))</f>
        <v/>
      </c>
      <c r="E230" s="34" t="str">
        <f>IF(AND('ENTRY DATA'!B230=""),"",('ENTRY DATA'!B230))</f>
        <v/>
      </c>
      <c r="F230" s="12"/>
      <c r="G230" s="12"/>
      <c r="H230" s="73"/>
      <c r="I230" s="71"/>
      <c r="J230" s="73"/>
      <c r="K230" s="12"/>
      <c r="L230" s="20">
        <f t="shared" si="21"/>
        <v>0</v>
      </c>
      <c r="M230" s="19" t="str">
        <f t="shared" si="22"/>
        <v/>
      </c>
      <c r="N230" s="12"/>
      <c r="O230" s="119"/>
      <c r="P230" s="95" t="str">
        <f t="shared" si="23"/>
        <v/>
      </c>
      <c r="Q230" s="12"/>
      <c r="S230" s="128"/>
      <c r="T230" s="66"/>
      <c r="U230" s="128"/>
      <c r="W230" s="128"/>
      <c r="X230" s="12"/>
      <c r="Y230" t="str">
        <f t="shared" si="24"/>
        <v/>
      </c>
      <c r="Z230" t="str">
        <f t="shared" si="25"/>
        <v/>
      </c>
      <c r="AA230" s="12"/>
      <c r="AB230" s="95" t="e">
        <f t="shared" si="26"/>
        <v>#VALUE!</v>
      </c>
      <c r="AC230" s="95" t="e">
        <f t="shared" si="27"/>
        <v>#VALUE!</v>
      </c>
      <c r="AD230" s="12"/>
    </row>
    <row r="231" spans="1:30" ht="15.75" thickBot="1" x14ac:dyDescent="0.3">
      <c r="A231" s="12"/>
      <c r="B231" s="22"/>
      <c r="C231" t="str">
        <f>IF(AND('ENTRY DATA'!D231=""),"",('ENTRY DATA'!D231))</f>
        <v/>
      </c>
      <c r="D231" t="str">
        <f>IF(AND('ENTRY DATA'!F231=""),"",('ENTRY DATA'!F231))</f>
        <v/>
      </c>
      <c r="E231" s="34" t="str">
        <f>IF(AND('ENTRY DATA'!B231=""),"",('ENTRY DATA'!B231))</f>
        <v/>
      </c>
      <c r="F231" s="12"/>
      <c r="G231" s="12"/>
      <c r="H231" s="73"/>
      <c r="I231" s="71"/>
      <c r="J231" s="73"/>
      <c r="K231" s="12"/>
      <c r="L231" s="20">
        <f t="shared" si="21"/>
        <v>0</v>
      </c>
      <c r="M231" s="19" t="str">
        <f t="shared" si="22"/>
        <v/>
      </c>
      <c r="N231" s="12"/>
      <c r="O231" s="119"/>
      <c r="P231" s="95" t="str">
        <f t="shared" si="23"/>
        <v/>
      </c>
      <c r="Q231" s="12"/>
      <c r="S231" s="128"/>
      <c r="T231" s="66"/>
      <c r="U231" s="128"/>
      <c r="W231" s="128"/>
      <c r="X231" s="12"/>
      <c r="Y231" t="str">
        <f t="shared" si="24"/>
        <v/>
      </c>
      <c r="Z231" t="str">
        <f t="shared" si="25"/>
        <v/>
      </c>
      <c r="AA231" s="12"/>
      <c r="AB231" s="95" t="e">
        <f t="shared" si="26"/>
        <v>#VALUE!</v>
      </c>
      <c r="AC231" s="95" t="e">
        <f t="shared" si="27"/>
        <v>#VALUE!</v>
      </c>
      <c r="AD231" s="12"/>
    </row>
    <row r="232" spans="1:30" ht="15.75" thickBot="1" x14ac:dyDescent="0.3">
      <c r="A232" s="12"/>
      <c r="B232" s="22"/>
      <c r="C232" t="str">
        <f>IF(AND('ENTRY DATA'!D232=""),"",('ENTRY DATA'!D232))</f>
        <v/>
      </c>
      <c r="D232" t="str">
        <f>IF(AND('ENTRY DATA'!F232=""),"",('ENTRY DATA'!F232))</f>
        <v/>
      </c>
      <c r="E232" s="34" t="str">
        <f>IF(AND('ENTRY DATA'!B232=""),"",('ENTRY DATA'!B232))</f>
        <v/>
      </c>
      <c r="F232" s="12"/>
      <c r="G232" s="12"/>
      <c r="H232" s="73"/>
      <c r="I232" s="71"/>
      <c r="J232" s="73"/>
      <c r="K232" s="12"/>
      <c r="L232" s="20">
        <f t="shared" si="21"/>
        <v>0</v>
      </c>
      <c r="M232" s="19" t="str">
        <f t="shared" si="22"/>
        <v/>
      </c>
      <c r="N232" s="12"/>
      <c r="O232" s="119"/>
      <c r="P232" s="95" t="str">
        <f t="shared" si="23"/>
        <v/>
      </c>
      <c r="Q232" s="12"/>
      <c r="S232" s="128"/>
      <c r="T232" s="66"/>
      <c r="U232" s="128"/>
      <c r="W232" s="128"/>
      <c r="X232" s="12"/>
      <c r="Y232" t="str">
        <f t="shared" si="24"/>
        <v/>
      </c>
      <c r="Z232" t="str">
        <f t="shared" si="25"/>
        <v/>
      </c>
      <c r="AA232" s="12"/>
      <c r="AB232" s="95" t="e">
        <f t="shared" si="26"/>
        <v>#VALUE!</v>
      </c>
      <c r="AC232" s="95" t="e">
        <f t="shared" si="27"/>
        <v>#VALUE!</v>
      </c>
      <c r="AD232" s="12"/>
    </row>
    <row r="233" spans="1:30" ht="15.75" thickBot="1" x14ac:dyDescent="0.3">
      <c r="A233" s="12"/>
      <c r="B233" s="22"/>
      <c r="C233" t="str">
        <f>IF(AND('ENTRY DATA'!D233=""),"",('ENTRY DATA'!D233))</f>
        <v/>
      </c>
      <c r="D233" t="str">
        <f>IF(AND('ENTRY DATA'!F233=""),"",('ENTRY DATA'!F233))</f>
        <v/>
      </c>
      <c r="E233" s="34" t="str">
        <f>IF(AND('ENTRY DATA'!B233=""),"",('ENTRY DATA'!B233))</f>
        <v/>
      </c>
      <c r="F233" s="12"/>
      <c r="G233" s="12"/>
      <c r="H233" s="73"/>
      <c r="I233" s="71"/>
      <c r="J233" s="73"/>
      <c r="K233" s="12"/>
      <c r="L233" s="20">
        <f t="shared" si="21"/>
        <v>0</v>
      </c>
      <c r="M233" s="19" t="str">
        <f t="shared" si="22"/>
        <v/>
      </c>
      <c r="N233" s="12"/>
      <c r="O233" s="119"/>
      <c r="P233" s="95" t="str">
        <f t="shared" si="23"/>
        <v/>
      </c>
      <c r="Q233" s="12"/>
      <c r="S233" s="128"/>
      <c r="T233" s="66"/>
      <c r="U233" s="128"/>
      <c r="W233" s="128"/>
      <c r="X233" s="12"/>
      <c r="Y233" t="str">
        <f t="shared" si="24"/>
        <v/>
      </c>
      <c r="Z233" t="str">
        <f t="shared" si="25"/>
        <v/>
      </c>
      <c r="AA233" s="12"/>
      <c r="AB233" s="95" t="e">
        <f t="shared" si="26"/>
        <v>#VALUE!</v>
      </c>
      <c r="AC233" s="95" t="e">
        <f t="shared" si="27"/>
        <v>#VALUE!</v>
      </c>
      <c r="AD233" s="12"/>
    </row>
    <row r="234" spans="1:30" ht="15.75" thickBot="1" x14ac:dyDescent="0.3">
      <c r="A234" s="12"/>
      <c r="B234" s="22"/>
      <c r="C234" t="str">
        <f>IF(AND('ENTRY DATA'!D234=""),"",('ENTRY DATA'!D234))</f>
        <v/>
      </c>
      <c r="D234" t="str">
        <f>IF(AND('ENTRY DATA'!F234=""),"",('ENTRY DATA'!F234))</f>
        <v/>
      </c>
      <c r="E234" s="34" t="str">
        <f>IF(AND('ENTRY DATA'!B234=""),"",('ENTRY DATA'!B234))</f>
        <v/>
      </c>
      <c r="F234" s="12"/>
      <c r="G234" s="12"/>
      <c r="H234" s="73"/>
      <c r="I234" s="71"/>
      <c r="J234" s="73"/>
      <c r="K234" s="12"/>
      <c r="L234" s="20">
        <f t="shared" si="21"/>
        <v>0</v>
      </c>
      <c r="M234" s="19" t="str">
        <f t="shared" si="22"/>
        <v/>
      </c>
      <c r="N234" s="12"/>
      <c r="O234" s="119"/>
      <c r="P234" s="95" t="str">
        <f t="shared" si="23"/>
        <v/>
      </c>
      <c r="Q234" s="12"/>
      <c r="S234" s="128"/>
      <c r="T234" s="66"/>
      <c r="U234" s="128"/>
      <c r="W234" s="128"/>
      <c r="X234" s="12"/>
      <c r="Y234" t="str">
        <f t="shared" si="24"/>
        <v/>
      </c>
      <c r="Z234" t="str">
        <f t="shared" si="25"/>
        <v/>
      </c>
      <c r="AA234" s="12"/>
      <c r="AB234" s="95" t="e">
        <f t="shared" si="26"/>
        <v>#VALUE!</v>
      </c>
      <c r="AC234" s="95" t="e">
        <f t="shared" si="27"/>
        <v>#VALUE!</v>
      </c>
      <c r="AD234" s="12"/>
    </row>
    <row r="235" spans="1:30" ht="15.75" thickBot="1" x14ac:dyDescent="0.3">
      <c r="A235" s="12"/>
      <c r="B235" s="22"/>
      <c r="C235" t="str">
        <f>IF(AND('ENTRY DATA'!D235=""),"",('ENTRY DATA'!D235))</f>
        <v/>
      </c>
      <c r="D235" t="str">
        <f>IF(AND('ENTRY DATA'!F235=""),"",('ENTRY DATA'!F235))</f>
        <v/>
      </c>
      <c r="E235" s="34" t="str">
        <f>IF(AND('ENTRY DATA'!B235=""),"",('ENTRY DATA'!B235))</f>
        <v/>
      </c>
      <c r="F235" s="12"/>
      <c r="G235" s="12"/>
      <c r="H235" s="73"/>
      <c r="I235" s="71"/>
      <c r="J235" s="73"/>
      <c r="K235" s="12"/>
      <c r="L235" s="20">
        <f t="shared" si="21"/>
        <v>0</v>
      </c>
      <c r="M235" s="19" t="str">
        <f t="shared" si="22"/>
        <v/>
      </c>
      <c r="N235" s="12"/>
      <c r="O235" s="119"/>
      <c r="P235" s="95" t="str">
        <f t="shared" si="23"/>
        <v/>
      </c>
      <c r="Q235" s="12"/>
      <c r="S235" s="128"/>
      <c r="T235" s="66"/>
      <c r="U235" s="128"/>
      <c r="W235" s="128"/>
      <c r="X235" s="12"/>
      <c r="Y235" t="str">
        <f t="shared" si="24"/>
        <v/>
      </c>
      <c r="Z235" t="str">
        <f t="shared" si="25"/>
        <v/>
      </c>
      <c r="AA235" s="12"/>
      <c r="AB235" s="95" t="e">
        <f t="shared" si="26"/>
        <v>#VALUE!</v>
      </c>
      <c r="AC235" s="95" t="e">
        <f t="shared" si="27"/>
        <v>#VALUE!</v>
      </c>
      <c r="AD235" s="12"/>
    </row>
    <row r="236" spans="1:30" ht="15.75" thickBot="1" x14ac:dyDescent="0.3">
      <c r="A236" s="12"/>
      <c r="B236" s="22"/>
      <c r="C236" t="str">
        <f>IF(AND('ENTRY DATA'!D236=""),"",('ENTRY DATA'!D236))</f>
        <v/>
      </c>
      <c r="D236" t="str">
        <f>IF(AND('ENTRY DATA'!F236=""),"",('ENTRY DATA'!F236))</f>
        <v/>
      </c>
      <c r="E236" s="34" t="str">
        <f>IF(AND('ENTRY DATA'!B236=""),"",('ENTRY DATA'!B236))</f>
        <v/>
      </c>
      <c r="F236" s="12"/>
      <c r="G236" s="12"/>
      <c r="H236" s="73"/>
      <c r="I236" s="71"/>
      <c r="J236" s="73"/>
      <c r="K236" s="12"/>
      <c r="L236" s="20">
        <f t="shared" si="21"/>
        <v>0</v>
      </c>
      <c r="M236" s="19" t="str">
        <f t="shared" si="22"/>
        <v/>
      </c>
      <c r="N236" s="12"/>
      <c r="O236" s="119"/>
      <c r="P236" s="95" t="str">
        <f t="shared" si="23"/>
        <v/>
      </c>
      <c r="Q236" s="12"/>
      <c r="S236" s="128"/>
      <c r="T236" s="66"/>
      <c r="U236" s="128"/>
      <c r="W236" s="128"/>
      <c r="X236" s="12"/>
      <c r="Y236" t="str">
        <f t="shared" si="24"/>
        <v/>
      </c>
      <c r="Z236" t="str">
        <f t="shared" si="25"/>
        <v/>
      </c>
      <c r="AA236" s="12"/>
      <c r="AB236" s="95" t="e">
        <f t="shared" si="26"/>
        <v>#VALUE!</v>
      </c>
      <c r="AC236" s="95" t="e">
        <f t="shared" si="27"/>
        <v>#VALUE!</v>
      </c>
      <c r="AD236" s="12"/>
    </row>
    <row r="237" spans="1:30" ht="15.75" thickBot="1" x14ac:dyDescent="0.3">
      <c r="A237" s="12"/>
      <c r="B237" s="22"/>
      <c r="C237" t="str">
        <f>IF(AND('ENTRY DATA'!D237=""),"",('ENTRY DATA'!D237))</f>
        <v/>
      </c>
      <c r="D237" t="str">
        <f>IF(AND('ENTRY DATA'!F237=""),"",('ENTRY DATA'!F237))</f>
        <v/>
      </c>
      <c r="E237" s="34" t="str">
        <f>IF(AND('ENTRY DATA'!B237=""),"",('ENTRY DATA'!B237))</f>
        <v/>
      </c>
      <c r="F237" s="12"/>
      <c r="G237" s="12"/>
      <c r="H237" s="73"/>
      <c r="I237" s="71"/>
      <c r="J237" s="73"/>
      <c r="K237" s="12"/>
      <c r="L237" s="20">
        <f t="shared" si="21"/>
        <v>0</v>
      </c>
      <c r="M237" s="19" t="str">
        <f t="shared" si="22"/>
        <v/>
      </c>
      <c r="N237" s="12"/>
      <c r="O237" s="119"/>
      <c r="P237" s="95" t="str">
        <f t="shared" si="23"/>
        <v/>
      </c>
      <c r="Q237" s="12"/>
      <c r="S237" s="128"/>
      <c r="T237" s="66"/>
      <c r="U237" s="128"/>
      <c r="W237" s="128"/>
      <c r="X237" s="12"/>
      <c r="Y237" t="str">
        <f t="shared" si="24"/>
        <v/>
      </c>
      <c r="Z237" t="str">
        <f t="shared" si="25"/>
        <v/>
      </c>
      <c r="AA237" s="12"/>
      <c r="AB237" s="95" t="e">
        <f t="shared" si="26"/>
        <v>#VALUE!</v>
      </c>
      <c r="AC237" s="95" t="e">
        <f t="shared" si="27"/>
        <v>#VALUE!</v>
      </c>
      <c r="AD237" s="12"/>
    </row>
    <row r="238" spans="1:30" ht="15.75" thickBot="1" x14ac:dyDescent="0.3">
      <c r="A238" s="12"/>
      <c r="B238" s="22"/>
      <c r="C238" t="str">
        <f>IF(AND('ENTRY DATA'!D238=""),"",('ENTRY DATA'!D238))</f>
        <v/>
      </c>
      <c r="D238" t="str">
        <f>IF(AND('ENTRY DATA'!F238=""),"",('ENTRY DATA'!F238))</f>
        <v/>
      </c>
      <c r="E238" s="34" t="str">
        <f>IF(AND('ENTRY DATA'!B238=""),"",('ENTRY DATA'!B238))</f>
        <v/>
      </c>
      <c r="F238" s="12"/>
      <c r="G238" s="12"/>
      <c r="H238" s="73"/>
      <c r="I238" s="71"/>
      <c r="J238" s="73"/>
      <c r="K238" s="12"/>
      <c r="L238" s="20">
        <f t="shared" si="21"/>
        <v>0</v>
      </c>
      <c r="M238" s="19" t="str">
        <f t="shared" si="22"/>
        <v/>
      </c>
      <c r="N238" s="12"/>
      <c r="O238" s="119"/>
      <c r="P238" s="95" t="str">
        <f t="shared" si="23"/>
        <v/>
      </c>
      <c r="Q238" s="12"/>
      <c r="S238" s="128"/>
      <c r="T238" s="66"/>
      <c r="U238" s="128"/>
      <c r="W238" s="128"/>
      <c r="X238" s="12"/>
      <c r="Y238" t="str">
        <f t="shared" si="24"/>
        <v/>
      </c>
      <c r="Z238" t="str">
        <f t="shared" si="25"/>
        <v/>
      </c>
      <c r="AA238" s="12"/>
      <c r="AB238" s="95" t="e">
        <f t="shared" si="26"/>
        <v>#VALUE!</v>
      </c>
      <c r="AC238" s="95" t="e">
        <f t="shared" si="27"/>
        <v>#VALUE!</v>
      </c>
      <c r="AD238" s="12"/>
    </row>
    <row r="239" spans="1:30" ht="15.75" thickBot="1" x14ac:dyDescent="0.3">
      <c r="A239" s="12"/>
      <c r="B239" s="22"/>
      <c r="C239" t="str">
        <f>IF(AND('ENTRY DATA'!D239=""),"",('ENTRY DATA'!D239))</f>
        <v/>
      </c>
      <c r="D239" t="str">
        <f>IF(AND('ENTRY DATA'!F239=""),"",('ENTRY DATA'!F239))</f>
        <v/>
      </c>
      <c r="E239" s="34" t="str">
        <f>IF(AND('ENTRY DATA'!B239=""),"",('ENTRY DATA'!B239))</f>
        <v/>
      </c>
      <c r="F239" s="12"/>
      <c r="G239" s="12"/>
      <c r="H239" s="73"/>
      <c r="I239" s="71"/>
      <c r="J239" s="73"/>
      <c r="K239" s="12"/>
      <c r="L239" s="20">
        <f t="shared" si="21"/>
        <v>0</v>
      </c>
      <c r="M239" s="19" t="str">
        <f t="shared" si="22"/>
        <v/>
      </c>
      <c r="N239" s="12"/>
      <c r="O239" s="119"/>
      <c r="P239" s="95" t="str">
        <f t="shared" si="23"/>
        <v/>
      </c>
      <c r="Q239" s="12"/>
      <c r="S239" s="128"/>
      <c r="T239" s="66"/>
      <c r="U239" s="128"/>
      <c r="W239" s="128"/>
      <c r="X239" s="12"/>
      <c r="Y239" t="str">
        <f t="shared" si="24"/>
        <v/>
      </c>
      <c r="Z239" t="str">
        <f t="shared" si="25"/>
        <v/>
      </c>
      <c r="AA239" s="12"/>
      <c r="AB239" s="95" t="e">
        <f t="shared" si="26"/>
        <v>#VALUE!</v>
      </c>
      <c r="AC239" s="95" t="e">
        <f t="shared" si="27"/>
        <v>#VALUE!</v>
      </c>
      <c r="AD239" s="12"/>
    </row>
    <row r="240" spans="1:30" ht="15.75" thickBot="1" x14ac:dyDescent="0.3">
      <c r="A240" s="12"/>
      <c r="B240" s="22"/>
      <c r="C240" t="str">
        <f>IF(AND('ENTRY DATA'!D240=""),"",('ENTRY DATA'!D240))</f>
        <v/>
      </c>
      <c r="D240" t="str">
        <f>IF(AND('ENTRY DATA'!F240=""),"",('ENTRY DATA'!F240))</f>
        <v/>
      </c>
      <c r="E240" s="34" t="str">
        <f>IF(AND('ENTRY DATA'!B240=""),"",('ENTRY DATA'!B240))</f>
        <v/>
      </c>
      <c r="F240" s="12"/>
      <c r="G240" s="12"/>
      <c r="H240" s="73"/>
      <c r="I240" s="71"/>
      <c r="J240" s="73"/>
      <c r="K240" s="12"/>
      <c r="L240" s="20">
        <f t="shared" si="21"/>
        <v>0</v>
      </c>
      <c r="M240" s="19" t="str">
        <f t="shared" si="22"/>
        <v/>
      </c>
      <c r="N240" s="12"/>
      <c r="O240" s="119"/>
      <c r="P240" s="95" t="str">
        <f t="shared" si="23"/>
        <v/>
      </c>
      <c r="Q240" s="12"/>
      <c r="S240" s="128"/>
      <c r="T240" s="66"/>
      <c r="U240" s="128"/>
      <c r="W240" s="128"/>
      <c r="X240" s="12"/>
      <c r="Y240" t="str">
        <f t="shared" si="24"/>
        <v/>
      </c>
      <c r="Z240" t="str">
        <f t="shared" si="25"/>
        <v/>
      </c>
      <c r="AA240" s="12"/>
      <c r="AB240" s="95" t="e">
        <f t="shared" si="26"/>
        <v>#VALUE!</v>
      </c>
      <c r="AC240" s="95" t="e">
        <f t="shared" si="27"/>
        <v>#VALUE!</v>
      </c>
      <c r="AD240" s="12"/>
    </row>
    <row r="241" spans="1:30" ht="15.75" thickBot="1" x14ac:dyDescent="0.3">
      <c r="A241" s="12"/>
      <c r="B241" s="22"/>
      <c r="C241" t="str">
        <f>IF(AND('ENTRY DATA'!D241=""),"",('ENTRY DATA'!D241))</f>
        <v/>
      </c>
      <c r="D241" t="str">
        <f>IF(AND('ENTRY DATA'!F241=""),"",('ENTRY DATA'!F241))</f>
        <v/>
      </c>
      <c r="E241" s="34" t="str">
        <f>IF(AND('ENTRY DATA'!B241=""),"",('ENTRY DATA'!B241))</f>
        <v/>
      </c>
      <c r="F241" s="12"/>
      <c r="G241" s="12"/>
      <c r="H241" s="73"/>
      <c r="I241" s="71"/>
      <c r="J241" s="73"/>
      <c r="K241" s="12"/>
      <c r="L241" s="20">
        <f t="shared" si="21"/>
        <v>0</v>
      </c>
      <c r="M241" s="19" t="str">
        <f t="shared" si="22"/>
        <v/>
      </c>
      <c r="N241" s="12"/>
      <c r="O241" s="119"/>
      <c r="P241" s="95" t="str">
        <f t="shared" si="23"/>
        <v/>
      </c>
      <c r="Q241" s="12"/>
      <c r="S241" s="128"/>
      <c r="T241" s="66"/>
      <c r="U241" s="128"/>
      <c r="W241" s="128"/>
      <c r="X241" s="12"/>
      <c r="Y241" t="str">
        <f t="shared" si="24"/>
        <v/>
      </c>
      <c r="Z241" t="str">
        <f t="shared" si="25"/>
        <v/>
      </c>
      <c r="AA241" s="12"/>
      <c r="AB241" s="95" t="e">
        <f t="shared" si="26"/>
        <v>#VALUE!</v>
      </c>
      <c r="AC241" s="95" t="e">
        <f t="shared" si="27"/>
        <v>#VALUE!</v>
      </c>
      <c r="AD241" s="12"/>
    </row>
    <row r="242" spans="1:30" ht="15.75" thickBot="1" x14ac:dyDescent="0.3">
      <c r="A242" s="12"/>
      <c r="B242" s="22"/>
      <c r="C242" t="str">
        <f>IF(AND('ENTRY DATA'!D242=""),"",('ENTRY DATA'!D242))</f>
        <v/>
      </c>
      <c r="D242" t="str">
        <f>IF(AND('ENTRY DATA'!F242=""),"",('ENTRY DATA'!F242))</f>
        <v/>
      </c>
      <c r="E242" s="34" t="str">
        <f>IF(AND('ENTRY DATA'!B242=""),"",('ENTRY DATA'!B242))</f>
        <v/>
      </c>
      <c r="F242" s="12"/>
      <c r="G242" s="12"/>
      <c r="H242" s="73"/>
      <c r="I242" s="71"/>
      <c r="J242" s="73"/>
      <c r="K242" s="12"/>
      <c r="L242" s="20">
        <f t="shared" si="21"/>
        <v>0</v>
      </c>
      <c r="M242" s="19" t="str">
        <f t="shared" si="22"/>
        <v/>
      </c>
      <c r="N242" s="12"/>
      <c r="O242" s="119"/>
      <c r="P242" s="95" t="str">
        <f t="shared" si="23"/>
        <v/>
      </c>
      <c r="Q242" s="12"/>
      <c r="S242" s="128"/>
      <c r="T242" s="66"/>
      <c r="U242" s="128"/>
      <c r="W242" s="128"/>
      <c r="X242" s="12"/>
      <c r="Y242" t="str">
        <f t="shared" si="24"/>
        <v/>
      </c>
      <c r="Z242" t="str">
        <f t="shared" si="25"/>
        <v/>
      </c>
      <c r="AA242" s="12"/>
      <c r="AB242" s="95" t="e">
        <f t="shared" si="26"/>
        <v>#VALUE!</v>
      </c>
      <c r="AC242" s="95" t="e">
        <f t="shared" si="27"/>
        <v>#VALUE!</v>
      </c>
      <c r="AD242" s="12"/>
    </row>
    <row r="243" spans="1:30" ht="15.75" thickBot="1" x14ac:dyDescent="0.3">
      <c r="A243" s="12"/>
      <c r="B243" s="22"/>
      <c r="C243" t="str">
        <f>IF(AND('ENTRY DATA'!D243=""),"",('ENTRY DATA'!D243))</f>
        <v/>
      </c>
      <c r="D243" t="str">
        <f>IF(AND('ENTRY DATA'!F243=""),"",('ENTRY DATA'!F243))</f>
        <v/>
      </c>
      <c r="E243" s="34" t="str">
        <f>IF(AND('ENTRY DATA'!B243=""),"",('ENTRY DATA'!B243))</f>
        <v/>
      </c>
      <c r="F243" s="12"/>
      <c r="G243" s="12"/>
      <c r="H243" s="73"/>
      <c r="I243" s="71"/>
      <c r="J243" s="73"/>
      <c r="K243" s="12"/>
      <c r="L243" s="20">
        <f t="shared" si="21"/>
        <v>0</v>
      </c>
      <c r="M243" s="19" t="str">
        <f t="shared" si="22"/>
        <v/>
      </c>
      <c r="N243" s="12"/>
      <c r="O243" s="119"/>
      <c r="P243" s="95" t="str">
        <f t="shared" si="23"/>
        <v/>
      </c>
      <c r="Q243" s="12"/>
      <c r="S243" s="128"/>
      <c r="T243" s="66"/>
      <c r="U243" s="128"/>
      <c r="W243" s="128"/>
      <c r="X243" s="12"/>
      <c r="Y243" t="str">
        <f t="shared" si="24"/>
        <v/>
      </c>
      <c r="Z243" t="str">
        <f t="shared" si="25"/>
        <v/>
      </c>
      <c r="AA243" s="12"/>
      <c r="AB243" s="95" t="e">
        <f t="shared" si="26"/>
        <v>#VALUE!</v>
      </c>
      <c r="AC243" s="95" t="e">
        <f t="shared" si="27"/>
        <v>#VALUE!</v>
      </c>
      <c r="AD243" s="12"/>
    </row>
    <row r="244" spans="1:30" ht="15.75" thickBot="1" x14ac:dyDescent="0.3">
      <c r="A244" s="12"/>
      <c r="B244" s="22"/>
      <c r="C244" t="str">
        <f>IF(AND('ENTRY DATA'!D244=""),"",('ENTRY DATA'!D244))</f>
        <v/>
      </c>
      <c r="D244" t="str">
        <f>IF(AND('ENTRY DATA'!F244=""),"",('ENTRY DATA'!F244))</f>
        <v/>
      </c>
      <c r="E244" s="34" t="str">
        <f>IF(AND('ENTRY DATA'!B244=""),"",('ENTRY DATA'!B244))</f>
        <v/>
      </c>
      <c r="F244" s="12"/>
      <c r="G244" s="12"/>
      <c r="H244" s="73"/>
      <c r="I244" s="71"/>
      <c r="J244" s="73"/>
      <c r="K244" s="12"/>
      <c r="L244" s="20">
        <f t="shared" si="21"/>
        <v>0</v>
      </c>
      <c r="M244" s="19" t="str">
        <f t="shared" si="22"/>
        <v/>
      </c>
      <c r="N244" s="12"/>
      <c r="O244" s="119"/>
      <c r="P244" s="95" t="str">
        <f t="shared" si="23"/>
        <v/>
      </c>
      <c r="Q244" s="12"/>
      <c r="S244" s="128"/>
      <c r="T244" s="66"/>
      <c r="U244" s="128"/>
      <c r="W244" s="128"/>
      <c r="X244" s="12"/>
      <c r="Y244" t="str">
        <f t="shared" si="24"/>
        <v/>
      </c>
      <c r="Z244" t="str">
        <f t="shared" si="25"/>
        <v/>
      </c>
      <c r="AA244" s="12"/>
      <c r="AB244" s="95" t="e">
        <f t="shared" si="26"/>
        <v>#VALUE!</v>
      </c>
      <c r="AC244" s="95" t="e">
        <f t="shared" si="27"/>
        <v>#VALUE!</v>
      </c>
      <c r="AD244" s="12"/>
    </row>
    <row r="245" spans="1:30" ht="15.75" thickBot="1" x14ac:dyDescent="0.3">
      <c r="A245" s="12"/>
      <c r="B245" s="22"/>
      <c r="C245" t="str">
        <f>IF(AND('ENTRY DATA'!D245=""),"",('ENTRY DATA'!D245))</f>
        <v/>
      </c>
      <c r="D245" t="str">
        <f>IF(AND('ENTRY DATA'!F245=""),"",('ENTRY DATA'!F245))</f>
        <v/>
      </c>
      <c r="E245" s="34" t="str">
        <f>IF(AND('ENTRY DATA'!B245=""),"",('ENTRY DATA'!B245))</f>
        <v/>
      </c>
      <c r="F245" s="12"/>
      <c r="G245" s="12"/>
      <c r="H245" s="73"/>
      <c r="I245" s="71"/>
      <c r="J245" s="73"/>
      <c r="K245" s="12"/>
      <c r="L245" s="20">
        <f t="shared" si="21"/>
        <v>0</v>
      </c>
      <c r="M245" s="19" t="str">
        <f t="shared" si="22"/>
        <v/>
      </c>
      <c r="N245" s="12"/>
      <c r="O245" s="119"/>
      <c r="P245" s="95" t="str">
        <f t="shared" si="23"/>
        <v/>
      </c>
      <c r="Q245" s="12"/>
      <c r="S245" s="128"/>
      <c r="T245" s="66"/>
      <c r="U245" s="128"/>
      <c r="W245" s="128"/>
      <c r="X245" s="12"/>
      <c r="Y245" t="str">
        <f t="shared" si="24"/>
        <v/>
      </c>
      <c r="Z245" t="str">
        <f t="shared" si="25"/>
        <v/>
      </c>
      <c r="AA245" s="12"/>
      <c r="AB245" s="95" t="e">
        <f t="shared" si="26"/>
        <v>#VALUE!</v>
      </c>
      <c r="AC245" s="95" t="e">
        <f t="shared" si="27"/>
        <v>#VALUE!</v>
      </c>
      <c r="AD245" s="12"/>
    </row>
    <row r="246" spans="1:30" ht="15.75" thickBot="1" x14ac:dyDescent="0.3">
      <c r="A246" s="12"/>
      <c r="B246" s="22"/>
      <c r="C246" t="str">
        <f>IF(AND('ENTRY DATA'!D246=""),"",('ENTRY DATA'!D246))</f>
        <v/>
      </c>
      <c r="D246" t="str">
        <f>IF(AND('ENTRY DATA'!F246=""),"",('ENTRY DATA'!F246))</f>
        <v/>
      </c>
      <c r="E246" s="34" t="str">
        <f>IF(AND('ENTRY DATA'!B246=""),"",('ENTRY DATA'!B246))</f>
        <v/>
      </c>
      <c r="F246" s="12"/>
      <c r="G246" s="12"/>
      <c r="H246" s="73"/>
      <c r="I246" s="71"/>
      <c r="J246" s="73"/>
      <c r="K246" s="12"/>
      <c r="L246" s="20">
        <f t="shared" si="21"/>
        <v>0</v>
      </c>
      <c r="M246" s="19" t="str">
        <f t="shared" si="22"/>
        <v/>
      </c>
      <c r="N246" s="12"/>
      <c r="O246" s="119"/>
      <c r="P246" s="95" t="str">
        <f t="shared" si="23"/>
        <v/>
      </c>
      <c r="Q246" s="12"/>
      <c r="S246" s="128"/>
      <c r="T246" s="66"/>
      <c r="U246" s="128"/>
      <c r="W246" s="128"/>
      <c r="X246" s="12"/>
      <c r="Y246" t="str">
        <f t="shared" si="24"/>
        <v/>
      </c>
      <c r="Z246" t="str">
        <f t="shared" si="25"/>
        <v/>
      </c>
      <c r="AA246" s="12"/>
      <c r="AB246" s="95" t="e">
        <f t="shared" si="26"/>
        <v>#VALUE!</v>
      </c>
      <c r="AC246" s="95" t="e">
        <f t="shared" si="27"/>
        <v>#VALUE!</v>
      </c>
      <c r="AD246" s="12"/>
    </row>
    <row r="247" spans="1:30" ht="15.75" thickBot="1" x14ac:dyDescent="0.3">
      <c r="A247" s="12"/>
      <c r="B247" s="22"/>
      <c r="C247" t="str">
        <f>IF(AND('ENTRY DATA'!D247=""),"",('ENTRY DATA'!D247))</f>
        <v/>
      </c>
      <c r="D247" t="str">
        <f>IF(AND('ENTRY DATA'!F247=""),"",('ENTRY DATA'!F247))</f>
        <v/>
      </c>
      <c r="E247" s="34" t="str">
        <f>IF(AND('ENTRY DATA'!B247=""),"",('ENTRY DATA'!B247))</f>
        <v/>
      </c>
      <c r="F247" s="12"/>
      <c r="G247" s="12"/>
      <c r="H247" s="73"/>
      <c r="I247" s="71"/>
      <c r="J247" s="73"/>
      <c r="K247" s="12"/>
      <c r="L247" s="20">
        <f t="shared" si="21"/>
        <v>0</v>
      </c>
      <c r="M247" s="19" t="str">
        <f t="shared" si="22"/>
        <v/>
      </c>
      <c r="N247" s="12"/>
      <c r="O247" s="119"/>
      <c r="P247" s="95" t="str">
        <f t="shared" si="23"/>
        <v/>
      </c>
      <c r="Q247" s="12"/>
      <c r="S247" s="128"/>
      <c r="T247" s="66"/>
      <c r="U247" s="128"/>
      <c r="W247" s="128"/>
      <c r="X247" s="12"/>
      <c r="Y247" t="str">
        <f t="shared" si="24"/>
        <v/>
      </c>
      <c r="Z247" t="str">
        <f t="shared" si="25"/>
        <v/>
      </c>
      <c r="AA247" s="12"/>
      <c r="AB247" s="95" t="e">
        <f t="shared" si="26"/>
        <v>#VALUE!</v>
      </c>
      <c r="AC247" s="95" t="e">
        <f t="shared" si="27"/>
        <v>#VALUE!</v>
      </c>
      <c r="AD247" s="12"/>
    </row>
    <row r="248" spans="1:30" ht="15.75" thickBot="1" x14ac:dyDescent="0.3">
      <c r="A248" s="12"/>
      <c r="B248" s="22"/>
      <c r="C248" t="str">
        <f>IF(AND('ENTRY DATA'!D248=""),"",('ENTRY DATA'!D248))</f>
        <v/>
      </c>
      <c r="D248" t="str">
        <f>IF(AND('ENTRY DATA'!F248=""),"",('ENTRY DATA'!F248))</f>
        <v/>
      </c>
      <c r="E248" s="34" t="str">
        <f>IF(AND('ENTRY DATA'!B248=""),"",('ENTRY DATA'!B248))</f>
        <v/>
      </c>
      <c r="F248" s="12"/>
      <c r="G248" s="12"/>
      <c r="H248" s="73"/>
      <c r="I248" s="71"/>
      <c r="J248" s="73"/>
      <c r="K248" s="12"/>
      <c r="L248" s="20">
        <f t="shared" si="21"/>
        <v>0</v>
      </c>
      <c r="M248" s="19" t="str">
        <f t="shared" si="22"/>
        <v/>
      </c>
      <c r="N248" s="12"/>
      <c r="O248" s="119"/>
      <c r="P248" s="95" t="str">
        <f t="shared" si="23"/>
        <v/>
      </c>
      <c r="Q248" s="12"/>
      <c r="S248" s="128"/>
      <c r="T248" s="66"/>
      <c r="U248" s="128"/>
      <c r="W248" s="128"/>
      <c r="X248" s="12"/>
      <c r="Y248" t="str">
        <f t="shared" si="24"/>
        <v/>
      </c>
      <c r="Z248" t="str">
        <f t="shared" si="25"/>
        <v/>
      </c>
      <c r="AA248" s="12"/>
      <c r="AB248" s="95" t="e">
        <f t="shared" si="26"/>
        <v>#VALUE!</v>
      </c>
      <c r="AC248" s="95" t="e">
        <f t="shared" si="27"/>
        <v>#VALUE!</v>
      </c>
      <c r="AD248" s="12"/>
    </row>
    <row r="249" spans="1:30" ht="15.75" thickBot="1" x14ac:dyDescent="0.3">
      <c r="A249" s="12"/>
      <c r="B249" s="22"/>
      <c r="C249" t="str">
        <f>IF(AND('ENTRY DATA'!D249=""),"",('ENTRY DATA'!D249))</f>
        <v/>
      </c>
      <c r="D249" t="str">
        <f>IF(AND('ENTRY DATA'!F249=""),"",('ENTRY DATA'!F249))</f>
        <v/>
      </c>
      <c r="E249" s="34" t="str">
        <f>IF(AND('ENTRY DATA'!B249=""),"",('ENTRY DATA'!B249))</f>
        <v/>
      </c>
      <c r="F249" s="12"/>
      <c r="G249" s="12"/>
      <c r="H249" s="73"/>
      <c r="I249" s="71"/>
      <c r="J249" s="73"/>
      <c r="K249" s="12"/>
      <c r="L249" s="20">
        <f t="shared" si="21"/>
        <v>0</v>
      </c>
      <c r="M249" s="19" t="str">
        <f t="shared" si="22"/>
        <v/>
      </c>
      <c r="N249" s="12"/>
      <c r="O249" s="119"/>
      <c r="P249" s="95" t="str">
        <f t="shared" si="23"/>
        <v/>
      </c>
      <c r="Q249" s="12"/>
      <c r="S249" s="128"/>
      <c r="T249" s="66"/>
      <c r="U249" s="128"/>
      <c r="W249" s="128"/>
      <c r="X249" s="12"/>
      <c r="Y249" t="str">
        <f t="shared" si="24"/>
        <v/>
      </c>
      <c r="Z249" t="str">
        <f t="shared" si="25"/>
        <v/>
      </c>
      <c r="AA249" s="12"/>
      <c r="AB249" s="95" t="e">
        <f t="shared" si="26"/>
        <v>#VALUE!</v>
      </c>
      <c r="AC249" s="95" t="e">
        <f t="shared" si="27"/>
        <v>#VALUE!</v>
      </c>
      <c r="AD249" s="12"/>
    </row>
    <row r="250" spans="1:30" ht="15.75" thickBot="1" x14ac:dyDescent="0.3">
      <c r="A250" s="12"/>
      <c r="B250" s="22"/>
      <c r="C250" t="str">
        <f>IF(AND('ENTRY DATA'!D250=""),"",('ENTRY DATA'!D250))</f>
        <v/>
      </c>
      <c r="D250" t="str">
        <f>IF(AND('ENTRY DATA'!F250=""),"",('ENTRY DATA'!F250))</f>
        <v/>
      </c>
      <c r="E250" s="34" t="str">
        <f>IF(AND('ENTRY DATA'!B250=""),"",('ENTRY DATA'!B250))</f>
        <v/>
      </c>
      <c r="F250" s="12"/>
      <c r="G250" s="12"/>
      <c r="H250" s="73"/>
      <c r="I250" s="71"/>
      <c r="J250" s="73"/>
      <c r="K250" s="12"/>
      <c r="L250" s="20">
        <f t="shared" si="21"/>
        <v>0</v>
      </c>
      <c r="M250" s="19" t="str">
        <f t="shared" si="22"/>
        <v/>
      </c>
      <c r="N250" s="12"/>
      <c r="O250" s="119"/>
      <c r="P250" s="95" t="str">
        <f t="shared" si="23"/>
        <v/>
      </c>
      <c r="Q250" s="12"/>
      <c r="S250" s="128"/>
      <c r="T250" s="66"/>
      <c r="U250" s="128"/>
      <c r="W250" s="128"/>
      <c r="X250" s="12"/>
      <c r="Y250" t="str">
        <f t="shared" si="24"/>
        <v/>
      </c>
      <c r="Z250" t="str">
        <f t="shared" si="25"/>
        <v/>
      </c>
      <c r="AA250" s="12"/>
      <c r="AB250" s="95" t="e">
        <f t="shared" si="26"/>
        <v>#VALUE!</v>
      </c>
      <c r="AC250" s="95" t="e">
        <f t="shared" si="27"/>
        <v>#VALUE!</v>
      </c>
      <c r="AD250" s="12"/>
    </row>
    <row r="251" spans="1:30" ht="15.75" thickBot="1" x14ac:dyDescent="0.3">
      <c r="A251" s="12"/>
      <c r="B251" s="22"/>
      <c r="C251" t="str">
        <f>IF(AND('ENTRY DATA'!D251=""),"",('ENTRY DATA'!D251))</f>
        <v/>
      </c>
      <c r="D251" t="str">
        <f>IF(AND('ENTRY DATA'!F251=""),"",('ENTRY DATA'!F251))</f>
        <v/>
      </c>
      <c r="E251" s="34" t="str">
        <f>IF(AND('ENTRY DATA'!B251=""),"",('ENTRY DATA'!B251))</f>
        <v/>
      </c>
      <c r="F251" s="12"/>
      <c r="G251" s="12"/>
      <c r="H251" s="73"/>
      <c r="I251" s="71"/>
      <c r="J251" s="73"/>
      <c r="K251" s="12"/>
      <c r="L251" s="20">
        <f t="shared" si="21"/>
        <v>0</v>
      </c>
      <c r="M251" s="19" t="str">
        <f t="shared" si="22"/>
        <v/>
      </c>
      <c r="N251" s="12"/>
      <c r="O251" s="119"/>
      <c r="P251" s="95" t="str">
        <f t="shared" si="23"/>
        <v/>
      </c>
      <c r="Q251" s="12"/>
      <c r="S251" s="128"/>
      <c r="T251" s="66"/>
      <c r="U251" s="128"/>
      <c r="W251" s="128"/>
      <c r="X251" s="12"/>
      <c r="Y251" t="str">
        <f t="shared" si="24"/>
        <v/>
      </c>
      <c r="Z251" t="str">
        <f t="shared" si="25"/>
        <v/>
      </c>
      <c r="AA251" s="12"/>
      <c r="AB251" s="95" t="e">
        <f t="shared" si="26"/>
        <v>#VALUE!</v>
      </c>
      <c r="AC251" s="95" t="e">
        <f t="shared" si="27"/>
        <v>#VALUE!</v>
      </c>
      <c r="AD251" s="12"/>
    </row>
    <row r="252" spans="1:30" ht="15.75" thickBot="1" x14ac:dyDescent="0.3">
      <c r="A252" s="12"/>
      <c r="B252" s="22"/>
      <c r="C252" t="str">
        <f>IF(AND('ENTRY DATA'!D252=""),"",('ENTRY DATA'!D252))</f>
        <v/>
      </c>
      <c r="D252" t="str">
        <f>IF(AND('ENTRY DATA'!F252=""),"",('ENTRY DATA'!F252))</f>
        <v/>
      </c>
      <c r="E252" s="34" t="str">
        <f>IF(AND('ENTRY DATA'!B252=""),"",('ENTRY DATA'!B252))</f>
        <v/>
      </c>
      <c r="F252" s="12"/>
      <c r="G252" s="12"/>
      <c r="H252" s="73"/>
      <c r="I252" s="71"/>
      <c r="J252" s="73"/>
      <c r="K252" s="12"/>
      <c r="L252" s="20">
        <f t="shared" si="21"/>
        <v>0</v>
      </c>
      <c r="M252" s="19" t="str">
        <f t="shared" si="22"/>
        <v/>
      </c>
      <c r="N252" s="12"/>
      <c r="O252" s="119"/>
      <c r="P252" s="95" t="str">
        <f t="shared" si="23"/>
        <v/>
      </c>
      <c r="Q252" s="12"/>
      <c r="S252" s="128"/>
      <c r="T252" s="66"/>
      <c r="U252" s="128"/>
      <c r="W252" s="128"/>
      <c r="X252" s="12"/>
      <c r="Y252" t="str">
        <f t="shared" si="24"/>
        <v/>
      </c>
      <c r="Z252" t="str">
        <f t="shared" si="25"/>
        <v/>
      </c>
      <c r="AA252" s="12"/>
      <c r="AB252" s="95" t="e">
        <f t="shared" si="26"/>
        <v>#VALUE!</v>
      </c>
      <c r="AC252" s="95" t="e">
        <f t="shared" si="27"/>
        <v>#VALUE!</v>
      </c>
      <c r="AD252" s="12"/>
    </row>
    <row r="253" spans="1:30" ht="15.75" thickBot="1" x14ac:dyDescent="0.3">
      <c r="A253" s="12"/>
      <c r="B253" s="22"/>
      <c r="C253" t="str">
        <f>IF(AND('ENTRY DATA'!D253=""),"",('ENTRY DATA'!D253))</f>
        <v/>
      </c>
      <c r="D253" t="str">
        <f>IF(AND('ENTRY DATA'!F253=""),"",('ENTRY DATA'!F253))</f>
        <v/>
      </c>
      <c r="E253" s="34" t="str">
        <f>IF(AND('ENTRY DATA'!B253=""),"",('ENTRY DATA'!B253))</f>
        <v/>
      </c>
      <c r="F253" s="12"/>
      <c r="G253" s="12"/>
      <c r="H253" s="73"/>
      <c r="I253" s="71"/>
      <c r="J253" s="73"/>
      <c r="K253" s="12"/>
      <c r="L253" s="20">
        <f t="shared" si="21"/>
        <v>0</v>
      </c>
      <c r="M253" s="19" t="str">
        <f t="shared" si="22"/>
        <v/>
      </c>
      <c r="N253" s="12"/>
      <c r="O253" s="119"/>
      <c r="P253" s="95" t="str">
        <f t="shared" si="23"/>
        <v/>
      </c>
      <c r="Q253" s="12"/>
      <c r="S253" s="128"/>
      <c r="T253" s="66"/>
      <c r="U253" s="128"/>
      <c r="W253" s="128"/>
      <c r="X253" s="12"/>
      <c r="Y253" t="str">
        <f t="shared" si="24"/>
        <v/>
      </c>
      <c r="Z253" t="str">
        <f t="shared" si="25"/>
        <v/>
      </c>
      <c r="AA253" s="12"/>
      <c r="AB253" s="95" t="e">
        <f t="shared" si="26"/>
        <v>#VALUE!</v>
      </c>
      <c r="AC253" s="95" t="e">
        <f t="shared" si="27"/>
        <v>#VALUE!</v>
      </c>
      <c r="AD253" s="12"/>
    </row>
    <row r="254" spans="1:30" ht="15.75" thickBot="1" x14ac:dyDescent="0.3">
      <c r="A254" s="12"/>
      <c r="B254" s="22"/>
      <c r="C254" t="str">
        <f>IF(AND('ENTRY DATA'!D254=""),"",('ENTRY DATA'!D254))</f>
        <v/>
      </c>
      <c r="D254" t="str">
        <f>IF(AND('ENTRY DATA'!F254=""),"",('ENTRY DATA'!F254))</f>
        <v/>
      </c>
      <c r="E254" s="34" t="str">
        <f>IF(AND('ENTRY DATA'!B254=""),"",('ENTRY DATA'!B254))</f>
        <v/>
      </c>
      <c r="F254" s="12"/>
      <c r="G254" s="12"/>
      <c r="H254" s="73"/>
      <c r="I254" s="71"/>
      <c r="J254" s="73"/>
      <c r="K254" s="12"/>
      <c r="L254" s="20">
        <f t="shared" si="21"/>
        <v>0</v>
      </c>
      <c r="M254" s="19" t="str">
        <f t="shared" si="22"/>
        <v/>
      </c>
      <c r="N254" s="12"/>
      <c r="O254" s="119"/>
      <c r="P254" s="95" t="str">
        <f t="shared" si="23"/>
        <v/>
      </c>
      <c r="Q254" s="12"/>
      <c r="S254" s="128"/>
      <c r="T254" s="66"/>
      <c r="U254" s="128"/>
      <c r="W254" s="128"/>
      <c r="X254" s="12"/>
      <c r="Y254" t="str">
        <f t="shared" si="24"/>
        <v/>
      </c>
      <c r="Z254" t="str">
        <f t="shared" si="25"/>
        <v/>
      </c>
      <c r="AA254" s="12"/>
      <c r="AB254" s="95" t="e">
        <f t="shared" si="26"/>
        <v>#VALUE!</v>
      </c>
      <c r="AC254" s="95" t="e">
        <f t="shared" si="27"/>
        <v>#VALUE!</v>
      </c>
      <c r="AD254" s="12"/>
    </row>
    <row r="255" spans="1:30" ht="15.75" thickBot="1" x14ac:dyDescent="0.3">
      <c r="A255" s="12"/>
      <c r="B255" s="22"/>
      <c r="C255" t="str">
        <f>IF(AND('ENTRY DATA'!D255=""),"",('ENTRY DATA'!D255))</f>
        <v/>
      </c>
      <c r="D255" t="str">
        <f>IF(AND('ENTRY DATA'!F255=""),"",('ENTRY DATA'!F255))</f>
        <v/>
      </c>
      <c r="E255" s="34" t="str">
        <f>IF(AND('ENTRY DATA'!B255=""),"",('ENTRY DATA'!B255))</f>
        <v/>
      </c>
      <c r="F255" s="12"/>
      <c r="G255" s="12"/>
      <c r="H255" s="73"/>
      <c r="I255" s="71"/>
      <c r="J255" s="73"/>
      <c r="K255" s="12"/>
      <c r="L255" s="20">
        <f t="shared" si="21"/>
        <v>0</v>
      </c>
      <c r="M255" s="19" t="str">
        <f t="shared" si="22"/>
        <v/>
      </c>
      <c r="N255" s="12"/>
      <c r="O255" s="119"/>
      <c r="P255" s="95" t="str">
        <f t="shared" si="23"/>
        <v/>
      </c>
      <c r="Q255" s="12"/>
      <c r="S255" s="128"/>
      <c r="T255" s="66"/>
      <c r="U255" s="128"/>
      <c r="W255" s="128"/>
      <c r="X255" s="12"/>
      <c r="Y255" t="str">
        <f t="shared" si="24"/>
        <v/>
      </c>
      <c r="Z255" t="str">
        <f t="shared" si="25"/>
        <v/>
      </c>
      <c r="AA255" s="12"/>
      <c r="AB255" s="95" t="e">
        <f t="shared" si="26"/>
        <v>#VALUE!</v>
      </c>
      <c r="AC255" s="95" t="e">
        <f t="shared" si="27"/>
        <v>#VALUE!</v>
      </c>
      <c r="AD255" s="12"/>
    </row>
    <row r="256" spans="1:30" ht="15.75" thickBot="1" x14ac:dyDescent="0.3">
      <c r="A256" s="12"/>
      <c r="B256" s="22"/>
      <c r="C256" t="str">
        <f>IF(AND('ENTRY DATA'!D256=""),"",('ENTRY DATA'!D256))</f>
        <v/>
      </c>
      <c r="D256" t="str">
        <f>IF(AND('ENTRY DATA'!F256=""),"",('ENTRY DATA'!F256))</f>
        <v/>
      </c>
      <c r="E256" s="34" t="str">
        <f>IF(AND('ENTRY DATA'!B256=""),"",('ENTRY DATA'!B256))</f>
        <v/>
      </c>
      <c r="F256" s="12"/>
      <c r="G256" s="12"/>
      <c r="H256" s="73"/>
      <c r="I256" s="71"/>
      <c r="J256" s="73"/>
      <c r="K256" s="12"/>
      <c r="L256" s="20">
        <f t="shared" si="21"/>
        <v>0</v>
      </c>
      <c r="M256" s="19" t="str">
        <f t="shared" si="22"/>
        <v/>
      </c>
      <c r="N256" s="12"/>
      <c r="O256" s="119"/>
      <c r="P256" s="95" t="str">
        <f t="shared" si="23"/>
        <v/>
      </c>
      <c r="Q256" s="12"/>
      <c r="S256" s="128"/>
      <c r="T256" s="66"/>
      <c r="U256" s="128"/>
      <c r="W256" s="128"/>
      <c r="X256" s="12"/>
      <c r="Y256" t="str">
        <f t="shared" si="24"/>
        <v/>
      </c>
      <c r="Z256" t="str">
        <f t="shared" si="25"/>
        <v/>
      </c>
      <c r="AA256" s="12"/>
      <c r="AB256" s="95" t="e">
        <f t="shared" si="26"/>
        <v>#VALUE!</v>
      </c>
      <c r="AC256" s="95" t="e">
        <f t="shared" si="27"/>
        <v>#VALUE!</v>
      </c>
      <c r="AD256" s="12"/>
    </row>
    <row r="257" spans="1:30" ht="15.75" thickBot="1" x14ac:dyDescent="0.3">
      <c r="A257" s="12"/>
      <c r="B257" s="22"/>
      <c r="C257" t="str">
        <f>IF(AND('ENTRY DATA'!D257=""),"",('ENTRY DATA'!D257))</f>
        <v/>
      </c>
      <c r="D257" t="str">
        <f>IF(AND('ENTRY DATA'!F257=""),"",('ENTRY DATA'!F257))</f>
        <v/>
      </c>
      <c r="E257" s="34" t="str">
        <f>IF(AND('ENTRY DATA'!B257=""),"",('ENTRY DATA'!B257))</f>
        <v/>
      </c>
      <c r="F257" s="12"/>
      <c r="G257" s="12"/>
      <c r="H257" s="73"/>
      <c r="I257" s="71"/>
      <c r="J257" s="73"/>
      <c r="K257" s="12"/>
      <c r="L257" s="20">
        <f t="shared" si="21"/>
        <v>0</v>
      </c>
      <c r="M257" s="19" t="str">
        <f t="shared" si="22"/>
        <v/>
      </c>
      <c r="N257" s="12"/>
      <c r="O257" s="119"/>
      <c r="P257" s="95" t="str">
        <f t="shared" si="23"/>
        <v/>
      </c>
      <c r="Q257" s="12"/>
      <c r="S257" s="128"/>
      <c r="T257" s="66"/>
      <c r="U257" s="128"/>
      <c r="W257" s="128"/>
      <c r="X257" s="12"/>
      <c r="Y257" t="str">
        <f t="shared" si="24"/>
        <v/>
      </c>
      <c r="Z257" t="str">
        <f t="shared" si="25"/>
        <v/>
      </c>
      <c r="AA257" s="12"/>
      <c r="AB257" s="95" t="e">
        <f t="shared" si="26"/>
        <v>#VALUE!</v>
      </c>
      <c r="AC257" s="95" t="e">
        <f t="shared" si="27"/>
        <v>#VALUE!</v>
      </c>
      <c r="AD257" s="12"/>
    </row>
    <row r="258" spans="1:30" ht="15.75" thickBot="1" x14ac:dyDescent="0.3">
      <c r="A258" s="12"/>
      <c r="B258" s="22"/>
      <c r="C258" t="str">
        <f>IF(AND('ENTRY DATA'!D258=""),"",('ENTRY DATA'!D258))</f>
        <v/>
      </c>
      <c r="D258" t="str">
        <f>IF(AND('ENTRY DATA'!F258=""),"",('ENTRY DATA'!F258))</f>
        <v/>
      </c>
      <c r="E258" s="34" t="str">
        <f>IF(AND('ENTRY DATA'!B258=""),"",('ENTRY DATA'!B258))</f>
        <v/>
      </c>
      <c r="F258" s="12"/>
      <c r="G258" s="12"/>
      <c r="H258" s="73"/>
      <c r="I258" s="71"/>
      <c r="J258" s="73"/>
      <c r="K258" s="12"/>
      <c r="L258" s="20">
        <f t="shared" si="21"/>
        <v>0</v>
      </c>
      <c r="M258" s="19" t="str">
        <f t="shared" si="22"/>
        <v/>
      </c>
      <c r="N258" s="12"/>
      <c r="O258" s="119"/>
      <c r="P258" s="95" t="str">
        <f t="shared" si="23"/>
        <v/>
      </c>
      <c r="Q258" s="12"/>
      <c r="S258" s="128"/>
      <c r="T258" s="66"/>
      <c r="U258" s="128"/>
      <c r="W258" s="128"/>
      <c r="X258" s="12"/>
      <c r="Y258" t="str">
        <f t="shared" si="24"/>
        <v/>
      </c>
      <c r="Z258" t="str">
        <f t="shared" si="25"/>
        <v/>
      </c>
      <c r="AA258" s="12"/>
      <c r="AB258" s="95" t="e">
        <f t="shared" si="26"/>
        <v>#VALUE!</v>
      </c>
      <c r="AC258" s="95" t="e">
        <f t="shared" si="27"/>
        <v>#VALUE!</v>
      </c>
      <c r="AD258" s="12"/>
    </row>
    <row r="259" spans="1:30" ht="15.75" thickBot="1" x14ac:dyDescent="0.3">
      <c r="A259" s="12"/>
      <c r="B259" s="22"/>
      <c r="C259" t="str">
        <f>IF(AND('ENTRY DATA'!D259=""),"",('ENTRY DATA'!D259))</f>
        <v/>
      </c>
      <c r="D259" t="str">
        <f>IF(AND('ENTRY DATA'!F259=""),"",('ENTRY DATA'!F259))</f>
        <v/>
      </c>
      <c r="E259" s="34" t="str">
        <f>IF(AND('ENTRY DATA'!B259=""),"",('ENTRY DATA'!B259))</f>
        <v/>
      </c>
      <c r="F259" s="12"/>
      <c r="G259" s="12"/>
      <c r="H259" s="73"/>
      <c r="I259" s="71"/>
      <c r="J259" s="73"/>
      <c r="K259" s="12"/>
      <c r="L259" s="20">
        <f t="shared" si="21"/>
        <v>0</v>
      </c>
      <c r="M259" s="19" t="str">
        <f t="shared" si="22"/>
        <v/>
      </c>
      <c r="N259" s="12"/>
      <c r="O259" s="119"/>
      <c r="P259" s="95" t="str">
        <f t="shared" si="23"/>
        <v/>
      </c>
      <c r="Q259" s="12"/>
      <c r="S259" s="128"/>
      <c r="T259" s="66"/>
      <c r="U259" s="128"/>
      <c r="W259" s="128"/>
      <c r="X259" s="12"/>
      <c r="Y259" t="str">
        <f t="shared" si="24"/>
        <v/>
      </c>
      <c r="Z259" t="str">
        <f t="shared" si="25"/>
        <v/>
      </c>
      <c r="AA259" s="12"/>
      <c r="AB259" s="95" t="e">
        <f t="shared" si="26"/>
        <v>#VALUE!</v>
      </c>
      <c r="AC259" s="95" t="e">
        <f t="shared" si="27"/>
        <v>#VALUE!</v>
      </c>
      <c r="AD259" s="12"/>
    </row>
    <row r="260" spans="1:30" ht="15.75" thickBot="1" x14ac:dyDescent="0.3">
      <c r="A260" s="12"/>
      <c r="B260" s="22"/>
      <c r="C260" t="str">
        <f>IF(AND('ENTRY DATA'!D260=""),"",('ENTRY DATA'!D260))</f>
        <v/>
      </c>
      <c r="D260" t="str">
        <f>IF(AND('ENTRY DATA'!F260=""),"",('ENTRY DATA'!F260))</f>
        <v/>
      </c>
      <c r="E260" s="34" t="str">
        <f>IF(AND('ENTRY DATA'!B260=""),"",('ENTRY DATA'!B260))</f>
        <v/>
      </c>
      <c r="F260" s="12"/>
      <c r="G260" s="12"/>
      <c r="H260" s="73"/>
      <c r="I260" s="71"/>
      <c r="J260" s="73"/>
      <c r="K260" s="12"/>
      <c r="L260" s="20">
        <f t="shared" si="21"/>
        <v>0</v>
      </c>
      <c r="M260" s="19" t="str">
        <f t="shared" si="22"/>
        <v/>
      </c>
      <c r="N260" s="12"/>
      <c r="O260" s="119"/>
      <c r="P260" s="95" t="str">
        <f t="shared" si="23"/>
        <v/>
      </c>
      <c r="Q260" s="12"/>
      <c r="S260" s="128"/>
      <c r="T260" s="66"/>
      <c r="U260" s="128"/>
      <c r="W260" s="128"/>
      <c r="X260" s="12"/>
      <c r="Y260" t="str">
        <f t="shared" si="24"/>
        <v/>
      </c>
      <c r="Z260" t="str">
        <f t="shared" si="25"/>
        <v/>
      </c>
      <c r="AA260" s="12"/>
      <c r="AB260" s="95" t="e">
        <f t="shared" si="26"/>
        <v>#VALUE!</v>
      </c>
      <c r="AC260" s="95" t="e">
        <f t="shared" si="27"/>
        <v>#VALUE!</v>
      </c>
      <c r="AD260" s="12"/>
    </row>
    <row r="261" spans="1:30" ht="15.75" thickBot="1" x14ac:dyDescent="0.3">
      <c r="A261" s="12"/>
      <c r="B261" s="22"/>
      <c r="C261" t="str">
        <f>IF(AND('ENTRY DATA'!D261=""),"",('ENTRY DATA'!D261))</f>
        <v/>
      </c>
      <c r="D261" t="str">
        <f>IF(AND('ENTRY DATA'!F261=""),"",('ENTRY DATA'!F261))</f>
        <v/>
      </c>
      <c r="E261" s="34" t="str">
        <f>IF(AND('ENTRY DATA'!B261=""),"",('ENTRY DATA'!B261))</f>
        <v/>
      </c>
      <c r="F261" s="12"/>
      <c r="G261" s="12"/>
      <c r="H261" s="73"/>
      <c r="I261" s="71"/>
      <c r="J261" s="73"/>
      <c r="K261" s="12"/>
      <c r="L261" s="20">
        <f t="shared" si="21"/>
        <v>0</v>
      </c>
      <c r="M261" s="19" t="str">
        <f t="shared" si="22"/>
        <v/>
      </c>
      <c r="N261" s="12"/>
      <c r="O261" s="119"/>
      <c r="P261" s="95" t="str">
        <f t="shared" si="23"/>
        <v/>
      </c>
      <c r="Q261" s="12"/>
      <c r="S261" s="128"/>
      <c r="T261" s="66"/>
      <c r="U261" s="128"/>
      <c r="W261" s="128"/>
      <c r="X261" s="12"/>
      <c r="Y261" t="str">
        <f t="shared" si="24"/>
        <v/>
      </c>
      <c r="Z261" t="str">
        <f t="shared" si="25"/>
        <v/>
      </c>
      <c r="AA261" s="12"/>
      <c r="AB261" s="95" t="e">
        <f t="shared" si="26"/>
        <v>#VALUE!</v>
      </c>
      <c r="AC261" s="95" t="e">
        <f t="shared" si="27"/>
        <v>#VALUE!</v>
      </c>
      <c r="AD261" s="12"/>
    </row>
    <row r="262" spans="1:30" ht="15.75" thickBot="1" x14ac:dyDescent="0.3">
      <c r="A262" s="12"/>
      <c r="B262" s="22"/>
      <c r="C262" t="str">
        <f>IF(AND('ENTRY DATA'!D262=""),"",('ENTRY DATA'!D262))</f>
        <v/>
      </c>
      <c r="D262" t="str">
        <f>IF(AND('ENTRY DATA'!F262=""),"",('ENTRY DATA'!F262))</f>
        <v/>
      </c>
      <c r="E262" s="34" t="str">
        <f>IF(AND('ENTRY DATA'!B262=""),"",('ENTRY DATA'!B262))</f>
        <v/>
      </c>
      <c r="F262" s="12"/>
      <c r="G262" s="12"/>
      <c r="H262" s="73"/>
      <c r="I262" s="71"/>
      <c r="J262" s="73"/>
      <c r="K262" s="12"/>
      <c r="L262" s="20">
        <f t="shared" ref="L262:L300" si="28">COUNT(H262:J262)</f>
        <v>0</v>
      </c>
      <c r="M262" s="19" t="str">
        <f t="shared" ref="M262:M300" si="29">IF(AND(H262="",I262="",J262=""),"",(H262+I262+J262))</f>
        <v/>
      </c>
      <c r="N262" s="12"/>
      <c r="O262" s="119"/>
      <c r="P262" s="95" t="str">
        <f t="shared" ref="P262:P301" si="30">C262</f>
        <v/>
      </c>
      <c r="Q262" s="12"/>
      <c r="S262" s="128"/>
      <c r="T262" s="66"/>
      <c r="U262" s="128"/>
      <c r="W262" s="128"/>
      <c r="X262" s="12"/>
      <c r="Y262" t="str">
        <f t="shared" ref="Y262:Y302" si="31">IF(AND(R262="",T262="",V262=""),"",SUM(R262,T262,V262))</f>
        <v/>
      </c>
      <c r="Z262" t="str">
        <f t="shared" ref="Z262:Z302" si="32">IF(AND(S262="",U262="",W262=""),"",SUM(S262,U262,W262))</f>
        <v/>
      </c>
      <c r="AA262" s="12"/>
      <c r="AB262" s="95" t="e">
        <f t="shared" ref="AB262:AB301" si="33">Y262/L262</f>
        <v>#VALUE!</v>
      </c>
      <c r="AC262" s="95" t="e">
        <f t="shared" ref="AC262:AC301" si="34">Z262/L262</f>
        <v>#VALUE!</v>
      </c>
      <c r="AD262" s="12"/>
    </row>
    <row r="263" spans="1:30" ht="15.75" thickBot="1" x14ac:dyDescent="0.3">
      <c r="A263" s="12"/>
      <c r="B263" s="22"/>
      <c r="C263" t="str">
        <f>IF(AND('ENTRY DATA'!D263=""),"",('ENTRY DATA'!D263))</f>
        <v/>
      </c>
      <c r="D263" t="str">
        <f>IF(AND('ENTRY DATA'!F263=""),"",('ENTRY DATA'!F263))</f>
        <v/>
      </c>
      <c r="E263" s="34" t="str">
        <f>IF(AND('ENTRY DATA'!B263=""),"",('ENTRY DATA'!B263))</f>
        <v/>
      </c>
      <c r="F263" s="12"/>
      <c r="G263" s="12"/>
      <c r="H263" s="73"/>
      <c r="I263" s="71"/>
      <c r="J263" s="73"/>
      <c r="K263" s="12"/>
      <c r="L263" s="20">
        <f t="shared" si="28"/>
        <v>0</v>
      </c>
      <c r="M263" s="19" t="str">
        <f t="shared" si="29"/>
        <v/>
      </c>
      <c r="N263" s="12"/>
      <c r="O263" s="119"/>
      <c r="P263" s="95" t="str">
        <f t="shared" si="30"/>
        <v/>
      </c>
      <c r="Q263" s="12"/>
      <c r="S263" s="128"/>
      <c r="T263" s="66"/>
      <c r="U263" s="128"/>
      <c r="W263" s="128"/>
      <c r="X263" s="12"/>
      <c r="Y263" t="str">
        <f t="shared" si="31"/>
        <v/>
      </c>
      <c r="Z263" t="str">
        <f t="shared" si="32"/>
        <v/>
      </c>
      <c r="AA263" s="12"/>
      <c r="AB263" s="95" t="e">
        <f t="shared" si="33"/>
        <v>#VALUE!</v>
      </c>
      <c r="AC263" s="95" t="e">
        <f t="shared" si="34"/>
        <v>#VALUE!</v>
      </c>
      <c r="AD263" s="12"/>
    </row>
    <row r="264" spans="1:30" ht="15.75" thickBot="1" x14ac:dyDescent="0.3">
      <c r="A264" s="12"/>
      <c r="B264" s="22"/>
      <c r="C264" t="str">
        <f>IF(AND('ENTRY DATA'!D264=""),"",('ENTRY DATA'!D264))</f>
        <v/>
      </c>
      <c r="D264" t="str">
        <f>IF(AND('ENTRY DATA'!F264=""),"",('ENTRY DATA'!F264))</f>
        <v/>
      </c>
      <c r="E264" s="34" t="str">
        <f>IF(AND('ENTRY DATA'!B264=""),"",('ENTRY DATA'!B264))</f>
        <v/>
      </c>
      <c r="F264" s="12"/>
      <c r="G264" s="12"/>
      <c r="H264" s="73"/>
      <c r="I264" s="71"/>
      <c r="J264" s="73"/>
      <c r="K264" s="12"/>
      <c r="L264" s="20">
        <f t="shared" si="28"/>
        <v>0</v>
      </c>
      <c r="M264" s="19" t="str">
        <f t="shared" si="29"/>
        <v/>
      </c>
      <c r="N264" s="12"/>
      <c r="O264" s="119"/>
      <c r="P264" s="95" t="str">
        <f t="shared" si="30"/>
        <v/>
      </c>
      <c r="Q264" s="12"/>
      <c r="S264" s="128"/>
      <c r="T264" s="66"/>
      <c r="U264" s="128"/>
      <c r="W264" s="128"/>
      <c r="X264" s="12"/>
      <c r="Y264" t="str">
        <f t="shared" si="31"/>
        <v/>
      </c>
      <c r="Z264" t="str">
        <f t="shared" si="32"/>
        <v/>
      </c>
      <c r="AA264" s="12"/>
      <c r="AB264" s="95" t="e">
        <f t="shared" si="33"/>
        <v>#VALUE!</v>
      </c>
      <c r="AC264" s="95" t="e">
        <f t="shared" si="34"/>
        <v>#VALUE!</v>
      </c>
      <c r="AD264" s="12"/>
    </row>
    <row r="265" spans="1:30" ht="15.75" thickBot="1" x14ac:dyDescent="0.3">
      <c r="A265" s="12"/>
      <c r="B265" s="22"/>
      <c r="C265" t="str">
        <f>IF(AND('ENTRY DATA'!D265=""),"",('ENTRY DATA'!D265))</f>
        <v/>
      </c>
      <c r="D265" t="str">
        <f>IF(AND('ENTRY DATA'!F265=""),"",('ENTRY DATA'!F265))</f>
        <v/>
      </c>
      <c r="E265" s="34" t="str">
        <f>IF(AND('ENTRY DATA'!B265=""),"",('ENTRY DATA'!B265))</f>
        <v/>
      </c>
      <c r="F265" s="12"/>
      <c r="G265" s="12"/>
      <c r="H265" s="73"/>
      <c r="I265" s="71"/>
      <c r="J265" s="73"/>
      <c r="K265" s="12"/>
      <c r="L265" s="20">
        <f t="shared" si="28"/>
        <v>0</v>
      </c>
      <c r="M265" s="19" t="str">
        <f t="shared" si="29"/>
        <v/>
      </c>
      <c r="N265" s="12"/>
      <c r="O265" s="119"/>
      <c r="P265" s="95" t="str">
        <f t="shared" si="30"/>
        <v/>
      </c>
      <c r="Q265" s="12"/>
      <c r="S265" s="128"/>
      <c r="T265" s="66"/>
      <c r="U265" s="128"/>
      <c r="W265" s="128"/>
      <c r="X265" s="12"/>
      <c r="Y265" t="str">
        <f t="shared" si="31"/>
        <v/>
      </c>
      <c r="Z265" t="str">
        <f t="shared" si="32"/>
        <v/>
      </c>
      <c r="AA265" s="12"/>
      <c r="AB265" s="95" t="e">
        <f t="shared" si="33"/>
        <v>#VALUE!</v>
      </c>
      <c r="AC265" s="95" t="e">
        <f t="shared" si="34"/>
        <v>#VALUE!</v>
      </c>
      <c r="AD265" s="12"/>
    </row>
    <row r="266" spans="1:30" ht="15.75" thickBot="1" x14ac:dyDescent="0.3">
      <c r="A266" s="12"/>
      <c r="B266" s="22"/>
      <c r="C266" t="str">
        <f>IF(AND('ENTRY DATA'!D266=""),"",('ENTRY DATA'!D266))</f>
        <v/>
      </c>
      <c r="D266" t="str">
        <f>IF(AND('ENTRY DATA'!F266=""),"",('ENTRY DATA'!F266))</f>
        <v/>
      </c>
      <c r="E266" s="34" t="str">
        <f>IF(AND('ENTRY DATA'!B266=""),"",('ENTRY DATA'!B266))</f>
        <v/>
      </c>
      <c r="F266" s="12"/>
      <c r="G266" s="12"/>
      <c r="H266" s="73"/>
      <c r="I266" s="71"/>
      <c r="J266" s="73"/>
      <c r="K266" s="12"/>
      <c r="L266" s="20">
        <f t="shared" si="28"/>
        <v>0</v>
      </c>
      <c r="M266" s="19" t="str">
        <f t="shared" si="29"/>
        <v/>
      </c>
      <c r="N266" s="12"/>
      <c r="O266" s="119"/>
      <c r="P266" s="95" t="str">
        <f t="shared" si="30"/>
        <v/>
      </c>
      <c r="Q266" s="12"/>
      <c r="S266" s="128"/>
      <c r="T266" s="66"/>
      <c r="U266" s="128"/>
      <c r="W266" s="128"/>
      <c r="X266" s="12"/>
      <c r="Y266" t="str">
        <f t="shared" si="31"/>
        <v/>
      </c>
      <c r="Z266" t="str">
        <f t="shared" si="32"/>
        <v/>
      </c>
      <c r="AA266" s="12"/>
      <c r="AB266" s="95" t="e">
        <f t="shared" si="33"/>
        <v>#VALUE!</v>
      </c>
      <c r="AC266" s="95" t="e">
        <f t="shared" si="34"/>
        <v>#VALUE!</v>
      </c>
      <c r="AD266" s="12"/>
    </row>
    <row r="267" spans="1:30" ht="15.75" thickBot="1" x14ac:dyDescent="0.3">
      <c r="A267" s="12"/>
      <c r="B267" s="22"/>
      <c r="C267" t="str">
        <f>IF(AND('ENTRY DATA'!D267=""),"",('ENTRY DATA'!D267))</f>
        <v/>
      </c>
      <c r="D267" t="str">
        <f>IF(AND('ENTRY DATA'!F267=""),"",('ENTRY DATA'!F267))</f>
        <v/>
      </c>
      <c r="E267" s="34" t="str">
        <f>IF(AND('ENTRY DATA'!B267=""),"",('ENTRY DATA'!B267))</f>
        <v/>
      </c>
      <c r="F267" s="12"/>
      <c r="G267" s="12"/>
      <c r="H267" s="73"/>
      <c r="I267" s="71"/>
      <c r="J267" s="73"/>
      <c r="K267" s="12"/>
      <c r="L267" s="20">
        <f t="shared" si="28"/>
        <v>0</v>
      </c>
      <c r="M267" s="19" t="str">
        <f t="shared" si="29"/>
        <v/>
      </c>
      <c r="N267" s="12"/>
      <c r="O267" s="119"/>
      <c r="P267" s="95" t="str">
        <f t="shared" si="30"/>
        <v/>
      </c>
      <c r="Q267" s="12"/>
      <c r="S267" s="128"/>
      <c r="T267" s="66"/>
      <c r="U267" s="128"/>
      <c r="W267" s="128"/>
      <c r="X267" s="12"/>
      <c r="Y267" t="str">
        <f t="shared" si="31"/>
        <v/>
      </c>
      <c r="Z267" t="str">
        <f t="shared" si="32"/>
        <v/>
      </c>
      <c r="AA267" s="12"/>
      <c r="AB267" s="95" t="e">
        <f t="shared" si="33"/>
        <v>#VALUE!</v>
      </c>
      <c r="AC267" s="95" t="e">
        <f t="shared" si="34"/>
        <v>#VALUE!</v>
      </c>
      <c r="AD267" s="12"/>
    </row>
    <row r="268" spans="1:30" ht="15.75" thickBot="1" x14ac:dyDescent="0.3">
      <c r="A268" s="12"/>
      <c r="B268" s="22"/>
      <c r="C268" t="str">
        <f>IF(AND('ENTRY DATA'!D268=""),"",('ENTRY DATA'!D268))</f>
        <v/>
      </c>
      <c r="D268" t="str">
        <f>IF(AND('ENTRY DATA'!F268=""),"",('ENTRY DATA'!F268))</f>
        <v/>
      </c>
      <c r="E268" s="34" t="str">
        <f>IF(AND('ENTRY DATA'!B268=""),"",('ENTRY DATA'!B268))</f>
        <v/>
      </c>
      <c r="F268" s="12"/>
      <c r="G268" s="12"/>
      <c r="H268" s="73"/>
      <c r="I268" s="71"/>
      <c r="J268" s="73"/>
      <c r="K268" s="12"/>
      <c r="L268" s="20">
        <f t="shared" si="28"/>
        <v>0</v>
      </c>
      <c r="M268" s="19" t="str">
        <f t="shared" si="29"/>
        <v/>
      </c>
      <c r="N268" s="12"/>
      <c r="O268" s="119"/>
      <c r="P268" s="95" t="str">
        <f t="shared" si="30"/>
        <v/>
      </c>
      <c r="Q268" s="12"/>
      <c r="S268" s="128"/>
      <c r="T268" s="66"/>
      <c r="U268" s="128"/>
      <c r="W268" s="128"/>
      <c r="X268" s="12"/>
      <c r="Y268" t="str">
        <f t="shared" si="31"/>
        <v/>
      </c>
      <c r="Z268" t="str">
        <f t="shared" si="32"/>
        <v/>
      </c>
      <c r="AA268" s="12"/>
      <c r="AB268" s="95" t="e">
        <f t="shared" si="33"/>
        <v>#VALUE!</v>
      </c>
      <c r="AC268" s="95" t="e">
        <f t="shared" si="34"/>
        <v>#VALUE!</v>
      </c>
      <c r="AD268" s="12"/>
    </row>
    <row r="269" spans="1:30" ht="15.75" thickBot="1" x14ac:dyDescent="0.3">
      <c r="A269" s="12"/>
      <c r="B269" s="22"/>
      <c r="C269" t="str">
        <f>IF(AND('ENTRY DATA'!D269=""),"",('ENTRY DATA'!D269))</f>
        <v/>
      </c>
      <c r="D269" t="str">
        <f>IF(AND('ENTRY DATA'!F269=""),"",('ENTRY DATA'!F269))</f>
        <v/>
      </c>
      <c r="E269" s="34" t="str">
        <f>IF(AND('ENTRY DATA'!B269=""),"",('ENTRY DATA'!B269))</f>
        <v/>
      </c>
      <c r="F269" s="12"/>
      <c r="G269" s="12"/>
      <c r="H269" s="73"/>
      <c r="I269" s="71"/>
      <c r="J269" s="73"/>
      <c r="K269" s="12"/>
      <c r="L269" s="20">
        <f t="shared" si="28"/>
        <v>0</v>
      </c>
      <c r="M269" s="19" t="str">
        <f t="shared" si="29"/>
        <v/>
      </c>
      <c r="N269" s="12"/>
      <c r="O269" s="119"/>
      <c r="P269" s="95" t="str">
        <f t="shared" si="30"/>
        <v/>
      </c>
      <c r="Q269" s="12"/>
      <c r="S269" s="128"/>
      <c r="T269" s="66"/>
      <c r="U269" s="128"/>
      <c r="W269" s="128"/>
      <c r="X269" s="12"/>
      <c r="Y269" t="str">
        <f t="shared" si="31"/>
        <v/>
      </c>
      <c r="Z269" t="str">
        <f t="shared" si="32"/>
        <v/>
      </c>
      <c r="AA269" s="12"/>
      <c r="AB269" s="95" t="e">
        <f t="shared" si="33"/>
        <v>#VALUE!</v>
      </c>
      <c r="AC269" s="95" t="e">
        <f t="shared" si="34"/>
        <v>#VALUE!</v>
      </c>
      <c r="AD269" s="12"/>
    </row>
    <row r="270" spans="1:30" ht="15.75" thickBot="1" x14ac:dyDescent="0.3">
      <c r="A270" s="12"/>
      <c r="B270" s="22"/>
      <c r="C270" t="str">
        <f>IF(AND('ENTRY DATA'!D270=""),"",('ENTRY DATA'!D270))</f>
        <v/>
      </c>
      <c r="D270" t="str">
        <f>IF(AND('ENTRY DATA'!F270=""),"",('ENTRY DATA'!F270))</f>
        <v/>
      </c>
      <c r="E270" s="34" t="str">
        <f>IF(AND('ENTRY DATA'!B270=""),"",('ENTRY DATA'!B270))</f>
        <v/>
      </c>
      <c r="F270" s="12"/>
      <c r="G270" s="12"/>
      <c r="H270" s="73"/>
      <c r="I270" s="71"/>
      <c r="J270" s="73"/>
      <c r="K270" s="12"/>
      <c r="L270" s="20">
        <f t="shared" si="28"/>
        <v>0</v>
      </c>
      <c r="M270" s="19" t="str">
        <f t="shared" si="29"/>
        <v/>
      </c>
      <c r="N270" s="12"/>
      <c r="O270" s="119"/>
      <c r="P270" s="95" t="str">
        <f t="shared" si="30"/>
        <v/>
      </c>
      <c r="Q270" s="12"/>
      <c r="S270" s="128"/>
      <c r="T270" s="66"/>
      <c r="U270" s="128"/>
      <c r="W270" s="128"/>
      <c r="X270" s="12"/>
      <c r="Y270" t="str">
        <f t="shared" si="31"/>
        <v/>
      </c>
      <c r="Z270" t="str">
        <f t="shared" si="32"/>
        <v/>
      </c>
      <c r="AA270" s="12"/>
      <c r="AB270" s="95" t="e">
        <f t="shared" si="33"/>
        <v>#VALUE!</v>
      </c>
      <c r="AC270" s="95" t="e">
        <f t="shared" si="34"/>
        <v>#VALUE!</v>
      </c>
      <c r="AD270" s="12"/>
    </row>
    <row r="271" spans="1:30" ht="15.75" thickBot="1" x14ac:dyDescent="0.3">
      <c r="A271" s="12"/>
      <c r="B271" s="22"/>
      <c r="C271" t="str">
        <f>IF(AND('ENTRY DATA'!D271=""),"",('ENTRY DATA'!D271))</f>
        <v/>
      </c>
      <c r="D271" t="str">
        <f>IF(AND('ENTRY DATA'!F271=""),"",('ENTRY DATA'!F271))</f>
        <v/>
      </c>
      <c r="E271" s="34" t="str">
        <f>IF(AND('ENTRY DATA'!B271=""),"",('ENTRY DATA'!B271))</f>
        <v/>
      </c>
      <c r="F271" s="12"/>
      <c r="G271" s="12"/>
      <c r="H271" s="73"/>
      <c r="I271" s="71"/>
      <c r="J271" s="73"/>
      <c r="K271" s="12"/>
      <c r="L271" s="20">
        <f t="shared" si="28"/>
        <v>0</v>
      </c>
      <c r="M271" s="19" t="str">
        <f t="shared" si="29"/>
        <v/>
      </c>
      <c r="N271" s="12"/>
      <c r="O271" s="119"/>
      <c r="P271" s="95" t="str">
        <f t="shared" si="30"/>
        <v/>
      </c>
      <c r="Q271" s="12"/>
      <c r="S271" s="128"/>
      <c r="T271" s="66"/>
      <c r="U271" s="128"/>
      <c r="W271" s="128"/>
      <c r="X271" s="12"/>
      <c r="Y271" t="str">
        <f t="shared" si="31"/>
        <v/>
      </c>
      <c r="Z271" t="str">
        <f t="shared" si="32"/>
        <v/>
      </c>
      <c r="AA271" s="12"/>
      <c r="AB271" s="95" t="e">
        <f t="shared" si="33"/>
        <v>#VALUE!</v>
      </c>
      <c r="AC271" s="95" t="e">
        <f t="shared" si="34"/>
        <v>#VALUE!</v>
      </c>
      <c r="AD271" s="12"/>
    </row>
    <row r="272" spans="1:30" ht="15.75" thickBot="1" x14ac:dyDescent="0.3">
      <c r="A272" s="12"/>
      <c r="B272" s="22"/>
      <c r="C272" t="str">
        <f>IF(AND('ENTRY DATA'!D272=""),"",('ENTRY DATA'!D272))</f>
        <v/>
      </c>
      <c r="D272" t="str">
        <f>IF(AND('ENTRY DATA'!F272=""),"",('ENTRY DATA'!F272))</f>
        <v/>
      </c>
      <c r="E272" s="34" t="str">
        <f>IF(AND('ENTRY DATA'!B272=""),"",('ENTRY DATA'!B272))</f>
        <v/>
      </c>
      <c r="F272" s="12"/>
      <c r="G272" s="12"/>
      <c r="H272" s="73"/>
      <c r="I272" s="71"/>
      <c r="J272" s="73"/>
      <c r="K272" s="12"/>
      <c r="L272" s="20">
        <f t="shared" si="28"/>
        <v>0</v>
      </c>
      <c r="M272" s="19" t="str">
        <f t="shared" si="29"/>
        <v/>
      </c>
      <c r="N272" s="12"/>
      <c r="O272" s="119"/>
      <c r="P272" s="95" t="str">
        <f t="shared" si="30"/>
        <v/>
      </c>
      <c r="Q272" s="12"/>
      <c r="S272" s="128"/>
      <c r="T272" s="66"/>
      <c r="U272" s="128"/>
      <c r="W272" s="128"/>
      <c r="X272" s="12"/>
      <c r="Y272" t="str">
        <f t="shared" si="31"/>
        <v/>
      </c>
      <c r="Z272" t="str">
        <f t="shared" si="32"/>
        <v/>
      </c>
      <c r="AA272" s="12"/>
      <c r="AB272" s="95" t="e">
        <f t="shared" si="33"/>
        <v>#VALUE!</v>
      </c>
      <c r="AC272" s="95" t="e">
        <f t="shared" si="34"/>
        <v>#VALUE!</v>
      </c>
      <c r="AD272" s="12"/>
    </row>
    <row r="273" spans="1:30" ht="15.75" thickBot="1" x14ac:dyDescent="0.3">
      <c r="A273" s="12"/>
      <c r="B273" s="22"/>
      <c r="C273" t="str">
        <f>IF(AND('ENTRY DATA'!D273=""),"",('ENTRY DATA'!D273))</f>
        <v/>
      </c>
      <c r="D273" t="str">
        <f>IF(AND('ENTRY DATA'!F273=""),"",('ENTRY DATA'!F273))</f>
        <v/>
      </c>
      <c r="E273" s="34" t="str">
        <f>IF(AND('ENTRY DATA'!B273=""),"",('ENTRY DATA'!B273))</f>
        <v/>
      </c>
      <c r="F273" s="12"/>
      <c r="G273" s="12"/>
      <c r="H273" s="73"/>
      <c r="I273" s="71"/>
      <c r="J273" s="73"/>
      <c r="K273" s="12"/>
      <c r="L273" s="20">
        <f t="shared" si="28"/>
        <v>0</v>
      </c>
      <c r="M273" s="19" t="str">
        <f t="shared" si="29"/>
        <v/>
      </c>
      <c r="N273" s="12"/>
      <c r="O273" s="119"/>
      <c r="P273" s="95" t="str">
        <f t="shared" si="30"/>
        <v/>
      </c>
      <c r="Q273" s="12"/>
      <c r="S273" s="128"/>
      <c r="T273" s="66"/>
      <c r="U273" s="128"/>
      <c r="W273" s="128"/>
      <c r="X273" s="12"/>
      <c r="Y273" t="str">
        <f t="shared" si="31"/>
        <v/>
      </c>
      <c r="Z273" t="str">
        <f t="shared" si="32"/>
        <v/>
      </c>
      <c r="AA273" s="12"/>
      <c r="AB273" s="95" t="e">
        <f t="shared" si="33"/>
        <v>#VALUE!</v>
      </c>
      <c r="AC273" s="95" t="e">
        <f t="shared" si="34"/>
        <v>#VALUE!</v>
      </c>
      <c r="AD273" s="12"/>
    </row>
    <row r="274" spans="1:30" ht="15.75" thickBot="1" x14ac:dyDescent="0.3">
      <c r="A274" s="12"/>
      <c r="B274" s="22"/>
      <c r="C274" t="str">
        <f>IF(AND('ENTRY DATA'!D274=""),"",('ENTRY DATA'!D274))</f>
        <v/>
      </c>
      <c r="D274" t="str">
        <f>IF(AND('ENTRY DATA'!F274=""),"",('ENTRY DATA'!F274))</f>
        <v/>
      </c>
      <c r="E274" s="34" t="str">
        <f>IF(AND('ENTRY DATA'!B274=""),"",('ENTRY DATA'!B274))</f>
        <v/>
      </c>
      <c r="F274" s="12"/>
      <c r="G274" s="12"/>
      <c r="H274" s="73"/>
      <c r="I274" s="71"/>
      <c r="J274" s="73"/>
      <c r="K274" s="12"/>
      <c r="L274" s="20">
        <f t="shared" si="28"/>
        <v>0</v>
      </c>
      <c r="M274" s="19" t="str">
        <f t="shared" si="29"/>
        <v/>
      </c>
      <c r="N274" s="12"/>
      <c r="O274" s="119"/>
      <c r="P274" s="95" t="str">
        <f t="shared" si="30"/>
        <v/>
      </c>
      <c r="Q274" s="12"/>
      <c r="S274" s="128"/>
      <c r="T274" s="66"/>
      <c r="U274" s="128"/>
      <c r="W274" s="128"/>
      <c r="X274" s="12"/>
      <c r="Y274" t="str">
        <f t="shared" si="31"/>
        <v/>
      </c>
      <c r="Z274" t="str">
        <f t="shared" si="32"/>
        <v/>
      </c>
      <c r="AA274" s="12"/>
      <c r="AB274" s="95" t="e">
        <f t="shared" si="33"/>
        <v>#VALUE!</v>
      </c>
      <c r="AC274" s="95" t="e">
        <f t="shared" si="34"/>
        <v>#VALUE!</v>
      </c>
      <c r="AD274" s="12"/>
    </row>
    <row r="275" spans="1:30" ht="15.75" thickBot="1" x14ac:dyDescent="0.3">
      <c r="A275" s="12"/>
      <c r="B275" s="22"/>
      <c r="C275" t="str">
        <f>IF(AND('ENTRY DATA'!D275=""),"",('ENTRY DATA'!D275))</f>
        <v/>
      </c>
      <c r="D275" t="str">
        <f>IF(AND('ENTRY DATA'!F275=""),"",('ENTRY DATA'!F275))</f>
        <v/>
      </c>
      <c r="E275" s="34" t="str">
        <f>IF(AND('ENTRY DATA'!B275=""),"",('ENTRY DATA'!B275))</f>
        <v/>
      </c>
      <c r="F275" s="12"/>
      <c r="G275" s="12"/>
      <c r="H275" s="73"/>
      <c r="I275" s="71"/>
      <c r="J275" s="73"/>
      <c r="K275" s="12"/>
      <c r="L275" s="20">
        <f t="shared" si="28"/>
        <v>0</v>
      </c>
      <c r="M275" s="19" t="str">
        <f t="shared" si="29"/>
        <v/>
      </c>
      <c r="N275" s="12"/>
      <c r="O275" s="119"/>
      <c r="P275" s="95" t="str">
        <f t="shared" si="30"/>
        <v/>
      </c>
      <c r="Q275" s="12"/>
      <c r="S275" s="128"/>
      <c r="T275" s="66"/>
      <c r="U275" s="128"/>
      <c r="W275" s="128"/>
      <c r="X275" s="12"/>
      <c r="Y275" t="str">
        <f t="shared" si="31"/>
        <v/>
      </c>
      <c r="Z275" t="str">
        <f t="shared" si="32"/>
        <v/>
      </c>
      <c r="AA275" s="12"/>
      <c r="AB275" s="95" t="e">
        <f t="shared" si="33"/>
        <v>#VALUE!</v>
      </c>
      <c r="AC275" s="95" t="e">
        <f t="shared" si="34"/>
        <v>#VALUE!</v>
      </c>
      <c r="AD275" s="12"/>
    </row>
    <row r="276" spans="1:30" ht="15.75" thickBot="1" x14ac:dyDescent="0.3">
      <c r="A276" s="12"/>
      <c r="B276" s="22"/>
      <c r="C276" t="str">
        <f>IF(AND('ENTRY DATA'!D276=""),"",('ENTRY DATA'!D276))</f>
        <v/>
      </c>
      <c r="D276" t="str">
        <f>IF(AND('ENTRY DATA'!F276=""),"",('ENTRY DATA'!F276))</f>
        <v/>
      </c>
      <c r="E276" s="34" t="str">
        <f>IF(AND('ENTRY DATA'!B276=""),"",('ENTRY DATA'!B276))</f>
        <v/>
      </c>
      <c r="F276" s="12"/>
      <c r="G276" s="12"/>
      <c r="H276" s="73"/>
      <c r="I276" s="71"/>
      <c r="J276" s="73"/>
      <c r="K276" s="12"/>
      <c r="L276" s="20">
        <f t="shared" si="28"/>
        <v>0</v>
      </c>
      <c r="M276" s="19" t="str">
        <f t="shared" si="29"/>
        <v/>
      </c>
      <c r="N276" s="12"/>
      <c r="O276" s="119"/>
      <c r="P276" s="95" t="str">
        <f t="shared" si="30"/>
        <v/>
      </c>
      <c r="Q276" s="12"/>
      <c r="S276" s="128"/>
      <c r="T276" s="66"/>
      <c r="U276" s="128"/>
      <c r="W276" s="128"/>
      <c r="X276" s="12"/>
      <c r="Y276" t="str">
        <f t="shared" si="31"/>
        <v/>
      </c>
      <c r="Z276" t="str">
        <f t="shared" si="32"/>
        <v/>
      </c>
      <c r="AA276" s="12"/>
      <c r="AB276" s="95" t="e">
        <f t="shared" si="33"/>
        <v>#VALUE!</v>
      </c>
      <c r="AC276" s="95" t="e">
        <f t="shared" si="34"/>
        <v>#VALUE!</v>
      </c>
      <c r="AD276" s="12"/>
    </row>
    <row r="277" spans="1:30" ht="15.75" thickBot="1" x14ac:dyDescent="0.3">
      <c r="A277" s="12"/>
      <c r="B277" s="22"/>
      <c r="C277" t="str">
        <f>IF(AND('ENTRY DATA'!D277=""),"",('ENTRY DATA'!D277))</f>
        <v/>
      </c>
      <c r="D277" t="str">
        <f>IF(AND('ENTRY DATA'!F277=""),"",('ENTRY DATA'!F277))</f>
        <v/>
      </c>
      <c r="E277" s="34" t="str">
        <f>IF(AND('ENTRY DATA'!B277=""),"",('ENTRY DATA'!B277))</f>
        <v/>
      </c>
      <c r="F277" s="12"/>
      <c r="G277" s="12"/>
      <c r="H277" s="73"/>
      <c r="I277" s="71"/>
      <c r="J277" s="73"/>
      <c r="K277" s="12"/>
      <c r="L277" s="20">
        <f t="shared" si="28"/>
        <v>0</v>
      </c>
      <c r="M277" s="19" t="str">
        <f t="shared" si="29"/>
        <v/>
      </c>
      <c r="N277" s="12"/>
      <c r="O277" s="119"/>
      <c r="P277" s="95" t="str">
        <f t="shared" si="30"/>
        <v/>
      </c>
      <c r="Q277" s="12"/>
      <c r="S277" s="128"/>
      <c r="T277" s="66"/>
      <c r="U277" s="128"/>
      <c r="W277" s="128"/>
      <c r="X277" s="12"/>
      <c r="Y277" t="str">
        <f t="shared" si="31"/>
        <v/>
      </c>
      <c r="Z277" t="str">
        <f t="shared" si="32"/>
        <v/>
      </c>
      <c r="AA277" s="12"/>
      <c r="AB277" s="95" t="e">
        <f t="shared" si="33"/>
        <v>#VALUE!</v>
      </c>
      <c r="AC277" s="95" t="e">
        <f t="shared" si="34"/>
        <v>#VALUE!</v>
      </c>
      <c r="AD277" s="12"/>
    </row>
    <row r="278" spans="1:30" ht="15.75" thickBot="1" x14ac:dyDescent="0.3">
      <c r="A278" s="12"/>
      <c r="B278" s="22"/>
      <c r="C278" t="str">
        <f>IF(AND('ENTRY DATA'!D278=""),"",('ENTRY DATA'!D278))</f>
        <v/>
      </c>
      <c r="D278" t="str">
        <f>IF(AND('ENTRY DATA'!F278=""),"",('ENTRY DATA'!F278))</f>
        <v/>
      </c>
      <c r="E278" s="34" t="str">
        <f>IF(AND('ENTRY DATA'!B278=""),"",('ENTRY DATA'!B278))</f>
        <v/>
      </c>
      <c r="F278" s="12"/>
      <c r="G278" s="12"/>
      <c r="H278" s="73"/>
      <c r="I278" s="71"/>
      <c r="J278" s="73"/>
      <c r="K278" s="12"/>
      <c r="L278" s="20">
        <f t="shared" si="28"/>
        <v>0</v>
      </c>
      <c r="M278" s="19" t="str">
        <f t="shared" si="29"/>
        <v/>
      </c>
      <c r="N278" s="12"/>
      <c r="O278" s="119"/>
      <c r="P278" s="95" t="str">
        <f t="shared" si="30"/>
        <v/>
      </c>
      <c r="Q278" s="12"/>
      <c r="S278" s="128"/>
      <c r="T278" s="66"/>
      <c r="U278" s="128"/>
      <c r="W278" s="128"/>
      <c r="X278" s="12"/>
      <c r="Y278" t="str">
        <f t="shared" si="31"/>
        <v/>
      </c>
      <c r="Z278" t="str">
        <f t="shared" si="32"/>
        <v/>
      </c>
      <c r="AA278" s="12"/>
      <c r="AB278" s="95" t="e">
        <f t="shared" si="33"/>
        <v>#VALUE!</v>
      </c>
      <c r="AC278" s="95" t="e">
        <f t="shared" si="34"/>
        <v>#VALUE!</v>
      </c>
      <c r="AD278" s="12"/>
    </row>
    <row r="279" spans="1:30" ht="15.75" thickBot="1" x14ac:dyDescent="0.3">
      <c r="A279" s="12"/>
      <c r="B279" s="22"/>
      <c r="C279" t="str">
        <f>IF(AND('ENTRY DATA'!D279=""),"",('ENTRY DATA'!D279))</f>
        <v/>
      </c>
      <c r="D279" t="str">
        <f>IF(AND('ENTRY DATA'!F279=""),"",('ENTRY DATA'!F279))</f>
        <v/>
      </c>
      <c r="E279" s="34" t="str">
        <f>IF(AND('ENTRY DATA'!B279=""),"",('ENTRY DATA'!B279))</f>
        <v/>
      </c>
      <c r="F279" s="12"/>
      <c r="G279" s="12"/>
      <c r="H279" s="73"/>
      <c r="I279" s="71"/>
      <c r="J279" s="73"/>
      <c r="K279" s="12"/>
      <c r="L279" s="20">
        <f t="shared" si="28"/>
        <v>0</v>
      </c>
      <c r="M279" s="19" t="str">
        <f t="shared" si="29"/>
        <v/>
      </c>
      <c r="N279" s="12"/>
      <c r="O279" s="119"/>
      <c r="P279" s="95" t="str">
        <f t="shared" si="30"/>
        <v/>
      </c>
      <c r="Q279" s="12"/>
      <c r="S279" s="128"/>
      <c r="T279" s="66"/>
      <c r="U279" s="128"/>
      <c r="W279" s="128"/>
      <c r="X279" s="12"/>
      <c r="Y279" t="str">
        <f t="shared" si="31"/>
        <v/>
      </c>
      <c r="Z279" t="str">
        <f t="shared" si="32"/>
        <v/>
      </c>
      <c r="AA279" s="12"/>
      <c r="AB279" s="95" t="e">
        <f t="shared" si="33"/>
        <v>#VALUE!</v>
      </c>
      <c r="AC279" s="95" t="e">
        <f t="shared" si="34"/>
        <v>#VALUE!</v>
      </c>
      <c r="AD279" s="12"/>
    </row>
    <row r="280" spans="1:30" ht="15.75" thickBot="1" x14ac:dyDescent="0.3">
      <c r="A280" s="12"/>
      <c r="B280" s="22"/>
      <c r="C280" t="str">
        <f>IF(AND('ENTRY DATA'!D280=""),"",('ENTRY DATA'!D280))</f>
        <v/>
      </c>
      <c r="D280" t="str">
        <f>IF(AND('ENTRY DATA'!F280=""),"",('ENTRY DATA'!F280))</f>
        <v/>
      </c>
      <c r="E280" s="34" t="str">
        <f>IF(AND('ENTRY DATA'!B280=""),"",('ENTRY DATA'!B280))</f>
        <v/>
      </c>
      <c r="F280" s="12"/>
      <c r="G280" s="12"/>
      <c r="H280" s="73"/>
      <c r="I280" s="71"/>
      <c r="J280" s="73"/>
      <c r="K280" s="12"/>
      <c r="L280" s="20">
        <f t="shared" si="28"/>
        <v>0</v>
      </c>
      <c r="M280" s="19" t="str">
        <f t="shared" si="29"/>
        <v/>
      </c>
      <c r="N280" s="12"/>
      <c r="O280" s="119"/>
      <c r="P280" s="95" t="str">
        <f t="shared" si="30"/>
        <v/>
      </c>
      <c r="Q280" s="12"/>
      <c r="S280" s="128"/>
      <c r="T280" s="66"/>
      <c r="U280" s="128"/>
      <c r="W280" s="128"/>
      <c r="X280" s="12"/>
      <c r="Y280" t="str">
        <f t="shared" si="31"/>
        <v/>
      </c>
      <c r="Z280" t="str">
        <f t="shared" si="32"/>
        <v/>
      </c>
      <c r="AA280" s="12"/>
      <c r="AB280" s="95" t="e">
        <f t="shared" si="33"/>
        <v>#VALUE!</v>
      </c>
      <c r="AC280" s="95" t="e">
        <f t="shared" si="34"/>
        <v>#VALUE!</v>
      </c>
      <c r="AD280" s="12"/>
    </row>
    <row r="281" spans="1:30" ht="15.75" thickBot="1" x14ac:dyDescent="0.3">
      <c r="A281" s="12"/>
      <c r="B281" s="22"/>
      <c r="C281" t="str">
        <f>IF(AND('ENTRY DATA'!D281=""),"",('ENTRY DATA'!D281))</f>
        <v/>
      </c>
      <c r="D281" t="str">
        <f>IF(AND('ENTRY DATA'!F281=""),"",('ENTRY DATA'!F281))</f>
        <v/>
      </c>
      <c r="E281" s="34" t="str">
        <f>IF(AND('ENTRY DATA'!B281=""),"",('ENTRY DATA'!B281))</f>
        <v/>
      </c>
      <c r="F281" s="12"/>
      <c r="G281" s="12"/>
      <c r="H281" s="73"/>
      <c r="I281" s="71"/>
      <c r="J281" s="73"/>
      <c r="K281" s="12"/>
      <c r="L281" s="20">
        <f t="shared" si="28"/>
        <v>0</v>
      </c>
      <c r="M281" s="19" t="str">
        <f t="shared" si="29"/>
        <v/>
      </c>
      <c r="N281" s="12"/>
      <c r="O281" s="119"/>
      <c r="P281" s="95" t="str">
        <f t="shared" si="30"/>
        <v/>
      </c>
      <c r="Q281" s="12"/>
      <c r="S281" s="128"/>
      <c r="T281" s="66"/>
      <c r="U281" s="128"/>
      <c r="W281" s="128"/>
      <c r="X281" s="12"/>
      <c r="Y281" t="str">
        <f t="shared" si="31"/>
        <v/>
      </c>
      <c r="Z281" t="str">
        <f t="shared" si="32"/>
        <v/>
      </c>
      <c r="AA281" s="12"/>
      <c r="AB281" s="95" t="e">
        <f t="shared" si="33"/>
        <v>#VALUE!</v>
      </c>
      <c r="AC281" s="95" t="e">
        <f t="shared" si="34"/>
        <v>#VALUE!</v>
      </c>
      <c r="AD281" s="12"/>
    </row>
    <row r="282" spans="1:30" ht="15.75" thickBot="1" x14ac:dyDescent="0.3">
      <c r="A282" s="12"/>
      <c r="B282" s="22"/>
      <c r="C282" t="str">
        <f>IF(AND('ENTRY DATA'!D282=""),"",('ENTRY DATA'!D282))</f>
        <v/>
      </c>
      <c r="D282" t="str">
        <f>IF(AND('ENTRY DATA'!F282=""),"",('ENTRY DATA'!F282))</f>
        <v/>
      </c>
      <c r="E282" s="34" t="str">
        <f>IF(AND('ENTRY DATA'!B282=""),"",('ENTRY DATA'!B282))</f>
        <v/>
      </c>
      <c r="F282" s="12"/>
      <c r="G282" s="12"/>
      <c r="H282" s="73"/>
      <c r="I282" s="71"/>
      <c r="J282" s="73"/>
      <c r="K282" s="12"/>
      <c r="L282" s="20">
        <f t="shared" si="28"/>
        <v>0</v>
      </c>
      <c r="M282" s="19" t="str">
        <f t="shared" si="29"/>
        <v/>
      </c>
      <c r="N282" s="12"/>
      <c r="O282" s="119"/>
      <c r="P282" s="95" t="str">
        <f t="shared" si="30"/>
        <v/>
      </c>
      <c r="Q282" s="12"/>
      <c r="S282" s="128"/>
      <c r="T282" s="66"/>
      <c r="U282" s="128"/>
      <c r="W282" s="128"/>
      <c r="X282" s="12"/>
      <c r="Y282" t="str">
        <f t="shared" si="31"/>
        <v/>
      </c>
      <c r="Z282" t="str">
        <f t="shared" si="32"/>
        <v/>
      </c>
      <c r="AA282" s="12"/>
      <c r="AB282" s="95" t="e">
        <f t="shared" si="33"/>
        <v>#VALUE!</v>
      </c>
      <c r="AC282" s="95" t="e">
        <f t="shared" si="34"/>
        <v>#VALUE!</v>
      </c>
      <c r="AD282" s="12"/>
    </row>
    <row r="283" spans="1:30" ht="15.75" thickBot="1" x14ac:dyDescent="0.3">
      <c r="A283" s="12"/>
      <c r="B283" s="22"/>
      <c r="C283" t="str">
        <f>IF(AND('ENTRY DATA'!D283=""),"",('ENTRY DATA'!D283))</f>
        <v/>
      </c>
      <c r="D283" t="str">
        <f>IF(AND('ENTRY DATA'!F283=""),"",('ENTRY DATA'!F283))</f>
        <v/>
      </c>
      <c r="E283" s="34" t="str">
        <f>IF(AND('ENTRY DATA'!B283=""),"",('ENTRY DATA'!B283))</f>
        <v/>
      </c>
      <c r="F283" s="12"/>
      <c r="G283" s="12"/>
      <c r="H283" s="73"/>
      <c r="I283" s="71"/>
      <c r="J283" s="73"/>
      <c r="K283" s="12"/>
      <c r="L283" s="20">
        <f t="shared" si="28"/>
        <v>0</v>
      </c>
      <c r="M283" s="19" t="str">
        <f t="shared" si="29"/>
        <v/>
      </c>
      <c r="N283" s="12"/>
      <c r="O283" s="119"/>
      <c r="P283" s="95" t="str">
        <f t="shared" si="30"/>
        <v/>
      </c>
      <c r="Q283" s="12"/>
      <c r="S283" s="128"/>
      <c r="T283" s="66"/>
      <c r="U283" s="128"/>
      <c r="W283" s="128"/>
      <c r="X283" s="12"/>
      <c r="Y283" t="str">
        <f t="shared" si="31"/>
        <v/>
      </c>
      <c r="Z283" t="str">
        <f t="shared" si="32"/>
        <v/>
      </c>
      <c r="AA283" s="12"/>
      <c r="AB283" s="95" t="e">
        <f t="shared" si="33"/>
        <v>#VALUE!</v>
      </c>
      <c r="AC283" s="95" t="e">
        <f t="shared" si="34"/>
        <v>#VALUE!</v>
      </c>
      <c r="AD283" s="12"/>
    </row>
    <row r="284" spans="1:30" ht="15.75" thickBot="1" x14ac:dyDescent="0.3">
      <c r="A284" s="12"/>
      <c r="B284" s="22"/>
      <c r="C284" t="str">
        <f>IF(AND('ENTRY DATA'!D284=""),"",('ENTRY DATA'!D284))</f>
        <v/>
      </c>
      <c r="D284" t="str">
        <f>IF(AND('ENTRY DATA'!F284=""),"",('ENTRY DATA'!F284))</f>
        <v/>
      </c>
      <c r="E284" s="34" t="str">
        <f>IF(AND('ENTRY DATA'!B284=""),"",('ENTRY DATA'!B284))</f>
        <v/>
      </c>
      <c r="F284" s="12"/>
      <c r="G284" s="12"/>
      <c r="H284" s="73"/>
      <c r="I284" s="71"/>
      <c r="J284" s="73"/>
      <c r="K284" s="12"/>
      <c r="L284" s="20">
        <f t="shared" si="28"/>
        <v>0</v>
      </c>
      <c r="M284" s="19" t="str">
        <f t="shared" si="29"/>
        <v/>
      </c>
      <c r="N284" s="12"/>
      <c r="O284" s="119"/>
      <c r="P284" s="95" t="str">
        <f t="shared" si="30"/>
        <v/>
      </c>
      <c r="Q284" s="12"/>
      <c r="S284" s="128"/>
      <c r="T284" s="66"/>
      <c r="U284" s="128"/>
      <c r="W284" s="128"/>
      <c r="X284" s="12"/>
      <c r="Y284" t="str">
        <f t="shared" si="31"/>
        <v/>
      </c>
      <c r="Z284" t="str">
        <f t="shared" si="32"/>
        <v/>
      </c>
      <c r="AA284" s="12"/>
      <c r="AB284" s="95" t="e">
        <f t="shared" si="33"/>
        <v>#VALUE!</v>
      </c>
      <c r="AC284" s="95" t="e">
        <f t="shared" si="34"/>
        <v>#VALUE!</v>
      </c>
      <c r="AD284" s="12"/>
    </row>
    <row r="285" spans="1:30" ht="15.75" thickBot="1" x14ac:dyDescent="0.3">
      <c r="A285" s="12"/>
      <c r="B285" s="22"/>
      <c r="C285" t="str">
        <f>IF(AND('ENTRY DATA'!D285=""),"",('ENTRY DATA'!D285))</f>
        <v/>
      </c>
      <c r="D285" t="str">
        <f>IF(AND('ENTRY DATA'!F285=""),"",('ENTRY DATA'!F285))</f>
        <v/>
      </c>
      <c r="E285" s="34" t="str">
        <f>IF(AND('ENTRY DATA'!B285=""),"",('ENTRY DATA'!B285))</f>
        <v/>
      </c>
      <c r="F285" s="12"/>
      <c r="G285" s="12"/>
      <c r="H285" s="73"/>
      <c r="I285" s="71"/>
      <c r="J285" s="73"/>
      <c r="K285" s="12"/>
      <c r="L285" s="20">
        <f t="shared" si="28"/>
        <v>0</v>
      </c>
      <c r="M285" s="19" t="str">
        <f t="shared" si="29"/>
        <v/>
      </c>
      <c r="N285" s="12"/>
      <c r="O285" s="119"/>
      <c r="P285" s="95" t="str">
        <f t="shared" si="30"/>
        <v/>
      </c>
      <c r="Q285" s="12"/>
      <c r="S285" s="128"/>
      <c r="T285" s="66"/>
      <c r="U285" s="128"/>
      <c r="W285" s="128"/>
      <c r="X285" s="12"/>
      <c r="Y285" t="str">
        <f t="shared" si="31"/>
        <v/>
      </c>
      <c r="Z285" t="str">
        <f t="shared" si="32"/>
        <v/>
      </c>
      <c r="AA285" s="12"/>
      <c r="AB285" s="95" t="e">
        <f t="shared" si="33"/>
        <v>#VALUE!</v>
      </c>
      <c r="AC285" s="95" t="e">
        <f t="shared" si="34"/>
        <v>#VALUE!</v>
      </c>
      <c r="AD285" s="12"/>
    </row>
    <row r="286" spans="1:30" ht="15.75" thickBot="1" x14ac:dyDescent="0.3">
      <c r="A286" s="12"/>
      <c r="B286" s="22"/>
      <c r="C286" t="str">
        <f>IF(AND('ENTRY DATA'!D286=""),"",('ENTRY DATA'!D286))</f>
        <v/>
      </c>
      <c r="D286" t="str">
        <f>IF(AND('ENTRY DATA'!F286=""),"",('ENTRY DATA'!F286))</f>
        <v/>
      </c>
      <c r="E286" s="34" t="str">
        <f>IF(AND('ENTRY DATA'!B286=""),"",('ENTRY DATA'!B286))</f>
        <v/>
      </c>
      <c r="F286" s="12"/>
      <c r="G286" s="12"/>
      <c r="H286" s="73"/>
      <c r="I286" s="71"/>
      <c r="J286" s="73"/>
      <c r="K286" s="12"/>
      <c r="L286" s="20">
        <f t="shared" si="28"/>
        <v>0</v>
      </c>
      <c r="M286" s="19" t="str">
        <f t="shared" si="29"/>
        <v/>
      </c>
      <c r="N286" s="12"/>
      <c r="O286" s="119"/>
      <c r="P286" s="95" t="str">
        <f t="shared" si="30"/>
        <v/>
      </c>
      <c r="Q286" s="12"/>
      <c r="S286" s="128"/>
      <c r="T286" s="66"/>
      <c r="U286" s="128"/>
      <c r="W286" s="128"/>
      <c r="X286" s="12"/>
      <c r="Y286" t="str">
        <f t="shared" si="31"/>
        <v/>
      </c>
      <c r="Z286" t="str">
        <f t="shared" si="32"/>
        <v/>
      </c>
      <c r="AA286" s="12"/>
      <c r="AB286" s="95" t="e">
        <f t="shared" si="33"/>
        <v>#VALUE!</v>
      </c>
      <c r="AC286" s="95" t="e">
        <f t="shared" si="34"/>
        <v>#VALUE!</v>
      </c>
      <c r="AD286" s="12"/>
    </row>
    <row r="287" spans="1:30" ht="15.75" thickBot="1" x14ac:dyDescent="0.3">
      <c r="A287" s="12"/>
      <c r="B287" s="22"/>
      <c r="C287" t="str">
        <f>IF(AND('ENTRY DATA'!D287=""),"",('ENTRY DATA'!D287))</f>
        <v/>
      </c>
      <c r="D287" t="str">
        <f>IF(AND('ENTRY DATA'!F287=""),"",('ENTRY DATA'!F287))</f>
        <v/>
      </c>
      <c r="E287" s="34" t="str">
        <f>IF(AND('ENTRY DATA'!B287=""),"",('ENTRY DATA'!B287))</f>
        <v/>
      </c>
      <c r="F287" s="12"/>
      <c r="G287" s="12"/>
      <c r="H287" s="73"/>
      <c r="I287" s="71"/>
      <c r="J287" s="73"/>
      <c r="K287" s="12"/>
      <c r="L287" s="20">
        <f t="shared" si="28"/>
        <v>0</v>
      </c>
      <c r="M287" s="19" t="str">
        <f t="shared" si="29"/>
        <v/>
      </c>
      <c r="N287" s="12"/>
      <c r="O287" s="119"/>
      <c r="P287" s="95" t="str">
        <f t="shared" si="30"/>
        <v/>
      </c>
      <c r="Q287" s="12"/>
      <c r="S287" s="128"/>
      <c r="T287" s="66"/>
      <c r="U287" s="128"/>
      <c r="W287" s="128"/>
      <c r="X287" s="12"/>
      <c r="Y287" t="str">
        <f t="shared" si="31"/>
        <v/>
      </c>
      <c r="Z287" t="str">
        <f t="shared" si="32"/>
        <v/>
      </c>
      <c r="AA287" s="12"/>
      <c r="AB287" s="95" t="e">
        <f t="shared" si="33"/>
        <v>#VALUE!</v>
      </c>
      <c r="AC287" s="95" t="e">
        <f t="shared" si="34"/>
        <v>#VALUE!</v>
      </c>
      <c r="AD287" s="12"/>
    </row>
    <row r="288" spans="1:30" ht="15.75" thickBot="1" x14ac:dyDescent="0.3">
      <c r="A288" s="12"/>
      <c r="B288" s="22"/>
      <c r="C288" t="str">
        <f>IF(AND('ENTRY DATA'!D288=""),"",('ENTRY DATA'!D288))</f>
        <v/>
      </c>
      <c r="D288" t="str">
        <f>IF(AND('ENTRY DATA'!F288=""),"",('ENTRY DATA'!F288))</f>
        <v/>
      </c>
      <c r="E288" s="34" t="str">
        <f>IF(AND('ENTRY DATA'!B288=""),"",('ENTRY DATA'!B288))</f>
        <v/>
      </c>
      <c r="F288" s="12"/>
      <c r="G288" s="12"/>
      <c r="H288" s="73"/>
      <c r="I288" s="71"/>
      <c r="J288" s="73"/>
      <c r="K288" s="12"/>
      <c r="L288" s="20">
        <f t="shared" si="28"/>
        <v>0</v>
      </c>
      <c r="M288" s="19" t="str">
        <f t="shared" si="29"/>
        <v/>
      </c>
      <c r="N288" s="12"/>
      <c r="O288" s="119"/>
      <c r="P288" s="95" t="str">
        <f t="shared" si="30"/>
        <v/>
      </c>
      <c r="Q288" s="12"/>
      <c r="S288" s="128"/>
      <c r="T288" s="66"/>
      <c r="U288" s="128"/>
      <c r="W288" s="128"/>
      <c r="X288" s="12"/>
      <c r="Y288" t="str">
        <f t="shared" si="31"/>
        <v/>
      </c>
      <c r="Z288" t="str">
        <f t="shared" si="32"/>
        <v/>
      </c>
      <c r="AA288" s="12"/>
      <c r="AB288" s="95" t="e">
        <f t="shared" si="33"/>
        <v>#VALUE!</v>
      </c>
      <c r="AC288" s="95" t="e">
        <f t="shared" si="34"/>
        <v>#VALUE!</v>
      </c>
      <c r="AD288" s="12"/>
    </row>
    <row r="289" spans="1:30" ht="15.75" thickBot="1" x14ac:dyDescent="0.3">
      <c r="A289" s="12"/>
      <c r="B289" s="22"/>
      <c r="C289" t="str">
        <f>IF(AND('ENTRY DATA'!D289=""),"",('ENTRY DATA'!D289))</f>
        <v/>
      </c>
      <c r="D289" t="str">
        <f>IF(AND('ENTRY DATA'!F289=""),"",('ENTRY DATA'!F289))</f>
        <v/>
      </c>
      <c r="E289" s="34" t="str">
        <f>IF(AND('ENTRY DATA'!B289=""),"",('ENTRY DATA'!B289))</f>
        <v/>
      </c>
      <c r="F289" s="12"/>
      <c r="G289" s="12"/>
      <c r="H289" s="73"/>
      <c r="I289" s="71"/>
      <c r="J289" s="73"/>
      <c r="K289" s="12"/>
      <c r="L289" s="20">
        <f t="shared" si="28"/>
        <v>0</v>
      </c>
      <c r="M289" s="19" t="str">
        <f t="shared" si="29"/>
        <v/>
      </c>
      <c r="N289" s="12"/>
      <c r="O289" s="119"/>
      <c r="P289" s="95" t="str">
        <f t="shared" si="30"/>
        <v/>
      </c>
      <c r="Q289" s="12"/>
      <c r="S289" s="128"/>
      <c r="T289" s="66"/>
      <c r="U289" s="128"/>
      <c r="W289" s="128"/>
      <c r="X289" s="12"/>
      <c r="Y289" t="str">
        <f t="shared" si="31"/>
        <v/>
      </c>
      <c r="Z289" t="str">
        <f t="shared" si="32"/>
        <v/>
      </c>
      <c r="AA289" s="12"/>
      <c r="AB289" s="95" t="e">
        <f t="shared" si="33"/>
        <v>#VALUE!</v>
      </c>
      <c r="AC289" s="95" t="e">
        <f t="shared" si="34"/>
        <v>#VALUE!</v>
      </c>
      <c r="AD289" s="12"/>
    </row>
    <row r="290" spans="1:30" ht="15.75" thickBot="1" x14ac:dyDescent="0.3">
      <c r="A290" s="12"/>
      <c r="B290" s="22"/>
      <c r="C290" t="str">
        <f>IF(AND('ENTRY DATA'!D290=""),"",('ENTRY DATA'!D290))</f>
        <v/>
      </c>
      <c r="D290" t="str">
        <f>IF(AND('ENTRY DATA'!F290=""),"",('ENTRY DATA'!F290))</f>
        <v/>
      </c>
      <c r="E290" s="34" t="str">
        <f>IF(AND('ENTRY DATA'!B290=""),"",('ENTRY DATA'!B290))</f>
        <v/>
      </c>
      <c r="F290" s="12"/>
      <c r="G290" s="12"/>
      <c r="H290" s="73"/>
      <c r="I290" s="71"/>
      <c r="J290" s="73"/>
      <c r="K290" s="12"/>
      <c r="L290" s="20">
        <f t="shared" si="28"/>
        <v>0</v>
      </c>
      <c r="M290" s="19" t="str">
        <f t="shared" si="29"/>
        <v/>
      </c>
      <c r="N290" s="12"/>
      <c r="O290" s="119"/>
      <c r="P290" s="95" t="str">
        <f t="shared" si="30"/>
        <v/>
      </c>
      <c r="Q290" s="12"/>
      <c r="S290" s="128"/>
      <c r="T290" s="66"/>
      <c r="U290" s="128"/>
      <c r="W290" s="128"/>
      <c r="X290" s="12"/>
      <c r="Y290" t="str">
        <f t="shared" si="31"/>
        <v/>
      </c>
      <c r="Z290" t="str">
        <f t="shared" si="32"/>
        <v/>
      </c>
      <c r="AA290" s="12"/>
      <c r="AB290" s="95" t="e">
        <f t="shared" si="33"/>
        <v>#VALUE!</v>
      </c>
      <c r="AC290" s="95" t="e">
        <f t="shared" si="34"/>
        <v>#VALUE!</v>
      </c>
      <c r="AD290" s="12"/>
    </row>
    <row r="291" spans="1:30" ht="15.75" thickBot="1" x14ac:dyDescent="0.3">
      <c r="A291" s="12"/>
      <c r="B291" s="22"/>
      <c r="C291" t="str">
        <f>IF(AND('ENTRY DATA'!D291=""),"",('ENTRY DATA'!D291))</f>
        <v/>
      </c>
      <c r="D291" t="str">
        <f>IF(AND('ENTRY DATA'!F291=""),"",('ENTRY DATA'!F291))</f>
        <v/>
      </c>
      <c r="E291" s="34" t="str">
        <f>IF(AND('ENTRY DATA'!B291=""),"",('ENTRY DATA'!B291))</f>
        <v/>
      </c>
      <c r="F291" s="12"/>
      <c r="G291" s="12"/>
      <c r="H291" s="73"/>
      <c r="I291" s="71"/>
      <c r="J291" s="73"/>
      <c r="K291" s="12"/>
      <c r="L291" s="20">
        <f t="shared" si="28"/>
        <v>0</v>
      </c>
      <c r="M291" s="19" t="str">
        <f t="shared" si="29"/>
        <v/>
      </c>
      <c r="N291" s="12"/>
      <c r="O291" s="119"/>
      <c r="P291" s="95" t="str">
        <f t="shared" si="30"/>
        <v/>
      </c>
      <c r="Q291" s="12"/>
      <c r="S291" s="128"/>
      <c r="T291" s="66"/>
      <c r="U291" s="128"/>
      <c r="W291" s="128"/>
      <c r="X291" s="12"/>
      <c r="Y291" t="str">
        <f t="shared" si="31"/>
        <v/>
      </c>
      <c r="Z291" t="str">
        <f t="shared" si="32"/>
        <v/>
      </c>
      <c r="AA291" s="12"/>
      <c r="AB291" s="95" t="e">
        <f t="shared" si="33"/>
        <v>#VALUE!</v>
      </c>
      <c r="AC291" s="95" t="e">
        <f t="shared" si="34"/>
        <v>#VALUE!</v>
      </c>
      <c r="AD291" s="12"/>
    </row>
    <row r="292" spans="1:30" ht="15.75" thickBot="1" x14ac:dyDescent="0.3">
      <c r="A292" s="12"/>
      <c r="B292" s="22"/>
      <c r="C292" t="str">
        <f>IF(AND('ENTRY DATA'!D292=""),"",('ENTRY DATA'!D292))</f>
        <v/>
      </c>
      <c r="D292" t="str">
        <f>IF(AND('ENTRY DATA'!F292=""),"",('ENTRY DATA'!F292))</f>
        <v/>
      </c>
      <c r="E292" s="34" t="str">
        <f>IF(AND('ENTRY DATA'!B292=""),"",('ENTRY DATA'!B292))</f>
        <v/>
      </c>
      <c r="F292" s="12"/>
      <c r="G292" s="12"/>
      <c r="H292" s="73"/>
      <c r="I292" s="71"/>
      <c r="J292" s="73"/>
      <c r="K292" s="12"/>
      <c r="L292" s="20">
        <f t="shared" si="28"/>
        <v>0</v>
      </c>
      <c r="M292" s="19" t="str">
        <f t="shared" si="29"/>
        <v/>
      </c>
      <c r="N292" s="12"/>
      <c r="O292" s="119"/>
      <c r="P292" s="95" t="str">
        <f t="shared" si="30"/>
        <v/>
      </c>
      <c r="Q292" s="12"/>
      <c r="S292" s="128"/>
      <c r="T292" s="66"/>
      <c r="U292" s="128"/>
      <c r="W292" s="128"/>
      <c r="X292" s="12"/>
      <c r="Y292" t="str">
        <f t="shared" si="31"/>
        <v/>
      </c>
      <c r="Z292" t="str">
        <f t="shared" si="32"/>
        <v/>
      </c>
      <c r="AA292" s="12"/>
      <c r="AB292" s="95" t="e">
        <f t="shared" si="33"/>
        <v>#VALUE!</v>
      </c>
      <c r="AC292" s="95" t="e">
        <f t="shared" si="34"/>
        <v>#VALUE!</v>
      </c>
      <c r="AD292" s="12"/>
    </row>
    <row r="293" spans="1:30" ht="15.75" thickBot="1" x14ac:dyDescent="0.3">
      <c r="A293" s="12"/>
      <c r="B293" s="22"/>
      <c r="C293" t="str">
        <f>IF(AND('ENTRY DATA'!D293=""),"",('ENTRY DATA'!D293))</f>
        <v/>
      </c>
      <c r="D293" t="str">
        <f>IF(AND('ENTRY DATA'!F293=""),"",('ENTRY DATA'!F293))</f>
        <v/>
      </c>
      <c r="E293" s="34" t="str">
        <f>IF(AND('ENTRY DATA'!B293=""),"",('ENTRY DATA'!B293))</f>
        <v/>
      </c>
      <c r="F293" s="12"/>
      <c r="G293" s="12"/>
      <c r="H293" s="73"/>
      <c r="I293" s="71"/>
      <c r="J293" s="73"/>
      <c r="K293" s="12"/>
      <c r="L293" s="20">
        <f t="shared" si="28"/>
        <v>0</v>
      </c>
      <c r="M293" s="19" t="str">
        <f t="shared" si="29"/>
        <v/>
      </c>
      <c r="N293" s="12"/>
      <c r="O293" s="119"/>
      <c r="P293" s="95" t="str">
        <f t="shared" si="30"/>
        <v/>
      </c>
      <c r="Q293" s="12"/>
      <c r="S293" s="128"/>
      <c r="T293" s="66"/>
      <c r="U293" s="128"/>
      <c r="W293" s="128"/>
      <c r="X293" s="12"/>
      <c r="Y293" t="str">
        <f t="shared" si="31"/>
        <v/>
      </c>
      <c r="Z293" t="str">
        <f t="shared" si="32"/>
        <v/>
      </c>
      <c r="AA293" s="12"/>
      <c r="AB293" s="95" t="e">
        <f t="shared" si="33"/>
        <v>#VALUE!</v>
      </c>
      <c r="AC293" s="95" t="e">
        <f t="shared" si="34"/>
        <v>#VALUE!</v>
      </c>
      <c r="AD293" s="12"/>
    </row>
    <row r="294" spans="1:30" ht="15.75" thickBot="1" x14ac:dyDescent="0.3">
      <c r="A294" s="12"/>
      <c r="B294" s="22"/>
      <c r="C294" t="str">
        <f>IF(AND('ENTRY DATA'!D294=""),"",('ENTRY DATA'!D294))</f>
        <v/>
      </c>
      <c r="D294" t="str">
        <f>IF(AND('ENTRY DATA'!F294=""),"",('ENTRY DATA'!F294))</f>
        <v/>
      </c>
      <c r="E294" s="34" t="str">
        <f>IF(AND('ENTRY DATA'!B294=""),"",('ENTRY DATA'!B294))</f>
        <v/>
      </c>
      <c r="F294" s="12"/>
      <c r="G294" s="12"/>
      <c r="H294" s="73"/>
      <c r="I294" s="71"/>
      <c r="J294" s="73"/>
      <c r="K294" s="12"/>
      <c r="L294" s="20">
        <f t="shared" si="28"/>
        <v>0</v>
      </c>
      <c r="M294" s="19" t="str">
        <f t="shared" si="29"/>
        <v/>
      </c>
      <c r="N294" s="12"/>
      <c r="O294" s="119"/>
      <c r="P294" s="95" t="str">
        <f t="shared" si="30"/>
        <v/>
      </c>
      <c r="Q294" s="12"/>
      <c r="S294" s="128"/>
      <c r="T294" s="66"/>
      <c r="U294" s="128"/>
      <c r="W294" s="128"/>
      <c r="X294" s="12"/>
      <c r="Y294" t="str">
        <f t="shared" si="31"/>
        <v/>
      </c>
      <c r="Z294" t="str">
        <f t="shared" si="32"/>
        <v/>
      </c>
      <c r="AA294" s="12"/>
      <c r="AB294" s="95" t="e">
        <f t="shared" si="33"/>
        <v>#VALUE!</v>
      </c>
      <c r="AC294" s="95" t="e">
        <f t="shared" si="34"/>
        <v>#VALUE!</v>
      </c>
      <c r="AD294" s="12"/>
    </row>
    <row r="295" spans="1:30" ht="15.75" thickBot="1" x14ac:dyDescent="0.3">
      <c r="A295" s="12"/>
      <c r="B295" s="22"/>
      <c r="C295" t="str">
        <f>IF(AND('ENTRY DATA'!D295=""),"",('ENTRY DATA'!D295))</f>
        <v/>
      </c>
      <c r="D295" t="str">
        <f>IF(AND('ENTRY DATA'!F295=""),"",('ENTRY DATA'!F295))</f>
        <v/>
      </c>
      <c r="E295" s="34" t="str">
        <f>IF(AND('ENTRY DATA'!B295=""),"",('ENTRY DATA'!B295))</f>
        <v/>
      </c>
      <c r="F295" s="12"/>
      <c r="G295" s="12"/>
      <c r="H295" s="73"/>
      <c r="I295" s="71"/>
      <c r="J295" s="73"/>
      <c r="K295" s="12"/>
      <c r="L295" s="20">
        <f t="shared" si="28"/>
        <v>0</v>
      </c>
      <c r="M295" s="19" t="str">
        <f t="shared" si="29"/>
        <v/>
      </c>
      <c r="N295" s="12"/>
      <c r="O295" s="119"/>
      <c r="P295" s="95" t="str">
        <f t="shared" si="30"/>
        <v/>
      </c>
      <c r="Q295" s="12"/>
      <c r="S295" s="128"/>
      <c r="T295" s="66"/>
      <c r="U295" s="128"/>
      <c r="W295" s="128"/>
      <c r="X295" s="12"/>
      <c r="Y295" t="str">
        <f t="shared" si="31"/>
        <v/>
      </c>
      <c r="Z295" t="str">
        <f t="shared" si="32"/>
        <v/>
      </c>
      <c r="AA295" s="12"/>
      <c r="AB295" s="95" t="e">
        <f t="shared" si="33"/>
        <v>#VALUE!</v>
      </c>
      <c r="AC295" s="95" t="e">
        <f t="shared" si="34"/>
        <v>#VALUE!</v>
      </c>
      <c r="AD295" s="12"/>
    </row>
    <row r="296" spans="1:30" ht="15.75" thickBot="1" x14ac:dyDescent="0.3">
      <c r="A296" s="12"/>
      <c r="B296" s="22"/>
      <c r="C296" t="str">
        <f>IF(AND('ENTRY DATA'!D296=""),"",('ENTRY DATA'!D296))</f>
        <v/>
      </c>
      <c r="D296" t="str">
        <f>IF(AND('ENTRY DATA'!F296=""),"",('ENTRY DATA'!F296))</f>
        <v/>
      </c>
      <c r="E296" s="34" t="str">
        <f>IF(AND('ENTRY DATA'!B296=""),"",('ENTRY DATA'!B296))</f>
        <v/>
      </c>
      <c r="F296" s="12"/>
      <c r="G296" s="12"/>
      <c r="H296" s="73"/>
      <c r="I296" s="71"/>
      <c r="J296" s="73"/>
      <c r="K296" s="12"/>
      <c r="L296" s="20">
        <f t="shared" si="28"/>
        <v>0</v>
      </c>
      <c r="M296" s="19" t="str">
        <f t="shared" si="29"/>
        <v/>
      </c>
      <c r="N296" s="12"/>
      <c r="O296" s="119"/>
      <c r="P296" s="95" t="str">
        <f t="shared" si="30"/>
        <v/>
      </c>
      <c r="Q296" s="12"/>
      <c r="S296" s="128"/>
      <c r="T296" s="66"/>
      <c r="U296" s="128"/>
      <c r="W296" s="128"/>
      <c r="X296" s="12"/>
      <c r="Y296" t="str">
        <f t="shared" si="31"/>
        <v/>
      </c>
      <c r="Z296" t="str">
        <f t="shared" si="32"/>
        <v/>
      </c>
      <c r="AA296" s="12"/>
      <c r="AB296" s="95" t="e">
        <f t="shared" si="33"/>
        <v>#VALUE!</v>
      </c>
      <c r="AC296" s="95" t="e">
        <f t="shared" si="34"/>
        <v>#VALUE!</v>
      </c>
      <c r="AD296" s="12"/>
    </row>
    <row r="297" spans="1:30" ht="15.75" thickBot="1" x14ac:dyDescent="0.3">
      <c r="A297" s="12"/>
      <c r="B297" s="22"/>
      <c r="C297" t="str">
        <f>IF(AND('ENTRY DATA'!D297=""),"",('ENTRY DATA'!D297))</f>
        <v/>
      </c>
      <c r="D297" t="str">
        <f>IF(AND('ENTRY DATA'!F297=""),"",('ENTRY DATA'!F297))</f>
        <v/>
      </c>
      <c r="E297" s="34" t="str">
        <f>IF(AND('ENTRY DATA'!B297=""),"",('ENTRY DATA'!B297))</f>
        <v/>
      </c>
      <c r="F297" s="12"/>
      <c r="G297" s="12"/>
      <c r="H297" s="73"/>
      <c r="I297" s="71"/>
      <c r="J297" s="73"/>
      <c r="K297" s="12"/>
      <c r="L297" s="20">
        <f t="shared" si="28"/>
        <v>0</v>
      </c>
      <c r="M297" s="19" t="str">
        <f t="shared" si="29"/>
        <v/>
      </c>
      <c r="N297" s="12"/>
      <c r="O297" s="119"/>
      <c r="P297" s="95" t="str">
        <f t="shared" si="30"/>
        <v/>
      </c>
      <c r="Q297" s="12"/>
      <c r="S297" s="128"/>
      <c r="T297" s="66"/>
      <c r="U297" s="128"/>
      <c r="W297" s="128"/>
      <c r="X297" s="12"/>
      <c r="Y297" t="str">
        <f t="shared" si="31"/>
        <v/>
      </c>
      <c r="Z297" t="str">
        <f t="shared" si="32"/>
        <v/>
      </c>
      <c r="AA297" s="12"/>
      <c r="AB297" s="95" t="e">
        <f t="shared" si="33"/>
        <v>#VALUE!</v>
      </c>
      <c r="AC297" s="95" t="e">
        <f t="shared" si="34"/>
        <v>#VALUE!</v>
      </c>
      <c r="AD297" s="12"/>
    </row>
    <row r="298" spans="1:30" ht="15.75" thickBot="1" x14ac:dyDescent="0.3">
      <c r="A298" s="12"/>
      <c r="B298" s="22"/>
      <c r="C298" t="str">
        <f>IF(AND('ENTRY DATA'!D298=""),"",('ENTRY DATA'!D298))</f>
        <v/>
      </c>
      <c r="D298" t="str">
        <f>IF(AND('ENTRY DATA'!F298=""),"",('ENTRY DATA'!F298))</f>
        <v/>
      </c>
      <c r="E298" s="34" t="str">
        <f>IF(AND('ENTRY DATA'!B298=""),"",('ENTRY DATA'!B298))</f>
        <v/>
      </c>
      <c r="F298" s="12"/>
      <c r="G298" s="12"/>
      <c r="H298" s="73"/>
      <c r="I298" s="71"/>
      <c r="J298" s="73"/>
      <c r="K298" s="12"/>
      <c r="L298" s="20">
        <f t="shared" si="28"/>
        <v>0</v>
      </c>
      <c r="M298" s="19" t="str">
        <f t="shared" si="29"/>
        <v/>
      </c>
      <c r="N298" s="12"/>
      <c r="O298" s="119"/>
      <c r="P298" s="95" t="str">
        <f t="shared" si="30"/>
        <v/>
      </c>
      <c r="Q298" s="12"/>
      <c r="S298" s="128"/>
      <c r="T298" s="66"/>
      <c r="U298" s="128"/>
      <c r="W298" s="128"/>
      <c r="X298" s="12"/>
      <c r="Y298" t="str">
        <f t="shared" si="31"/>
        <v/>
      </c>
      <c r="Z298" t="str">
        <f t="shared" si="32"/>
        <v/>
      </c>
      <c r="AA298" s="12"/>
      <c r="AB298" s="95" t="e">
        <f t="shared" si="33"/>
        <v>#VALUE!</v>
      </c>
      <c r="AC298" s="95" t="e">
        <f t="shared" si="34"/>
        <v>#VALUE!</v>
      </c>
      <c r="AD298" s="12"/>
    </row>
    <row r="299" spans="1:30" ht="15.75" thickBot="1" x14ac:dyDescent="0.3">
      <c r="A299" s="12"/>
      <c r="B299" s="22"/>
      <c r="C299" t="str">
        <f>IF(AND('ENTRY DATA'!D299=""),"",('ENTRY DATA'!D299))</f>
        <v/>
      </c>
      <c r="D299" t="str">
        <f>IF(AND('ENTRY DATA'!F299=""),"",('ENTRY DATA'!F299))</f>
        <v/>
      </c>
      <c r="E299" s="34" t="str">
        <f>IF(AND('ENTRY DATA'!B299=""),"",('ENTRY DATA'!B299))</f>
        <v/>
      </c>
      <c r="F299" s="12"/>
      <c r="G299" s="12"/>
      <c r="H299" s="73"/>
      <c r="I299" s="71"/>
      <c r="J299" s="73"/>
      <c r="K299" s="12"/>
      <c r="L299" s="20">
        <f t="shared" si="28"/>
        <v>0</v>
      </c>
      <c r="M299" s="19" t="str">
        <f t="shared" si="29"/>
        <v/>
      </c>
      <c r="N299" s="12"/>
      <c r="O299" s="119"/>
      <c r="P299" s="95" t="str">
        <f t="shared" si="30"/>
        <v/>
      </c>
      <c r="Q299" s="12"/>
      <c r="S299" s="128"/>
      <c r="T299" s="66"/>
      <c r="U299" s="128"/>
      <c r="W299" s="128"/>
      <c r="X299" s="12"/>
      <c r="Y299" t="str">
        <f t="shared" si="31"/>
        <v/>
      </c>
      <c r="Z299" t="str">
        <f t="shared" si="32"/>
        <v/>
      </c>
      <c r="AA299" s="12"/>
      <c r="AB299" s="95" t="e">
        <f t="shared" si="33"/>
        <v>#VALUE!</v>
      </c>
      <c r="AC299" s="95" t="e">
        <f t="shared" si="34"/>
        <v>#VALUE!</v>
      </c>
      <c r="AD299" s="12"/>
    </row>
    <row r="300" spans="1:30" ht="15.75" thickBot="1" x14ac:dyDescent="0.3">
      <c r="A300" s="12"/>
      <c r="B300" s="22"/>
      <c r="C300" t="str">
        <f>IF(AND('ENTRY DATA'!D300=""),"",('ENTRY DATA'!D300))</f>
        <v/>
      </c>
      <c r="D300" t="str">
        <f>IF(AND('ENTRY DATA'!F300=""),"",('ENTRY DATA'!F300))</f>
        <v/>
      </c>
      <c r="E300" s="34" t="str">
        <f>IF(AND('ENTRY DATA'!B300=""),"",('ENTRY DATA'!B300))</f>
        <v/>
      </c>
      <c r="F300" s="12"/>
      <c r="G300" s="12"/>
      <c r="H300" s="73"/>
      <c r="I300" s="71"/>
      <c r="J300" s="73"/>
      <c r="K300" s="12"/>
      <c r="L300" s="20">
        <f t="shared" si="28"/>
        <v>0</v>
      </c>
      <c r="M300" s="19" t="str">
        <f t="shared" si="29"/>
        <v/>
      </c>
      <c r="N300" s="12"/>
      <c r="O300" s="119"/>
      <c r="P300" s="96" t="str">
        <f t="shared" si="30"/>
        <v/>
      </c>
      <c r="Q300" s="12"/>
      <c r="S300" s="128"/>
      <c r="T300" s="68"/>
      <c r="U300" s="128"/>
      <c r="W300" s="128"/>
      <c r="X300" s="12"/>
      <c r="Y300" t="str">
        <f t="shared" si="31"/>
        <v/>
      </c>
      <c r="Z300" t="str">
        <f t="shared" si="32"/>
        <v/>
      </c>
      <c r="AA300" s="12"/>
      <c r="AB300" s="96" t="e">
        <f t="shared" si="33"/>
        <v>#VALUE!</v>
      </c>
      <c r="AC300" s="96" t="e">
        <f t="shared" si="34"/>
        <v>#VALUE!</v>
      </c>
      <c r="AD300" s="12"/>
    </row>
    <row r="301" spans="1:30" x14ac:dyDescent="0.25">
      <c r="A301" s="12"/>
      <c r="B301" s="12"/>
      <c r="C301" s="12"/>
      <c r="D301" s="12"/>
      <c r="E301" s="33"/>
      <c r="F301" s="12"/>
      <c r="G301" s="12"/>
      <c r="H301" s="33"/>
      <c r="I301" s="33"/>
      <c r="J301" s="33"/>
      <c r="K301" s="12"/>
      <c r="L301" s="13"/>
      <c r="M301" s="13"/>
      <c r="N301" s="12"/>
      <c r="O301" s="119"/>
      <c r="P301" s="12">
        <f t="shared" si="30"/>
        <v>0</v>
      </c>
      <c r="Q301" s="12"/>
      <c r="R301" s="12"/>
      <c r="S301" s="12"/>
      <c r="T301" s="12"/>
      <c r="U301" s="12"/>
      <c r="V301" s="12"/>
      <c r="W301" s="12"/>
      <c r="X301" s="12"/>
      <c r="Y301" s="12" t="str">
        <f t="shared" si="31"/>
        <v/>
      </c>
      <c r="Z301" s="12" t="str">
        <f t="shared" si="32"/>
        <v/>
      </c>
      <c r="AA301" s="12"/>
      <c r="AB301" s="12" t="e">
        <f t="shared" si="33"/>
        <v>#VALUE!</v>
      </c>
      <c r="AC301" s="12" t="e">
        <f t="shared" si="34"/>
        <v>#VALUE!</v>
      </c>
      <c r="AD301" s="12"/>
    </row>
    <row r="302" spans="1:30" x14ac:dyDescent="0.25">
      <c r="A302" s="12"/>
      <c r="B302" s="12"/>
      <c r="C302" s="12"/>
      <c r="D302" s="12"/>
      <c r="E302" s="33"/>
      <c r="F302" s="12"/>
      <c r="G302" s="12"/>
      <c r="H302" s="33"/>
      <c r="I302" s="33"/>
      <c r="J302" s="33"/>
      <c r="K302" s="12"/>
      <c r="L302" s="13"/>
      <c r="M302" s="13"/>
      <c r="N302" s="12"/>
      <c r="O302" s="119"/>
      <c r="P302" s="12"/>
      <c r="Q302" s="12"/>
      <c r="R302" s="12"/>
      <c r="S302" s="12"/>
      <c r="T302" s="12"/>
      <c r="U302" s="12"/>
      <c r="V302" s="12"/>
      <c r="W302" s="12"/>
      <c r="X302" s="12"/>
      <c r="Y302" s="12" t="str">
        <f t="shared" si="31"/>
        <v/>
      </c>
      <c r="Z302" s="12" t="str">
        <f t="shared" si="32"/>
        <v/>
      </c>
      <c r="AA302" s="12"/>
      <c r="AB302" s="12"/>
      <c r="AC302" s="12"/>
      <c r="AD302" s="12"/>
    </row>
  </sheetData>
  <mergeCells count="9">
    <mergeCell ref="V3:W3"/>
    <mergeCell ref="Y3:Z3"/>
    <mergeCell ref="R2:T2"/>
    <mergeCell ref="AB3:AC3"/>
    <mergeCell ref="C3:D3"/>
    <mergeCell ref="H3:J3"/>
    <mergeCell ref="L3:M3"/>
    <mergeCell ref="R3:S3"/>
    <mergeCell ref="T3:U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2"/>
  <sheetViews>
    <sheetView topLeftCell="J1" workbookViewId="0">
      <selection activeCell="E289" sqref="E289"/>
    </sheetView>
  </sheetViews>
  <sheetFormatPr defaultRowHeight="15" x14ac:dyDescent="0.25"/>
  <cols>
    <col min="2" max="2" width="4.85546875" customWidth="1"/>
    <col min="3" max="3" width="26.28515625" customWidth="1"/>
    <col min="4" max="4" width="24.7109375" customWidth="1"/>
    <col min="5" max="5" width="10" style="1" customWidth="1"/>
    <col min="6" max="6" width="5.42578125" customWidth="1"/>
    <col min="7" max="7" width="5.28515625" customWidth="1"/>
    <col min="8" max="8" width="18.85546875" style="1" customWidth="1"/>
    <col min="9" max="9" width="18.5703125" style="1" customWidth="1"/>
    <col min="10" max="10" width="17.85546875" style="1" customWidth="1"/>
    <col min="11" max="11" width="13" customWidth="1"/>
    <col min="12" max="12" width="11.85546875" style="2" customWidth="1"/>
    <col min="13" max="13" width="11.7109375" style="2" customWidth="1"/>
    <col min="14" max="14" width="11.42578125" customWidth="1"/>
    <col min="15" max="15" width="3.7109375" style="122" customWidth="1"/>
    <col min="16" max="16" width="16.7109375" customWidth="1"/>
    <col min="17" max="17" width="3.28515625" customWidth="1"/>
    <col min="18" max="18" width="16.42578125" customWidth="1"/>
    <col min="20" max="20" width="13.28515625" customWidth="1"/>
    <col min="22" max="22" width="11.7109375" customWidth="1"/>
    <col min="25" max="25" width="13.140625" customWidth="1"/>
    <col min="26" max="26" width="13.42578125" customWidth="1"/>
    <col min="28" max="28" width="11" customWidth="1"/>
    <col min="29" max="29" width="10.85546875" customWidth="1"/>
  </cols>
  <sheetData>
    <row r="1" spans="1:30" ht="15.75" thickBot="1" x14ac:dyDescent="0.3">
      <c r="A1" s="12"/>
      <c r="B1" s="12"/>
      <c r="C1" s="12"/>
      <c r="D1" s="12"/>
      <c r="E1" s="33"/>
      <c r="F1" s="12"/>
      <c r="G1" s="12"/>
      <c r="H1" s="33"/>
      <c r="I1" s="33"/>
      <c r="J1" s="33"/>
      <c r="K1" s="12"/>
      <c r="L1" s="13"/>
      <c r="M1" s="13"/>
      <c r="N1" s="12"/>
      <c r="O1" s="11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thickBot="1" x14ac:dyDescent="0.3">
      <c r="A2" s="12"/>
      <c r="B2" s="12"/>
      <c r="C2" s="12"/>
      <c r="D2" s="12"/>
      <c r="E2" s="33"/>
      <c r="F2" s="12"/>
      <c r="G2" s="12"/>
      <c r="H2" s="33"/>
      <c r="I2" s="33"/>
      <c r="J2" s="33"/>
      <c r="K2" s="12"/>
      <c r="L2" s="13"/>
      <c r="M2" s="13"/>
      <c r="N2" s="12"/>
      <c r="O2" s="119"/>
      <c r="P2" s="12"/>
      <c r="Q2" s="12"/>
      <c r="R2" s="159" t="s">
        <v>53</v>
      </c>
      <c r="S2" s="160"/>
      <c r="T2" s="16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6.5" thickTop="1" thickBot="1" x14ac:dyDescent="0.3">
      <c r="A3" s="12"/>
      <c r="B3" s="30"/>
      <c r="C3" s="164"/>
      <c r="D3" s="165"/>
      <c r="E3" s="15"/>
      <c r="F3" s="16"/>
      <c r="G3" s="17"/>
      <c r="H3" s="166" t="s">
        <v>15</v>
      </c>
      <c r="I3" s="167"/>
      <c r="J3" s="168"/>
      <c r="K3" s="14"/>
      <c r="L3" s="169" t="s">
        <v>18</v>
      </c>
      <c r="M3" s="170"/>
      <c r="N3" s="14"/>
      <c r="O3" s="120"/>
      <c r="P3" s="12"/>
      <c r="Q3" s="12"/>
      <c r="R3" s="158" t="s">
        <v>12</v>
      </c>
      <c r="S3" s="156"/>
      <c r="T3" s="159" t="s">
        <v>13</v>
      </c>
      <c r="U3" s="161"/>
      <c r="V3" s="156" t="s">
        <v>14</v>
      </c>
      <c r="W3" s="157"/>
      <c r="X3" s="12"/>
      <c r="Y3" s="158" t="s">
        <v>56</v>
      </c>
      <c r="Z3" s="157"/>
      <c r="AA3" s="12"/>
      <c r="AB3" s="162" t="s">
        <v>58</v>
      </c>
      <c r="AC3" s="163"/>
      <c r="AD3" s="12"/>
    </row>
    <row r="4" spans="1:30" ht="15.75" thickBot="1" x14ac:dyDescent="0.3">
      <c r="A4" s="12"/>
      <c r="B4" s="29"/>
      <c r="C4" s="23" t="s">
        <v>9</v>
      </c>
      <c r="D4" s="23" t="s">
        <v>3</v>
      </c>
      <c r="E4" s="31" t="s">
        <v>0</v>
      </c>
      <c r="F4" s="18"/>
      <c r="G4" s="18"/>
      <c r="H4" s="24" t="s">
        <v>12</v>
      </c>
      <c r="I4" s="25" t="s">
        <v>13</v>
      </c>
      <c r="J4" s="26" t="s">
        <v>14</v>
      </c>
      <c r="K4" s="15"/>
      <c r="L4" s="27" t="s">
        <v>16</v>
      </c>
      <c r="M4" s="28" t="s">
        <v>17</v>
      </c>
      <c r="N4" s="15"/>
      <c r="O4" s="121"/>
      <c r="P4" s="123" t="s">
        <v>9</v>
      </c>
      <c r="Q4" s="12"/>
      <c r="R4" s="124" t="s">
        <v>54</v>
      </c>
      <c r="S4" s="125" t="s">
        <v>55</v>
      </c>
      <c r="T4" s="129" t="s">
        <v>54</v>
      </c>
      <c r="U4" s="130" t="s">
        <v>55</v>
      </c>
      <c r="V4" s="125" t="s">
        <v>54</v>
      </c>
      <c r="W4" s="126" t="s">
        <v>55</v>
      </c>
      <c r="X4" s="12"/>
      <c r="Y4" s="129" t="s">
        <v>54</v>
      </c>
      <c r="Z4" s="130" t="s">
        <v>57</v>
      </c>
      <c r="AA4" s="12"/>
      <c r="AB4" s="131" t="s">
        <v>54</v>
      </c>
      <c r="AC4" s="132" t="s">
        <v>57</v>
      </c>
      <c r="AD4" s="12"/>
    </row>
    <row r="5" spans="1:30" ht="15.75" thickBot="1" x14ac:dyDescent="0.3">
      <c r="A5" s="12"/>
      <c r="B5" s="22"/>
      <c r="C5" t="str">
        <f>IF(AND('ENTRY DATA'!D5=""),"",('ENTRY DATA'!D5))</f>
        <v/>
      </c>
      <c r="D5" t="str">
        <f>IF(AND('ENTRY DATA'!F5=""),"",('ENTRY DATA'!F5))</f>
        <v/>
      </c>
      <c r="E5" s="34">
        <f>IF(AND('ENTRY DATA'!B5=""),"",('ENTRY DATA'!B5))</f>
        <v>1</v>
      </c>
      <c r="F5" s="12"/>
      <c r="G5" s="12"/>
      <c r="H5" s="70"/>
      <c r="I5" s="71"/>
      <c r="J5" s="70"/>
      <c r="K5" s="12"/>
      <c r="L5" s="20">
        <f>COUNT(H5:J5)</f>
        <v>0</v>
      </c>
      <c r="M5" s="19" t="str">
        <f>IF(AND(H5="",I5="",J5=""),"",(H5+I5+J5))</f>
        <v/>
      </c>
      <c r="N5" s="12"/>
      <c r="O5" s="119"/>
      <c r="P5" s="95" t="str">
        <f>C5</f>
        <v/>
      </c>
      <c r="Q5" s="12"/>
      <c r="S5" s="128"/>
      <c r="T5" s="66"/>
      <c r="U5" s="128"/>
      <c r="W5" s="128"/>
      <c r="X5" s="12"/>
      <c r="Y5" t="str">
        <f>IF(AND(R5="",T5="",V5=""),"",SUM(R5,T5,V5))</f>
        <v/>
      </c>
      <c r="Z5" t="str">
        <f>IF(AND(S5="",U5="",W5=""),"",SUM(S5,U5,W5))</f>
        <v/>
      </c>
      <c r="AA5" s="12"/>
      <c r="AB5" s="94" t="e">
        <f>Y5/L5</f>
        <v>#VALUE!</v>
      </c>
      <c r="AC5" s="94" t="e">
        <f>Z5/L5</f>
        <v>#VALUE!</v>
      </c>
      <c r="AD5" s="12"/>
    </row>
    <row r="6" spans="1:30" ht="15.75" thickBot="1" x14ac:dyDescent="0.3">
      <c r="A6" s="12"/>
      <c r="B6" s="22"/>
      <c r="C6" t="str">
        <f>IF(AND('ENTRY DATA'!D6=""),"",('ENTRY DATA'!D6))</f>
        <v/>
      </c>
      <c r="D6" t="str">
        <f>IF(AND('ENTRY DATA'!F6=""),"",('ENTRY DATA'!F6))</f>
        <v/>
      </c>
      <c r="E6" s="34" t="str">
        <f>IF(AND('ENTRY DATA'!B6=""),"",('ENTRY DATA'!B6))</f>
        <v/>
      </c>
      <c r="F6" s="12"/>
      <c r="G6" s="12"/>
      <c r="H6" s="72"/>
      <c r="I6" s="71"/>
      <c r="J6" s="72"/>
      <c r="K6" s="12"/>
      <c r="L6" s="20">
        <f t="shared" ref="L6:L69" si="0">COUNT(H6:J6)</f>
        <v>0</v>
      </c>
      <c r="M6" s="19" t="str">
        <f t="shared" ref="M6:M69" si="1">IF(AND(H6="",I6="",J6=""),"",(H6+I6+J6))</f>
        <v/>
      </c>
      <c r="N6" s="12"/>
      <c r="O6" s="119"/>
      <c r="P6" s="95" t="str">
        <f t="shared" ref="P6:P69" si="2">C6</f>
        <v/>
      </c>
      <c r="Q6" s="12"/>
      <c r="S6" s="128"/>
      <c r="T6" s="66"/>
      <c r="U6" s="128"/>
      <c r="W6" s="128"/>
      <c r="X6" s="12"/>
      <c r="Y6" t="str">
        <f t="shared" ref="Y6:Z69" si="3">IF(AND(R6="",T6="",V6=""),"",SUM(R6,T6,V6))</f>
        <v/>
      </c>
      <c r="Z6" t="str">
        <f t="shared" si="3"/>
        <v/>
      </c>
      <c r="AA6" s="12"/>
      <c r="AB6" s="95" t="e">
        <f t="shared" ref="AB6:AB69" si="4">Y6/L6</f>
        <v>#VALUE!</v>
      </c>
      <c r="AC6" s="95" t="e">
        <f t="shared" ref="AC6:AC69" si="5">Z6/L6</f>
        <v>#VALUE!</v>
      </c>
      <c r="AD6" s="12"/>
    </row>
    <row r="7" spans="1:30" ht="15.75" thickBot="1" x14ac:dyDescent="0.3">
      <c r="A7" s="12"/>
      <c r="B7" s="22"/>
      <c r="C7" t="str">
        <f>IF(AND('ENTRY DATA'!D7=""),"",('ENTRY DATA'!D7))</f>
        <v/>
      </c>
      <c r="D7" t="str">
        <f>IF(AND('ENTRY DATA'!F7=""),"",('ENTRY DATA'!F7))</f>
        <v/>
      </c>
      <c r="E7" s="34" t="str">
        <f>IF(AND('ENTRY DATA'!B7=""),"",('ENTRY DATA'!B7))</f>
        <v/>
      </c>
      <c r="F7" s="12"/>
      <c r="G7" s="12"/>
      <c r="H7" s="72"/>
      <c r="I7" s="71"/>
      <c r="J7" s="72"/>
      <c r="K7" s="12"/>
      <c r="L7" s="20">
        <f t="shared" si="0"/>
        <v>0</v>
      </c>
      <c r="M7" s="19" t="str">
        <f t="shared" si="1"/>
        <v/>
      </c>
      <c r="N7" s="12"/>
      <c r="O7" s="119"/>
      <c r="P7" s="95" t="str">
        <f t="shared" si="2"/>
        <v/>
      </c>
      <c r="Q7" s="12"/>
      <c r="S7" s="128"/>
      <c r="T7" s="66"/>
      <c r="U7" s="128"/>
      <c r="W7" s="128"/>
      <c r="X7" s="12"/>
      <c r="Y7" t="str">
        <f t="shared" si="3"/>
        <v/>
      </c>
      <c r="Z7" t="str">
        <f t="shared" si="3"/>
        <v/>
      </c>
      <c r="AA7" s="12"/>
      <c r="AB7" s="95" t="e">
        <f t="shared" si="4"/>
        <v>#VALUE!</v>
      </c>
      <c r="AC7" s="95" t="e">
        <f t="shared" si="5"/>
        <v>#VALUE!</v>
      </c>
      <c r="AD7" s="12"/>
    </row>
    <row r="8" spans="1:30" ht="15.75" thickBot="1" x14ac:dyDescent="0.3">
      <c r="A8" s="12"/>
      <c r="B8" s="22"/>
      <c r="C8" t="str">
        <f>IF(AND('ENTRY DATA'!D8=""),"",('ENTRY DATA'!D8))</f>
        <v/>
      </c>
      <c r="D8" t="str">
        <f>IF(AND('ENTRY DATA'!F8=""),"",('ENTRY DATA'!F8))</f>
        <v/>
      </c>
      <c r="E8" s="34" t="str">
        <f>IF(AND('ENTRY DATA'!B8=""),"",('ENTRY DATA'!B8))</f>
        <v/>
      </c>
      <c r="F8" s="12"/>
      <c r="G8" s="12"/>
      <c r="H8" s="72"/>
      <c r="I8" s="71"/>
      <c r="J8" s="72"/>
      <c r="K8" s="12"/>
      <c r="L8" s="20">
        <f t="shared" si="0"/>
        <v>0</v>
      </c>
      <c r="M8" s="19" t="str">
        <f t="shared" si="1"/>
        <v/>
      </c>
      <c r="N8" s="12"/>
      <c r="O8" s="119"/>
      <c r="P8" s="95" t="str">
        <f t="shared" si="2"/>
        <v/>
      </c>
      <c r="Q8" s="12"/>
      <c r="S8" s="128"/>
      <c r="T8" s="66"/>
      <c r="U8" s="128"/>
      <c r="W8" s="128"/>
      <c r="X8" s="12"/>
      <c r="Y8" t="str">
        <f t="shared" si="3"/>
        <v/>
      </c>
      <c r="Z8" t="str">
        <f t="shared" si="3"/>
        <v/>
      </c>
      <c r="AA8" s="12"/>
      <c r="AB8" s="95" t="e">
        <f t="shared" si="4"/>
        <v>#VALUE!</v>
      </c>
      <c r="AC8" s="95" t="e">
        <f t="shared" si="5"/>
        <v>#VALUE!</v>
      </c>
      <c r="AD8" s="12"/>
    </row>
    <row r="9" spans="1:30" ht="15.75" thickBot="1" x14ac:dyDescent="0.3">
      <c r="A9" s="12"/>
      <c r="B9" s="22"/>
      <c r="C9" t="str">
        <f>IF(AND('ENTRY DATA'!D9=""),"",('ENTRY DATA'!D9))</f>
        <v/>
      </c>
      <c r="D9" t="str">
        <f>IF(AND('ENTRY DATA'!F9=""),"",('ENTRY DATA'!F9))</f>
        <v/>
      </c>
      <c r="E9" s="34" t="str">
        <f>IF(AND('ENTRY DATA'!B9=""),"",('ENTRY DATA'!B9))</f>
        <v/>
      </c>
      <c r="F9" s="12"/>
      <c r="G9" s="12"/>
      <c r="H9" s="72"/>
      <c r="I9" s="71"/>
      <c r="J9" s="72"/>
      <c r="K9" s="12"/>
      <c r="L9" s="20">
        <f t="shared" si="0"/>
        <v>0</v>
      </c>
      <c r="M9" s="19" t="str">
        <f t="shared" si="1"/>
        <v/>
      </c>
      <c r="N9" s="12"/>
      <c r="O9" s="119"/>
      <c r="P9" s="95" t="str">
        <f t="shared" si="2"/>
        <v/>
      </c>
      <c r="Q9" s="12"/>
      <c r="S9" s="128"/>
      <c r="T9" s="66"/>
      <c r="U9" s="128"/>
      <c r="W9" s="128"/>
      <c r="X9" s="12"/>
      <c r="Y9" t="str">
        <f t="shared" si="3"/>
        <v/>
      </c>
      <c r="Z9" t="str">
        <f t="shared" si="3"/>
        <v/>
      </c>
      <c r="AA9" s="12"/>
      <c r="AB9" s="95" t="e">
        <f t="shared" si="4"/>
        <v>#VALUE!</v>
      </c>
      <c r="AC9" s="95" t="e">
        <f t="shared" si="5"/>
        <v>#VALUE!</v>
      </c>
      <c r="AD9" s="12"/>
    </row>
    <row r="10" spans="1:30" ht="15.75" thickBot="1" x14ac:dyDescent="0.3">
      <c r="A10" s="12"/>
      <c r="B10" s="22"/>
      <c r="C10" t="str">
        <f>IF(AND('ENTRY DATA'!D10=""),"",('ENTRY DATA'!D10))</f>
        <v/>
      </c>
      <c r="D10" t="str">
        <f>IF(AND('ENTRY DATA'!F10=""),"",('ENTRY DATA'!F10))</f>
        <v/>
      </c>
      <c r="E10" s="34" t="str">
        <f>IF(AND('ENTRY DATA'!B10=""),"",('ENTRY DATA'!B10))</f>
        <v/>
      </c>
      <c r="F10" s="12"/>
      <c r="G10" s="12"/>
      <c r="H10" s="72"/>
      <c r="I10" s="71"/>
      <c r="J10" s="72"/>
      <c r="K10" s="12"/>
      <c r="L10" s="20">
        <f t="shared" si="0"/>
        <v>0</v>
      </c>
      <c r="M10" s="19" t="str">
        <f t="shared" si="1"/>
        <v/>
      </c>
      <c r="N10" s="12"/>
      <c r="O10" s="119"/>
      <c r="P10" s="95" t="str">
        <f t="shared" si="2"/>
        <v/>
      </c>
      <c r="Q10" s="12"/>
      <c r="S10" s="128"/>
      <c r="T10" s="66"/>
      <c r="U10" s="128"/>
      <c r="W10" s="128"/>
      <c r="X10" s="12"/>
      <c r="Y10" t="str">
        <f t="shared" si="3"/>
        <v/>
      </c>
      <c r="Z10" t="str">
        <f t="shared" si="3"/>
        <v/>
      </c>
      <c r="AA10" s="12"/>
      <c r="AB10" s="95" t="e">
        <f t="shared" si="4"/>
        <v>#VALUE!</v>
      </c>
      <c r="AC10" s="95" t="e">
        <f t="shared" si="5"/>
        <v>#VALUE!</v>
      </c>
      <c r="AD10" s="12"/>
    </row>
    <row r="11" spans="1:30" ht="15.75" thickBot="1" x14ac:dyDescent="0.3">
      <c r="A11" s="12"/>
      <c r="B11" s="22"/>
      <c r="C11" t="str">
        <f>IF(AND('ENTRY DATA'!D11=""),"",('ENTRY DATA'!D11))</f>
        <v/>
      </c>
      <c r="D11" t="str">
        <f>IF(AND('ENTRY DATA'!F11=""),"",('ENTRY DATA'!F11))</f>
        <v/>
      </c>
      <c r="E11" s="34" t="str">
        <f>IF(AND('ENTRY DATA'!B11=""),"",('ENTRY DATA'!B11))</f>
        <v/>
      </c>
      <c r="F11" s="12"/>
      <c r="G11" s="12"/>
      <c r="H11" s="72"/>
      <c r="I11" s="71"/>
      <c r="J11" s="72"/>
      <c r="K11" s="12"/>
      <c r="L11" s="20">
        <f t="shared" si="0"/>
        <v>0</v>
      </c>
      <c r="M11" s="19" t="str">
        <f t="shared" si="1"/>
        <v/>
      </c>
      <c r="N11" s="12"/>
      <c r="O11" s="119"/>
      <c r="P11" s="95" t="str">
        <f t="shared" si="2"/>
        <v/>
      </c>
      <c r="Q11" s="12"/>
      <c r="S11" s="128"/>
      <c r="T11" s="66"/>
      <c r="U11" s="128"/>
      <c r="W11" s="128"/>
      <c r="X11" s="12"/>
      <c r="Y11" t="str">
        <f t="shared" si="3"/>
        <v/>
      </c>
      <c r="Z11" t="str">
        <f t="shared" si="3"/>
        <v/>
      </c>
      <c r="AA11" s="12"/>
      <c r="AB11" s="95" t="e">
        <f t="shared" si="4"/>
        <v>#VALUE!</v>
      </c>
      <c r="AC11" s="95" t="e">
        <f t="shared" si="5"/>
        <v>#VALUE!</v>
      </c>
      <c r="AD11" s="12"/>
    </row>
    <row r="12" spans="1:30" ht="15.75" thickBot="1" x14ac:dyDescent="0.3">
      <c r="A12" s="12"/>
      <c r="B12" s="22"/>
      <c r="C12" t="str">
        <f>IF(AND('ENTRY DATA'!D12=""),"",('ENTRY DATA'!D12))</f>
        <v/>
      </c>
      <c r="D12" t="str">
        <f>IF(AND('ENTRY DATA'!F12=""),"",('ENTRY DATA'!F12))</f>
        <v/>
      </c>
      <c r="E12" s="34" t="str">
        <f>IF(AND('ENTRY DATA'!B12=""),"",('ENTRY DATA'!B12))</f>
        <v/>
      </c>
      <c r="F12" s="12"/>
      <c r="G12" s="12"/>
      <c r="H12" s="72"/>
      <c r="I12" s="71"/>
      <c r="J12" s="72"/>
      <c r="K12" s="12"/>
      <c r="L12" s="20">
        <f t="shared" si="0"/>
        <v>0</v>
      </c>
      <c r="M12" s="19" t="str">
        <f t="shared" si="1"/>
        <v/>
      </c>
      <c r="N12" s="12"/>
      <c r="O12" s="119"/>
      <c r="P12" s="95" t="str">
        <f t="shared" si="2"/>
        <v/>
      </c>
      <c r="Q12" s="12"/>
      <c r="S12" s="128"/>
      <c r="T12" s="66"/>
      <c r="U12" s="128"/>
      <c r="W12" s="128"/>
      <c r="X12" s="12"/>
      <c r="Y12" t="str">
        <f t="shared" si="3"/>
        <v/>
      </c>
      <c r="Z12" t="str">
        <f t="shared" si="3"/>
        <v/>
      </c>
      <c r="AA12" s="12"/>
      <c r="AB12" s="95" t="e">
        <f t="shared" si="4"/>
        <v>#VALUE!</v>
      </c>
      <c r="AC12" s="95" t="e">
        <f t="shared" si="5"/>
        <v>#VALUE!</v>
      </c>
      <c r="AD12" s="12"/>
    </row>
    <row r="13" spans="1:30" ht="15.75" thickBot="1" x14ac:dyDescent="0.3">
      <c r="A13" s="12"/>
      <c r="B13" s="22"/>
      <c r="C13" t="str">
        <f>IF(AND('ENTRY DATA'!D13=""),"",('ENTRY DATA'!D13))</f>
        <v/>
      </c>
      <c r="D13" t="str">
        <f>IF(AND('ENTRY DATA'!F13=""),"",('ENTRY DATA'!F13))</f>
        <v/>
      </c>
      <c r="E13" s="34">
        <f>IF(AND('ENTRY DATA'!B13=""),"",('ENTRY DATA'!B13))</f>
        <v>2</v>
      </c>
      <c r="F13" s="12"/>
      <c r="G13" s="12"/>
      <c r="H13" s="72"/>
      <c r="I13" s="71"/>
      <c r="J13" s="72"/>
      <c r="K13" s="12"/>
      <c r="L13" s="20">
        <f t="shared" si="0"/>
        <v>0</v>
      </c>
      <c r="M13" s="19" t="str">
        <f t="shared" si="1"/>
        <v/>
      </c>
      <c r="N13" s="12"/>
      <c r="O13" s="119"/>
      <c r="P13" s="95" t="str">
        <f t="shared" si="2"/>
        <v/>
      </c>
      <c r="Q13" s="12"/>
      <c r="S13" s="128"/>
      <c r="T13" s="66"/>
      <c r="U13" s="128"/>
      <c r="W13" s="128"/>
      <c r="X13" s="12"/>
      <c r="Y13" t="str">
        <f t="shared" si="3"/>
        <v/>
      </c>
      <c r="Z13" t="str">
        <f t="shared" si="3"/>
        <v/>
      </c>
      <c r="AA13" s="12"/>
      <c r="AB13" s="95" t="e">
        <f t="shared" si="4"/>
        <v>#VALUE!</v>
      </c>
      <c r="AC13" s="95" t="e">
        <f t="shared" si="5"/>
        <v>#VALUE!</v>
      </c>
      <c r="AD13" s="12"/>
    </row>
    <row r="14" spans="1:30" ht="15.75" thickBot="1" x14ac:dyDescent="0.3">
      <c r="A14" s="12"/>
      <c r="B14" s="22"/>
      <c r="C14" t="str">
        <f>IF(AND('ENTRY DATA'!D14=""),"",('ENTRY DATA'!D14))</f>
        <v/>
      </c>
      <c r="D14" t="str">
        <f>IF(AND('ENTRY DATA'!F14=""),"",('ENTRY DATA'!F14))</f>
        <v/>
      </c>
      <c r="E14" s="34" t="str">
        <f>IF(AND('ENTRY DATA'!B14=""),"",('ENTRY DATA'!B14))</f>
        <v/>
      </c>
      <c r="F14" s="12"/>
      <c r="G14" s="12"/>
      <c r="H14" s="72"/>
      <c r="I14" s="71"/>
      <c r="J14" s="72"/>
      <c r="K14" s="12"/>
      <c r="L14" s="20">
        <f t="shared" si="0"/>
        <v>0</v>
      </c>
      <c r="M14" s="19" t="str">
        <f t="shared" si="1"/>
        <v/>
      </c>
      <c r="N14" s="12"/>
      <c r="O14" s="119"/>
      <c r="P14" s="95" t="str">
        <f t="shared" si="2"/>
        <v/>
      </c>
      <c r="Q14" s="12"/>
      <c r="S14" s="128"/>
      <c r="T14" s="66"/>
      <c r="U14" s="128"/>
      <c r="W14" s="128"/>
      <c r="X14" s="12"/>
      <c r="Y14" t="str">
        <f t="shared" si="3"/>
        <v/>
      </c>
      <c r="Z14" t="str">
        <f t="shared" si="3"/>
        <v/>
      </c>
      <c r="AA14" s="12"/>
      <c r="AB14" s="95" t="e">
        <f t="shared" si="4"/>
        <v>#VALUE!</v>
      </c>
      <c r="AC14" s="95" t="e">
        <f t="shared" si="5"/>
        <v>#VALUE!</v>
      </c>
      <c r="AD14" s="12"/>
    </row>
    <row r="15" spans="1:30" ht="15.75" thickBot="1" x14ac:dyDescent="0.3">
      <c r="A15" s="12"/>
      <c r="B15" s="22"/>
      <c r="C15" t="str">
        <f>IF(AND('ENTRY DATA'!D15=""),"",('ENTRY DATA'!D15))</f>
        <v/>
      </c>
      <c r="D15" t="str">
        <f>IF(AND('ENTRY DATA'!F15=""),"",('ENTRY DATA'!F15))</f>
        <v/>
      </c>
      <c r="E15" s="34" t="str">
        <f>IF(AND('ENTRY DATA'!B15=""),"",('ENTRY DATA'!B15))</f>
        <v/>
      </c>
      <c r="F15" s="12"/>
      <c r="G15" s="12"/>
      <c r="H15" s="72"/>
      <c r="I15" s="71"/>
      <c r="J15" s="72"/>
      <c r="K15" s="12"/>
      <c r="L15" s="20">
        <f t="shared" si="0"/>
        <v>0</v>
      </c>
      <c r="M15" s="19" t="str">
        <f t="shared" si="1"/>
        <v/>
      </c>
      <c r="N15" s="12"/>
      <c r="O15" s="119"/>
      <c r="P15" s="95" t="str">
        <f t="shared" si="2"/>
        <v/>
      </c>
      <c r="Q15" s="12"/>
      <c r="S15" s="128"/>
      <c r="T15" s="66"/>
      <c r="U15" s="128"/>
      <c r="W15" s="128"/>
      <c r="X15" s="12"/>
      <c r="Y15" t="str">
        <f t="shared" si="3"/>
        <v/>
      </c>
      <c r="Z15" t="str">
        <f t="shared" si="3"/>
        <v/>
      </c>
      <c r="AA15" s="12"/>
      <c r="AB15" s="95" t="e">
        <f t="shared" si="4"/>
        <v>#VALUE!</v>
      </c>
      <c r="AC15" s="95" t="e">
        <f t="shared" si="5"/>
        <v>#VALUE!</v>
      </c>
      <c r="AD15" s="12"/>
    </row>
    <row r="16" spans="1:30" ht="15.75" thickBot="1" x14ac:dyDescent="0.3">
      <c r="A16" s="12"/>
      <c r="B16" s="22"/>
      <c r="C16" t="str">
        <f>IF(AND('ENTRY DATA'!D16=""),"",('ENTRY DATA'!D16))</f>
        <v/>
      </c>
      <c r="D16" t="str">
        <f>IF(AND('ENTRY DATA'!F16=""),"",('ENTRY DATA'!F16))</f>
        <v/>
      </c>
      <c r="E16" s="34" t="str">
        <f>IF(AND('ENTRY DATA'!B16=""),"",('ENTRY DATA'!B16))</f>
        <v/>
      </c>
      <c r="F16" s="12"/>
      <c r="G16" s="12"/>
      <c r="H16" s="72"/>
      <c r="I16" s="71"/>
      <c r="J16" s="72"/>
      <c r="K16" s="12"/>
      <c r="L16" s="20">
        <f t="shared" si="0"/>
        <v>0</v>
      </c>
      <c r="M16" s="19" t="str">
        <f t="shared" si="1"/>
        <v/>
      </c>
      <c r="N16" s="12"/>
      <c r="O16" s="119"/>
      <c r="P16" s="95" t="str">
        <f t="shared" si="2"/>
        <v/>
      </c>
      <c r="Q16" s="12"/>
      <c r="S16" s="128"/>
      <c r="T16" s="66"/>
      <c r="U16" s="128"/>
      <c r="W16" s="128"/>
      <c r="X16" s="12"/>
      <c r="Y16" t="str">
        <f t="shared" si="3"/>
        <v/>
      </c>
      <c r="Z16" t="str">
        <f t="shared" si="3"/>
        <v/>
      </c>
      <c r="AA16" s="12"/>
      <c r="AB16" s="95" t="e">
        <f t="shared" si="4"/>
        <v>#VALUE!</v>
      </c>
      <c r="AC16" s="95" t="e">
        <f t="shared" si="5"/>
        <v>#VALUE!</v>
      </c>
      <c r="AD16" s="12"/>
    </row>
    <row r="17" spans="1:30" ht="15.75" thickBot="1" x14ac:dyDescent="0.3">
      <c r="A17" s="12"/>
      <c r="B17" s="22"/>
      <c r="C17" t="str">
        <f>IF(AND('ENTRY DATA'!D17=""),"",('ENTRY DATA'!D17))</f>
        <v/>
      </c>
      <c r="D17" t="str">
        <f>IF(AND('ENTRY DATA'!F17=""),"",('ENTRY DATA'!F17))</f>
        <v/>
      </c>
      <c r="E17" s="34" t="str">
        <f>IF(AND('ENTRY DATA'!B17=""),"",('ENTRY DATA'!B17))</f>
        <v/>
      </c>
      <c r="F17" s="12"/>
      <c r="G17" s="12"/>
      <c r="H17" s="72"/>
      <c r="I17" s="71"/>
      <c r="J17" s="72"/>
      <c r="K17" s="12"/>
      <c r="L17" s="20">
        <f t="shared" si="0"/>
        <v>0</v>
      </c>
      <c r="M17" s="19" t="str">
        <f t="shared" si="1"/>
        <v/>
      </c>
      <c r="N17" s="12"/>
      <c r="O17" s="119"/>
      <c r="P17" s="95" t="str">
        <f t="shared" si="2"/>
        <v/>
      </c>
      <c r="Q17" s="12"/>
      <c r="S17" s="128"/>
      <c r="T17" s="66"/>
      <c r="U17" s="128"/>
      <c r="W17" s="128"/>
      <c r="X17" s="12"/>
      <c r="Y17" t="str">
        <f t="shared" si="3"/>
        <v/>
      </c>
      <c r="Z17" t="str">
        <f t="shared" si="3"/>
        <v/>
      </c>
      <c r="AA17" s="12"/>
      <c r="AB17" s="95" t="e">
        <f t="shared" si="4"/>
        <v>#VALUE!</v>
      </c>
      <c r="AC17" s="95" t="e">
        <f t="shared" si="5"/>
        <v>#VALUE!</v>
      </c>
      <c r="AD17" s="12"/>
    </row>
    <row r="18" spans="1:30" ht="15.75" thickBot="1" x14ac:dyDescent="0.3">
      <c r="A18" s="12"/>
      <c r="B18" s="22"/>
      <c r="C18" t="str">
        <f>IF(AND('ENTRY DATA'!D18=""),"",('ENTRY DATA'!D18))</f>
        <v/>
      </c>
      <c r="D18" t="str">
        <f>IF(AND('ENTRY DATA'!F18=""),"",('ENTRY DATA'!F18))</f>
        <v/>
      </c>
      <c r="E18" s="34" t="str">
        <f>IF(AND('ENTRY DATA'!B18=""),"",('ENTRY DATA'!B18))</f>
        <v/>
      </c>
      <c r="F18" s="12"/>
      <c r="G18" s="12"/>
      <c r="H18" s="72"/>
      <c r="I18" s="71"/>
      <c r="J18" s="72"/>
      <c r="K18" s="12"/>
      <c r="L18" s="20">
        <f t="shared" si="0"/>
        <v>0</v>
      </c>
      <c r="M18" s="19" t="str">
        <f t="shared" si="1"/>
        <v/>
      </c>
      <c r="N18" s="12"/>
      <c r="O18" s="119"/>
      <c r="P18" s="95" t="str">
        <f t="shared" si="2"/>
        <v/>
      </c>
      <c r="Q18" s="12"/>
      <c r="S18" s="128"/>
      <c r="T18" s="66"/>
      <c r="U18" s="128"/>
      <c r="W18" s="128"/>
      <c r="X18" s="12"/>
      <c r="Y18" t="str">
        <f t="shared" si="3"/>
        <v/>
      </c>
      <c r="Z18" t="str">
        <f t="shared" si="3"/>
        <v/>
      </c>
      <c r="AA18" s="12"/>
      <c r="AB18" s="95" t="e">
        <f t="shared" si="4"/>
        <v>#VALUE!</v>
      </c>
      <c r="AC18" s="95" t="e">
        <f t="shared" si="5"/>
        <v>#VALUE!</v>
      </c>
      <c r="AD18" s="12"/>
    </row>
    <row r="19" spans="1:30" ht="15.75" thickBot="1" x14ac:dyDescent="0.3">
      <c r="A19" s="12"/>
      <c r="B19" s="22"/>
      <c r="C19" t="str">
        <f>IF(AND('ENTRY DATA'!D19=""),"",('ENTRY DATA'!D19))</f>
        <v/>
      </c>
      <c r="D19" t="str">
        <f>IF(AND('ENTRY DATA'!F19=""),"",('ENTRY DATA'!F19))</f>
        <v/>
      </c>
      <c r="E19" s="34" t="str">
        <f>IF(AND('ENTRY DATA'!B19=""),"",('ENTRY DATA'!B19))</f>
        <v/>
      </c>
      <c r="F19" s="12"/>
      <c r="G19" s="12"/>
      <c r="H19" s="72"/>
      <c r="I19" s="71"/>
      <c r="J19" s="72"/>
      <c r="K19" s="12"/>
      <c r="L19" s="20">
        <f t="shared" si="0"/>
        <v>0</v>
      </c>
      <c r="M19" s="19" t="str">
        <f t="shared" si="1"/>
        <v/>
      </c>
      <c r="N19" s="12"/>
      <c r="O19" s="119"/>
      <c r="P19" s="95" t="str">
        <f t="shared" si="2"/>
        <v/>
      </c>
      <c r="Q19" s="12"/>
      <c r="S19" s="128"/>
      <c r="T19" s="66"/>
      <c r="U19" s="128"/>
      <c r="W19" s="128"/>
      <c r="X19" s="12"/>
      <c r="Y19" t="str">
        <f t="shared" si="3"/>
        <v/>
      </c>
      <c r="Z19" t="str">
        <f t="shared" si="3"/>
        <v/>
      </c>
      <c r="AA19" s="12"/>
      <c r="AB19" s="95" t="e">
        <f t="shared" si="4"/>
        <v>#VALUE!</v>
      </c>
      <c r="AC19" s="95" t="e">
        <f t="shared" si="5"/>
        <v>#VALUE!</v>
      </c>
      <c r="AD19" s="12"/>
    </row>
    <row r="20" spans="1:30" ht="15.75" thickBot="1" x14ac:dyDescent="0.3">
      <c r="A20" s="12"/>
      <c r="B20" s="22"/>
      <c r="C20" t="str">
        <f>IF(AND('ENTRY DATA'!D20=""),"",('ENTRY DATA'!D20))</f>
        <v/>
      </c>
      <c r="D20" t="str">
        <f>IF(AND('ENTRY DATA'!F20=""),"",('ENTRY DATA'!F20))</f>
        <v/>
      </c>
      <c r="E20" s="34" t="str">
        <f>IF(AND('ENTRY DATA'!B20=""),"",('ENTRY DATA'!B20))</f>
        <v/>
      </c>
      <c r="F20" s="12"/>
      <c r="G20" s="12"/>
      <c r="H20" s="72"/>
      <c r="I20" s="71"/>
      <c r="J20" s="72"/>
      <c r="K20" s="12"/>
      <c r="L20" s="20">
        <f t="shared" si="0"/>
        <v>0</v>
      </c>
      <c r="M20" s="19" t="str">
        <f t="shared" si="1"/>
        <v/>
      </c>
      <c r="N20" s="12"/>
      <c r="O20" s="119"/>
      <c r="P20" s="95" t="str">
        <f t="shared" si="2"/>
        <v/>
      </c>
      <c r="Q20" s="12"/>
      <c r="S20" s="128"/>
      <c r="T20" s="66"/>
      <c r="U20" s="128"/>
      <c r="W20" s="128"/>
      <c r="X20" s="12"/>
      <c r="Y20" t="str">
        <f t="shared" si="3"/>
        <v/>
      </c>
      <c r="Z20" t="str">
        <f t="shared" si="3"/>
        <v/>
      </c>
      <c r="AA20" s="12"/>
      <c r="AB20" s="95" t="e">
        <f t="shared" si="4"/>
        <v>#VALUE!</v>
      </c>
      <c r="AC20" s="95" t="e">
        <f t="shared" si="5"/>
        <v>#VALUE!</v>
      </c>
      <c r="AD20" s="12"/>
    </row>
    <row r="21" spans="1:30" ht="15.75" thickBot="1" x14ac:dyDescent="0.3">
      <c r="A21" s="12"/>
      <c r="B21" s="22"/>
      <c r="C21" t="str">
        <f>IF(AND('ENTRY DATA'!D21=""),"",('ENTRY DATA'!D21))</f>
        <v/>
      </c>
      <c r="D21" t="str">
        <f>IF(AND('ENTRY DATA'!F21=""),"",('ENTRY DATA'!F21))</f>
        <v/>
      </c>
      <c r="E21" s="34">
        <f>IF(AND('ENTRY DATA'!B21=""),"",('ENTRY DATA'!B21))</f>
        <v>3</v>
      </c>
      <c r="F21" s="12"/>
      <c r="G21" s="12"/>
      <c r="H21" s="72"/>
      <c r="I21" s="71"/>
      <c r="J21" s="72"/>
      <c r="K21" s="12"/>
      <c r="L21" s="20">
        <f t="shared" si="0"/>
        <v>0</v>
      </c>
      <c r="M21" s="19" t="str">
        <f t="shared" si="1"/>
        <v/>
      </c>
      <c r="N21" s="12"/>
      <c r="O21" s="119"/>
      <c r="P21" s="95" t="str">
        <f t="shared" si="2"/>
        <v/>
      </c>
      <c r="Q21" s="12"/>
      <c r="S21" s="128"/>
      <c r="T21" s="66"/>
      <c r="U21" s="128"/>
      <c r="W21" s="128"/>
      <c r="X21" s="12"/>
      <c r="Y21" t="str">
        <f t="shared" si="3"/>
        <v/>
      </c>
      <c r="Z21" t="str">
        <f t="shared" si="3"/>
        <v/>
      </c>
      <c r="AA21" s="12"/>
      <c r="AB21" s="95" t="e">
        <f t="shared" si="4"/>
        <v>#VALUE!</v>
      </c>
      <c r="AC21" s="95" t="e">
        <f t="shared" si="5"/>
        <v>#VALUE!</v>
      </c>
      <c r="AD21" s="12"/>
    </row>
    <row r="22" spans="1:30" ht="15.75" thickBot="1" x14ac:dyDescent="0.3">
      <c r="A22" s="12"/>
      <c r="B22" s="22"/>
      <c r="C22" t="str">
        <f>IF(AND('ENTRY DATA'!D22=""),"",('ENTRY DATA'!D22))</f>
        <v/>
      </c>
      <c r="D22" t="str">
        <f>IF(AND('ENTRY DATA'!F22=""),"",('ENTRY DATA'!F22))</f>
        <v/>
      </c>
      <c r="E22" s="34" t="str">
        <f>IF(AND('ENTRY DATA'!B22=""),"",('ENTRY DATA'!B22))</f>
        <v/>
      </c>
      <c r="F22" s="12"/>
      <c r="G22" s="12"/>
      <c r="H22" s="72"/>
      <c r="I22" s="71"/>
      <c r="J22" s="72"/>
      <c r="K22" s="12"/>
      <c r="L22" s="20">
        <f t="shared" si="0"/>
        <v>0</v>
      </c>
      <c r="M22" s="19" t="str">
        <f t="shared" si="1"/>
        <v/>
      </c>
      <c r="N22" s="12"/>
      <c r="O22" s="119"/>
      <c r="P22" s="95" t="str">
        <f t="shared" si="2"/>
        <v/>
      </c>
      <c r="Q22" s="12"/>
      <c r="S22" s="128"/>
      <c r="T22" s="66"/>
      <c r="U22" s="128"/>
      <c r="W22" s="128"/>
      <c r="X22" s="12"/>
      <c r="Y22" t="str">
        <f t="shared" si="3"/>
        <v/>
      </c>
      <c r="Z22" t="str">
        <f t="shared" si="3"/>
        <v/>
      </c>
      <c r="AA22" s="12"/>
      <c r="AB22" s="95" t="e">
        <f t="shared" si="4"/>
        <v>#VALUE!</v>
      </c>
      <c r="AC22" s="95" t="e">
        <f t="shared" si="5"/>
        <v>#VALUE!</v>
      </c>
      <c r="AD22" s="12"/>
    </row>
    <row r="23" spans="1:30" ht="15.75" thickBot="1" x14ac:dyDescent="0.3">
      <c r="A23" s="12"/>
      <c r="B23" s="22"/>
      <c r="C23" t="str">
        <f>IF(AND('ENTRY DATA'!D23=""),"",('ENTRY DATA'!D23))</f>
        <v/>
      </c>
      <c r="D23" t="str">
        <f>IF(AND('ENTRY DATA'!F23=""),"",('ENTRY DATA'!F23))</f>
        <v/>
      </c>
      <c r="E23" s="34" t="str">
        <f>IF(AND('ENTRY DATA'!B23=""),"",('ENTRY DATA'!B23))</f>
        <v/>
      </c>
      <c r="F23" s="12"/>
      <c r="G23" s="12"/>
      <c r="H23" s="72"/>
      <c r="I23" s="71"/>
      <c r="J23" s="72"/>
      <c r="K23" s="12"/>
      <c r="L23" s="20">
        <f t="shared" si="0"/>
        <v>0</v>
      </c>
      <c r="M23" s="19" t="str">
        <f t="shared" si="1"/>
        <v/>
      </c>
      <c r="N23" s="12"/>
      <c r="O23" s="119"/>
      <c r="P23" s="95" t="str">
        <f t="shared" si="2"/>
        <v/>
      </c>
      <c r="Q23" s="12"/>
      <c r="S23" s="128"/>
      <c r="T23" s="66"/>
      <c r="U23" s="128"/>
      <c r="W23" s="128"/>
      <c r="X23" s="12"/>
      <c r="Y23" t="str">
        <f t="shared" si="3"/>
        <v/>
      </c>
      <c r="Z23" t="str">
        <f t="shared" si="3"/>
        <v/>
      </c>
      <c r="AA23" s="12"/>
      <c r="AB23" s="95" t="e">
        <f t="shared" si="4"/>
        <v>#VALUE!</v>
      </c>
      <c r="AC23" s="95" t="e">
        <f t="shared" si="5"/>
        <v>#VALUE!</v>
      </c>
      <c r="AD23" s="12"/>
    </row>
    <row r="24" spans="1:30" ht="15.75" thickBot="1" x14ac:dyDescent="0.3">
      <c r="A24" s="12"/>
      <c r="B24" s="22"/>
      <c r="C24" t="str">
        <f>IF(AND('ENTRY DATA'!D24=""),"",('ENTRY DATA'!D24))</f>
        <v/>
      </c>
      <c r="D24" t="str">
        <f>IF(AND('ENTRY DATA'!F24=""),"",('ENTRY DATA'!F24))</f>
        <v/>
      </c>
      <c r="E24" s="34" t="str">
        <f>IF(AND('ENTRY DATA'!B24=""),"",('ENTRY DATA'!B24))</f>
        <v/>
      </c>
      <c r="F24" s="12"/>
      <c r="G24" s="12"/>
      <c r="H24" s="72"/>
      <c r="I24" s="71"/>
      <c r="J24" s="72"/>
      <c r="K24" s="12"/>
      <c r="L24" s="20">
        <f t="shared" si="0"/>
        <v>0</v>
      </c>
      <c r="M24" s="19" t="str">
        <f t="shared" si="1"/>
        <v/>
      </c>
      <c r="N24" s="12"/>
      <c r="O24" s="119"/>
      <c r="P24" s="95" t="str">
        <f t="shared" si="2"/>
        <v/>
      </c>
      <c r="Q24" s="12"/>
      <c r="S24" s="128"/>
      <c r="T24" s="66"/>
      <c r="U24" s="128"/>
      <c r="W24" s="128"/>
      <c r="X24" s="12"/>
      <c r="Y24" t="str">
        <f t="shared" si="3"/>
        <v/>
      </c>
      <c r="Z24" t="str">
        <f t="shared" si="3"/>
        <v/>
      </c>
      <c r="AA24" s="12"/>
      <c r="AB24" s="95" t="e">
        <f t="shared" si="4"/>
        <v>#VALUE!</v>
      </c>
      <c r="AC24" s="95" t="e">
        <f t="shared" si="5"/>
        <v>#VALUE!</v>
      </c>
      <c r="AD24" s="12"/>
    </row>
    <row r="25" spans="1:30" ht="15.75" thickBot="1" x14ac:dyDescent="0.3">
      <c r="A25" s="12"/>
      <c r="B25" s="22"/>
      <c r="C25" t="str">
        <f>IF(AND('ENTRY DATA'!D25=""),"",('ENTRY DATA'!D25))</f>
        <v/>
      </c>
      <c r="D25" t="str">
        <f>IF(AND('ENTRY DATA'!F25=""),"",('ENTRY DATA'!F25))</f>
        <v/>
      </c>
      <c r="E25" s="34" t="str">
        <f>IF(AND('ENTRY DATA'!B25=""),"",('ENTRY DATA'!B25))</f>
        <v/>
      </c>
      <c r="F25" s="12"/>
      <c r="G25" s="12"/>
      <c r="H25" s="72"/>
      <c r="I25" s="71"/>
      <c r="J25" s="72"/>
      <c r="K25" s="12"/>
      <c r="L25" s="20">
        <f t="shared" si="0"/>
        <v>0</v>
      </c>
      <c r="M25" s="19" t="str">
        <f t="shared" si="1"/>
        <v/>
      </c>
      <c r="N25" s="12"/>
      <c r="O25" s="119"/>
      <c r="P25" s="95" t="str">
        <f t="shared" si="2"/>
        <v/>
      </c>
      <c r="Q25" s="12"/>
      <c r="S25" s="128"/>
      <c r="T25" s="66"/>
      <c r="U25" s="128"/>
      <c r="W25" s="128"/>
      <c r="X25" s="12"/>
      <c r="Y25" t="str">
        <f t="shared" si="3"/>
        <v/>
      </c>
      <c r="Z25" t="str">
        <f t="shared" si="3"/>
        <v/>
      </c>
      <c r="AA25" s="12"/>
      <c r="AB25" s="95" t="e">
        <f t="shared" si="4"/>
        <v>#VALUE!</v>
      </c>
      <c r="AC25" s="95" t="e">
        <f t="shared" si="5"/>
        <v>#VALUE!</v>
      </c>
      <c r="AD25" s="12"/>
    </row>
    <row r="26" spans="1:30" ht="15.75" thickBot="1" x14ac:dyDescent="0.3">
      <c r="A26" s="12"/>
      <c r="B26" s="22"/>
      <c r="C26" t="str">
        <f>IF(AND('ENTRY DATA'!D26=""),"",('ENTRY DATA'!D26))</f>
        <v/>
      </c>
      <c r="D26" t="str">
        <f>IF(AND('ENTRY DATA'!F26=""),"",('ENTRY DATA'!F26))</f>
        <v/>
      </c>
      <c r="E26" s="34" t="str">
        <f>IF(AND('ENTRY DATA'!B26=""),"",('ENTRY DATA'!B26))</f>
        <v/>
      </c>
      <c r="F26" s="12"/>
      <c r="G26" s="12"/>
      <c r="H26" s="72"/>
      <c r="I26" s="71"/>
      <c r="J26" s="72"/>
      <c r="K26" s="12"/>
      <c r="L26" s="20">
        <f t="shared" si="0"/>
        <v>0</v>
      </c>
      <c r="M26" s="19" t="str">
        <f t="shared" si="1"/>
        <v/>
      </c>
      <c r="N26" s="12"/>
      <c r="O26" s="119"/>
      <c r="P26" s="95" t="str">
        <f t="shared" si="2"/>
        <v/>
      </c>
      <c r="Q26" s="12"/>
      <c r="S26" s="128"/>
      <c r="T26" s="66"/>
      <c r="U26" s="128"/>
      <c r="W26" s="128"/>
      <c r="X26" s="12"/>
      <c r="Y26" t="str">
        <f t="shared" si="3"/>
        <v/>
      </c>
      <c r="Z26" t="str">
        <f t="shared" si="3"/>
        <v/>
      </c>
      <c r="AA26" s="12"/>
      <c r="AB26" s="95" t="e">
        <f t="shared" si="4"/>
        <v>#VALUE!</v>
      </c>
      <c r="AC26" s="95" t="e">
        <f t="shared" si="5"/>
        <v>#VALUE!</v>
      </c>
      <c r="AD26" s="12"/>
    </row>
    <row r="27" spans="1:30" ht="15.75" thickBot="1" x14ac:dyDescent="0.3">
      <c r="A27" s="12"/>
      <c r="B27" s="22"/>
      <c r="C27" t="str">
        <f>IF(AND('ENTRY DATA'!D27=""),"",('ENTRY DATA'!D27))</f>
        <v/>
      </c>
      <c r="D27" t="str">
        <f>IF(AND('ENTRY DATA'!F27=""),"",('ENTRY DATA'!F27))</f>
        <v/>
      </c>
      <c r="E27" s="34" t="str">
        <f>IF(AND('ENTRY DATA'!B27=""),"",('ENTRY DATA'!B27))</f>
        <v/>
      </c>
      <c r="F27" s="12"/>
      <c r="G27" s="12"/>
      <c r="H27" s="72"/>
      <c r="I27" s="71"/>
      <c r="J27" s="72"/>
      <c r="K27" s="12"/>
      <c r="L27" s="20">
        <f t="shared" si="0"/>
        <v>0</v>
      </c>
      <c r="M27" s="19" t="str">
        <f t="shared" si="1"/>
        <v/>
      </c>
      <c r="N27" s="12"/>
      <c r="O27" s="119"/>
      <c r="P27" s="95" t="str">
        <f t="shared" si="2"/>
        <v/>
      </c>
      <c r="Q27" s="12"/>
      <c r="S27" s="128"/>
      <c r="T27" s="66"/>
      <c r="U27" s="128"/>
      <c r="W27" s="128"/>
      <c r="X27" s="12"/>
      <c r="Y27" t="str">
        <f t="shared" si="3"/>
        <v/>
      </c>
      <c r="Z27" t="str">
        <f t="shared" si="3"/>
        <v/>
      </c>
      <c r="AA27" s="12"/>
      <c r="AB27" s="95" t="e">
        <f t="shared" si="4"/>
        <v>#VALUE!</v>
      </c>
      <c r="AC27" s="95" t="e">
        <f t="shared" si="5"/>
        <v>#VALUE!</v>
      </c>
      <c r="AD27" s="12"/>
    </row>
    <row r="28" spans="1:30" ht="15.75" thickBot="1" x14ac:dyDescent="0.3">
      <c r="A28" s="12"/>
      <c r="B28" s="22"/>
      <c r="C28" t="str">
        <f>IF(AND('ENTRY DATA'!D28=""),"",('ENTRY DATA'!D28))</f>
        <v/>
      </c>
      <c r="D28" t="str">
        <f>IF(AND('ENTRY DATA'!F28=""),"",('ENTRY DATA'!F28))</f>
        <v/>
      </c>
      <c r="E28" s="34" t="str">
        <f>IF(AND('ENTRY DATA'!B28=""),"",('ENTRY DATA'!B28))</f>
        <v/>
      </c>
      <c r="F28" s="12"/>
      <c r="G28" s="12"/>
      <c r="H28" s="72"/>
      <c r="I28" s="71"/>
      <c r="J28" s="72"/>
      <c r="K28" s="12"/>
      <c r="L28" s="20">
        <f t="shared" si="0"/>
        <v>0</v>
      </c>
      <c r="M28" s="19" t="str">
        <f t="shared" si="1"/>
        <v/>
      </c>
      <c r="N28" s="12"/>
      <c r="O28" s="119"/>
      <c r="P28" s="95" t="str">
        <f t="shared" si="2"/>
        <v/>
      </c>
      <c r="Q28" s="12"/>
      <c r="S28" s="128"/>
      <c r="T28" s="66"/>
      <c r="U28" s="128"/>
      <c r="W28" s="128"/>
      <c r="X28" s="12"/>
      <c r="Y28" t="str">
        <f t="shared" si="3"/>
        <v/>
      </c>
      <c r="Z28" t="str">
        <f t="shared" si="3"/>
        <v/>
      </c>
      <c r="AA28" s="12"/>
      <c r="AB28" s="95" t="e">
        <f t="shared" si="4"/>
        <v>#VALUE!</v>
      </c>
      <c r="AC28" s="95" t="e">
        <f t="shared" si="5"/>
        <v>#VALUE!</v>
      </c>
      <c r="AD28" s="12"/>
    </row>
    <row r="29" spans="1:30" ht="15.75" thickBot="1" x14ac:dyDescent="0.3">
      <c r="A29" s="12"/>
      <c r="B29" s="22"/>
      <c r="C29" t="str">
        <f>IF(AND('ENTRY DATA'!D29=""),"",('ENTRY DATA'!D29))</f>
        <v/>
      </c>
      <c r="D29" t="str">
        <f>IF(AND('ENTRY DATA'!F29=""),"",('ENTRY DATA'!F29))</f>
        <v/>
      </c>
      <c r="E29" s="34">
        <f>IF(AND('ENTRY DATA'!B29=""),"",('ENTRY DATA'!B29))</f>
        <v>4</v>
      </c>
      <c r="F29" s="12"/>
      <c r="G29" s="12"/>
      <c r="H29" s="72"/>
      <c r="I29" s="71"/>
      <c r="J29" s="72"/>
      <c r="K29" s="12"/>
      <c r="L29" s="20">
        <f t="shared" si="0"/>
        <v>0</v>
      </c>
      <c r="M29" s="19" t="str">
        <f t="shared" si="1"/>
        <v/>
      </c>
      <c r="N29" s="12"/>
      <c r="O29" s="119"/>
      <c r="P29" s="95" t="str">
        <f t="shared" si="2"/>
        <v/>
      </c>
      <c r="Q29" s="12"/>
      <c r="S29" s="128"/>
      <c r="T29" s="66"/>
      <c r="U29" s="128"/>
      <c r="W29" s="128"/>
      <c r="X29" s="12"/>
      <c r="Y29" t="str">
        <f t="shared" si="3"/>
        <v/>
      </c>
      <c r="Z29" t="str">
        <f t="shared" si="3"/>
        <v/>
      </c>
      <c r="AA29" s="12"/>
      <c r="AB29" s="95" t="e">
        <f t="shared" si="4"/>
        <v>#VALUE!</v>
      </c>
      <c r="AC29" s="95" t="e">
        <f t="shared" si="5"/>
        <v>#VALUE!</v>
      </c>
      <c r="AD29" s="12"/>
    </row>
    <row r="30" spans="1:30" ht="15.75" thickBot="1" x14ac:dyDescent="0.3">
      <c r="A30" s="12"/>
      <c r="B30" s="22"/>
      <c r="C30" t="str">
        <f>IF(AND('ENTRY DATA'!D30=""),"",('ENTRY DATA'!D30))</f>
        <v/>
      </c>
      <c r="D30" t="str">
        <f>IF(AND('ENTRY DATA'!F30=""),"",('ENTRY DATA'!F30))</f>
        <v/>
      </c>
      <c r="E30" s="34" t="str">
        <f>IF(AND('ENTRY DATA'!B30=""),"",('ENTRY DATA'!B30))</f>
        <v/>
      </c>
      <c r="F30" s="12"/>
      <c r="G30" s="12"/>
      <c r="H30" s="72"/>
      <c r="I30" s="71"/>
      <c r="J30" s="72"/>
      <c r="K30" s="12"/>
      <c r="L30" s="20">
        <f t="shared" si="0"/>
        <v>0</v>
      </c>
      <c r="M30" s="19" t="str">
        <f t="shared" si="1"/>
        <v/>
      </c>
      <c r="N30" s="12"/>
      <c r="O30" s="119"/>
      <c r="P30" s="95" t="str">
        <f t="shared" si="2"/>
        <v/>
      </c>
      <c r="Q30" s="12"/>
      <c r="S30" s="128"/>
      <c r="T30" s="66"/>
      <c r="U30" s="128"/>
      <c r="W30" s="128"/>
      <c r="X30" s="12"/>
      <c r="Y30" t="str">
        <f t="shared" si="3"/>
        <v/>
      </c>
      <c r="Z30" t="str">
        <f t="shared" si="3"/>
        <v/>
      </c>
      <c r="AA30" s="12"/>
      <c r="AB30" s="95" t="e">
        <f t="shared" si="4"/>
        <v>#VALUE!</v>
      </c>
      <c r="AC30" s="95" t="e">
        <f t="shared" si="5"/>
        <v>#VALUE!</v>
      </c>
      <c r="AD30" s="12"/>
    </row>
    <row r="31" spans="1:30" ht="15.75" thickBot="1" x14ac:dyDescent="0.3">
      <c r="A31" s="12"/>
      <c r="B31" s="22"/>
      <c r="C31" t="str">
        <f>IF(AND('ENTRY DATA'!D31=""),"",('ENTRY DATA'!D31))</f>
        <v/>
      </c>
      <c r="D31" t="str">
        <f>IF(AND('ENTRY DATA'!F31=""),"",('ENTRY DATA'!F31))</f>
        <v/>
      </c>
      <c r="E31" s="34" t="str">
        <f>IF(AND('ENTRY DATA'!B31=""),"",('ENTRY DATA'!B31))</f>
        <v/>
      </c>
      <c r="F31" s="12"/>
      <c r="G31" s="12"/>
      <c r="H31" s="72"/>
      <c r="I31" s="71"/>
      <c r="J31" s="72"/>
      <c r="K31" s="12"/>
      <c r="L31" s="20">
        <f t="shared" si="0"/>
        <v>0</v>
      </c>
      <c r="M31" s="19" t="str">
        <f t="shared" si="1"/>
        <v/>
      </c>
      <c r="N31" s="12"/>
      <c r="O31" s="119"/>
      <c r="P31" s="95" t="str">
        <f t="shared" si="2"/>
        <v/>
      </c>
      <c r="Q31" s="12"/>
      <c r="S31" s="128"/>
      <c r="T31" s="66"/>
      <c r="U31" s="128"/>
      <c r="W31" s="128"/>
      <c r="X31" s="12"/>
      <c r="Y31" t="str">
        <f t="shared" si="3"/>
        <v/>
      </c>
      <c r="Z31" t="str">
        <f t="shared" si="3"/>
        <v/>
      </c>
      <c r="AA31" s="12"/>
      <c r="AB31" s="95" t="e">
        <f t="shared" si="4"/>
        <v>#VALUE!</v>
      </c>
      <c r="AC31" s="95" t="e">
        <f t="shared" si="5"/>
        <v>#VALUE!</v>
      </c>
      <c r="AD31" s="12"/>
    </row>
    <row r="32" spans="1:30" ht="15.75" thickBot="1" x14ac:dyDescent="0.3">
      <c r="A32" s="12"/>
      <c r="B32" s="22"/>
      <c r="C32" t="str">
        <f>IF(AND('ENTRY DATA'!D32=""),"",('ENTRY DATA'!D32))</f>
        <v/>
      </c>
      <c r="D32" t="str">
        <f>IF(AND('ENTRY DATA'!F32=""),"",('ENTRY DATA'!F32))</f>
        <v/>
      </c>
      <c r="E32" s="34" t="str">
        <f>IF(AND('ENTRY DATA'!B32=""),"",('ENTRY DATA'!B32))</f>
        <v/>
      </c>
      <c r="F32" s="12"/>
      <c r="G32" s="12"/>
      <c r="H32" s="72"/>
      <c r="I32" s="71"/>
      <c r="J32" s="72"/>
      <c r="K32" s="12"/>
      <c r="L32" s="20">
        <f t="shared" si="0"/>
        <v>0</v>
      </c>
      <c r="M32" s="19" t="str">
        <f t="shared" si="1"/>
        <v/>
      </c>
      <c r="N32" s="12"/>
      <c r="O32" s="119"/>
      <c r="P32" s="95" t="str">
        <f t="shared" si="2"/>
        <v/>
      </c>
      <c r="Q32" s="12"/>
      <c r="S32" s="128"/>
      <c r="T32" s="66"/>
      <c r="U32" s="128"/>
      <c r="W32" s="128"/>
      <c r="X32" s="12"/>
      <c r="Y32" t="str">
        <f t="shared" si="3"/>
        <v/>
      </c>
      <c r="Z32" t="str">
        <f t="shared" si="3"/>
        <v/>
      </c>
      <c r="AA32" s="12"/>
      <c r="AB32" s="95" t="e">
        <f t="shared" si="4"/>
        <v>#VALUE!</v>
      </c>
      <c r="AC32" s="95" t="e">
        <f t="shared" si="5"/>
        <v>#VALUE!</v>
      </c>
      <c r="AD32" s="12"/>
    </row>
    <row r="33" spans="1:30" ht="15.75" thickBot="1" x14ac:dyDescent="0.3">
      <c r="A33" s="12"/>
      <c r="B33" s="22"/>
      <c r="C33" t="str">
        <f>IF(AND('ENTRY DATA'!D33=""),"",('ENTRY DATA'!D33))</f>
        <v/>
      </c>
      <c r="D33" t="str">
        <f>IF(AND('ENTRY DATA'!F33=""),"",('ENTRY DATA'!F33))</f>
        <v/>
      </c>
      <c r="E33" s="34" t="str">
        <f>IF(AND('ENTRY DATA'!B33=""),"",('ENTRY DATA'!B33))</f>
        <v/>
      </c>
      <c r="F33" s="12"/>
      <c r="G33" s="12"/>
      <c r="H33" s="72"/>
      <c r="I33" s="71"/>
      <c r="J33" s="72"/>
      <c r="K33" s="12"/>
      <c r="L33" s="20">
        <f t="shared" si="0"/>
        <v>0</v>
      </c>
      <c r="M33" s="19" t="str">
        <f t="shared" si="1"/>
        <v/>
      </c>
      <c r="N33" s="12"/>
      <c r="O33" s="119"/>
      <c r="P33" s="95" t="str">
        <f t="shared" si="2"/>
        <v/>
      </c>
      <c r="Q33" s="12"/>
      <c r="S33" s="128"/>
      <c r="T33" s="66"/>
      <c r="U33" s="128"/>
      <c r="W33" s="128"/>
      <c r="X33" s="12"/>
      <c r="Y33" t="str">
        <f t="shared" si="3"/>
        <v/>
      </c>
      <c r="Z33" t="str">
        <f t="shared" si="3"/>
        <v/>
      </c>
      <c r="AA33" s="12"/>
      <c r="AB33" s="95" t="e">
        <f t="shared" si="4"/>
        <v>#VALUE!</v>
      </c>
      <c r="AC33" s="95" t="e">
        <f t="shared" si="5"/>
        <v>#VALUE!</v>
      </c>
      <c r="AD33" s="12"/>
    </row>
    <row r="34" spans="1:30" ht="15.75" thickBot="1" x14ac:dyDescent="0.3">
      <c r="A34" s="12"/>
      <c r="B34" s="22"/>
      <c r="C34" t="str">
        <f>IF(AND('ENTRY DATA'!D34=""),"",('ENTRY DATA'!D34))</f>
        <v/>
      </c>
      <c r="D34" t="str">
        <f>IF(AND('ENTRY DATA'!F34=""),"",('ENTRY DATA'!F34))</f>
        <v/>
      </c>
      <c r="E34" s="34" t="str">
        <f>IF(AND('ENTRY DATA'!B34=""),"",('ENTRY DATA'!B34))</f>
        <v/>
      </c>
      <c r="F34" s="12"/>
      <c r="G34" s="12"/>
      <c r="H34" s="72"/>
      <c r="I34" s="71"/>
      <c r="J34" s="72"/>
      <c r="K34" s="12"/>
      <c r="L34" s="20">
        <f t="shared" si="0"/>
        <v>0</v>
      </c>
      <c r="M34" s="19" t="str">
        <f t="shared" si="1"/>
        <v/>
      </c>
      <c r="N34" s="12"/>
      <c r="O34" s="119"/>
      <c r="P34" s="95" t="str">
        <f t="shared" si="2"/>
        <v/>
      </c>
      <c r="Q34" s="12"/>
      <c r="S34" s="128"/>
      <c r="T34" s="66"/>
      <c r="U34" s="128"/>
      <c r="W34" s="128"/>
      <c r="X34" s="12"/>
      <c r="Y34" t="str">
        <f t="shared" si="3"/>
        <v/>
      </c>
      <c r="Z34" t="str">
        <f t="shared" si="3"/>
        <v/>
      </c>
      <c r="AA34" s="12"/>
      <c r="AB34" s="95" t="e">
        <f t="shared" si="4"/>
        <v>#VALUE!</v>
      </c>
      <c r="AC34" s="95" t="e">
        <f t="shared" si="5"/>
        <v>#VALUE!</v>
      </c>
      <c r="AD34" s="12"/>
    </row>
    <row r="35" spans="1:30" ht="15.75" thickBot="1" x14ac:dyDescent="0.3">
      <c r="A35" s="12"/>
      <c r="B35" s="22"/>
      <c r="C35" t="str">
        <f>IF(AND('ENTRY DATA'!D35=""),"",('ENTRY DATA'!D35))</f>
        <v/>
      </c>
      <c r="D35" t="str">
        <f>IF(AND('ENTRY DATA'!F35=""),"",('ENTRY DATA'!F35))</f>
        <v/>
      </c>
      <c r="E35" s="34" t="str">
        <f>IF(AND('ENTRY DATA'!B35=""),"",('ENTRY DATA'!B35))</f>
        <v/>
      </c>
      <c r="F35" s="12"/>
      <c r="G35" s="12"/>
      <c r="H35" s="72"/>
      <c r="I35" s="71"/>
      <c r="J35" s="72"/>
      <c r="K35" s="12"/>
      <c r="L35" s="20">
        <f t="shared" si="0"/>
        <v>0</v>
      </c>
      <c r="M35" s="19" t="str">
        <f t="shared" si="1"/>
        <v/>
      </c>
      <c r="N35" s="12"/>
      <c r="O35" s="119"/>
      <c r="P35" s="95" t="str">
        <f t="shared" si="2"/>
        <v/>
      </c>
      <c r="Q35" s="12"/>
      <c r="S35" s="128"/>
      <c r="T35" s="66"/>
      <c r="U35" s="128"/>
      <c r="W35" s="128"/>
      <c r="X35" s="12"/>
      <c r="Y35" t="str">
        <f t="shared" si="3"/>
        <v/>
      </c>
      <c r="Z35" t="str">
        <f t="shared" si="3"/>
        <v/>
      </c>
      <c r="AA35" s="12"/>
      <c r="AB35" s="95" t="e">
        <f t="shared" si="4"/>
        <v>#VALUE!</v>
      </c>
      <c r="AC35" s="95" t="e">
        <f t="shared" si="5"/>
        <v>#VALUE!</v>
      </c>
      <c r="AD35" s="12"/>
    </row>
    <row r="36" spans="1:30" ht="15.75" thickBot="1" x14ac:dyDescent="0.3">
      <c r="A36" s="12"/>
      <c r="B36" s="22"/>
      <c r="C36" t="str">
        <f>IF(AND('ENTRY DATA'!D36=""),"",('ENTRY DATA'!D36))</f>
        <v/>
      </c>
      <c r="D36" t="str">
        <f>IF(AND('ENTRY DATA'!F36=""),"",('ENTRY DATA'!F36))</f>
        <v/>
      </c>
      <c r="E36" s="34" t="str">
        <f>IF(AND('ENTRY DATA'!B36=""),"",('ENTRY DATA'!B36))</f>
        <v/>
      </c>
      <c r="F36" s="12"/>
      <c r="G36" s="12"/>
      <c r="H36" s="72"/>
      <c r="I36" s="71"/>
      <c r="J36" s="72"/>
      <c r="K36" s="12"/>
      <c r="L36" s="20">
        <f t="shared" si="0"/>
        <v>0</v>
      </c>
      <c r="M36" s="19" t="str">
        <f t="shared" si="1"/>
        <v/>
      </c>
      <c r="N36" s="12"/>
      <c r="O36" s="119"/>
      <c r="P36" s="95" t="str">
        <f t="shared" si="2"/>
        <v/>
      </c>
      <c r="Q36" s="12"/>
      <c r="S36" s="128"/>
      <c r="T36" s="66"/>
      <c r="U36" s="128"/>
      <c r="W36" s="128"/>
      <c r="X36" s="12"/>
      <c r="Y36" t="str">
        <f t="shared" si="3"/>
        <v/>
      </c>
      <c r="Z36" t="str">
        <f t="shared" si="3"/>
        <v/>
      </c>
      <c r="AA36" s="12"/>
      <c r="AB36" s="95" t="e">
        <f t="shared" si="4"/>
        <v>#VALUE!</v>
      </c>
      <c r="AC36" s="95" t="e">
        <f t="shared" si="5"/>
        <v>#VALUE!</v>
      </c>
      <c r="AD36" s="12"/>
    </row>
    <row r="37" spans="1:30" ht="15.75" thickBot="1" x14ac:dyDescent="0.3">
      <c r="A37" s="12"/>
      <c r="B37" s="22"/>
      <c r="C37" t="str">
        <f>IF(AND('ENTRY DATA'!D37=""),"",('ENTRY DATA'!D37))</f>
        <v/>
      </c>
      <c r="D37" t="str">
        <f>IF(AND('ENTRY DATA'!F37=""),"",('ENTRY DATA'!F37))</f>
        <v/>
      </c>
      <c r="E37" s="34">
        <f>IF(AND('ENTRY DATA'!B37=""),"",('ENTRY DATA'!B37))</f>
        <v>5</v>
      </c>
      <c r="F37" s="12"/>
      <c r="G37" s="12"/>
      <c r="H37" s="72"/>
      <c r="I37" s="71"/>
      <c r="J37" s="72"/>
      <c r="K37" s="12"/>
      <c r="L37" s="20">
        <f t="shared" si="0"/>
        <v>0</v>
      </c>
      <c r="M37" s="19" t="str">
        <f t="shared" si="1"/>
        <v/>
      </c>
      <c r="N37" s="12"/>
      <c r="O37" s="119"/>
      <c r="P37" s="95" t="str">
        <f t="shared" si="2"/>
        <v/>
      </c>
      <c r="Q37" s="12"/>
      <c r="S37" s="128"/>
      <c r="T37" s="66"/>
      <c r="U37" s="128"/>
      <c r="W37" s="128"/>
      <c r="X37" s="12"/>
      <c r="Y37" t="str">
        <f t="shared" si="3"/>
        <v/>
      </c>
      <c r="Z37" t="str">
        <f t="shared" si="3"/>
        <v/>
      </c>
      <c r="AA37" s="12"/>
      <c r="AB37" s="95" t="e">
        <f t="shared" si="4"/>
        <v>#VALUE!</v>
      </c>
      <c r="AC37" s="95" t="e">
        <f t="shared" si="5"/>
        <v>#VALUE!</v>
      </c>
      <c r="AD37" s="12"/>
    </row>
    <row r="38" spans="1:30" ht="15.75" thickBot="1" x14ac:dyDescent="0.3">
      <c r="A38" s="12"/>
      <c r="B38" s="22"/>
      <c r="C38" t="str">
        <f>IF(AND('ENTRY DATA'!D38=""),"",('ENTRY DATA'!D38))</f>
        <v/>
      </c>
      <c r="D38" t="str">
        <f>IF(AND('ENTRY DATA'!F38=""),"",('ENTRY DATA'!F38))</f>
        <v/>
      </c>
      <c r="E38" s="34" t="str">
        <f>IF(AND('ENTRY DATA'!B38=""),"",('ENTRY DATA'!B38))</f>
        <v/>
      </c>
      <c r="F38" s="12"/>
      <c r="G38" s="12"/>
      <c r="H38" s="72"/>
      <c r="I38" s="71"/>
      <c r="J38" s="72"/>
      <c r="K38" s="12"/>
      <c r="L38" s="20">
        <f t="shared" si="0"/>
        <v>0</v>
      </c>
      <c r="M38" s="19" t="str">
        <f t="shared" si="1"/>
        <v/>
      </c>
      <c r="N38" s="12"/>
      <c r="O38" s="119"/>
      <c r="P38" s="95" t="str">
        <f t="shared" si="2"/>
        <v/>
      </c>
      <c r="Q38" s="12"/>
      <c r="S38" s="128"/>
      <c r="T38" s="66"/>
      <c r="U38" s="128"/>
      <c r="W38" s="128"/>
      <c r="X38" s="12"/>
      <c r="Y38" t="str">
        <f t="shared" si="3"/>
        <v/>
      </c>
      <c r="Z38" t="str">
        <f t="shared" si="3"/>
        <v/>
      </c>
      <c r="AA38" s="12"/>
      <c r="AB38" s="95" t="e">
        <f t="shared" si="4"/>
        <v>#VALUE!</v>
      </c>
      <c r="AC38" s="95" t="e">
        <f t="shared" si="5"/>
        <v>#VALUE!</v>
      </c>
      <c r="AD38" s="12"/>
    </row>
    <row r="39" spans="1:30" ht="15.75" thickBot="1" x14ac:dyDescent="0.3">
      <c r="A39" s="12"/>
      <c r="B39" s="22"/>
      <c r="C39" t="str">
        <f>IF(AND('ENTRY DATA'!D39=""),"",('ENTRY DATA'!D39))</f>
        <v/>
      </c>
      <c r="D39" t="str">
        <f>IF(AND('ENTRY DATA'!F39=""),"",('ENTRY DATA'!F39))</f>
        <v/>
      </c>
      <c r="E39" s="34" t="str">
        <f>IF(AND('ENTRY DATA'!B39=""),"",('ENTRY DATA'!B39))</f>
        <v/>
      </c>
      <c r="F39" s="12"/>
      <c r="G39" s="12"/>
      <c r="H39" s="72"/>
      <c r="I39" s="71"/>
      <c r="J39" s="72"/>
      <c r="K39" s="12"/>
      <c r="L39" s="20">
        <f t="shared" si="0"/>
        <v>0</v>
      </c>
      <c r="M39" s="19" t="str">
        <f t="shared" si="1"/>
        <v/>
      </c>
      <c r="N39" s="12"/>
      <c r="O39" s="119"/>
      <c r="P39" s="95" t="str">
        <f t="shared" si="2"/>
        <v/>
      </c>
      <c r="Q39" s="12"/>
      <c r="S39" s="128"/>
      <c r="T39" s="66"/>
      <c r="U39" s="128"/>
      <c r="W39" s="128"/>
      <c r="X39" s="12"/>
      <c r="Y39" t="str">
        <f t="shared" si="3"/>
        <v/>
      </c>
      <c r="Z39" t="str">
        <f t="shared" si="3"/>
        <v/>
      </c>
      <c r="AA39" s="12"/>
      <c r="AB39" s="95" t="e">
        <f t="shared" si="4"/>
        <v>#VALUE!</v>
      </c>
      <c r="AC39" s="95" t="e">
        <f t="shared" si="5"/>
        <v>#VALUE!</v>
      </c>
      <c r="AD39" s="12"/>
    </row>
    <row r="40" spans="1:30" ht="15.75" thickBot="1" x14ac:dyDescent="0.3">
      <c r="A40" s="12"/>
      <c r="B40" s="22"/>
      <c r="C40" t="str">
        <f>IF(AND('ENTRY DATA'!D40=""),"",('ENTRY DATA'!D40))</f>
        <v/>
      </c>
      <c r="D40" t="str">
        <f>IF(AND('ENTRY DATA'!F40=""),"",('ENTRY DATA'!F40))</f>
        <v/>
      </c>
      <c r="E40" s="34" t="str">
        <f>IF(AND('ENTRY DATA'!B40=""),"",('ENTRY DATA'!B40))</f>
        <v/>
      </c>
      <c r="F40" s="12"/>
      <c r="G40" s="12"/>
      <c r="H40" s="72"/>
      <c r="I40" s="71"/>
      <c r="J40" s="72"/>
      <c r="K40" s="12"/>
      <c r="L40" s="20">
        <f t="shared" si="0"/>
        <v>0</v>
      </c>
      <c r="M40" s="19" t="str">
        <f t="shared" si="1"/>
        <v/>
      </c>
      <c r="N40" s="12"/>
      <c r="O40" s="119"/>
      <c r="P40" s="95" t="str">
        <f t="shared" si="2"/>
        <v/>
      </c>
      <c r="Q40" s="12"/>
      <c r="S40" s="128"/>
      <c r="T40" s="66"/>
      <c r="U40" s="128"/>
      <c r="W40" s="128"/>
      <c r="X40" s="12"/>
      <c r="Y40" t="str">
        <f t="shared" si="3"/>
        <v/>
      </c>
      <c r="Z40" t="str">
        <f t="shared" si="3"/>
        <v/>
      </c>
      <c r="AA40" s="12"/>
      <c r="AB40" s="95" t="e">
        <f t="shared" si="4"/>
        <v>#VALUE!</v>
      </c>
      <c r="AC40" s="95" t="e">
        <f t="shared" si="5"/>
        <v>#VALUE!</v>
      </c>
      <c r="AD40" s="12"/>
    </row>
    <row r="41" spans="1:30" ht="15.75" thickBot="1" x14ac:dyDescent="0.3">
      <c r="A41" s="12"/>
      <c r="B41" s="22"/>
      <c r="C41" t="str">
        <f>IF(AND('ENTRY DATA'!D41=""),"",('ENTRY DATA'!D41))</f>
        <v/>
      </c>
      <c r="D41" t="str">
        <f>IF(AND('ENTRY DATA'!F41=""),"",('ENTRY DATA'!F41))</f>
        <v/>
      </c>
      <c r="E41" s="34" t="str">
        <f>IF(AND('ENTRY DATA'!B41=""),"",('ENTRY DATA'!B41))</f>
        <v/>
      </c>
      <c r="F41" s="12"/>
      <c r="G41" s="12"/>
      <c r="H41" s="72"/>
      <c r="I41" s="71"/>
      <c r="J41" s="72"/>
      <c r="K41" s="12"/>
      <c r="L41" s="20">
        <f t="shared" si="0"/>
        <v>0</v>
      </c>
      <c r="M41" s="19" t="str">
        <f t="shared" si="1"/>
        <v/>
      </c>
      <c r="N41" s="12"/>
      <c r="O41" s="119"/>
      <c r="P41" s="95" t="str">
        <f t="shared" si="2"/>
        <v/>
      </c>
      <c r="Q41" s="12"/>
      <c r="S41" s="128"/>
      <c r="T41" s="66"/>
      <c r="U41" s="128"/>
      <c r="W41" s="128"/>
      <c r="X41" s="12"/>
      <c r="Y41" t="str">
        <f t="shared" si="3"/>
        <v/>
      </c>
      <c r="Z41" t="str">
        <f t="shared" si="3"/>
        <v/>
      </c>
      <c r="AA41" s="12"/>
      <c r="AB41" s="95" t="e">
        <f t="shared" si="4"/>
        <v>#VALUE!</v>
      </c>
      <c r="AC41" s="95" t="e">
        <f t="shared" si="5"/>
        <v>#VALUE!</v>
      </c>
      <c r="AD41" s="12"/>
    </row>
    <row r="42" spans="1:30" ht="15.75" thickBot="1" x14ac:dyDescent="0.3">
      <c r="A42" s="12"/>
      <c r="B42" s="22"/>
      <c r="C42" t="str">
        <f>IF(AND('ENTRY DATA'!D42=""),"",('ENTRY DATA'!D42))</f>
        <v/>
      </c>
      <c r="D42" t="str">
        <f>IF(AND('ENTRY DATA'!F42=""),"",('ENTRY DATA'!F42))</f>
        <v/>
      </c>
      <c r="E42" s="34" t="str">
        <f>IF(AND('ENTRY DATA'!B42=""),"",('ENTRY DATA'!B42))</f>
        <v/>
      </c>
      <c r="F42" s="12"/>
      <c r="G42" s="12"/>
      <c r="H42" s="72"/>
      <c r="I42" s="71"/>
      <c r="J42" s="72"/>
      <c r="K42" s="12"/>
      <c r="L42" s="20">
        <f t="shared" si="0"/>
        <v>0</v>
      </c>
      <c r="M42" s="19" t="str">
        <f t="shared" si="1"/>
        <v/>
      </c>
      <c r="N42" s="12"/>
      <c r="O42" s="119"/>
      <c r="P42" s="95" t="str">
        <f t="shared" si="2"/>
        <v/>
      </c>
      <c r="Q42" s="12"/>
      <c r="S42" s="128"/>
      <c r="T42" s="66"/>
      <c r="U42" s="128"/>
      <c r="W42" s="128"/>
      <c r="X42" s="12"/>
      <c r="Y42" t="str">
        <f t="shared" si="3"/>
        <v/>
      </c>
      <c r="Z42" t="str">
        <f t="shared" si="3"/>
        <v/>
      </c>
      <c r="AA42" s="12"/>
      <c r="AB42" s="95" t="e">
        <f t="shared" si="4"/>
        <v>#VALUE!</v>
      </c>
      <c r="AC42" s="95" t="e">
        <f t="shared" si="5"/>
        <v>#VALUE!</v>
      </c>
      <c r="AD42" s="12"/>
    </row>
    <row r="43" spans="1:30" ht="15.75" thickBot="1" x14ac:dyDescent="0.3">
      <c r="A43" s="12"/>
      <c r="B43" s="22"/>
      <c r="C43" t="str">
        <f>IF(AND('ENTRY DATA'!D43=""),"",('ENTRY DATA'!D43))</f>
        <v/>
      </c>
      <c r="D43" t="str">
        <f>IF(AND('ENTRY DATA'!F43=""),"",('ENTRY DATA'!F43))</f>
        <v/>
      </c>
      <c r="E43" s="34" t="str">
        <f>IF(AND('ENTRY DATA'!B43=""),"",('ENTRY DATA'!B43))</f>
        <v/>
      </c>
      <c r="F43" s="12"/>
      <c r="G43" s="12"/>
      <c r="H43" s="72"/>
      <c r="I43" s="71"/>
      <c r="J43" s="72"/>
      <c r="K43" s="12"/>
      <c r="L43" s="20">
        <f t="shared" si="0"/>
        <v>0</v>
      </c>
      <c r="M43" s="19" t="str">
        <f t="shared" si="1"/>
        <v/>
      </c>
      <c r="N43" s="12"/>
      <c r="O43" s="119"/>
      <c r="P43" s="95" t="str">
        <f t="shared" si="2"/>
        <v/>
      </c>
      <c r="Q43" s="12"/>
      <c r="S43" s="128"/>
      <c r="T43" s="66"/>
      <c r="U43" s="128"/>
      <c r="W43" s="128"/>
      <c r="X43" s="12"/>
      <c r="Y43" t="str">
        <f t="shared" si="3"/>
        <v/>
      </c>
      <c r="Z43" t="str">
        <f t="shared" si="3"/>
        <v/>
      </c>
      <c r="AA43" s="12"/>
      <c r="AB43" s="95" t="e">
        <f t="shared" si="4"/>
        <v>#VALUE!</v>
      </c>
      <c r="AC43" s="95" t="e">
        <f t="shared" si="5"/>
        <v>#VALUE!</v>
      </c>
      <c r="AD43" s="12"/>
    </row>
    <row r="44" spans="1:30" ht="15.75" thickBot="1" x14ac:dyDescent="0.3">
      <c r="A44" s="12"/>
      <c r="B44" s="22"/>
      <c r="C44" t="str">
        <f>IF(AND('ENTRY DATA'!D44=""),"",('ENTRY DATA'!D44))</f>
        <v/>
      </c>
      <c r="D44" t="str">
        <f>IF(AND('ENTRY DATA'!F44=""),"",('ENTRY DATA'!F44))</f>
        <v/>
      </c>
      <c r="E44" s="34" t="str">
        <f>IF(AND('ENTRY DATA'!B44=""),"",('ENTRY DATA'!B44))</f>
        <v/>
      </c>
      <c r="F44" s="12"/>
      <c r="G44" s="12"/>
      <c r="H44" s="72"/>
      <c r="I44" s="71"/>
      <c r="J44" s="72"/>
      <c r="K44" s="12"/>
      <c r="L44" s="20">
        <f t="shared" si="0"/>
        <v>0</v>
      </c>
      <c r="M44" s="19" t="str">
        <f t="shared" si="1"/>
        <v/>
      </c>
      <c r="N44" s="12"/>
      <c r="O44" s="119"/>
      <c r="P44" s="95" t="str">
        <f t="shared" si="2"/>
        <v/>
      </c>
      <c r="Q44" s="12"/>
      <c r="S44" s="128"/>
      <c r="T44" s="66"/>
      <c r="U44" s="128"/>
      <c r="W44" s="128"/>
      <c r="X44" s="12"/>
      <c r="Y44" t="str">
        <f t="shared" si="3"/>
        <v/>
      </c>
      <c r="Z44" t="str">
        <f t="shared" si="3"/>
        <v/>
      </c>
      <c r="AA44" s="12"/>
      <c r="AB44" s="95" t="e">
        <f t="shared" si="4"/>
        <v>#VALUE!</v>
      </c>
      <c r="AC44" s="95" t="e">
        <f t="shared" si="5"/>
        <v>#VALUE!</v>
      </c>
      <c r="AD44" s="12"/>
    </row>
    <row r="45" spans="1:30" ht="15.75" thickBot="1" x14ac:dyDescent="0.3">
      <c r="A45" s="12"/>
      <c r="B45" s="22"/>
      <c r="C45" t="str">
        <f>IF(AND('ENTRY DATA'!D45=""),"",('ENTRY DATA'!D45))</f>
        <v/>
      </c>
      <c r="D45" t="str">
        <f>IF(AND('ENTRY DATA'!F45=""),"",('ENTRY DATA'!F45))</f>
        <v/>
      </c>
      <c r="E45" s="34" t="str">
        <f>IF(AND('ENTRY DATA'!B45=""),"",('ENTRY DATA'!B45))</f>
        <v/>
      </c>
      <c r="F45" s="12"/>
      <c r="G45" s="12"/>
      <c r="H45" s="72"/>
      <c r="I45" s="71"/>
      <c r="J45" s="72"/>
      <c r="K45" s="12"/>
      <c r="L45" s="20">
        <f t="shared" si="0"/>
        <v>0</v>
      </c>
      <c r="M45" s="19" t="str">
        <f t="shared" si="1"/>
        <v/>
      </c>
      <c r="N45" s="12"/>
      <c r="O45" s="119"/>
      <c r="P45" s="95" t="str">
        <f t="shared" si="2"/>
        <v/>
      </c>
      <c r="Q45" s="12"/>
      <c r="S45" s="128"/>
      <c r="T45" s="66"/>
      <c r="U45" s="128"/>
      <c r="W45" s="128"/>
      <c r="X45" s="12"/>
      <c r="Y45" t="str">
        <f t="shared" si="3"/>
        <v/>
      </c>
      <c r="Z45" t="str">
        <f t="shared" si="3"/>
        <v/>
      </c>
      <c r="AA45" s="12"/>
      <c r="AB45" s="95" t="e">
        <f t="shared" si="4"/>
        <v>#VALUE!</v>
      </c>
      <c r="AC45" s="95" t="e">
        <f t="shared" si="5"/>
        <v>#VALUE!</v>
      </c>
      <c r="AD45" s="12"/>
    </row>
    <row r="46" spans="1:30" ht="15.75" thickBot="1" x14ac:dyDescent="0.3">
      <c r="A46" s="12"/>
      <c r="B46" s="22"/>
      <c r="C46" t="str">
        <f>IF(AND('ENTRY DATA'!D46=""),"",('ENTRY DATA'!D46))</f>
        <v/>
      </c>
      <c r="D46" t="str">
        <f>IF(AND('ENTRY DATA'!F46=""),"",('ENTRY DATA'!F46))</f>
        <v/>
      </c>
      <c r="E46" s="34" t="str">
        <f>IF(AND('ENTRY DATA'!B46=""),"",('ENTRY DATA'!B46))</f>
        <v/>
      </c>
      <c r="F46" s="12"/>
      <c r="G46" s="12"/>
      <c r="H46" s="72"/>
      <c r="I46" s="71"/>
      <c r="J46" s="72"/>
      <c r="K46" s="12"/>
      <c r="L46" s="20">
        <f t="shared" si="0"/>
        <v>0</v>
      </c>
      <c r="M46" s="19" t="str">
        <f t="shared" si="1"/>
        <v/>
      </c>
      <c r="N46" s="12"/>
      <c r="O46" s="119"/>
      <c r="P46" s="95" t="str">
        <f t="shared" si="2"/>
        <v/>
      </c>
      <c r="Q46" s="12"/>
      <c r="S46" s="128"/>
      <c r="T46" s="66"/>
      <c r="U46" s="128"/>
      <c r="W46" s="128"/>
      <c r="X46" s="12"/>
      <c r="Y46" t="str">
        <f t="shared" si="3"/>
        <v/>
      </c>
      <c r="Z46" t="str">
        <f t="shared" si="3"/>
        <v/>
      </c>
      <c r="AA46" s="12"/>
      <c r="AB46" s="95" t="e">
        <f t="shared" si="4"/>
        <v>#VALUE!</v>
      </c>
      <c r="AC46" s="95" t="e">
        <f t="shared" si="5"/>
        <v>#VALUE!</v>
      </c>
      <c r="AD46" s="12"/>
    </row>
    <row r="47" spans="1:30" ht="15.75" thickBot="1" x14ac:dyDescent="0.3">
      <c r="A47" s="12"/>
      <c r="B47" s="22"/>
      <c r="C47" t="str">
        <f>IF(AND('ENTRY DATA'!D47=""),"",('ENTRY DATA'!D47))</f>
        <v/>
      </c>
      <c r="D47" t="str">
        <f>IF(AND('ENTRY DATA'!F47=""),"",('ENTRY DATA'!F47))</f>
        <v/>
      </c>
      <c r="E47" s="34" t="str">
        <f>IF(AND('ENTRY DATA'!B47=""),"",('ENTRY DATA'!B47))</f>
        <v/>
      </c>
      <c r="F47" s="12"/>
      <c r="G47" s="12"/>
      <c r="H47" s="72"/>
      <c r="I47" s="71"/>
      <c r="J47" s="72"/>
      <c r="K47" s="12"/>
      <c r="L47" s="20">
        <f t="shared" si="0"/>
        <v>0</v>
      </c>
      <c r="M47" s="19" t="str">
        <f t="shared" si="1"/>
        <v/>
      </c>
      <c r="N47" s="12"/>
      <c r="O47" s="119"/>
      <c r="P47" s="95" t="str">
        <f t="shared" si="2"/>
        <v/>
      </c>
      <c r="Q47" s="12"/>
      <c r="S47" s="128"/>
      <c r="T47" s="66"/>
      <c r="U47" s="128"/>
      <c r="W47" s="128"/>
      <c r="X47" s="12"/>
      <c r="Y47" t="str">
        <f t="shared" si="3"/>
        <v/>
      </c>
      <c r="Z47" t="str">
        <f t="shared" si="3"/>
        <v/>
      </c>
      <c r="AA47" s="12"/>
      <c r="AB47" s="95" t="e">
        <f t="shared" si="4"/>
        <v>#VALUE!</v>
      </c>
      <c r="AC47" s="95" t="e">
        <f t="shared" si="5"/>
        <v>#VALUE!</v>
      </c>
      <c r="AD47" s="12"/>
    </row>
    <row r="48" spans="1:30" ht="15.75" thickBot="1" x14ac:dyDescent="0.3">
      <c r="A48" s="12"/>
      <c r="B48" s="22"/>
      <c r="C48" t="str">
        <f>IF(AND('ENTRY DATA'!D48=""),"",('ENTRY DATA'!D48))</f>
        <v/>
      </c>
      <c r="D48" t="str">
        <f>IF(AND('ENTRY DATA'!F48=""),"",('ENTRY DATA'!F48))</f>
        <v/>
      </c>
      <c r="E48" s="34" t="str">
        <f>IF(AND('ENTRY DATA'!B48=""),"",('ENTRY DATA'!B48))</f>
        <v/>
      </c>
      <c r="F48" s="12"/>
      <c r="G48" s="12"/>
      <c r="H48" s="72"/>
      <c r="I48" s="71"/>
      <c r="J48" s="72"/>
      <c r="K48" s="12"/>
      <c r="L48" s="20">
        <f t="shared" si="0"/>
        <v>0</v>
      </c>
      <c r="M48" s="19" t="str">
        <f t="shared" si="1"/>
        <v/>
      </c>
      <c r="N48" s="12"/>
      <c r="O48" s="119"/>
      <c r="P48" s="95" t="str">
        <f t="shared" si="2"/>
        <v/>
      </c>
      <c r="Q48" s="12"/>
      <c r="S48" s="128"/>
      <c r="T48" s="66"/>
      <c r="U48" s="128"/>
      <c r="W48" s="128"/>
      <c r="X48" s="12"/>
      <c r="Y48" t="str">
        <f t="shared" si="3"/>
        <v/>
      </c>
      <c r="Z48" t="str">
        <f t="shared" si="3"/>
        <v/>
      </c>
      <c r="AA48" s="12"/>
      <c r="AB48" s="95" t="e">
        <f t="shared" si="4"/>
        <v>#VALUE!</v>
      </c>
      <c r="AC48" s="95" t="e">
        <f t="shared" si="5"/>
        <v>#VALUE!</v>
      </c>
      <c r="AD48" s="12"/>
    </row>
    <row r="49" spans="1:30" ht="15.75" thickBot="1" x14ac:dyDescent="0.3">
      <c r="A49" s="12"/>
      <c r="B49" s="22"/>
      <c r="C49" t="str">
        <f>IF(AND('ENTRY DATA'!D49=""),"",('ENTRY DATA'!D49))</f>
        <v/>
      </c>
      <c r="D49" t="str">
        <f>IF(AND('ENTRY DATA'!F49=""),"",('ENTRY DATA'!F49))</f>
        <v/>
      </c>
      <c r="E49" s="34" t="str">
        <f>IF(AND('ENTRY DATA'!B49=""),"",('ENTRY DATA'!B49))</f>
        <v/>
      </c>
      <c r="F49" s="12"/>
      <c r="G49" s="12"/>
      <c r="H49" s="72"/>
      <c r="I49" s="71"/>
      <c r="J49" s="72"/>
      <c r="K49" s="12"/>
      <c r="L49" s="20">
        <f t="shared" si="0"/>
        <v>0</v>
      </c>
      <c r="M49" s="19" t="str">
        <f t="shared" si="1"/>
        <v/>
      </c>
      <c r="N49" s="12"/>
      <c r="O49" s="119"/>
      <c r="P49" s="95" t="str">
        <f t="shared" si="2"/>
        <v/>
      </c>
      <c r="Q49" s="12"/>
      <c r="S49" s="128"/>
      <c r="T49" s="66"/>
      <c r="U49" s="128"/>
      <c r="W49" s="128"/>
      <c r="X49" s="12"/>
      <c r="Y49" t="str">
        <f t="shared" si="3"/>
        <v/>
      </c>
      <c r="Z49" t="str">
        <f t="shared" si="3"/>
        <v/>
      </c>
      <c r="AA49" s="12"/>
      <c r="AB49" s="95" t="e">
        <f t="shared" si="4"/>
        <v>#VALUE!</v>
      </c>
      <c r="AC49" s="95" t="e">
        <f t="shared" si="5"/>
        <v>#VALUE!</v>
      </c>
      <c r="AD49" s="12"/>
    </row>
    <row r="50" spans="1:30" ht="15.75" thickBot="1" x14ac:dyDescent="0.3">
      <c r="A50" s="12"/>
      <c r="B50" s="22"/>
      <c r="C50" t="str">
        <f>IF(AND('ENTRY DATA'!D50=""),"",('ENTRY DATA'!D50))</f>
        <v/>
      </c>
      <c r="D50" t="str">
        <f>IF(AND('ENTRY DATA'!F50=""),"",('ENTRY DATA'!F50))</f>
        <v/>
      </c>
      <c r="E50" s="34" t="str">
        <f>IF(AND('ENTRY DATA'!B50=""),"",('ENTRY DATA'!B50))</f>
        <v/>
      </c>
      <c r="F50" s="12"/>
      <c r="G50" s="12"/>
      <c r="H50" s="72"/>
      <c r="I50" s="71"/>
      <c r="J50" s="72"/>
      <c r="K50" s="12"/>
      <c r="L50" s="20">
        <f t="shared" si="0"/>
        <v>0</v>
      </c>
      <c r="M50" s="19" t="str">
        <f t="shared" si="1"/>
        <v/>
      </c>
      <c r="N50" s="12"/>
      <c r="O50" s="119"/>
      <c r="P50" s="95" t="str">
        <f t="shared" si="2"/>
        <v/>
      </c>
      <c r="Q50" s="12"/>
      <c r="S50" s="128"/>
      <c r="T50" s="66"/>
      <c r="U50" s="128"/>
      <c r="W50" s="128"/>
      <c r="X50" s="12"/>
      <c r="Y50" t="str">
        <f t="shared" si="3"/>
        <v/>
      </c>
      <c r="Z50" t="str">
        <f t="shared" si="3"/>
        <v/>
      </c>
      <c r="AA50" s="12"/>
      <c r="AB50" s="95" t="e">
        <f t="shared" si="4"/>
        <v>#VALUE!</v>
      </c>
      <c r="AC50" s="95" t="e">
        <f t="shared" si="5"/>
        <v>#VALUE!</v>
      </c>
      <c r="AD50" s="12"/>
    </row>
    <row r="51" spans="1:30" ht="15.75" thickBot="1" x14ac:dyDescent="0.3">
      <c r="A51" s="12"/>
      <c r="B51" s="22"/>
      <c r="C51" t="str">
        <f>IF(AND('ENTRY DATA'!D51=""),"",('ENTRY DATA'!D51))</f>
        <v/>
      </c>
      <c r="D51" t="str">
        <f>IF(AND('ENTRY DATA'!F51=""),"",('ENTRY DATA'!F51))</f>
        <v/>
      </c>
      <c r="E51" s="34" t="str">
        <f>IF(AND('ENTRY DATA'!B51=""),"",('ENTRY DATA'!B51))</f>
        <v/>
      </c>
      <c r="F51" s="12"/>
      <c r="G51" s="12"/>
      <c r="H51" s="72"/>
      <c r="I51" s="71"/>
      <c r="J51" s="72"/>
      <c r="K51" s="12"/>
      <c r="L51" s="20">
        <f t="shared" si="0"/>
        <v>0</v>
      </c>
      <c r="M51" s="19" t="str">
        <f t="shared" si="1"/>
        <v/>
      </c>
      <c r="N51" s="12"/>
      <c r="O51" s="119"/>
      <c r="P51" s="95" t="str">
        <f t="shared" si="2"/>
        <v/>
      </c>
      <c r="Q51" s="12"/>
      <c r="S51" s="128"/>
      <c r="T51" s="66"/>
      <c r="U51" s="128"/>
      <c r="W51" s="128"/>
      <c r="X51" s="12"/>
      <c r="Y51" t="str">
        <f t="shared" si="3"/>
        <v/>
      </c>
      <c r="Z51" t="str">
        <f t="shared" si="3"/>
        <v/>
      </c>
      <c r="AA51" s="12"/>
      <c r="AB51" s="95" t="e">
        <f t="shared" si="4"/>
        <v>#VALUE!</v>
      </c>
      <c r="AC51" s="95" t="e">
        <f t="shared" si="5"/>
        <v>#VALUE!</v>
      </c>
      <c r="AD51" s="12"/>
    </row>
    <row r="52" spans="1:30" ht="15.75" thickBot="1" x14ac:dyDescent="0.3">
      <c r="A52" s="12"/>
      <c r="B52" s="22"/>
      <c r="C52" t="str">
        <f>IF(AND('ENTRY DATA'!D52=""),"",('ENTRY DATA'!D52))</f>
        <v/>
      </c>
      <c r="D52" t="str">
        <f>IF(AND('ENTRY DATA'!F52=""),"",('ENTRY DATA'!F52))</f>
        <v/>
      </c>
      <c r="E52" s="34" t="str">
        <f>IF(AND('ENTRY DATA'!B52=""),"",('ENTRY DATA'!B52))</f>
        <v/>
      </c>
      <c r="F52" s="12"/>
      <c r="G52" s="12"/>
      <c r="H52" s="72"/>
      <c r="I52" s="71"/>
      <c r="J52" s="72"/>
      <c r="K52" s="12"/>
      <c r="L52" s="20">
        <f t="shared" si="0"/>
        <v>0</v>
      </c>
      <c r="M52" s="19" t="str">
        <f t="shared" si="1"/>
        <v/>
      </c>
      <c r="N52" s="12"/>
      <c r="O52" s="119"/>
      <c r="P52" s="95" t="str">
        <f t="shared" si="2"/>
        <v/>
      </c>
      <c r="Q52" s="12"/>
      <c r="S52" s="128"/>
      <c r="T52" s="66"/>
      <c r="U52" s="128"/>
      <c r="W52" s="128"/>
      <c r="X52" s="12"/>
      <c r="Y52" t="str">
        <f t="shared" si="3"/>
        <v/>
      </c>
      <c r="Z52" t="str">
        <f t="shared" si="3"/>
        <v/>
      </c>
      <c r="AA52" s="12"/>
      <c r="AB52" s="95" t="e">
        <f t="shared" si="4"/>
        <v>#VALUE!</v>
      </c>
      <c r="AC52" s="95" t="e">
        <f t="shared" si="5"/>
        <v>#VALUE!</v>
      </c>
      <c r="AD52" s="12"/>
    </row>
    <row r="53" spans="1:30" ht="15.75" thickBot="1" x14ac:dyDescent="0.3">
      <c r="A53" s="12"/>
      <c r="B53" s="22"/>
      <c r="C53" t="str">
        <f>IF(AND('ENTRY DATA'!D53=""),"",('ENTRY DATA'!D53))</f>
        <v/>
      </c>
      <c r="D53" t="str">
        <f>IF(AND('ENTRY DATA'!F53=""),"",('ENTRY DATA'!F53))</f>
        <v/>
      </c>
      <c r="E53" s="34" t="str">
        <f>IF(AND('ENTRY DATA'!B53=""),"",('ENTRY DATA'!B53))</f>
        <v/>
      </c>
      <c r="F53" s="12"/>
      <c r="G53" s="12"/>
      <c r="H53" s="72"/>
      <c r="I53" s="71"/>
      <c r="J53" s="72"/>
      <c r="K53" s="12"/>
      <c r="L53" s="20">
        <f t="shared" si="0"/>
        <v>0</v>
      </c>
      <c r="M53" s="19" t="str">
        <f t="shared" si="1"/>
        <v/>
      </c>
      <c r="N53" s="12"/>
      <c r="O53" s="119"/>
      <c r="P53" s="95" t="str">
        <f t="shared" si="2"/>
        <v/>
      </c>
      <c r="Q53" s="12"/>
      <c r="S53" s="128"/>
      <c r="T53" s="66"/>
      <c r="U53" s="128"/>
      <c r="W53" s="128"/>
      <c r="X53" s="12"/>
      <c r="Y53" t="str">
        <f t="shared" si="3"/>
        <v/>
      </c>
      <c r="Z53" t="str">
        <f t="shared" si="3"/>
        <v/>
      </c>
      <c r="AA53" s="12"/>
      <c r="AB53" s="95" t="e">
        <f t="shared" si="4"/>
        <v>#VALUE!</v>
      </c>
      <c r="AC53" s="95" t="e">
        <f t="shared" si="5"/>
        <v>#VALUE!</v>
      </c>
      <c r="AD53" s="12"/>
    </row>
    <row r="54" spans="1:30" ht="15.75" thickBot="1" x14ac:dyDescent="0.3">
      <c r="A54" s="12"/>
      <c r="B54" s="22"/>
      <c r="C54" t="str">
        <f>IF(AND('ENTRY DATA'!D54=""),"",('ENTRY DATA'!D54))</f>
        <v/>
      </c>
      <c r="D54" t="str">
        <f>IF(AND('ENTRY DATA'!F54=""),"",('ENTRY DATA'!F54))</f>
        <v/>
      </c>
      <c r="E54" s="34" t="str">
        <f>IF(AND('ENTRY DATA'!B54=""),"",('ENTRY DATA'!B54))</f>
        <v/>
      </c>
      <c r="F54" s="12"/>
      <c r="G54" s="12"/>
      <c r="H54" s="72"/>
      <c r="I54" s="71"/>
      <c r="J54" s="72"/>
      <c r="K54" s="12"/>
      <c r="L54" s="20">
        <f t="shared" si="0"/>
        <v>0</v>
      </c>
      <c r="M54" s="19" t="str">
        <f t="shared" si="1"/>
        <v/>
      </c>
      <c r="N54" s="12"/>
      <c r="O54" s="119"/>
      <c r="P54" s="95" t="str">
        <f t="shared" si="2"/>
        <v/>
      </c>
      <c r="Q54" s="12"/>
      <c r="S54" s="128"/>
      <c r="T54" s="66"/>
      <c r="U54" s="128"/>
      <c r="W54" s="128"/>
      <c r="X54" s="12"/>
      <c r="Y54" t="str">
        <f t="shared" si="3"/>
        <v/>
      </c>
      <c r="Z54" t="str">
        <f t="shared" si="3"/>
        <v/>
      </c>
      <c r="AA54" s="12"/>
      <c r="AB54" s="95" t="e">
        <f t="shared" si="4"/>
        <v>#VALUE!</v>
      </c>
      <c r="AC54" s="95" t="e">
        <f t="shared" si="5"/>
        <v>#VALUE!</v>
      </c>
      <c r="AD54" s="12"/>
    </row>
    <row r="55" spans="1:30" ht="15.75" thickBot="1" x14ac:dyDescent="0.3">
      <c r="A55" s="12"/>
      <c r="B55" s="22"/>
      <c r="C55" t="str">
        <f>IF(AND('ENTRY DATA'!D55=""),"",('ENTRY DATA'!D55))</f>
        <v/>
      </c>
      <c r="D55" t="str">
        <f>IF(AND('ENTRY DATA'!F55=""),"",('ENTRY DATA'!F55))</f>
        <v/>
      </c>
      <c r="E55" s="34" t="str">
        <f>IF(AND('ENTRY DATA'!B55=""),"",('ENTRY DATA'!B55))</f>
        <v/>
      </c>
      <c r="F55" s="12"/>
      <c r="G55" s="12"/>
      <c r="H55" s="72"/>
      <c r="I55" s="71"/>
      <c r="J55" s="72"/>
      <c r="K55" s="12"/>
      <c r="L55" s="20">
        <f t="shared" si="0"/>
        <v>0</v>
      </c>
      <c r="M55" s="19" t="str">
        <f t="shared" si="1"/>
        <v/>
      </c>
      <c r="N55" s="12"/>
      <c r="O55" s="119"/>
      <c r="P55" s="95" t="str">
        <f t="shared" si="2"/>
        <v/>
      </c>
      <c r="Q55" s="12"/>
      <c r="S55" s="128"/>
      <c r="T55" s="66"/>
      <c r="U55" s="128"/>
      <c r="W55" s="128"/>
      <c r="X55" s="12"/>
      <c r="Y55" t="str">
        <f t="shared" si="3"/>
        <v/>
      </c>
      <c r="Z55" t="str">
        <f t="shared" si="3"/>
        <v/>
      </c>
      <c r="AA55" s="12"/>
      <c r="AB55" s="95" t="e">
        <f t="shared" si="4"/>
        <v>#VALUE!</v>
      </c>
      <c r="AC55" s="95" t="e">
        <f t="shared" si="5"/>
        <v>#VALUE!</v>
      </c>
      <c r="AD55" s="12"/>
    </row>
    <row r="56" spans="1:30" ht="15.75" thickBot="1" x14ac:dyDescent="0.3">
      <c r="A56" s="12"/>
      <c r="B56" s="22"/>
      <c r="C56" t="str">
        <f>IF(AND('ENTRY DATA'!D56=""),"",('ENTRY DATA'!D56))</f>
        <v/>
      </c>
      <c r="D56" t="str">
        <f>IF(AND('ENTRY DATA'!F56=""),"",('ENTRY DATA'!F56))</f>
        <v/>
      </c>
      <c r="E56" s="34" t="str">
        <f>IF(AND('ENTRY DATA'!B56=""),"",('ENTRY DATA'!B56))</f>
        <v/>
      </c>
      <c r="F56" s="12"/>
      <c r="G56" s="12"/>
      <c r="H56" s="72"/>
      <c r="I56" s="71"/>
      <c r="J56" s="72"/>
      <c r="K56" s="12"/>
      <c r="L56" s="20">
        <f t="shared" si="0"/>
        <v>0</v>
      </c>
      <c r="M56" s="19" t="str">
        <f t="shared" si="1"/>
        <v/>
      </c>
      <c r="N56" s="12"/>
      <c r="O56" s="119"/>
      <c r="P56" s="95" t="str">
        <f t="shared" si="2"/>
        <v/>
      </c>
      <c r="Q56" s="12"/>
      <c r="S56" s="128"/>
      <c r="T56" s="66"/>
      <c r="U56" s="128"/>
      <c r="W56" s="128"/>
      <c r="X56" s="12"/>
      <c r="Y56" t="str">
        <f t="shared" si="3"/>
        <v/>
      </c>
      <c r="Z56" t="str">
        <f t="shared" si="3"/>
        <v/>
      </c>
      <c r="AA56" s="12"/>
      <c r="AB56" s="95" t="e">
        <f t="shared" si="4"/>
        <v>#VALUE!</v>
      </c>
      <c r="AC56" s="95" t="e">
        <f t="shared" si="5"/>
        <v>#VALUE!</v>
      </c>
      <c r="AD56" s="12"/>
    </row>
    <row r="57" spans="1:30" ht="15.75" thickBot="1" x14ac:dyDescent="0.3">
      <c r="A57" s="12"/>
      <c r="B57" s="22"/>
      <c r="C57" t="str">
        <f>IF(AND('ENTRY DATA'!D57=""),"",('ENTRY DATA'!D57))</f>
        <v/>
      </c>
      <c r="D57" t="str">
        <f>IF(AND('ENTRY DATA'!F57=""),"",('ENTRY DATA'!F57))</f>
        <v/>
      </c>
      <c r="E57" s="34" t="str">
        <f>IF(AND('ENTRY DATA'!B57=""),"",('ENTRY DATA'!B57))</f>
        <v/>
      </c>
      <c r="F57" s="12"/>
      <c r="G57" s="12"/>
      <c r="H57" s="72"/>
      <c r="I57" s="71"/>
      <c r="J57" s="72"/>
      <c r="K57" s="12"/>
      <c r="L57" s="20">
        <f t="shared" si="0"/>
        <v>0</v>
      </c>
      <c r="M57" s="19" t="str">
        <f t="shared" si="1"/>
        <v/>
      </c>
      <c r="N57" s="12"/>
      <c r="O57" s="119"/>
      <c r="P57" s="95" t="str">
        <f t="shared" si="2"/>
        <v/>
      </c>
      <c r="Q57" s="12"/>
      <c r="S57" s="128"/>
      <c r="T57" s="66"/>
      <c r="U57" s="128"/>
      <c r="W57" s="128"/>
      <c r="X57" s="12"/>
      <c r="Y57" t="str">
        <f t="shared" si="3"/>
        <v/>
      </c>
      <c r="Z57" t="str">
        <f t="shared" si="3"/>
        <v/>
      </c>
      <c r="AA57" s="12"/>
      <c r="AB57" s="95" t="e">
        <f t="shared" si="4"/>
        <v>#VALUE!</v>
      </c>
      <c r="AC57" s="95" t="e">
        <f t="shared" si="5"/>
        <v>#VALUE!</v>
      </c>
      <c r="AD57" s="12"/>
    </row>
    <row r="58" spans="1:30" ht="15.75" thickBot="1" x14ac:dyDescent="0.3">
      <c r="A58" s="12"/>
      <c r="B58" s="22"/>
      <c r="C58" t="str">
        <f>IF(AND('ENTRY DATA'!D58=""),"",('ENTRY DATA'!D58))</f>
        <v/>
      </c>
      <c r="D58" t="str">
        <f>IF(AND('ENTRY DATA'!F58=""),"",('ENTRY DATA'!F58))</f>
        <v/>
      </c>
      <c r="E58" s="34" t="str">
        <f>IF(AND('ENTRY DATA'!B58=""),"",('ENTRY DATA'!B58))</f>
        <v/>
      </c>
      <c r="F58" s="12"/>
      <c r="G58" s="12"/>
      <c r="H58" s="72"/>
      <c r="I58" s="71"/>
      <c r="J58" s="72"/>
      <c r="K58" s="12"/>
      <c r="L58" s="20">
        <f t="shared" si="0"/>
        <v>0</v>
      </c>
      <c r="M58" s="19" t="str">
        <f t="shared" si="1"/>
        <v/>
      </c>
      <c r="N58" s="12"/>
      <c r="O58" s="119"/>
      <c r="P58" s="95" t="str">
        <f t="shared" si="2"/>
        <v/>
      </c>
      <c r="Q58" s="12"/>
      <c r="S58" s="128"/>
      <c r="T58" s="66"/>
      <c r="U58" s="128"/>
      <c r="W58" s="128"/>
      <c r="X58" s="12"/>
      <c r="Y58" t="str">
        <f t="shared" si="3"/>
        <v/>
      </c>
      <c r="Z58" t="str">
        <f t="shared" si="3"/>
        <v/>
      </c>
      <c r="AA58" s="12"/>
      <c r="AB58" s="95" t="e">
        <f t="shared" si="4"/>
        <v>#VALUE!</v>
      </c>
      <c r="AC58" s="95" t="e">
        <f t="shared" si="5"/>
        <v>#VALUE!</v>
      </c>
      <c r="AD58" s="12"/>
    </row>
    <row r="59" spans="1:30" ht="15.75" thickBot="1" x14ac:dyDescent="0.3">
      <c r="A59" s="12"/>
      <c r="B59" s="22"/>
      <c r="C59" t="str">
        <f>IF(AND('ENTRY DATA'!D59=""),"",('ENTRY DATA'!D59))</f>
        <v/>
      </c>
      <c r="D59" t="str">
        <f>IF(AND('ENTRY DATA'!F59=""),"",('ENTRY DATA'!F59))</f>
        <v/>
      </c>
      <c r="E59" s="34" t="str">
        <f>IF(AND('ENTRY DATA'!B59=""),"",('ENTRY DATA'!B59))</f>
        <v/>
      </c>
      <c r="F59" s="12"/>
      <c r="G59" s="12"/>
      <c r="H59" s="72"/>
      <c r="I59" s="71"/>
      <c r="J59" s="72"/>
      <c r="K59" s="12"/>
      <c r="L59" s="20">
        <f t="shared" si="0"/>
        <v>0</v>
      </c>
      <c r="M59" s="19" t="str">
        <f t="shared" si="1"/>
        <v/>
      </c>
      <c r="N59" s="12"/>
      <c r="O59" s="119"/>
      <c r="P59" s="95" t="str">
        <f t="shared" si="2"/>
        <v/>
      </c>
      <c r="Q59" s="12"/>
      <c r="S59" s="128"/>
      <c r="T59" s="66"/>
      <c r="U59" s="128"/>
      <c r="W59" s="128"/>
      <c r="X59" s="12"/>
      <c r="Y59" t="str">
        <f t="shared" si="3"/>
        <v/>
      </c>
      <c r="Z59" t="str">
        <f t="shared" si="3"/>
        <v/>
      </c>
      <c r="AA59" s="12"/>
      <c r="AB59" s="95" t="e">
        <f t="shared" si="4"/>
        <v>#VALUE!</v>
      </c>
      <c r="AC59" s="95" t="e">
        <f t="shared" si="5"/>
        <v>#VALUE!</v>
      </c>
      <c r="AD59" s="12"/>
    </row>
    <row r="60" spans="1:30" ht="15.75" thickBot="1" x14ac:dyDescent="0.3">
      <c r="A60" s="12"/>
      <c r="B60" s="22"/>
      <c r="C60" t="str">
        <f>IF(AND('ENTRY DATA'!D60=""),"",('ENTRY DATA'!D60))</f>
        <v/>
      </c>
      <c r="D60" t="str">
        <f>IF(AND('ENTRY DATA'!F60=""),"",('ENTRY DATA'!F60))</f>
        <v/>
      </c>
      <c r="E60" s="34" t="str">
        <f>IF(AND('ENTRY DATA'!B60=""),"",('ENTRY DATA'!B60))</f>
        <v/>
      </c>
      <c r="F60" s="12"/>
      <c r="G60" s="12"/>
      <c r="H60" s="72"/>
      <c r="I60" s="71"/>
      <c r="J60" s="72"/>
      <c r="K60" s="12"/>
      <c r="L60" s="20">
        <f t="shared" si="0"/>
        <v>0</v>
      </c>
      <c r="M60" s="19" t="str">
        <f t="shared" si="1"/>
        <v/>
      </c>
      <c r="N60" s="12"/>
      <c r="O60" s="119"/>
      <c r="P60" s="95" t="str">
        <f t="shared" si="2"/>
        <v/>
      </c>
      <c r="Q60" s="12"/>
      <c r="S60" s="128"/>
      <c r="T60" s="66"/>
      <c r="U60" s="128"/>
      <c r="W60" s="128"/>
      <c r="X60" s="12"/>
      <c r="Y60" t="str">
        <f t="shared" si="3"/>
        <v/>
      </c>
      <c r="Z60" t="str">
        <f t="shared" si="3"/>
        <v/>
      </c>
      <c r="AA60" s="12"/>
      <c r="AB60" s="95" t="e">
        <f t="shared" si="4"/>
        <v>#VALUE!</v>
      </c>
      <c r="AC60" s="95" t="e">
        <f t="shared" si="5"/>
        <v>#VALUE!</v>
      </c>
      <c r="AD60" s="12"/>
    </row>
    <row r="61" spans="1:30" ht="15.75" thickBot="1" x14ac:dyDescent="0.3">
      <c r="A61" s="12"/>
      <c r="B61" s="22"/>
      <c r="C61" t="str">
        <f>IF(AND('ENTRY DATA'!D61=""),"",('ENTRY DATA'!D61))</f>
        <v/>
      </c>
      <c r="D61" t="str">
        <f>IF(AND('ENTRY DATA'!F61=""),"",('ENTRY DATA'!F61))</f>
        <v/>
      </c>
      <c r="E61" s="34" t="str">
        <f>IF(AND('ENTRY DATA'!B61=""),"",('ENTRY DATA'!B61))</f>
        <v/>
      </c>
      <c r="F61" s="12"/>
      <c r="G61" s="12"/>
      <c r="H61" s="72"/>
      <c r="I61" s="71"/>
      <c r="J61" s="72"/>
      <c r="K61" s="12"/>
      <c r="L61" s="20">
        <f t="shared" si="0"/>
        <v>0</v>
      </c>
      <c r="M61" s="19" t="str">
        <f t="shared" si="1"/>
        <v/>
      </c>
      <c r="N61" s="12"/>
      <c r="O61" s="119"/>
      <c r="P61" s="95" t="str">
        <f t="shared" si="2"/>
        <v/>
      </c>
      <c r="Q61" s="12"/>
      <c r="S61" s="128"/>
      <c r="T61" s="66"/>
      <c r="U61" s="128"/>
      <c r="W61" s="128"/>
      <c r="X61" s="12"/>
      <c r="Y61" t="str">
        <f t="shared" si="3"/>
        <v/>
      </c>
      <c r="Z61" t="str">
        <f t="shared" si="3"/>
        <v/>
      </c>
      <c r="AA61" s="12"/>
      <c r="AB61" s="95" t="e">
        <f t="shared" si="4"/>
        <v>#VALUE!</v>
      </c>
      <c r="AC61" s="95" t="e">
        <f t="shared" si="5"/>
        <v>#VALUE!</v>
      </c>
      <c r="AD61" s="12"/>
    </row>
    <row r="62" spans="1:30" ht="15.75" thickBot="1" x14ac:dyDescent="0.3">
      <c r="A62" s="12"/>
      <c r="B62" s="22"/>
      <c r="C62" t="str">
        <f>IF(AND('ENTRY DATA'!D62=""),"",('ENTRY DATA'!D62))</f>
        <v/>
      </c>
      <c r="D62" t="str">
        <f>IF(AND('ENTRY DATA'!F62=""),"",('ENTRY DATA'!F62))</f>
        <v/>
      </c>
      <c r="E62" s="34" t="str">
        <f>IF(AND('ENTRY DATA'!B62=""),"",('ENTRY DATA'!B62))</f>
        <v/>
      </c>
      <c r="F62" s="12"/>
      <c r="G62" s="12"/>
      <c r="H62" s="72"/>
      <c r="I62" s="71"/>
      <c r="J62" s="72"/>
      <c r="K62" s="12"/>
      <c r="L62" s="20">
        <f t="shared" si="0"/>
        <v>0</v>
      </c>
      <c r="M62" s="19" t="str">
        <f t="shared" si="1"/>
        <v/>
      </c>
      <c r="N62" s="12"/>
      <c r="O62" s="119"/>
      <c r="P62" s="95" t="str">
        <f t="shared" si="2"/>
        <v/>
      </c>
      <c r="Q62" s="12"/>
      <c r="S62" s="128"/>
      <c r="T62" s="66"/>
      <c r="U62" s="128"/>
      <c r="W62" s="128"/>
      <c r="X62" s="12"/>
      <c r="Y62" t="str">
        <f t="shared" si="3"/>
        <v/>
      </c>
      <c r="Z62" t="str">
        <f t="shared" si="3"/>
        <v/>
      </c>
      <c r="AA62" s="12"/>
      <c r="AB62" s="95" t="e">
        <f t="shared" si="4"/>
        <v>#VALUE!</v>
      </c>
      <c r="AC62" s="95" t="e">
        <f t="shared" si="5"/>
        <v>#VALUE!</v>
      </c>
      <c r="AD62" s="12"/>
    </row>
    <row r="63" spans="1:30" ht="15.75" thickBot="1" x14ac:dyDescent="0.3">
      <c r="A63" s="12"/>
      <c r="B63" s="22"/>
      <c r="C63" t="str">
        <f>IF(AND('ENTRY DATA'!D63=""),"",('ENTRY DATA'!D63))</f>
        <v/>
      </c>
      <c r="D63" t="str">
        <f>IF(AND('ENTRY DATA'!F63=""),"",('ENTRY DATA'!F63))</f>
        <v/>
      </c>
      <c r="E63" s="34" t="str">
        <f>IF(AND('ENTRY DATA'!B63=""),"",('ENTRY DATA'!B63))</f>
        <v/>
      </c>
      <c r="F63" s="12"/>
      <c r="G63" s="12"/>
      <c r="H63" s="72"/>
      <c r="I63" s="71"/>
      <c r="J63" s="72"/>
      <c r="K63" s="12"/>
      <c r="L63" s="20">
        <f t="shared" si="0"/>
        <v>0</v>
      </c>
      <c r="M63" s="19" t="str">
        <f t="shared" si="1"/>
        <v/>
      </c>
      <c r="N63" s="12"/>
      <c r="O63" s="119"/>
      <c r="P63" s="95" t="str">
        <f t="shared" si="2"/>
        <v/>
      </c>
      <c r="Q63" s="12"/>
      <c r="S63" s="128"/>
      <c r="T63" s="66"/>
      <c r="U63" s="128"/>
      <c r="W63" s="128"/>
      <c r="X63" s="12"/>
      <c r="Y63" t="str">
        <f t="shared" si="3"/>
        <v/>
      </c>
      <c r="Z63" t="str">
        <f t="shared" si="3"/>
        <v/>
      </c>
      <c r="AA63" s="12"/>
      <c r="AB63" s="95" t="e">
        <f t="shared" si="4"/>
        <v>#VALUE!</v>
      </c>
      <c r="AC63" s="95" t="e">
        <f t="shared" si="5"/>
        <v>#VALUE!</v>
      </c>
      <c r="AD63" s="12"/>
    </row>
    <row r="64" spans="1:30" ht="15.75" thickBot="1" x14ac:dyDescent="0.3">
      <c r="A64" s="12"/>
      <c r="B64" s="22"/>
      <c r="C64" t="str">
        <f>IF(AND('ENTRY DATA'!D64=""),"",('ENTRY DATA'!D64))</f>
        <v/>
      </c>
      <c r="D64" t="str">
        <f>IF(AND('ENTRY DATA'!F64=""),"",('ENTRY DATA'!F64))</f>
        <v/>
      </c>
      <c r="E64" s="34" t="str">
        <f>IF(AND('ENTRY DATA'!B64=""),"",('ENTRY DATA'!B64))</f>
        <v/>
      </c>
      <c r="F64" s="12"/>
      <c r="G64" s="12"/>
      <c r="H64" s="72"/>
      <c r="I64" s="71"/>
      <c r="J64" s="72"/>
      <c r="K64" s="12"/>
      <c r="L64" s="20">
        <f t="shared" si="0"/>
        <v>0</v>
      </c>
      <c r="M64" s="19" t="str">
        <f t="shared" si="1"/>
        <v/>
      </c>
      <c r="N64" s="12"/>
      <c r="O64" s="119"/>
      <c r="P64" s="95" t="str">
        <f t="shared" si="2"/>
        <v/>
      </c>
      <c r="Q64" s="12"/>
      <c r="S64" s="128"/>
      <c r="T64" s="66"/>
      <c r="U64" s="128"/>
      <c r="W64" s="128"/>
      <c r="X64" s="12"/>
      <c r="Y64" t="str">
        <f t="shared" si="3"/>
        <v/>
      </c>
      <c r="Z64" t="str">
        <f t="shared" si="3"/>
        <v/>
      </c>
      <c r="AA64" s="12"/>
      <c r="AB64" s="95" t="e">
        <f t="shared" si="4"/>
        <v>#VALUE!</v>
      </c>
      <c r="AC64" s="95" t="e">
        <f t="shared" si="5"/>
        <v>#VALUE!</v>
      </c>
      <c r="AD64" s="12"/>
    </row>
    <row r="65" spans="1:30" ht="15.75" thickBot="1" x14ac:dyDescent="0.3">
      <c r="A65" s="12"/>
      <c r="B65" s="22"/>
      <c r="C65" t="str">
        <f>IF(AND('ENTRY DATA'!D65=""),"",('ENTRY DATA'!D65))</f>
        <v/>
      </c>
      <c r="D65" t="str">
        <f>IF(AND('ENTRY DATA'!F65=""),"",('ENTRY DATA'!F65))</f>
        <v/>
      </c>
      <c r="E65" s="34" t="str">
        <f>IF(AND('ENTRY DATA'!B65=""),"",('ENTRY DATA'!B65))</f>
        <v/>
      </c>
      <c r="F65" s="12"/>
      <c r="G65" s="12"/>
      <c r="H65" s="72"/>
      <c r="I65" s="71"/>
      <c r="J65" s="72"/>
      <c r="K65" s="12"/>
      <c r="L65" s="20">
        <f t="shared" si="0"/>
        <v>0</v>
      </c>
      <c r="M65" s="19" t="str">
        <f t="shared" si="1"/>
        <v/>
      </c>
      <c r="N65" s="12"/>
      <c r="O65" s="119"/>
      <c r="P65" s="95" t="str">
        <f t="shared" si="2"/>
        <v/>
      </c>
      <c r="Q65" s="12"/>
      <c r="S65" s="128"/>
      <c r="T65" s="66"/>
      <c r="U65" s="128"/>
      <c r="W65" s="128"/>
      <c r="X65" s="12"/>
      <c r="Y65" t="str">
        <f t="shared" si="3"/>
        <v/>
      </c>
      <c r="Z65" t="str">
        <f t="shared" si="3"/>
        <v/>
      </c>
      <c r="AA65" s="12"/>
      <c r="AB65" s="95" t="e">
        <f t="shared" si="4"/>
        <v>#VALUE!</v>
      </c>
      <c r="AC65" s="95" t="e">
        <f t="shared" si="5"/>
        <v>#VALUE!</v>
      </c>
      <c r="AD65" s="12"/>
    </row>
    <row r="66" spans="1:30" ht="15.75" thickBot="1" x14ac:dyDescent="0.3">
      <c r="A66" s="12"/>
      <c r="B66" s="22"/>
      <c r="C66" t="str">
        <f>IF(AND('ENTRY DATA'!D66=""),"",('ENTRY DATA'!D66))</f>
        <v/>
      </c>
      <c r="D66" t="str">
        <f>IF(AND('ENTRY DATA'!F66=""),"",('ENTRY DATA'!F66))</f>
        <v/>
      </c>
      <c r="E66" s="34" t="str">
        <f>IF(AND('ENTRY DATA'!B66=""),"",('ENTRY DATA'!B66))</f>
        <v/>
      </c>
      <c r="F66" s="12"/>
      <c r="G66" s="12"/>
      <c r="H66" s="72"/>
      <c r="I66" s="71"/>
      <c r="J66" s="72"/>
      <c r="K66" s="12"/>
      <c r="L66" s="20">
        <f t="shared" si="0"/>
        <v>0</v>
      </c>
      <c r="M66" s="19" t="str">
        <f t="shared" si="1"/>
        <v/>
      </c>
      <c r="N66" s="12"/>
      <c r="O66" s="119"/>
      <c r="P66" s="95" t="str">
        <f t="shared" si="2"/>
        <v/>
      </c>
      <c r="Q66" s="12"/>
      <c r="S66" s="128"/>
      <c r="T66" s="66"/>
      <c r="U66" s="128"/>
      <c r="W66" s="128"/>
      <c r="X66" s="12"/>
      <c r="Y66" t="str">
        <f t="shared" si="3"/>
        <v/>
      </c>
      <c r="Z66" t="str">
        <f t="shared" si="3"/>
        <v/>
      </c>
      <c r="AA66" s="12"/>
      <c r="AB66" s="95" t="e">
        <f t="shared" si="4"/>
        <v>#VALUE!</v>
      </c>
      <c r="AC66" s="95" t="e">
        <f t="shared" si="5"/>
        <v>#VALUE!</v>
      </c>
      <c r="AD66" s="12"/>
    </row>
    <row r="67" spans="1:30" ht="15.75" thickBot="1" x14ac:dyDescent="0.3">
      <c r="A67" s="12"/>
      <c r="B67" s="22"/>
      <c r="C67" t="str">
        <f>IF(AND('ENTRY DATA'!D67=""),"",('ENTRY DATA'!D67))</f>
        <v/>
      </c>
      <c r="D67" t="str">
        <f>IF(AND('ENTRY DATA'!F67=""),"",('ENTRY DATA'!F67))</f>
        <v/>
      </c>
      <c r="E67" s="34" t="str">
        <f>IF(AND('ENTRY DATA'!B67=""),"",('ENTRY DATA'!B67))</f>
        <v/>
      </c>
      <c r="F67" s="12"/>
      <c r="G67" s="12"/>
      <c r="H67" s="72"/>
      <c r="I67" s="71"/>
      <c r="J67" s="72"/>
      <c r="K67" s="12"/>
      <c r="L67" s="20">
        <f t="shared" si="0"/>
        <v>0</v>
      </c>
      <c r="M67" s="19" t="str">
        <f t="shared" si="1"/>
        <v/>
      </c>
      <c r="N67" s="12"/>
      <c r="O67" s="119"/>
      <c r="P67" s="95" t="str">
        <f t="shared" si="2"/>
        <v/>
      </c>
      <c r="Q67" s="12"/>
      <c r="S67" s="128"/>
      <c r="T67" s="66"/>
      <c r="U67" s="128"/>
      <c r="W67" s="128"/>
      <c r="X67" s="12"/>
      <c r="Y67" t="str">
        <f t="shared" si="3"/>
        <v/>
      </c>
      <c r="Z67" t="str">
        <f t="shared" si="3"/>
        <v/>
      </c>
      <c r="AA67" s="12"/>
      <c r="AB67" s="95" t="e">
        <f t="shared" si="4"/>
        <v>#VALUE!</v>
      </c>
      <c r="AC67" s="95" t="e">
        <f t="shared" si="5"/>
        <v>#VALUE!</v>
      </c>
      <c r="AD67" s="12"/>
    </row>
    <row r="68" spans="1:30" ht="15.75" thickBot="1" x14ac:dyDescent="0.3">
      <c r="A68" s="12"/>
      <c r="B68" s="22"/>
      <c r="C68" t="str">
        <f>IF(AND('ENTRY DATA'!D68=""),"",('ENTRY DATA'!D68))</f>
        <v/>
      </c>
      <c r="D68" t="str">
        <f>IF(AND('ENTRY DATA'!F68=""),"",('ENTRY DATA'!F68))</f>
        <v/>
      </c>
      <c r="E68" s="34" t="str">
        <f>IF(AND('ENTRY DATA'!B68=""),"",('ENTRY DATA'!B68))</f>
        <v/>
      </c>
      <c r="F68" s="12"/>
      <c r="G68" s="12"/>
      <c r="H68" s="72"/>
      <c r="I68" s="71"/>
      <c r="J68" s="72"/>
      <c r="K68" s="12"/>
      <c r="L68" s="20">
        <f t="shared" si="0"/>
        <v>0</v>
      </c>
      <c r="M68" s="19" t="str">
        <f t="shared" si="1"/>
        <v/>
      </c>
      <c r="N68" s="12"/>
      <c r="O68" s="119"/>
      <c r="P68" s="95" t="str">
        <f t="shared" si="2"/>
        <v/>
      </c>
      <c r="Q68" s="12"/>
      <c r="S68" s="128"/>
      <c r="T68" s="66"/>
      <c r="U68" s="128"/>
      <c r="W68" s="128"/>
      <c r="X68" s="12"/>
      <c r="Y68" t="str">
        <f t="shared" si="3"/>
        <v/>
      </c>
      <c r="Z68" t="str">
        <f t="shared" si="3"/>
        <v/>
      </c>
      <c r="AA68" s="12"/>
      <c r="AB68" s="95" t="e">
        <f t="shared" si="4"/>
        <v>#VALUE!</v>
      </c>
      <c r="AC68" s="95" t="e">
        <f t="shared" si="5"/>
        <v>#VALUE!</v>
      </c>
      <c r="AD68" s="12"/>
    </row>
    <row r="69" spans="1:30" ht="15.75" thickBot="1" x14ac:dyDescent="0.3">
      <c r="A69" s="12"/>
      <c r="B69" s="22"/>
      <c r="C69" t="str">
        <f>IF(AND('ENTRY DATA'!D69=""),"",('ENTRY DATA'!D69))</f>
        <v/>
      </c>
      <c r="D69" t="str">
        <f>IF(AND('ENTRY DATA'!F69=""),"",('ENTRY DATA'!F69))</f>
        <v/>
      </c>
      <c r="E69" s="34" t="str">
        <f>IF(AND('ENTRY DATA'!B69=""),"",('ENTRY DATA'!B69))</f>
        <v/>
      </c>
      <c r="F69" s="12"/>
      <c r="G69" s="12"/>
      <c r="H69" s="72"/>
      <c r="I69" s="71"/>
      <c r="J69" s="72"/>
      <c r="K69" s="12"/>
      <c r="L69" s="20">
        <f t="shared" si="0"/>
        <v>0</v>
      </c>
      <c r="M69" s="19" t="str">
        <f t="shared" si="1"/>
        <v/>
      </c>
      <c r="N69" s="12"/>
      <c r="O69" s="119"/>
      <c r="P69" s="95" t="str">
        <f t="shared" si="2"/>
        <v/>
      </c>
      <c r="Q69" s="12"/>
      <c r="S69" s="128"/>
      <c r="T69" s="66"/>
      <c r="U69" s="128"/>
      <c r="W69" s="128"/>
      <c r="X69" s="12"/>
      <c r="Y69" t="str">
        <f t="shared" si="3"/>
        <v/>
      </c>
      <c r="Z69" t="str">
        <f t="shared" si="3"/>
        <v/>
      </c>
      <c r="AA69" s="12"/>
      <c r="AB69" s="95" t="e">
        <f t="shared" si="4"/>
        <v>#VALUE!</v>
      </c>
      <c r="AC69" s="95" t="e">
        <f t="shared" si="5"/>
        <v>#VALUE!</v>
      </c>
      <c r="AD69" s="12"/>
    </row>
    <row r="70" spans="1:30" ht="15.75" thickBot="1" x14ac:dyDescent="0.3">
      <c r="A70" s="12"/>
      <c r="B70" s="22"/>
      <c r="C70" t="str">
        <f>IF(AND('ENTRY DATA'!D70=""),"",('ENTRY DATA'!D70))</f>
        <v/>
      </c>
      <c r="D70" t="str">
        <f>IF(AND('ENTRY DATA'!F70=""),"",('ENTRY DATA'!F70))</f>
        <v/>
      </c>
      <c r="E70" s="34" t="str">
        <f>IF(AND('ENTRY DATA'!B70=""),"",('ENTRY DATA'!B70))</f>
        <v/>
      </c>
      <c r="F70" s="12"/>
      <c r="G70" s="12"/>
      <c r="H70" s="72"/>
      <c r="I70" s="71"/>
      <c r="J70" s="72"/>
      <c r="K70" s="12"/>
      <c r="L70" s="20">
        <f t="shared" ref="L70:L133" si="6">COUNT(H70:J70)</f>
        <v>0</v>
      </c>
      <c r="M70" s="19" t="str">
        <f t="shared" ref="M70:M133" si="7">IF(AND(H70="",I70="",J70=""),"",(H70+I70+J70))</f>
        <v/>
      </c>
      <c r="N70" s="12"/>
      <c r="O70" s="119"/>
      <c r="P70" s="95" t="str">
        <f t="shared" ref="P70:P133" si="8">C70</f>
        <v/>
      </c>
      <c r="Q70" s="12"/>
      <c r="S70" s="128"/>
      <c r="T70" s="66"/>
      <c r="U70" s="128"/>
      <c r="W70" s="128"/>
      <c r="X70" s="12"/>
      <c r="Y70" t="str">
        <f t="shared" ref="Y70:Z133" si="9">IF(AND(R70="",T70="",V70=""),"",SUM(R70,T70,V70))</f>
        <v/>
      </c>
      <c r="Z70" t="str">
        <f t="shared" si="9"/>
        <v/>
      </c>
      <c r="AA70" s="12"/>
      <c r="AB70" s="95" t="e">
        <f t="shared" ref="AB70:AB133" si="10">Y70/L70</f>
        <v>#VALUE!</v>
      </c>
      <c r="AC70" s="95" t="e">
        <f t="shared" ref="AC70:AC133" si="11">Z70/L70</f>
        <v>#VALUE!</v>
      </c>
      <c r="AD70" s="12"/>
    </row>
    <row r="71" spans="1:30" ht="15.75" thickBot="1" x14ac:dyDescent="0.3">
      <c r="A71" s="12"/>
      <c r="B71" s="22"/>
      <c r="C71" t="str">
        <f>IF(AND('ENTRY DATA'!D71=""),"",('ENTRY DATA'!D71))</f>
        <v/>
      </c>
      <c r="D71" t="str">
        <f>IF(AND('ENTRY DATA'!F71=""),"",('ENTRY DATA'!F71))</f>
        <v/>
      </c>
      <c r="E71" s="34" t="str">
        <f>IF(AND('ENTRY DATA'!B71=""),"",('ENTRY DATA'!B71))</f>
        <v/>
      </c>
      <c r="F71" s="12"/>
      <c r="G71" s="12"/>
      <c r="H71" s="72"/>
      <c r="I71" s="71"/>
      <c r="J71" s="72"/>
      <c r="K71" s="12"/>
      <c r="L71" s="20">
        <f t="shared" si="6"/>
        <v>0</v>
      </c>
      <c r="M71" s="19" t="str">
        <f t="shared" si="7"/>
        <v/>
      </c>
      <c r="N71" s="12"/>
      <c r="O71" s="119"/>
      <c r="P71" s="95" t="str">
        <f t="shared" si="8"/>
        <v/>
      </c>
      <c r="Q71" s="12"/>
      <c r="S71" s="128"/>
      <c r="T71" s="66"/>
      <c r="U71" s="128"/>
      <c r="W71" s="128"/>
      <c r="X71" s="12"/>
      <c r="Y71" t="str">
        <f t="shared" si="9"/>
        <v/>
      </c>
      <c r="Z71" t="str">
        <f t="shared" si="9"/>
        <v/>
      </c>
      <c r="AA71" s="12"/>
      <c r="AB71" s="95" t="e">
        <f t="shared" si="10"/>
        <v>#VALUE!</v>
      </c>
      <c r="AC71" s="95" t="e">
        <f t="shared" si="11"/>
        <v>#VALUE!</v>
      </c>
      <c r="AD71" s="12"/>
    </row>
    <row r="72" spans="1:30" ht="15.75" thickBot="1" x14ac:dyDescent="0.3">
      <c r="A72" s="12"/>
      <c r="B72" s="22"/>
      <c r="C72" t="str">
        <f>IF(AND('ENTRY DATA'!D72=""),"",('ENTRY DATA'!D72))</f>
        <v/>
      </c>
      <c r="D72" t="str">
        <f>IF(AND('ENTRY DATA'!F72=""),"",('ENTRY DATA'!F72))</f>
        <v/>
      </c>
      <c r="E72" s="34" t="str">
        <f>IF(AND('ENTRY DATA'!B72=""),"",('ENTRY DATA'!B72))</f>
        <v/>
      </c>
      <c r="F72" s="12"/>
      <c r="G72" s="12"/>
      <c r="H72" s="72"/>
      <c r="I72" s="71"/>
      <c r="J72" s="72"/>
      <c r="K72" s="12"/>
      <c r="L72" s="20">
        <f t="shared" si="6"/>
        <v>0</v>
      </c>
      <c r="M72" s="19" t="str">
        <f t="shared" si="7"/>
        <v/>
      </c>
      <c r="N72" s="12"/>
      <c r="O72" s="119"/>
      <c r="P72" s="95" t="str">
        <f t="shared" si="8"/>
        <v/>
      </c>
      <c r="Q72" s="12"/>
      <c r="S72" s="128"/>
      <c r="T72" s="66"/>
      <c r="U72" s="128"/>
      <c r="W72" s="128"/>
      <c r="X72" s="12"/>
      <c r="Y72" t="str">
        <f t="shared" si="9"/>
        <v/>
      </c>
      <c r="Z72" t="str">
        <f t="shared" si="9"/>
        <v/>
      </c>
      <c r="AA72" s="12"/>
      <c r="AB72" s="95" t="e">
        <f t="shared" si="10"/>
        <v>#VALUE!</v>
      </c>
      <c r="AC72" s="95" t="e">
        <f t="shared" si="11"/>
        <v>#VALUE!</v>
      </c>
      <c r="AD72" s="12"/>
    </row>
    <row r="73" spans="1:30" ht="15.75" thickBot="1" x14ac:dyDescent="0.3">
      <c r="A73" s="12"/>
      <c r="B73" s="22"/>
      <c r="C73" t="str">
        <f>IF(AND('ENTRY DATA'!D73=""),"",('ENTRY DATA'!D73))</f>
        <v/>
      </c>
      <c r="D73" t="str">
        <f>IF(AND('ENTRY DATA'!F73=""),"",('ENTRY DATA'!F73))</f>
        <v/>
      </c>
      <c r="E73" s="34" t="str">
        <f>IF(AND('ENTRY DATA'!B73=""),"",('ENTRY DATA'!B73))</f>
        <v/>
      </c>
      <c r="F73" s="12"/>
      <c r="G73" s="12"/>
      <c r="H73" s="72"/>
      <c r="I73" s="71"/>
      <c r="J73" s="72"/>
      <c r="K73" s="12"/>
      <c r="L73" s="20">
        <f t="shared" si="6"/>
        <v>0</v>
      </c>
      <c r="M73" s="19" t="str">
        <f t="shared" si="7"/>
        <v/>
      </c>
      <c r="N73" s="12"/>
      <c r="O73" s="119"/>
      <c r="P73" s="95" t="str">
        <f t="shared" si="8"/>
        <v/>
      </c>
      <c r="Q73" s="12"/>
      <c r="S73" s="128"/>
      <c r="T73" s="66"/>
      <c r="U73" s="128"/>
      <c r="W73" s="128"/>
      <c r="X73" s="12"/>
      <c r="Y73" t="str">
        <f t="shared" si="9"/>
        <v/>
      </c>
      <c r="Z73" t="str">
        <f t="shared" si="9"/>
        <v/>
      </c>
      <c r="AA73" s="12"/>
      <c r="AB73" s="95" t="e">
        <f t="shared" si="10"/>
        <v>#VALUE!</v>
      </c>
      <c r="AC73" s="95" t="e">
        <f t="shared" si="11"/>
        <v>#VALUE!</v>
      </c>
      <c r="AD73" s="12"/>
    </row>
    <row r="74" spans="1:30" ht="15.75" thickBot="1" x14ac:dyDescent="0.3">
      <c r="A74" s="12"/>
      <c r="B74" s="22"/>
      <c r="C74" t="str">
        <f>IF(AND('ENTRY DATA'!D74=""),"",('ENTRY DATA'!D74))</f>
        <v/>
      </c>
      <c r="D74" t="str">
        <f>IF(AND('ENTRY DATA'!F74=""),"",('ENTRY DATA'!F74))</f>
        <v/>
      </c>
      <c r="E74" s="34" t="str">
        <f>IF(AND('ENTRY DATA'!B74=""),"",('ENTRY DATA'!B74))</f>
        <v/>
      </c>
      <c r="F74" s="12"/>
      <c r="G74" s="12"/>
      <c r="H74" s="72"/>
      <c r="I74" s="71"/>
      <c r="J74" s="72"/>
      <c r="K74" s="12"/>
      <c r="L74" s="20">
        <f t="shared" si="6"/>
        <v>0</v>
      </c>
      <c r="M74" s="19" t="str">
        <f t="shared" si="7"/>
        <v/>
      </c>
      <c r="N74" s="12"/>
      <c r="O74" s="119"/>
      <c r="P74" s="95" t="str">
        <f t="shared" si="8"/>
        <v/>
      </c>
      <c r="Q74" s="12"/>
      <c r="S74" s="128"/>
      <c r="T74" s="66"/>
      <c r="U74" s="128"/>
      <c r="W74" s="128"/>
      <c r="X74" s="12"/>
      <c r="Y74" t="str">
        <f t="shared" si="9"/>
        <v/>
      </c>
      <c r="Z74" t="str">
        <f t="shared" si="9"/>
        <v/>
      </c>
      <c r="AA74" s="12"/>
      <c r="AB74" s="95" t="e">
        <f t="shared" si="10"/>
        <v>#VALUE!</v>
      </c>
      <c r="AC74" s="95" t="e">
        <f t="shared" si="11"/>
        <v>#VALUE!</v>
      </c>
      <c r="AD74" s="12"/>
    </row>
    <row r="75" spans="1:30" ht="15.75" thickBot="1" x14ac:dyDescent="0.3">
      <c r="A75" s="12"/>
      <c r="B75" s="22"/>
      <c r="C75" t="str">
        <f>IF(AND('ENTRY DATA'!D75=""),"",('ENTRY DATA'!D75))</f>
        <v/>
      </c>
      <c r="D75" t="str">
        <f>IF(AND('ENTRY DATA'!F75=""),"",('ENTRY DATA'!F75))</f>
        <v/>
      </c>
      <c r="E75" s="34" t="str">
        <f>IF(AND('ENTRY DATA'!B75=""),"",('ENTRY DATA'!B75))</f>
        <v/>
      </c>
      <c r="F75" s="12"/>
      <c r="G75" s="12"/>
      <c r="H75" s="72"/>
      <c r="I75" s="71"/>
      <c r="J75" s="72"/>
      <c r="K75" s="12"/>
      <c r="L75" s="20">
        <f t="shared" si="6"/>
        <v>0</v>
      </c>
      <c r="M75" s="19" t="str">
        <f t="shared" si="7"/>
        <v/>
      </c>
      <c r="N75" s="12"/>
      <c r="O75" s="119"/>
      <c r="P75" s="95" t="str">
        <f t="shared" si="8"/>
        <v/>
      </c>
      <c r="Q75" s="12"/>
      <c r="S75" s="128"/>
      <c r="T75" s="66"/>
      <c r="U75" s="128"/>
      <c r="W75" s="128"/>
      <c r="X75" s="12"/>
      <c r="Y75" t="str">
        <f t="shared" si="9"/>
        <v/>
      </c>
      <c r="Z75" t="str">
        <f t="shared" si="9"/>
        <v/>
      </c>
      <c r="AA75" s="12"/>
      <c r="AB75" s="95" t="e">
        <f t="shared" si="10"/>
        <v>#VALUE!</v>
      </c>
      <c r="AC75" s="95" t="e">
        <f t="shared" si="11"/>
        <v>#VALUE!</v>
      </c>
      <c r="AD75" s="12"/>
    </row>
    <row r="76" spans="1:30" ht="15.75" thickBot="1" x14ac:dyDescent="0.3">
      <c r="A76" s="12"/>
      <c r="B76" s="22"/>
      <c r="C76" t="str">
        <f>IF(AND('ENTRY DATA'!D76=""),"",('ENTRY DATA'!D76))</f>
        <v/>
      </c>
      <c r="D76" t="str">
        <f>IF(AND('ENTRY DATA'!F76=""),"",('ENTRY DATA'!F76))</f>
        <v/>
      </c>
      <c r="E76" s="34" t="str">
        <f>IF(AND('ENTRY DATA'!B76=""),"",('ENTRY DATA'!B76))</f>
        <v/>
      </c>
      <c r="F76" s="12"/>
      <c r="G76" s="12"/>
      <c r="H76" s="72"/>
      <c r="I76" s="71"/>
      <c r="J76" s="72"/>
      <c r="K76" s="12"/>
      <c r="L76" s="20">
        <f t="shared" si="6"/>
        <v>0</v>
      </c>
      <c r="M76" s="19" t="str">
        <f t="shared" si="7"/>
        <v/>
      </c>
      <c r="N76" s="12"/>
      <c r="O76" s="119"/>
      <c r="P76" s="95" t="str">
        <f t="shared" si="8"/>
        <v/>
      </c>
      <c r="Q76" s="12"/>
      <c r="S76" s="128"/>
      <c r="T76" s="66"/>
      <c r="U76" s="128"/>
      <c r="W76" s="128"/>
      <c r="X76" s="12"/>
      <c r="Y76" t="str">
        <f t="shared" si="9"/>
        <v/>
      </c>
      <c r="Z76" t="str">
        <f t="shared" si="9"/>
        <v/>
      </c>
      <c r="AA76" s="12"/>
      <c r="AB76" s="95" t="e">
        <f t="shared" si="10"/>
        <v>#VALUE!</v>
      </c>
      <c r="AC76" s="95" t="e">
        <f t="shared" si="11"/>
        <v>#VALUE!</v>
      </c>
      <c r="AD76" s="12"/>
    </row>
    <row r="77" spans="1:30" ht="15.75" thickBot="1" x14ac:dyDescent="0.3">
      <c r="A77" s="12"/>
      <c r="B77" s="22"/>
      <c r="C77" t="str">
        <f>IF(AND('ENTRY DATA'!D77=""),"",('ENTRY DATA'!D77))</f>
        <v/>
      </c>
      <c r="D77" t="str">
        <f>IF(AND('ENTRY DATA'!F77=""),"",('ENTRY DATA'!F77))</f>
        <v/>
      </c>
      <c r="E77" s="34" t="str">
        <f>IF(AND('ENTRY DATA'!B77=""),"",('ENTRY DATA'!B77))</f>
        <v/>
      </c>
      <c r="F77" s="12"/>
      <c r="G77" s="12"/>
      <c r="H77" s="72"/>
      <c r="I77" s="71"/>
      <c r="J77" s="72"/>
      <c r="K77" s="12"/>
      <c r="L77" s="20">
        <f t="shared" si="6"/>
        <v>0</v>
      </c>
      <c r="M77" s="19" t="str">
        <f t="shared" si="7"/>
        <v/>
      </c>
      <c r="N77" s="12"/>
      <c r="O77" s="119"/>
      <c r="P77" s="95" t="str">
        <f t="shared" si="8"/>
        <v/>
      </c>
      <c r="Q77" s="12"/>
      <c r="S77" s="128"/>
      <c r="T77" s="66"/>
      <c r="U77" s="128"/>
      <c r="W77" s="128"/>
      <c r="X77" s="12"/>
      <c r="Y77" t="str">
        <f t="shared" si="9"/>
        <v/>
      </c>
      <c r="Z77" t="str">
        <f t="shared" si="9"/>
        <v/>
      </c>
      <c r="AA77" s="12"/>
      <c r="AB77" s="95" t="e">
        <f t="shared" si="10"/>
        <v>#VALUE!</v>
      </c>
      <c r="AC77" s="95" t="e">
        <f t="shared" si="11"/>
        <v>#VALUE!</v>
      </c>
      <c r="AD77" s="12"/>
    </row>
    <row r="78" spans="1:30" ht="15.75" thickBot="1" x14ac:dyDescent="0.3">
      <c r="A78" s="12"/>
      <c r="B78" s="22"/>
      <c r="C78" t="str">
        <f>IF(AND('ENTRY DATA'!D78=""),"",('ENTRY DATA'!D78))</f>
        <v/>
      </c>
      <c r="D78" t="str">
        <f>IF(AND('ENTRY DATA'!F78=""),"",('ENTRY DATA'!F78))</f>
        <v/>
      </c>
      <c r="E78" s="34" t="str">
        <f>IF(AND('ENTRY DATA'!B78=""),"",('ENTRY DATA'!B78))</f>
        <v/>
      </c>
      <c r="F78" s="12"/>
      <c r="G78" s="12"/>
      <c r="H78" s="72"/>
      <c r="I78" s="71"/>
      <c r="J78" s="72"/>
      <c r="K78" s="12"/>
      <c r="L78" s="20">
        <f t="shared" si="6"/>
        <v>0</v>
      </c>
      <c r="M78" s="19" t="str">
        <f t="shared" si="7"/>
        <v/>
      </c>
      <c r="N78" s="12"/>
      <c r="O78" s="119"/>
      <c r="P78" s="95" t="str">
        <f t="shared" si="8"/>
        <v/>
      </c>
      <c r="Q78" s="12"/>
      <c r="S78" s="128"/>
      <c r="T78" s="66"/>
      <c r="U78" s="128"/>
      <c r="W78" s="128"/>
      <c r="X78" s="12"/>
      <c r="Y78" t="str">
        <f t="shared" si="9"/>
        <v/>
      </c>
      <c r="Z78" t="str">
        <f t="shared" si="9"/>
        <v/>
      </c>
      <c r="AA78" s="12"/>
      <c r="AB78" s="95" t="e">
        <f t="shared" si="10"/>
        <v>#VALUE!</v>
      </c>
      <c r="AC78" s="95" t="e">
        <f t="shared" si="11"/>
        <v>#VALUE!</v>
      </c>
      <c r="AD78" s="12"/>
    </row>
    <row r="79" spans="1:30" ht="15.75" thickBot="1" x14ac:dyDescent="0.3">
      <c r="A79" s="12"/>
      <c r="B79" s="22"/>
      <c r="C79" t="str">
        <f>IF(AND('ENTRY DATA'!D79=""),"",('ENTRY DATA'!D79))</f>
        <v/>
      </c>
      <c r="D79" t="str">
        <f>IF(AND('ENTRY DATA'!F79=""),"",('ENTRY DATA'!F79))</f>
        <v/>
      </c>
      <c r="E79" s="34" t="str">
        <f>IF(AND('ENTRY DATA'!B79=""),"",('ENTRY DATA'!B79))</f>
        <v/>
      </c>
      <c r="F79" s="12"/>
      <c r="G79" s="12"/>
      <c r="H79" s="72"/>
      <c r="I79" s="71"/>
      <c r="J79" s="72"/>
      <c r="K79" s="12"/>
      <c r="L79" s="20">
        <f t="shared" si="6"/>
        <v>0</v>
      </c>
      <c r="M79" s="19" t="str">
        <f t="shared" si="7"/>
        <v/>
      </c>
      <c r="N79" s="12"/>
      <c r="O79" s="119"/>
      <c r="P79" s="95" t="str">
        <f t="shared" si="8"/>
        <v/>
      </c>
      <c r="Q79" s="12"/>
      <c r="S79" s="128"/>
      <c r="T79" s="66"/>
      <c r="U79" s="128"/>
      <c r="W79" s="128"/>
      <c r="X79" s="12"/>
      <c r="Y79" t="str">
        <f t="shared" si="9"/>
        <v/>
      </c>
      <c r="Z79" t="str">
        <f t="shared" si="9"/>
        <v/>
      </c>
      <c r="AA79" s="12"/>
      <c r="AB79" s="95" t="e">
        <f t="shared" si="10"/>
        <v>#VALUE!</v>
      </c>
      <c r="AC79" s="95" t="e">
        <f t="shared" si="11"/>
        <v>#VALUE!</v>
      </c>
      <c r="AD79" s="12"/>
    </row>
    <row r="80" spans="1:30" ht="15.75" thickBot="1" x14ac:dyDescent="0.3">
      <c r="A80" s="12"/>
      <c r="B80" s="22"/>
      <c r="C80" t="str">
        <f>IF(AND('ENTRY DATA'!D80=""),"",('ENTRY DATA'!D80))</f>
        <v/>
      </c>
      <c r="D80" t="str">
        <f>IF(AND('ENTRY DATA'!F80=""),"",('ENTRY DATA'!F80))</f>
        <v/>
      </c>
      <c r="E80" s="34" t="str">
        <f>IF(AND('ENTRY DATA'!B80=""),"",('ENTRY DATA'!B80))</f>
        <v/>
      </c>
      <c r="F80" s="12"/>
      <c r="G80" s="12"/>
      <c r="H80" s="72"/>
      <c r="I80" s="71"/>
      <c r="J80" s="72"/>
      <c r="K80" s="12"/>
      <c r="L80" s="20">
        <f t="shared" si="6"/>
        <v>0</v>
      </c>
      <c r="M80" s="19" t="str">
        <f t="shared" si="7"/>
        <v/>
      </c>
      <c r="N80" s="12"/>
      <c r="O80" s="119"/>
      <c r="P80" s="95" t="str">
        <f t="shared" si="8"/>
        <v/>
      </c>
      <c r="Q80" s="12"/>
      <c r="S80" s="128"/>
      <c r="T80" s="66"/>
      <c r="U80" s="128"/>
      <c r="W80" s="128"/>
      <c r="X80" s="12"/>
      <c r="Y80" t="str">
        <f t="shared" si="9"/>
        <v/>
      </c>
      <c r="Z80" t="str">
        <f t="shared" si="9"/>
        <v/>
      </c>
      <c r="AA80" s="12"/>
      <c r="AB80" s="95" t="e">
        <f t="shared" si="10"/>
        <v>#VALUE!</v>
      </c>
      <c r="AC80" s="95" t="e">
        <f t="shared" si="11"/>
        <v>#VALUE!</v>
      </c>
      <c r="AD80" s="12"/>
    </row>
    <row r="81" spans="1:30" ht="15.75" thickBot="1" x14ac:dyDescent="0.3">
      <c r="A81" s="12"/>
      <c r="B81" s="22"/>
      <c r="C81" t="str">
        <f>IF(AND('ENTRY DATA'!D81=""),"",('ENTRY DATA'!D81))</f>
        <v/>
      </c>
      <c r="D81" t="str">
        <f>IF(AND('ENTRY DATA'!F81=""),"",('ENTRY DATA'!F81))</f>
        <v/>
      </c>
      <c r="E81" s="34" t="str">
        <f>IF(AND('ENTRY DATA'!B81=""),"",('ENTRY DATA'!B81))</f>
        <v/>
      </c>
      <c r="F81" s="12"/>
      <c r="G81" s="12"/>
      <c r="H81" s="72"/>
      <c r="I81" s="71"/>
      <c r="J81" s="72"/>
      <c r="K81" s="12"/>
      <c r="L81" s="20">
        <f t="shared" si="6"/>
        <v>0</v>
      </c>
      <c r="M81" s="19" t="str">
        <f t="shared" si="7"/>
        <v/>
      </c>
      <c r="N81" s="12"/>
      <c r="O81" s="119"/>
      <c r="P81" s="95" t="str">
        <f t="shared" si="8"/>
        <v/>
      </c>
      <c r="Q81" s="12"/>
      <c r="S81" s="128"/>
      <c r="T81" s="66"/>
      <c r="U81" s="128"/>
      <c r="W81" s="128"/>
      <c r="X81" s="12"/>
      <c r="Y81" t="str">
        <f t="shared" si="9"/>
        <v/>
      </c>
      <c r="Z81" t="str">
        <f t="shared" si="9"/>
        <v/>
      </c>
      <c r="AA81" s="12"/>
      <c r="AB81" s="95" t="e">
        <f t="shared" si="10"/>
        <v>#VALUE!</v>
      </c>
      <c r="AC81" s="95" t="e">
        <f t="shared" si="11"/>
        <v>#VALUE!</v>
      </c>
      <c r="AD81" s="12"/>
    </row>
    <row r="82" spans="1:30" ht="15.75" thickBot="1" x14ac:dyDescent="0.3">
      <c r="A82" s="12"/>
      <c r="B82" s="22"/>
      <c r="C82" t="str">
        <f>IF(AND('ENTRY DATA'!D82=""),"",('ENTRY DATA'!D82))</f>
        <v/>
      </c>
      <c r="D82" t="str">
        <f>IF(AND('ENTRY DATA'!F82=""),"",('ENTRY DATA'!F82))</f>
        <v/>
      </c>
      <c r="E82" s="34" t="str">
        <f>IF(AND('ENTRY DATA'!B82=""),"",('ENTRY DATA'!B82))</f>
        <v/>
      </c>
      <c r="F82" s="12"/>
      <c r="G82" s="12"/>
      <c r="H82" s="72"/>
      <c r="I82" s="71"/>
      <c r="J82" s="72"/>
      <c r="K82" s="12"/>
      <c r="L82" s="20">
        <f t="shared" si="6"/>
        <v>0</v>
      </c>
      <c r="M82" s="19" t="str">
        <f t="shared" si="7"/>
        <v/>
      </c>
      <c r="N82" s="12"/>
      <c r="O82" s="119"/>
      <c r="P82" s="95" t="str">
        <f t="shared" si="8"/>
        <v/>
      </c>
      <c r="Q82" s="12"/>
      <c r="S82" s="128"/>
      <c r="T82" s="66"/>
      <c r="U82" s="128"/>
      <c r="W82" s="128"/>
      <c r="X82" s="12"/>
      <c r="Y82" t="str">
        <f t="shared" si="9"/>
        <v/>
      </c>
      <c r="Z82" t="str">
        <f t="shared" si="9"/>
        <v/>
      </c>
      <c r="AA82" s="12"/>
      <c r="AB82" s="95" t="e">
        <f t="shared" si="10"/>
        <v>#VALUE!</v>
      </c>
      <c r="AC82" s="95" t="e">
        <f t="shared" si="11"/>
        <v>#VALUE!</v>
      </c>
      <c r="AD82" s="12"/>
    </row>
    <row r="83" spans="1:30" ht="15.75" thickBot="1" x14ac:dyDescent="0.3">
      <c r="A83" s="12"/>
      <c r="B83" s="22"/>
      <c r="C83" t="str">
        <f>IF(AND('ENTRY DATA'!D83=""),"",('ENTRY DATA'!D83))</f>
        <v/>
      </c>
      <c r="D83" t="str">
        <f>IF(AND('ENTRY DATA'!F83=""),"",('ENTRY DATA'!F83))</f>
        <v/>
      </c>
      <c r="E83" s="34" t="str">
        <f>IF(AND('ENTRY DATA'!B83=""),"",('ENTRY DATA'!B83))</f>
        <v/>
      </c>
      <c r="F83" s="12"/>
      <c r="G83" s="12"/>
      <c r="H83" s="72"/>
      <c r="I83" s="71"/>
      <c r="J83" s="72"/>
      <c r="K83" s="12"/>
      <c r="L83" s="20">
        <f t="shared" si="6"/>
        <v>0</v>
      </c>
      <c r="M83" s="19" t="str">
        <f t="shared" si="7"/>
        <v/>
      </c>
      <c r="N83" s="12"/>
      <c r="O83" s="119"/>
      <c r="P83" s="95" t="str">
        <f t="shared" si="8"/>
        <v/>
      </c>
      <c r="Q83" s="12"/>
      <c r="S83" s="128"/>
      <c r="T83" s="66"/>
      <c r="U83" s="128"/>
      <c r="W83" s="128"/>
      <c r="X83" s="12"/>
      <c r="Y83" t="str">
        <f t="shared" si="9"/>
        <v/>
      </c>
      <c r="Z83" t="str">
        <f t="shared" si="9"/>
        <v/>
      </c>
      <c r="AA83" s="12"/>
      <c r="AB83" s="95" t="e">
        <f t="shared" si="10"/>
        <v>#VALUE!</v>
      </c>
      <c r="AC83" s="95" t="e">
        <f t="shared" si="11"/>
        <v>#VALUE!</v>
      </c>
      <c r="AD83" s="12"/>
    </row>
    <row r="84" spans="1:30" ht="15.75" thickBot="1" x14ac:dyDescent="0.3">
      <c r="A84" s="12"/>
      <c r="B84" s="22"/>
      <c r="C84" t="str">
        <f>IF(AND('ENTRY DATA'!D84=""),"",('ENTRY DATA'!D84))</f>
        <v/>
      </c>
      <c r="D84" t="str">
        <f>IF(AND('ENTRY DATA'!F84=""),"",('ENTRY DATA'!F84))</f>
        <v/>
      </c>
      <c r="E84" s="34" t="str">
        <f>IF(AND('ENTRY DATA'!B84=""),"",('ENTRY DATA'!B84))</f>
        <v/>
      </c>
      <c r="F84" s="12"/>
      <c r="G84" s="12"/>
      <c r="H84" s="72"/>
      <c r="I84" s="71"/>
      <c r="J84" s="72"/>
      <c r="K84" s="12"/>
      <c r="L84" s="20">
        <f t="shared" si="6"/>
        <v>0</v>
      </c>
      <c r="M84" s="19" t="str">
        <f t="shared" si="7"/>
        <v/>
      </c>
      <c r="N84" s="12"/>
      <c r="O84" s="119"/>
      <c r="P84" s="95" t="str">
        <f t="shared" si="8"/>
        <v/>
      </c>
      <c r="Q84" s="12"/>
      <c r="S84" s="128"/>
      <c r="T84" s="66"/>
      <c r="U84" s="128"/>
      <c r="W84" s="128"/>
      <c r="X84" s="12"/>
      <c r="Y84" t="str">
        <f t="shared" si="9"/>
        <v/>
      </c>
      <c r="Z84" t="str">
        <f t="shared" si="9"/>
        <v/>
      </c>
      <c r="AA84" s="12"/>
      <c r="AB84" s="95" t="e">
        <f t="shared" si="10"/>
        <v>#VALUE!</v>
      </c>
      <c r="AC84" s="95" t="e">
        <f t="shared" si="11"/>
        <v>#VALUE!</v>
      </c>
      <c r="AD84" s="12"/>
    </row>
    <row r="85" spans="1:30" ht="15.75" thickBot="1" x14ac:dyDescent="0.3">
      <c r="A85" s="12"/>
      <c r="B85" s="22"/>
      <c r="C85" t="str">
        <f>IF(AND('ENTRY DATA'!D85=""),"",('ENTRY DATA'!D85))</f>
        <v/>
      </c>
      <c r="D85" t="str">
        <f>IF(AND('ENTRY DATA'!F85=""),"",('ENTRY DATA'!F85))</f>
        <v/>
      </c>
      <c r="E85" s="34" t="str">
        <f>IF(AND('ENTRY DATA'!B85=""),"",('ENTRY DATA'!B85))</f>
        <v/>
      </c>
      <c r="F85" s="12"/>
      <c r="G85" s="12"/>
      <c r="H85" s="72"/>
      <c r="I85" s="71"/>
      <c r="J85" s="72"/>
      <c r="K85" s="12"/>
      <c r="L85" s="20">
        <f t="shared" si="6"/>
        <v>0</v>
      </c>
      <c r="M85" s="19" t="str">
        <f t="shared" si="7"/>
        <v/>
      </c>
      <c r="N85" s="12"/>
      <c r="O85" s="119"/>
      <c r="P85" s="95" t="str">
        <f t="shared" si="8"/>
        <v/>
      </c>
      <c r="Q85" s="12"/>
      <c r="S85" s="128"/>
      <c r="T85" s="66"/>
      <c r="U85" s="128"/>
      <c r="W85" s="128"/>
      <c r="X85" s="12"/>
      <c r="Y85" t="str">
        <f t="shared" si="9"/>
        <v/>
      </c>
      <c r="Z85" t="str">
        <f t="shared" si="9"/>
        <v/>
      </c>
      <c r="AA85" s="12"/>
      <c r="AB85" s="95" t="e">
        <f t="shared" si="10"/>
        <v>#VALUE!</v>
      </c>
      <c r="AC85" s="95" t="e">
        <f t="shared" si="11"/>
        <v>#VALUE!</v>
      </c>
      <c r="AD85" s="12"/>
    </row>
    <row r="86" spans="1:30" ht="15.75" thickBot="1" x14ac:dyDescent="0.3">
      <c r="A86" s="12"/>
      <c r="B86" s="22"/>
      <c r="C86" t="str">
        <f>IF(AND('ENTRY DATA'!D86=""),"",('ENTRY DATA'!D86))</f>
        <v/>
      </c>
      <c r="D86" t="str">
        <f>IF(AND('ENTRY DATA'!F86=""),"",('ENTRY DATA'!F86))</f>
        <v/>
      </c>
      <c r="E86" s="34" t="str">
        <f>IF(AND('ENTRY DATA'!B86=""),"",('ENTRY DATA'!B86))</f>
        <v/>
      </c>
      <c r="F86" s="12"/>
      <c r="G86" s="12"/>
      <c r="H86" s="72"/>
      <c r="I86" s="71"/>
      <c r="J86" s="72"/>
      <c r="K86" s="12"/>
      <c r="L86" s="20">
        <f t="shared" si="6"/>
        <v>0</v>
      </c>
      <c r="M86" s="19" t="str">
        <f t="shared" si="7"/>
        <v/>
      </c>
      <c r="N86" s="12"/>
      <c r="O86" s="119"/>
      <c r="P86" s="95" t="str">
        <f t="shared" si="8"/>
        <v/>
      </c>
      <c r="Q86" s="12"/>
      <c r="S86" s="128"/>
      <c r="T86" s="66"/>
      <c r="U86" s="128"/>
      <c r="W86" s="128"/>
      <c r="X86" s="12"/>
      <c r="Y86" t="str">
        <f t="shared" si="9"/>
        <v/>
      </c>
      <c r="Z86" t="str">
        <f t="shared" si="9"/>
        <v/>
      </c>
      <c r="AA86" s="12"/>
      <c r="AB86" s="95" t="e">
        <f t="shared" si="10"/>
        <v>#VALUE!</v>
      </c>
      <c r="AC86" s="95" t="e">
        <f t="shared" si="11"/>
        <v>#VALUE!</v>
      </c>
      <c r="AD86" s="12"/>
    </row>
    <row r="87" spans="1:30" ht="15.75" thickBot="1" x14ac:dyDescent="0.3">
      <c r="A87" s="12"/>
      <c r="B87" s="22"/>
      <c r="C87" t="str">
        <f>IF(AND('ENTRY DATA'!D87=""),"",('ENTRY DATA'!D87))</f>
        <v/>
      </c>
      <c r="D87" t="str">
        <f>IF(AND('ENTRY DATA'!F87=""),"",('ENTRY DATA'!F87))</f>
        <v/>
      </c>
      <c r="E87" s="34" t="str">
        <f>IF(AND('ENTRY DATA'!B87=""),"",('ENTRY DATA'!B87))</f>
        <v/>
      </c>
      <c r="F87" s="12"/>
      <c r="G87" s="12"/>
      <c r="H87" s="72"/>
      <c r="I87" s="71"/>
      <c r="J87" s="72"/>
      <c r="K87" s="12"/>
      <c r="L87" s="20">
        <f t="shared" si="6"/>
        <v>0</v>
      </c>
      <c r="M87" s="19" t="str">
        <f t="shared" si="7"/>
        <v/>
      </c>
      <c r="N87" s="12"/>
      <c r="O87" s="119"/>
      <c r="P87" s="95" t="str">
        <f t="shared" si="8"/>
        <v/>
      </c>
      <c r="Q87" s="12"/>
      <c r="S87" s="128"/>
      <c r="T87" s="66"/>
      <c r="U87" s="128"/>
      <c r="W87" s="128"/>
      <c r="X87" s="12"/>
      <c r="Y87" t="str">
        <f t="shared" si="9"/>
        <v/>
      </c>
      <c r="Z87" t="str">
        <f t="shared" si="9"/>
        <v/>
      </c>
      <c r="AA87" s="12"/>
      <c r="AB87" s="95" t="e">
        <f t="shared" si="10"/>
        <v>#VALUE!</v>
      </c>
      <c r="AC87" s="95" t="e">
        <f t="shared" si="11"/>
        <v>#VALUE!</v>
      </c>
      <c r="AD87" s="12"/>
    </row>
    <row r="88" spans="1:30" ht="15.75" thickBot="1" x14ac:dyDescent="0.3">
      <c r="A88" s="12"/>
      <c r="B88" s="22"/>
      <c r="C88" t="str">
        <f>IF(AND('ENTRY DATA'!D88=""),"",('ENTRY DATA'!D88))</f>
        <v/>
      </c>
      <c r="D88" t="str">
        <f>IF(AND('ENTRY DATA'!F88=""),"",('ENTRY DATA'!F88))</f>
        <v/>
      </c>
      <c r="E88" s="34" t="str">
        <f>IF(AND('ENTRY DATA'!B88=""),"",('ENTRY DATA'!B88))</f>
        <v/>
      </c>
      <c r="F88" s="12"/>
      <c r="G88" s="12"/>
      <c r="H88" s="72"/>
      <c r="I88" s="71"/>
      <c r="J88" s="72"/>
      <c r="K88" s="12"/>
      <c r="L88" s="20">
        <f t="shared" si="6"/>
        <v>0</v>
      </c>
      <c r="M88" s="19" t="str">
        <f t="shared" si="7"/>
        <v/>
      </c>
      <c r="N88" s="12"/>
      <c r="O88" s="119"/>
      <c r="P88" s="95" t="str">
        <f t="shared" si="8"/>
        <v/>
      </c>
      <c r="Q88" s="12"/>
      <c r="S88" s="128"/>
      <c r="T88" s="66"/>
      <c r="U88" s="128"/>
      <c r="W88" s="128"/>
      <c r="X88" s="12"/>
      <c r="Y88" t="str">
        <f t="shared" si="9"/>
        <v/>
      </c>
      <c r="Z88" t="str">
        <f t="shared" si="9"/>
        <v/>
      </c>
      <c r="AA88" s="12"/>
      <c r="AB88" s="95" t="e">
        <f t="shared" si="10"/>
        <v>#VALUE!</v>
      </c>
      <c r="AC88" s="95" t="e">
        <f t="shared" si="11"/>
        <v>#VALUE!</v>
      </c>
      <c r="AD88" s="12"/>
    </row>
    <row r="89" spans="1:30" ht="15.75" thickBot="1" x14ac:dyDescent="0.3">
      <c r="A89" s="12"/>
      <c r="B89" s="22"/>
      <c r="C89" t="str">
        <f>IF(AND('ENTRY DATA'!D89=""),"",('ENTRY DATA'!D89))</f>
        <v/>
      </c>
      <c r="D89" t="str">
        <f>IF(AND('ENTRY DATA'!F89=""),"",('ENTRY DATA'!F89))</f>
        <v/>
      </c>
      <c r="E89" s="34" t="str">
        <f>IF(AND('ENTRY DATA'!B89=""),"",('ENTRY DATA'!B89))</f>
        <v/>
      </c>
      <c r="F89" s="12"/>
      <c r="G89" s="12"/>
      <c r="H89" s="72"/>
      <c r="I89" s="71"/>
      <c r="J89" s="72"/>
      <c r="K89" s="12"/>
      <c r="L89" s="20">
        <f t="shared" si="6"/>
        <v>0</v>
      </c>
      <c r="M89" s="19" t="str">
        <f t="shared" si="7"/>
        <v/>
      </c>
      <c r="N89" s="12"/>
      <c r="O89" s="119"/>
      <c r="P89" s="95" t="str">
        <f t="shared" si="8"/>
        <v/>
      </c>
      <c r="Q89" s="12"/>
      <c r="S89" s="128"/>
      <c r="T89" s="66"/>
      <c r="U89" s="128"/>
      <c r="W89" s="128"/>
      <c r="X89" s="12"/>
      <c r="Y89" t="str">
        <f t="shared" si="9"/>
        <v/>
      </c>
      <c r="Z89" t="str">
        <f t="shared" si="9"/>
        <v/>
      </c>
      <c r="AA89" s="12"/>
      <c r="AB89" s="95" t="e">
        <f t="shared" si="10"/>
        <v>#VALUE!</v>
      </c>
      <c r="AC89" s="95" t="e">
        <f t="shared" si="11"/>
        <v>#VALUE!</v>
      </c>
      <c r="AD89" s="12"/>
    </row>
    <row r="90" spans="1:30" ht="15.75" thickBot="1" x14ac:dyDescent="0.3">
      <c r="A90" s="12"/>
      <c r="B90" s="22"/>
      <c r="C90" t="str">
        <f>IF(AND('ENTRY DATA'!D90=""),"",('ENTRY DATA'!D90))</f>
        <v/>
      </c>
      <c r="D90" t="str">
        <f>IF(AND('ENTRY DATA'!F90=""),"",('ENTRY DATA'!F90))</f>
        <v/>
      </c>
      <c r="E90" s="34" t="str">
        <f>IF(AND('ENTRY DATA'!B90=""),"",('ENTRY DATA'!B90))</f>
        <v/>
      </c>
      <c r="F90" s="12"/>
      <c r="G90" s="12"/>
      <c r="H90" s="72"/>
      <c r="I90" s="71"/>
      <c r="J90" s="72"/>
      <c r="K90" s="12"/>
      <c r="L90" s="20">
        <f t="shared" si="6"/>
        <v>0</v>
      </c>
      <c r="M90" s="19" t="str">
        <f t="shared" si="7"/>
        <v/>
      </c>
      <c r="N90" s="12"/>
      <c r="O90" s="119"/>
      <c r="P90" s="95" t="str">
        <f t="shared" si="8"/>
        <v/>
      </c>
      <c r="Q90" s="12"/>
      <c r="S90" s="128"/>
      <c r="T90" s="66"/>
      <c r="U90" s="128"/>
      <c r="W90" s="128"/>
      <c r="X90" s="12"/>
      <c r="Y90" t="str">
        <f t="shared" si="9"/>
        <v/>
      </c>
      <c r="Z90" t="str">
        <f t="shared" si="9"/>
        <v/>
      </c>
      <c r="AA90" s="12"/>
      <c r="AB90" s="95" t="e">
        <f t="shared" si="10"/>
        <v>#VALUE!</v>
      </c>
      <c r="AC90" s="95" t="e">
        <f t="shared" si="11"/>
        <v>#VALUE!</v>
      </c>
      <c r="AD90" s="12"/>
    </row>
    <row r="91" spans="1:30" ht="15.75" thickBot="1" x14ac:dyDescent="0.3">
      <c r="A91" s="12"/>
      <c r="B91" s="22"/>
      <c r="C91" t="str">
        <f>IF(AND('ENTRY DATA'!D91=""),"",('ENTRY DATA'!D91))</f>
        <v/>
      </c>
      <c r="D91" t="str">
        <f>IF(AND('ENTRY DATA'!F91=""),"",('ENTRY DATA'!F91))</f>
        <v/>
      </c>
      <c r="E91" s="34" t="str">
        <f>IF(AND('ENTRY DATA'!B91=""),"",('ENTRY DATA'!B91))</f>
        <v/>
      </c>
      <c r="F91" s="12"/>
      <c r="G91" s="12"/>
      <c r="H91" s="72"/>
      <c r="I91" s="71"/>
      <c r="J91" s="72"/>
      <c r="K91" s="12"/>
      <c r="L91" s="20">
        <f t="shared" si="6"/>
        <v>0</v>
      </c>
      <c r="M91" s="19" t="str">
        <f t="shared" si="7"/>
        <v/>
      </c>
      <c r="N91" s="12"/>
      <c r="O91" s="119"/>
      <c r="P91" s="95" t="str">
        <f t="shared" si="8"/>
        <v/>
      </c>
      <c r="Q91" s="12"/>
      <c r="S91" s="128"/>
      <c r="T91" s="66"/>
      <c r="U91" s="128"/>
      <c r="W91" s="128"/>
      <c r="X91" s="12"/>
      <c r="Y91" t="str">
        <f t="shared" si="9"/>
        <v/>
      </c>
      <c r="Z91" t="str">
        <f t="shared" si="9"/>
        <v/>
      </c>
      <c r="AA91" s="12"/>
      <c r="AB91" s="95" t="e">
        <f t="shared" si="10"/>
        <v>#VALUE!</v>
      </c>
      <c r="AC91" s="95" t="e">
        <f t="shared" si="11"/>
        <v>#VALUE!</v>
      </c>
      <c r="AD91" s="12"/>
    </row>
    <row r="92" spans="1:30" ht="15.75" thickBot="1" x14ac:dyDescent="0.3">
      <c r="A92" s="12"/>
      <c r="B92" s="22"/>
      <c r="C92" t="str">
        <f>IF(AND('ENTRY DATA'!D92=""),"",('ENTRY DATA'!D92))</f>
        <v/>
      </c>
      <c r="D92" t="str">
        <f>IF(AND('ENTRY DATA'!F92=""),"",('ENTRY DATA'!F92))</f>
        <v/>
      </c>
      <c r="E92" s="34" t="str">
        <f>IF(AND('ENTRY DATA'!B92=""),"",('ENTRY DATA'!B92))</f>
        <v/>
      </c>
      <c r="F92" s="12"/>
      <c r="G92" s="12"/>
      <c r="H92" s="72"/>
      <c r="I92" s="71"/>
      <c r="J92" s="72"/>
      <c r="K92" s="12"/>
      <c r="L92" s="20">
        <f t="shared" si="6"/>
        <v>0</v>
      </c>
      <c r="M92" s="19" t="str">
        <f t="shared" si="7"/>
        <v/>
      </c>
      <c r="N92" s="12"/>
      <c r="O92" s="119"/>
      <c r="P92" s="95" t="str">
        <f t="shared" si="8"/>
        <v/>
      </c>
      <c r="Q92" s="12"/>
      <c r="S92" s="128"/>
      <c r="T92" s="66"/>
      <c r="U92" s="128"/>
      <c r="W92" s="128"/>
      <c r="X92" s="12"/>
      <c r="Y92" t="str">
        <f t="shared" si="9"/>
        <v/>
      </c>
      <c r="Z92" t="str">
        <f t="shared" si="9"/>
        <v/>
      </c>
      <c r="AA92" s="12"/>
      <c r="AB92" s="95" t="e">
        <f t="shared" si="10"/>
        <v>#VALUE!</v>
      </c>
      <c r="AC92" s="95" t="e">
        <f t="shared" si="11"/>
        <v>#VALUE!</v>
      </c>
      <c r="AD92" s="12"/>
    </row>
    <row r="93" spans="1:30" ht="15.75" thickBot="1" x14ac:dyDescent="0.3">
      <c r="A93" s="12"/>
      <c r="B93" s="22"/>
      <c r="C93" t="str">
        <f>IF(AND('ENTRY DATA'!D93=""),"",('ENTRY DATA'!D93))</f>
        <v/>
      </c>
      <c r="D93" t="str">
        <f>IF(AND('ENTRY DATA'!F93=""),"",('ENTRY DATA'!F93))</f>
        <v/>
      </c>
      <c r="E93" s="34" t="str">
        <f>IF(AND('ENTRY DATA'!B93=""),"",('ENTRY DATA'!B93))</f>
        <v/>
      </c>
      <c r="F93" s="12"/>
      <c r="G93" s="12"/>
      <c r="H93" s="72"/>
      <c r="I93" s="71"/>
      <c r="J93" s="72"/>
      <c r="K93" s="12"/>
      <c r="L93" s="20">
        <f t="shared" si="6"/>
        <v>0</v>
      </c>
      <c r="M93" s="19" t="str">
        <f t="shared" si="7"/>
        <v/>
      </c>
      <c r="N93" s="12"/>
      <c r="O93" s="119"/>
      <c r="P93" s="95" t="str">
        <f t="shared" si="8"/>
        <v/>
      </c>
      <c r="Q93" s="12"/>
      <c r="S93" s="128"/>
      <c r="T93" s="66"/>
      <c r="U93" s="128"/>
      <c r="W93" s="128"/>
      <c r="X93" s="12"/>
      <c r="Y93" t="str">
        <f t="shared" si="9"/>
        <v/>
      </c>
      <c r="Z93" t="str">
        <f t="shared" si="9"/>
        <v/>
      </c>
      <c r="AA93" s="12"/>
      <c r="AB93" s="95" t="e">
        <f t="shared" si="10"/>
        <v>#VALUE!</v>
      </c>
      <c r="AC93" s="95" t="e">
        <f t="shared" si="11"/>
        <v>#VALUE!</v>
      </c>
      <c r="AD93" s="12"/>
    </row>
    <row r="94" spans="1:30" ht="15.75" thickBot="1" x14ac:dyDescent="0.3">
      <c r="A94" s="12"/>
      <c r="B94" s="22"/>
      <c r="C94" t="str">
        <f>IF(AND('ENTRY DATA'!D94=""),"",('ENTRY DATA'!D94))</f>
        <v/>
      </c>
      <c r="D94" t="str">
        <f>IF(AND('ENTRY DATA'!F94=""),"",('ENTRY DATA'!F94))</f>
        <v/>
      </c>
      <c r="E94" s="34" t="str">
        <f>IF(AND('ENTRY DATA'!B94=""),"",('ENTRY DATA'!B94))</f>
        <v/>
      </c>
      <c r="F94" s="12"/>
      <c r="G94" s="12"/>
      <c r="H94" s="72"/>
      <c r="I94" s="71"/>
      <c r="J94" s="72"/>
      <c r="K94" s="12"/>
      <c r="L94" s="20">
        <f t="shared" si="6"/>
        <v>0</v>
      </c>
      <c r="M94" s="19" t="str">
        <f t="shared" si="7"/>
        <v/>
      </c>
      <c r="N94" s="12"/>
      <c r="O94" s="119"/>
      <c r="P94" s="95" t="str">
        <f t="shared" si="8"/>
        <v/>
      </c>
      <c r="Q94" s="12"/>
      <c r="S94" s="128"/>
      <c r="T94" s="66"/>
      <c r="U94" s="128"/>
      <c r="W94" s="128"/>
      <c r="X94" s="12"/>
      <c r="Y94" t="str">
        <f t="shared" si="9"/>
        <v/>
      </c>
      <c r="Z94" t="str">
        <f t="shared" si="9"/>
        <v/>
      </c>
      <c r="AA94" s="12"/>
      <c r="AB94" s="95" t="e">
        <f t="shared" si="10"/>
        <v>#VALUE!</v>
      </c>
      <c r="AC94" s="95" t="e">
        <f t="shared" si="11"/>
        <v>#VALUE!</v>
      </c>
      <c r="AD94" s="12"/>
    </row>
    <row r="95" spans="1:30" ht="15.75" thickBot="1" x14ac:dyDescent="0.3">
      <c r="A95" s="12"/>
      <c r="B95" s="22"/>
      <c r="C95" t="str">
        <f>IF(AND('ENTRY DATA'!D95=""),"",('ENTRY DATA'!D95))</f>
        <v/>
      </c>
      <c r="D95" t="str">
        <f>IF(AND('ENTRY DATA'!F95=""),"",('ENTRY DATA'!F95))</f>
        <v/>
      </c>
      <c r="E95" s="34" t="str">
        <f>IF(AND('ENTRY DATA'!B95=""),"",('ENTRY DATA'!B95))</f>
        <v/>
      </c>
      <c r="F95" s="12"/>
      <c r="G95" s="12"/>
      <c r="H95" s="72"/>
      <c r="I95" s="71"/>
      <c r="J95" s="72"/>
      <c r="K95" s="12"/>
      <c r="L95" s="20">
        <f t="shared" si="6"/>
        <v>0</v>
      </c>
      <c r="M95" s="19" t="str">
        <f t="shared" si="7"/>
        <v/>
      </c>
      <c r="N95" s="12"/>
      <c r="O95" s="119"/>
      <c r="P95" s="95" t="str">
        <f t="shared" si="8"/>
        <v/>
      </c>
      <c r="Q95" s="12"/>
      <c r="S95" s="128"/>
      <c r="T95" s="66"/>
      <c r="U95" s="128"/>
      <c r="W95" s="128"/>
      <c r="X95" s="12"/>
      <c r="Y95" t="str">
        <f t="shared" si="9"/>
        <v/>
      </c>
      <c r="Z95" t="str">
        <f t="shared" si="9"/>
        <v/>
      </c>
      <c r="AA95" s="12"/>
      <c r="AB95" s="95" t="e">
        <f t="shared" si="10"/>
        <v>#VALUE!</v>
      </c>
      <c r="AC95" s="95" t="e">
        <f t="shared" si="11"/>
        <v>#VALUE!</v>
      </c>
      <c r="AD95" s="12"/>
    </row>
    <row r="96" spans="1:30" ht="15.75" thickBot="1" x14ac:dyDescent="0.3">
      <c r="A96" s="12"/>
      <c r="B96" s="22"/>
      <c r="C96" t="str">
        <f>IF(AND('ENTRY DATA'!D96=""),"",('ENTRY DATA'!D96))</f>
        <v/>
      </c>
      <c r="D96" t="str">
        <f>IF(AND('ENTRY DATA'!F96=""),"",('ENTRY DATA'!F96))</f>
        <v/>
      </c>
      <c r="E96" s="34" t="str">
        <f>IF(AND('ENTRY DATA'!B96=""),"",('ENTRY DATA'!B96))</f>
        <v/>
      </c>
      <c r="F96" s="12"/>
      <c r="G96" s="12"/>
      <c r="H96" s="72"/>
      <c r="I96" s="71"/>
      <c r="J96" s="72"/>
      <c r="K96" s="12"/>
      <c r="L96" s="20">
        <f t="shared" si="6"/>
        <v>0</v>
      </c>
      <c r="M96" s="19" t="str">
        <f t="shared" si="7"/>
        <v/>
      </c>
      <c r="N96" s="12"/>
      <c r="O96" s="119"/>
      <c r="P96" s="95" t="str">
        <f t="shared" si="8"/>
        <v/>
      </c>
      <c r="Q96" s="12"/>
      <c r="S96" s="128"/>
      <c r="T96" s="66"/>
      <c r="U96" s="128"/>
      <c r="W96" s="128"/>
      <c r="X96" s="12"/>
      <c r="Y96" t="str">
        <f t="shared" si="9"/>
        <v/>
      </c>
      <c r="Z96" t="str">
        <f t="shared" si="9"/>
        <v/>
      </c>
      <c r="AA96" s="12"/>
      <c r="AB96" s="95" t="e">
        <f t="shared" si="10"/>
        <v>#VALUE!</v>
      </c>
      <c r="AC96" s="95" t="e">
        <f t="shared" si="11"/>
        <v>#VALUE!</v>
      </c>
      <c r="AD96" s="12"/>
    </row>
    <row r="97" spans="1:30" ht="15.75" thickBot="1" x14ac:dyDescent="0.3">
      <c r="A97" s="12"/>
      <c r="B97" s="22"/>
      <c r="C97" t="str">
        <f>IF(AND('ENTRY DATA'!D97=""),"",('ENTRY DATA'!D97))</f>
        <v/>
      </c>
      <c r="D97" t="str">
        <f>IF(AND('ENTRY DATA'!F97=""),"",('ENTRY DATA'!F97))</f>
        <v/>
      </c>
      <c r="E97" s="34" t="str">
        <f>IF(AND('ENTRY DATA'!B97=""),"",('ENTRY DATA'!B97))</f>
        <v/>
      </c>
      <c r="F97" s="12"/>
      <c r="G97" s="12"/>
      <c r="H97" s="72"/>
      <c r="I97" s="71"/>
      <c r="J97" s="72"/>
      <c r="K97" s="12"/>
      <c r="L97" s="20">
        <f t="shared" si="6"/>
        <v>0</v>
      </c>
      <c r="M97" s="19" t="str">
        <f t="shared" si="7"/>
        <v/>
      </c>
      <c r="N97" s="12"/>
      <c r="O97" s="119"/>
      <c r="P97" s="95" t="str">
        <f t="shared" si="8"/>
        <v/>
      </c>
      <c r="Q97" s="12"/>
      <c r="S97" s="128"/>
      <c r="T97" s="66"/>
      <c r="U97" s="128"/>
      <c r="W97" s="128"/>
      <c r="X97" s="12"/>
      <c r="Y97" t="str">
        <f t="shared" si="9"/>
        <v/>
      </c>
      <c r="Z97" t="str">
        <f t="shared" si="9"/>
        <v/>
      </c>
      <c r="AA97" s="12"/>
      <c r="AB97" s="95" t="e">
        <f t="shared" si="10"/>
        <v>#VALUE!</v>
      </c>
      <c r="AC97" s="95" t="e">
        <f t="shared" si="11"/>
        <v>#VALUE!</v>
      </c>
      <c r="AD97" s="12"/>
    </row>
    <row r="98" spans="1:30" ht="15.75" thickBot="1" x14ac:dyDescent="0.3">
      <c r="A98" s="12"/>
      <c r="B98" s="22"/>
      <c r="C98" t="str">
        <f>IF(AND('ENTRY DATA'!D98=""),"",('ENTRY DATA'!D98))</f>
        <v/>
      </c>
      <c r="D98" t="str">
        <f>IF(AND('ENTRY DATA'!F98=""),"",('ENTRY DATA'!F98))</f>
        <v/>
      </c>
      <c r="E98" s="34" t="str">
        <f>IF(AND('ENTRY DATA'!B98=""),"",('ENTRY DATA'!B98))</f>
        <v/>
      </c>
      <c r="F98" s="12"/>
      <c r="G98" s="12"/>
      <c r="H98" s="72"/>
      <c r="I98" s="71"/>
      <c r="J98" s="72"/>
      <c r="K98" s="12"/>
      <c r="L98" s="20">
        <f t="shared" si="6"/>
        <v>0</v>
      </c>
      <c r="M98" s="19" t="str">
        <f t="shared" si="7"/>
        <v/>
      </c>
      <c r="N98" s="12"/>
      <c r="O98" s="119"/>
      <c r="P98" s="95" t="str">
        <f t="shared" si="8"/>
        <v/>
      </c>
      <c r="Q98" s="12"/>
      <c r="S98" s="128"/>
      <c r="T98" s="66"/>
      <c r="U98" s="128"/>
      <c r="W98" s="128"/>
      <c r="X98" s="12"/>
      <c r="Y98" t="str">
        <f t="shared" si="9"/>
        <v/>
      </c>
      <c r="Z98" t="str">
        <f t="shared" si="9"/>
        <v/>
      </c>
      <c r="AA98" s="12"/>
      <c r="AB98" s="95" t="e">
        <f t="shared" si="10"/>
        <v>#VALUE!</v>
      </c>
      <c r="AC98" s="95" t="e">
        <f t="shared" si="11"/>
        <v>#VALUE!</v>
      </c>
      <c r="AD98" s="12"/>
    </row>
    <row r="99" spans="1:30" ht="15.75" thickBot="1" x14ac:dyDescent="0.3">
      <c r="A99" s="12"/>
      <c r="B99" s="22"/>
      <c r="C99" t="str">
        <f>IF(AND('ENTRY DATA'!D99=""),"",('ENTRY DATA'!D99))</f>
        <v/>
      </c>
      <c r="D99" t="str">
        <f>IF(AND('ENTRY DATA'!F99=""),"",('ENTRY DATA'!F99))</f>
        <v/>
      </c>
      <c r="E99" s="34" t="str">
        <f>IF(AND('ENTRY DATA'!B99=""),"",('ENTRY DATA'!B99))</f>
        <v/>
      </c>
      <c r="F99" s="12"/>
      <c r="G99" s="12"/>
      <c r="H99" s="72"/>
      <c r="I99" s="71"/>
      <c r="J99" s="72"/>
      <c r="K99" s="12"/>
      <c r="L99" s="20">
        <f t="shared" si="6"/>
        <v>0</v>
      </c>
      <c r="M99" s="19" t="str">
        <f t="shared" si="7"/>
        <v/>
      </c>
      <c r="N99" s="12"/>
      <c r="O99" s="119"/>
      <c r="P99" s="95" t="str">
        <f t="shared" si="8"/>
        <v/>
      </c>
      <c r="Q99" s="12"/>
      <c r="S99" s="128"/>
      <c r="T99" s="66"/>
      <c r="U99" s="128"/>
      <c r="W99" s="128"/>
      <c r="X99" s="12"/>
      <c r="Y99" t="str">
        <f t="shared" si="9"/>
        <v/>
      </c>
      <c r="Z99" t="str">
        <f t="shared" si="9"/>
        <v/>
      </c>
      <c r="AA99" s="12"/>
      <c r="AB99" s="95" t="e">
        <f t="shared" si="10"/>
        <v>#VALUE!</v>
      </c>
      <c r="AC99" s="95" t="e">
        <f t="shared" si="11"/>
        <v>#VALUE!</v>
      </c>
      <c r="AD99" s="12"/>
    </row>
    <row r="100" spans="1:30" ht="15.75" thickBot="1" x14ac:dyDescent="0.3">
      <c r="A100" s="12"/>
      <c r="B100" s="22"/>
      <c r="C100" t="str">
        <f>IF(AND('ENTRY DATA'!D100=""),"",('ENTRY DATA'!D100))</f>
        <v/>
      </c>
      <c r="D100" t="str">
        <f>IF(AND('ENTRY DATA'!F100=""),"",('ENTRY DATA'!F100))</f>
        <v/>
      </c>
      <c r="E100" s="34" t="str">
        <f>IF(AND('ENTRY DATA'!B100=""),"",('ENTRY DATA'!B100))</f>
        <v/>
      </c>
      <c r="F100" s="12"/>
      <c r="G100" s="12"/>
      <c r="H100" s="72"/>
      <c r="I100" s="71"/>
      <c r="J100" s="72"/>
      <c r="K100" s="12"/>
      <c r="L100" s="20">
        <f t="shared" si="6"/>
        <v>0</v>
      </c>
      <c r="M100" s="19" t="str">
        <f t="shared" si="7"/>
        <v/>
      </c>
      <c r="N100" s="12"/>
      <c r="O100" s="119"/>
      <c r="P100" s="95" t="str">
        <f t="shared" si="8"/>
        <v/>
      </c>
      <c r="Q100" s="12"/>
      <c r="S100" s="128"/>
      <c r="T100" s="66"/>
      <c r="U100" s="128"/>
      <c r="W100" s="128"/>
      <c r="X100" s="12"/>
      <c r="Y100" t="str">
        <f t="shared" si="9"/>
        <v/>
      </c>
      <c r="Z100" t="str">
        <f t="shared" si="9"/>
        <v/>
      </c>
      <c r="AA100" s="12"/>
      <c r="AB100" s="95" t="e">
        <f t="shared" si="10"/>
        <v>#VALUE!</v>
      </c>
      <c r="AC100" s="95" t="e">
        <f t="shared" si="11"/>
        <v>#VALUE!</v>
      </c>
      <c r="AD100" s="12"/>
    </row>
    <row r="101" spans="1:30" ht="15.75" thickBot="1" x14ac:dyDescent="0.3">
      <c r="A101" s="12"/>
      <c r="B101" s="22"/>
      <c r="C101" t="str">
        <f>IF(AND('ENTRY DATA'!D101=""),"",('ENTRY DATA'!D101))</f>
        <v/>
      </c>
      <c r="D101" t="str">
        <f>IF(AND('ENTRY DATA'!F101=""),"",('ENTRY DATA'!F101))</f>
        <v/>
      </c>
      <c r="E101" s="34" t="str">
        <f>IF(AND('ENTRY DATA'!B101=""),"",('ENTRY DATA'!B101))</f>
        <v/>
      </c>
      <c r="F101" s="12"/>
      <c r="G101" s="12"/>
      <c r="H101" s="72"/>
      <c r="I101" s="71"/>
      <c r="J101" s="72"/>
      <c r="K101" s="12"/>
      <c r="L101" s="20">
        <f t="shared" si="6"/>
        <v>0</v>
      </c>
      <c r="M101" s="19" t="str">
        <f t="shared" si="7"/>
        <v/>
      </c>
      <c r="N101" s="12"/>
      <c r="O101" s="119"/>
      <c r="P101" s="95" t="str">
        <f t="shared" si="8"/>
        <v/>
      </c>
      <c r="Q101" s="12"/>
      <c r="S101" s="128"/>
      <c r="T101" s="66"/>
      <c r="U101" s="128"/>
      <c r="W101" s="128"/>
      <c r="X101" s="12"/>
      <c r="Y101" t="str">
        <f t="shared" si="9"/>
        <v/>
      </c>
      <c r="Z101" t="str">
        <f t="shared" si="9"/>
        <v/>
      </c>
      <c r="AA101" s="12"/>
      <c r="AB101" s="95" t="e">
        <f t="shared" si="10"/>
        <v>#VALUE!</v>
      </c>
      <c r="AC101" s="95" t="e">
        <f t="shared" si="11"/>
        <v>#VALUE!</v>
      </c>
      <c r="AD101" s="12"/>
    </row>
    <row r="102" spans="1:30" ht="15.75" thickBot="1" x14ac:dyDescent="0.3">
      <c r="A102" s="12"/>
      <c r="B102" s="22"/>
      <c r="C102" t="str">
        <f>IF(AND('ENTRY DATA'!D102=""),"",('ENTRY DATA'!D102))</f>
        <v/>
      </c>
      <c r="D102" t="str">
        <f>IF(AND('ENTRY DATA'!F102=""),"",('ENTRY DATA'!F102))</f>
        <v/>
      </c>
      <c r="E102" s="34" t="str">
        <f>IF(AND('ENTRY DATA'!B102=""),"",('ENTRY DATA'!B102))</f>
        <v/>
      </c>
      <c r="F102" s="12"/>
      <c r="G102" s="12"/>
      <c r="H102" s="72"/>
      <c r="I102" s="71"/>
      <c r="J102" s="72"/>
      <c r="K102" s="12"/>
      <c r="L102" s="20">
        <f t="shared" si="6"/>
        <v>0</v>
      </c>
      <c r="M102" s="19" t="str">
        <f t="shared" si="7"/>
        <v/>
      </c>
      <c r="N102" s="12"/>
      <c r="O102" s="119"/>
      <c r="P102" s="95" t="str">
        <f t="shared" si="8"/>
        <v/>
      </c>
      <c r="Q102" s="12"/>
      <c r="S102" s="128"/>
      <c r="T102" s="66"/>
      <c r="U102" s="128"/>
      <c r="W102" s="128"/>
      <c r="X102" s="12"/>
      <c r="Y102" t="str">
        <f t="shared" si="9"/>
        <v/>
      </c>
      <c r="Z102" t="str">
        <f t="shared" si="9"/>
        <v/>
      </c>
      <c r="AA102" s="12"/>
      <c r="AB102" s="95" t="e">
        <f t="shared" si="10"/>
        <v>#VALUE!</v>
      </c>
      <c r="AC102" s="95" t="e">
        <f t="shared" si="11"/>
        <v>#VALUE!</v>
      </c>
      <c r="AD102" s="12"/>
    </row>
    <row r="103" spans="1:30" ht="15.75" thickBot="1" x14ac:dyDescent="0.3">
      <c r="A103" s="12"/>
      <c r="B103" s="22"/>
      <c r="C103" t="str">
        <f>IF(AND('ENTRY DATA'!D103=""),"",('ENTRY DATA'!D103))</f>
        <v/>
      </c>
      <c r="D103" t="str">
        <f>IF(AND('ENTRY DATA'!F103=""),"",('ENTRY DATA'!F103))</f>
        <v/>
      </c>
      <c r="E103" s="34" t="str">
        <f>IF(AND('ENTRY DATA'!B103=""),"",('ENTRY DATA'!B103))</f>
        <v/>
      </c>
      <c r="F103" s="12"/>
      <c r="G103" s="12"/>
      <c r="H103" s="72"/>
      <c r="I103" s="71"/>
      <c r="J103" s="72"/>
      <c r="K103" s="12"/>
      <c r="L103" s="20">
        <f t="shared" si="6"/>
        <v>0</v>
      </c>
      <c r="M103" s="19" t="str">
        <f t="shared" si="7"/>
        <v/>
      </c>
      <c r="N103" s="12"/>
      <c r="O103" s="119"/>
      <c r="P103" s="95" t="str">
        <f t="shared" si="8"/>
        <v/>
      </c>
      <c r="Q103" s="12"/>
      <c r="S103" s="128"/>
      <c r="T103" s="66"/>
      <c r="U103" s="128"/>
      <c r="W103" s="128"/>
      <c r="X103" s="12"/>
      <c r="Y103" t="str">
        <f t="shared" si="9"/>
        <v/>
      </c>
      <c r="Z103" t="str">
        <f t="shared" si="9"/>
        <v/>
      </c>
      <c r="AA103" s="12"/>
      <c r="AB103" s="95" t="e">
        <f t="shared" si="10"/>
        <v>#VALUE!</v>
      </c>
      <c r="AC103" s="95" t="e">
        <f t="shared" si="11"/>
        <v>#VALUE!</v>
      </c>
      <c r="AD103" s="12"/>
    </row>
    <row r="104" spans="1:30" ht="15.75" thickBot="1" x14ac:dyDescent="0.3">
      <c r="A104" s="12"/>
      <c r="B104" s="22"/>
      <c r="C104" t="str">
        <f>IF(AND('ENTRY DATA'!D104=""),"",('ENTRY DATA'!D104))</f>
        <v/>
      </c>
      <c r="D104" t="str">
        <f>IF(AND('ENTRY DATA'!F104=""),"",('ENTRY DATA'!F104))</f>
        <v/>
      </c>
      <c r="E104" s="34" t="str">
        <f>IF(AND('ENTRY DATA'!B104=""),"",('ENTRY DATA'!B104))</f>
        <v/>
      </c>
      <c r="F104" s="12"/>
      <c r="G104" s="12"/>
      <c r="H104" s="72"/>
      <c r="I104" s="71"/>
      <c r="J104" s="72"/>
      <c r="K104" s="12"/>
      <c r="L104" s="20">
        <f t="shared" si="6"/>
        <v>0</v>
      </c>
      <c r="M104" s="19" t="str">
        <f t="shared" si="7"/>
        <v/>
      </c>
      <c r="N104" s="12"/>
      <c r="O104" s="119"/>
      <c r="P104" s="95" t="str">
        <f t="shared" si="8"/>
        <v/>
      </c>
      <c r="Q104" s="12"/>
      <c r="S104" s="128"/>
      <c r="T104" s="66"/>
      <c r="U104" s="128"/>
      <c r="W104" s="128"/>
      <c r="X104" s="12"/>
      <c r="Y104" t="str">
        <f t="shared" si="9"/>
        <v/>
      </c>
      <c r="Z104" t="str">
        <f t="shared" si="9"/>
        <v/>
      </c>
      <c r="AA104" s="12"/>
      <c r="AB104" s="95" t="e">
        <f t="shared" si="10"/>
        <v>#VALUE!</v>
      </c>
      <c r="AC104" s="95" t="e">
        <f t="shared" si="11"/>
        <v>#VALUE!</v>
      </c>
      <c r="AD104" s="12"/>
    </row>
    <row r="105" spans="1:30" ht="15.75" thickBot="1" x14ac:dyDescent="0.3">
      <c r="A105" s="12"/>
      <c r="B105" s="22"/>
      <c r="C105" t="str">
        <f>IF(AND('ENTRY DATA'!D105=""),"",('ENTRY DATA'!D105))</f>
        <v/>
      </c>
      <c r="D105" t="str">
        <f>IF(AND('ENTRY DATA'!F105=""),"",('ENTRY DATA'!F105))</f>
        <v/>
      </c>
      <c r="E105" s="34" t="str">
        <f>IF(AND('ENTRY DATA'!B105=""),"",('ENTRY DATA'!B105))</f>
        <v/>
      </c>
      <c r="F105" s="12"/>
      <c r="G105" s="12"/>
      <c r="H105" s="72"/>
      <c r="I105" s="71"/>
      <c r="J105" s="72"/>
      <c r="K105" s="12"/>
      <c r="L105" s="20">
        <f t="shared" si="6"/>
        <v>0</v>
      </c>
      <c r="M105" s="19" t="str">
        <f t="shared" si="7"/>
        <v/>
      </c>
      <c r="N105" s="12"/>
      <c r="O105" s="119"/>
      <c r="P105" s="95" t="str">
        <f t="shared" si="8"/>
        <v/>
      </c>
      <c r="Q105" s="12"/>
      <c r="S105" s="128"/>
      <c r="T105" s="66"/>
      <c r="U105" s="128"/>
      <c r="W105" s="128"/>
      <c r="X105" s="12"/>
      <c r="Y105" t="str">
        <f t="shared" si="9"/>
        <v/>
      </c>
      <c r="Z105" t="str">
        <f t="shared" si="9"/>
        <v/>
      </c>
      <c r="AA105" s="12"/>
      <c r="AB105" s="95" t="e">
        <f t="shared" si="10"/>
        <v>#VALUE!</v>
      </c>
      <c r="AC105" s="95" t="e">
        <f t="shared" si="11"/>
        <v>#VALUE!</v>
      </c>
      <c r="AD105" s="12"/>
    </row>
    <row r="106" spans="1:30" ht="15.75" thickBot="1" x14ac:dyDescent="0.3">
      <c r="A106" s="12"/>
      <c r="B106" s="22"/>
      <c r="C106" t="str">
        <f>IF(AND('ENTRY DATA'!D106=""),"",('ENTRY DATA'!D106))</f>
        <v/>
      </c>
      <c r="D106" t="str">
        <f>IF(AND('ENTRY DATA'!F106=""),"",('ENTRY DATA'!F106))</f>
        <v/>
      </c>
      <c r="E106" s="34" t="str">
        <f>IF(AND('ENTRY DATA'!B106=""),"",('ENTRY DATA'!B106))</f>
        <v/>
      </c>
      <c r="F106" s="12"/>
      <c r="G106" s="12"/>
      <c r="H106" s="72"/>
      <c r="I106" s="71"/>
      <c r="J106" s="72"/>
      <c r="K106" s="12"/>
      <c r="L106" s="20">
        <f t="shared" si="6"/>
        <v>0</v>
      </c>
      <c r="M106" s="19" t="str">
        <f t="shared" si="7"/>
        <v/>
      </c>
      <c r="N106" s="12"/>
      <c r="O106" s="119"/>
      <c r="P106" s="95" t="str">
        <f t="shared" si="8"/>
        <v/>
      </c>
      <c r="Q106" s="12"/>
      <c r="S106" s="128"/>
      <c r="T106" s="66"/>
      <c r="U106" s="128"/>
      <c r="W106" s="128"/>
      <c r="X106" s="12"/>
      <c r="Y106" t="str">
        <f t="shared" si="9"/>
        <v/>
      </c>
      <c r="Z106" t="str">
        <f t="shared" si="9"/>
        <v/>
      </c>
      <c r="AA106" s="12"/>
      <c r="AB106" s="95" t="e">
        <f t="shared" si="10"/>
        <v>#VALUE!</v>
      </c>
      <c r="AC106" s="95" t="e">
        <f t="shared" si="11"/>
        <v>#VALUE!</v>
      </c>
      <c r="AD106" s="12"/>
    </row>
    <row r="107" spans="1:30" ht="15.75" thickBot="1" x14ac:dyDescent="0.3">
      <c r="A107" s="12"/>
      <c r="B107" s="22"/>
      <c r="C107" t="str">
        <f>IF(AND('ENTRY DATA'!D107=""),"",('ENTRY DATA'!D107))</f>
        <v/>
      </c>
      <c r="D107" t="str">
        <f>IF(AND('ENTRY DATA'!F107=""),"",('ENTRY DATA'!F107))</f>
        <v/>
      </c>
      <c r="E107" s="34" t="str">
        <f>IF(AND('ENTRY DATA'!B107=""),"",('ENTRY DATA'!B107))</f>
        <v/>
      </c>
      <c r="F107" s="12"/>
      <c r="G107" s="12"/>
      <c r="H107" s="72"/>
      <c r="I107" s="71"/>
      <c r="J107" s="72"/>
      <c r="K107" s="12"/>
      <c r="L107" s="20">
        <f t="shared" si="6"/>
        <v>0</v>
      </c>
      <c r="M107" s="19" t="str">
        <f t="shared" si="7"/>
        <v/>
      </c>
      <c r="N107" s="12"/>
      <c r="O107" s="119"/>
      <c r="P107" s="95" t="str">
        <f t="shared" si="8"/>
        <v/>
      </c>
      <c r="Q107" s="12"/>
      <c r="S107" s="128"/>
      <c r="T107" s="66"/>
      <c r="U107" s="128"/>
      <c r="W107" s="128"/>
      <c r="X107" s="12"/>
      <c r="Y107" t="str">
        <f t="shared" si="9"/>
        <v/>
      </c>
      <c r="Z107" t="str">
        <f t="shared" si="9"/>
        <v/>
      </c>
      <c r="AA107" s="12"/>
      <c r="AB107" s="95" t="e">
        <f t="shared" si="10"/>
        <v>#VALUE!</v>
      </c>
      <c r="AC107" s="95" t="e">
        <f t="shared" si="11"/>
        <v>#VALUE!</v>
      </c>
      <c r="AD107" s="12"/>
    </row>
    <row r="108" spans="1:30" ht="15.75" thickBot="1" x14ac:dyDescent="0.3">
      <c r="A108" s="12"/>
      <c r="B108" s="22"/>
      <c r="C108" t="str">
        <f>IF(AND('ENTRY DATA'!D108=""),"",('ENTRY DATA'!D108))</f>
        <v/>
      </c>
      <c r="D108" t="str">
        <f>IF(AND('ENTRY DATA'!F108=""),"",('ENTRY DATA'!F108))</f>
        <v/>
      </c>
      <c r="E108" s="34" t="str">
        <f>IF(AND('ENTRY DATA'!B108=""),"",('ENTRY DATA'!B108))</f>
        <v/>
      </c>
      <c r="F108" s="12"/>
      <c r="G108" s="12"/>
      <c r="H108" s="72"/>
      <c r="I108" s="71"/>
      <c r="J108" s="72"/>
      <c r="K108" s="12"/>
      <c r="L108" s="20">
        <f t="shared" si="6"/>
        <v>0</v>
      </c>
      <c r="M108" s="19" t="str">
        <f t="shared" si="7"/>
        <v/>
      </c>
      <c r="N108" s="12"/>
      <c r="O108" s="119"/>
      <c r="P108" s="95" t="str">
        <f t="shared" si="8"/>
        <v/>
      </c>
      <c r="Q108" s="12"/>
      <c r="S108" s="128"/>
      <c r="T108" s="66"/>
      <c r="U108" s="128"/>
      <c r="W108" s="128"/>
      <c r="X108" s="12"/>
      <c r="Y108" t="str">
        <f t="shared" si="9"/>
        <v/>
      </c>
      <c r="Z108" t="str">
        <f t="shared" si="9"/>
        <v/>
      </c>
      <c r="AA108" s="12"/>
      <c r="AB108" s="95" t="e">
        <f t="shared" si="10"/>
        <v>#VALUE!</v>
      </c>
      <c r="AC108" s="95" t="e">
        <f t="shared" si="11"/>
        <v>#VALUE!</v>
      </c>
      <c r="AD108" s="12"/>
    </row>
    <row r="109" spans="1:30" ht="15.75" thickBot="1" x14ac:dyDescent="0.3">
      <c r="A109" s="12"/>
      <c r="B109" s="22"/>
      <c r="C109" t="str">
        <f>IF(AND('ENTRY DATA'!D109=""),"",('ENTRY DATA'!D109))</f>
        <v/>
      </c>
      <c r="D109" t="str">
        <f>IF(AND('ENTRY DATA'!F109=""),"",('ENTRY DATA'!F109))</f>
        <v/>
      </c>
      <c r="E109" s="34" t="str">
        <f>IF(AND('ENTRY DATA'!B109=""),"",('ENTRY DATA'!B109))</f>
        <v/>
      </c>
      <c r="F109" s="12"/>
      <c r="G109" s="12"/>
      <c r="H109" s="72"/>
      <c r="I109" s="71"/>
      <c r="J109" s="72"/>
      <c r="K109" s="12"/>
      <c r="L109" s="20">
        <f t="shared" si="6"/>
        <v>0</v>
      </c>
      <c r="M109" s="19" t="str">
        <f t="shared" si="7"/>
        <v/>
      </c>
      <c r="N109" s="12"/>
      <c r="O109" s="119"/>
      <c r="P109" s="95" t="str">
        <f t="shared" si="8"/>
        <v/>
      </c>
      <c r="Q109" s="12"/>
      <c r="S109" s="128"/>
      <c r="T109" s="66"/>
      <c r="U109" s="128"/>
      <c r="W109" s="128"/>
      <c r="X109" s="12"/>
      <c r="Y109" t="str">
        <f t="shared" si="9"/>
        <v/>
      </c>
      <c r="Z109" t="str">
        <f t="shared" si="9"/>
        <v/>
      </c>
      <c r="AA109" s="12"/>
      <c r="AB109" s="95" t="e">
        <f t="shared" si="10"/>
        <v>#VALUE!</v>
      </c>
      <c r="AC109" s="95" t="e">
        <f t="shared" si="11"/>
        <v>#VALUE!</v>
      </c>
      <c r="AD109" s="12"/>
    </row>
    <row r="110" spans="1:30" ht="15.75" thickBot="1" x14ac:dyDescent="0.3">
      <c r="A110" s="12"/>
      <c r="B110" s="22"/>
      <c r="C110" t="str">
        <f>IF(AND('ENTRY DATA'!D110=""),"",('ENTRY DATA'!D110))</f>
        <v/>
      </c>
      <c r="D110" t="str">
        <f>IF(AND('ENTRY DATA'!F110=""),"",('ENTRY DATA'!F110))</f>
        <v/>
      </c>
      <c r="E110" s="34" t="str">
        <f>IF(AND('ENTRY DATA'!B110=""),"",('ENTRY DATA'!B110))</f>
        <v/>
      </c>
      <c r="F110" s="12"/>
      <c r="G110" s="12"/>
      <c r="H110" s="72"/>
      <c r="I110" s="71"/>
      <c r="J110" s="72"/>
      <c r="K110" s="12"/>
      <c r="L110" s="20">
        <f t="shared" si="6"/>
        <v>0</v>
      </c>
      <c r="M110" s="19" t="str">
        <f t="shared" si="7"/>
        <v/>
      </c>
      <c r="N110" s="12"/>
      <c r="O110" s="119"/>
      <c r="P110" s="95" t="str">
        <f t="shared" si="8"/>
        <v/>
      </c>
      <c r="Q110" s="12"/>
      <c r="S110" s="128"/>
      <c r="T110" s="66"/>
      <c r="U110" s="128"/>
      <c r="W110" s="128"/>
      <c r="X110" s="12"/>
      <c r="Y110" t="str">
        <f t="shared" si="9"/>
        <v/>
      </c>
      <c r="Z110" t="str">
        <f t="shared" si="9"/>
        <v/>
      </c>
      <c r="AA110" s="12"/>
      <c r="AB110" s="95" t="e">
        <f t="shared" si="10"/>
        <v>#VALUE!</v>
      </c>
      <c r="AC110" s="95" t="e">
        <f t="shared" si="11"/>
        <v>#VALUE!</v>
      </c>
      <c r="AD110" s="12"/>
    </row>
    <row r="111" spans="1:30" ht="15.75" thickBot="1" x14ac:dyDescent="0.3">
      <c r="A111" s="12"/>
      <c r="B111" s="22"/>
      <c r="C111" t="str">
        <f>IF(AND('ENTRY DATA'!D111=""),"",('ENTRY DATA'!D111))</f>
        <v/>
      </c>
      <c r="D111" t="str">
        <f>IF(AND('ENTRY DATA'!F111=""),"",('ENTRY DATA'!F111))</f>
        <v/>
      </c>
      <c r="E111" s="34" t="str">
        <f>IF(AND('ENTRY DATA'!B111=""),"",('ENTRY DATA'!B111))</f>
        <v/>
      </c>
      <c r="F111" s="12"/>
      <c r="G111" s="12"/>
      <c r="H111" s="72"/>
      <c r="I111" s="71"/>
      <c r="J111" s="72"/>
      <c r="K111" s="12"/>
      <c r="L111" s="20">
        <f t="shared" si="6"/>
        <v>0</v>
      </c>
      <c r="M111" s="19" t="str">
        <f t="shared" si="7"/>
        <v/>
      </c>
      <c r="N111" s="12"/>
      <c r="O111" s="119"/>
      <c r="P111" s="95" t="str">
        <f t="shared" si="8"/>
        <v/>
      </c>
      <c r="Q111" s="12"/>
      <c r="S111" s="128"/>
      <c r="T111" s="66"/>
      <c r="U111" s="128"/>
      <c r="W111" s="128"/>
      <c r="X111" s="12"/>
      <c r="Y111" t="str">
        <f t="shared" si="9"/>
        <v/>
      </c>
      <c r="Z111" t="str">
        <f t="shared" si="9"/>
        <v/>
      </c>
      <c r="AA111" s="12"/>
      <c r="AB111" s="95" t="e">
        <f t="shared" si="10"/>
        <v>#VALUE!</v>
      </c>
      <c r="AC111" s="95" t="e">
        <f t="shared" si="11"/>
        <v>#VALUE!</v>
      </c>
      <c r="AD111" s="12"/>
    </row>
    <row r="112" spans="1:30" ht="15.75" thickBot="1" x14ac:dyDescent="0.3">
      <c r="A112" s="12"/>
      <c r="B112" s="22"/>
      <c r="C112" t="str">
        <f>IF(AND('ENTRY DATA'!D112=""),"",('ENTRY DATA'!D112))</f>
        <v/>
      </c>
      <c r="D112" t="str">
        <f>IF(AND('ENTRY DATA'!F112=""),"",('ENTRY DATA'!F112))</f>
        <v/>
      </c>
      <c r="E112" s="34" t="str">
        <f>IF(AND('ENTRY DATA'!B112=""),"",('ENTRY DATA'!B112))</f>
        <v/>
      </c>
      <c r="F112" s="12"/>
      <c r="G112" s="12"/>
      <c r="H112" s="72"/>
      <c r="I112" s="71"/>
      <c r="J112" s="72"/>
      <c r="K112" s="12"/>
      <c r="L112" s="20">
        <f t="shared" si="6"/>
        <v>0</v>
      </c>
      <c r="M112" s="19" t="str">
        <f t="shared" si="7"/>
        <v/>
      </c>
      <c r="N112" s="12"/>
      <c r="O112" s="119"/>
      <c r="P112" s="95" t="str">
        <f t="shared" si="8"/>
        <v/>
      </c>
      <c r="Q112" s="12"/>
      <c r="S112" s="128"/>
      <c r="T112" s="66"/>
      <c r="U112" s="128"/>
      <c r="W112" s="128"/>
      <c r="X112" s="12"/>
      <c r="Y112" t="str">
        <f t="shared" si="9"/>
        <v/>
      </c>
      <c r="Z112" t="str">
        <f t="shared" si="9"/>
        <v/>
      </c>
      <c r="AA112" s="12"/>
      <c r="AB112" s="95" t="e">
        <f t="shared" si="10"/>
        <v>#VALUE!</v>
      </c>
      <c r="AC112" s="95" t="e">
        <f t="shared" si="11"/>
        <v>#VALUE!</v>
      </c>
      <c r="AD112" s="12"/>
    </row>
    <row r="113" spans="1:30" ht="15.75" thickBot="1" x14ac:dyDescent="0.3">
      <c r="A113" s="12"/>
      <c r="B113" s="22"/>
      <c r="C113" t="str">
        <f>IF(AND('ENTRY DATA'!D113=""),"",('ENTRY DATA'!D113))</f>
        <v/>
      </c>
      <c r="D113" t="str">
        <f>IF(AND('ENTRY DATA'!F113=""),"",('ENTRY DATA'!F113))</f>
        <v/>
      </c>
      <c r="E113" s="34" t="str">
        <f>IF(AND('ENTRY DATA'!B113=""),"",('ENTRY DATA'!B113))</f>
        <v/>
      </c>
      <c r="F113" s="12"/>
      <c r="G113" s="12"/>
      <c r="H113" s="72"/>
      <c r="I113" s="71"/>
      <c r="J113" s="72"/>
      <c r="K113" s="12"/>
      <c r="L113" s="20">
        <f t="shared" si="6"/>
        <v>0</v>
      </c>
      <c r="M113" s="19" t="str">
        <f t="shared" si="7"/>
        <v/>
      </c>
      <c r="N113" s="12"/>
      <c r="O113" s="119"/>
      <c r="P113" s="95" t="str">
        <f t="shared" si="8"/>
        <v/>
      </c>
      <c r="Q113" s="12"/>
      <c r="S113" s="128"/>
      <c r="T113" s="66"/>
      <c r="U113" s="128"/>
      <c r="W113" s="128"/>
      <c r="X113" s="12"/>
      <c r="Y113" t="str">
        <f t="shared" si="9"/>
        <v/>
      </c>
      <c r="Z113" t="str">
        <f t="shared" si="9"/>
        <v/>
      </c>
      <c r="AA113" s="12"/>
      <c r="AB113" s="95" t="e">
        <f t="shared" si="10"/>
        <v>#VALUE!</v>
      </c>
      <c r="AC113" s="95" t="e">
        <f t="shared" si="11"/>
        <v>#VALUE!</v>
      </c>
      <c r="AD113" s="12"/>
    </row>
    <row r="114" spans="1:30" ht="15.75" thickBot="1" x14ac:dyDescent="0.3">
      <c r="A114" s="12"/>
      <c r="B114" s="22"/>
      <c r="C114" t="str">
        <f>IF(AND('ENTRY DATA'!D114=""),"",('ENTRY DATA'!D114))</f>
        <v/>
      </c>
      <c r="D114" t="str">
        <f>IF(AND('ENTRY DATA'!F114=""),"",('ENTRY DATA'!F114))</f>
        <v/>
      </c>
      <c r="E114" s="34" t="str">
        <f>IF(AND('ENTRY DATA'!B114=""),"",('ENTRY DATA'!B114))</f>
        <v/>
      </c>
      <c r="F114" s="12"/>
      <c r="G114" s="12"/>
      <c r="H114" s="72"/>
      <c r="I114" s="71"/>
      <c r="J114" s="72"/>
      <c r="K114" s="12"/>
      <c r="L114" s="20">
        <f t="shared" si="6"/>
        <v>0</v>
      </c>
      <c r="M114" s="19" t="str">
        <f t="shared" si="7"/>
        <v/>
      </c>
      <c r="N114" s="12"/>
      <c r="O114" s="119"/>
      <c r="P114" s="95" t="str">
        <f t="shared" si="8"/>
        <v/>
      </c>
      <c r="Q114" s="12"/>
      <c r="S114" s="128"/>
      <c r="T114" s="66"/>
      <c r="U114" s="128"/>
      <c r="W114" s="128"/>
      <c r="X114" s="12"/>
      <c r="Y114" t="str">
        <f t="shared" si="9"/>
        <v/>
      </c>
      <c r="Z114" t="str">
        <f t="shared" si="9"/>
        <v/>
      </c>
      <c r="AA114" s="12"/>
      <c r="AB114" s="95" t="e">
        <f t="shared" si="10"/>
        <v>#VALUE!</v>
      </c>
      <c r="AC114" s="95" t="e">
        <f t="shared" si="11"/>
        <v>#VALUE!</v>
      </c>
      <c r="AD114" s="12"/>
    </row>
    <row r="115" spans="1:30" ht="15.75" thickBot="1" x14ac:dyDescent="0.3">
      <c r="A115" s="12"/>
      <c r="B115" s="22"/>
      <c r="C115" t="str">
        <f>IF(AND('ENTRY DATA'!D115=""),"",('ENTRY DATA'!D115))</f>
        <v/>
      </c>
      <c r="D115" t="str">
        <f>IF(AND('ENTRY DATA'!F115=""),"",('ENTRY DATA'!F115))</f>
        <v/>
      </c>
      <c r="E115" s="34" t="str">
        <f>IF(AND('ENTRY DATA'!B115=""),"",('ENTRY DATA'!B115))</f>
        <v/>
      </c>
      <c r="F115" s="12"/>
      <c r="G115" s="12"/>
      <c r="H115" s="72"/>
      <c r="I115" s="71"/>
      <c r="J115" s="72"/>
      <c r="K115" s="12"/>
      <c r="L115" s="20">
        <f t="shared" si="6"/>
        <v>0</v>
      </c>
      <c r="M115" s="19" t="str">
        <f t="shared" si="7"/>
        <v/>
      </c>
      <c r="N115" s="12"/>
      <c r="O115" s="119"/>
      <c r="P115" s="95" t="str">
        <f t="shared" si="8"/>
        <v/>
      </c>
      <c r="Q115" s="12"/>
      <c r="S115" s="128"/>
      <c r="T115" s="66"/>
      <c r="U115" s="128"/>
      <c r="W115" s="128"/>
      <c r="X115" s="12"/>
      <c r="Y115" t="str">
        <f t="shared" si="9"/>
        <v/>
      </c>
      <c r="Z115" t="str">
        <f t="shared" si="9"/>
        <v/>
      </c>
      <c r="AA115" s="12"/>
      <c r="AB115" s="95" t="e">
        <f t="shared" si="10"/>
        <v>#VALUE!</v>
      </c>
      <c r="AC115" s="95" t="e">
        <f t="shared" si="11"/>
        <v>#VALUE!</v>
      </c>
      <c r="AD115" s="12"/>
    </row>
    <row r="116" spans="1:30" ht="15.75" thickBot="1" x14ac:dyDescent="0.3">
      <c r="A116" s="12"/>
      <c r="B116" s="22"/>
      <c r="C116" t="str">
        <f>IF(AND('ENTRY DATA'!D116=""),"",('ENTRY DATA'!D116))</f>
        <v/>
      </c>
      <c r="D116" t="str">
        <f>IF(AND('ENTRY DATA'!F116=""),"",('ENTRY DATA'!F116))</f>
        <v/>
      </c>
      <c r="E116" s="34" t="str">
        <f>IF(AND('ENTRY DATA'!B116=""),"",('ENTRY DATA'!B116))</f>
        <v/>
      </c>
      <c r="F116" s="12"/>
      <c r="G116" s="12"/>
      <c r="H116" s="72"/>
      <c r="I116" s="71"/>
      <c r="J116" s="72"/>
      <c r="K116" s="12"/>
      <c r="L116" s="20">
        <f t="shared" si="6"/>
        <v>0</v>
      </c>
      <c r="M116" s="19" t="str">
        <f t="shared" si="7"/>
        <v/>
      </c>
      <c r="N116" s="12"/>
      <c r="O116" s="119"/>
      <c r="P116" s="95" t="str">
        <f t="shared" si="8"/>
        <v/>
      </c>
      <c r="Q116" s="12"/>
      <c r="S116" s="128"/>
      <c r="T116" s="66"/>
      <c r="U116" s="128"/>
      <c r="W116" s="128"/>
      <c r="X116" s="12"/>
      <c r="Y116" t="str">
        <f t="shared" si="9"/>
        <v/>
      </c>
      <c r="Z116" t="str">
        <f t="shared" si="9"/>
        <v/>
      </c>
      <c r="AA116" s="12"/>
      <c r="AB116" s="95" t="e">
        <f t="shared" si="10"/>
        <v>#VALUE!</v>
      </c>
      <c r="AC116" s="95" t="e">
        <f t="shared" si="11"/>
        <v>#VALUE!</v>
      </c>
      <c r="AD116" s="12"/>
    </row>
    <row r="117" spans="1:30" ht="15.75" thickBot="1" x14ac:dyDescent="0.3">
      <c r="A117" s="12"/>
      <c r="B117" s="22"/>
      <c r="C117" t="str">
        <f>IF(AND('ENTRY DATA'!D117=""),"",('ENTRY DATA'!D117))</f>
        <v/>
      </c>
      <c r="D117" t="str">
        <f>IF(AND('ENTRY DATA'!F117=""),"",('ENTRY DATA'!F117))</f>
        <v/>
      </c>
      <c r="E117" s="34" t="str">
        <f>IF(AND('ENTRY DATA'!B117=""),"",('ENTRY DATA'!B117))</f>
        <v/>
      </c>
      <c r="F117" s="12"/>
      <c r="G117" s="12"/>
      <c r="H117" s="72"/>
      <c r="I117" s="71"/>
      <c r="J117" s="72"/>
      <c r="K117" s="12"/>
      <c r="L117" s="20">
        <f t="shared" si="6"/>
        <v>0</v>
      </c>
      <c r="M117" s="19" t="str">
        <f t="shared" si="7"/>
        <v/>
      </c>
      <c r="N117" s="12"/>
      <c r="O117" s="119"/>
      <c r="P117" s="95" t="str">
        <f t="shared" si="8"/>
        <v/>
      </c>
      <c r="Q117" s="12"/>
      <c r="S117" s="128"/>
      <c r="T117" s="66"/>
      <c r="U117" s="128"/>
      <c r="W117" s="128"/>
      <c r="X117" s="12"/>
      <c r="Y117" t="str">
        <f t="shared" si="9"/>
        <v/>
      </c>
      <c r="Z117" t="str">
        <f t="shared" si="9"/>
        <v/>
      </c>
      <c r="AA117" s="12"/>
      <c r="AB117" s="95" t="e">
        <f t="shared" si="10"/>
        <v>#VALUE!</v>
      </c>
      <c r="AC117" s="95" t="e">
        <f t="shared" si="11"/>
        <v>#VALUE!</v>
      </c>
      <c r="AD117" s="12"/>
    </row>
    <row r="118" spans="1:30" ht="15.75" thickBot="1" x14ac:dyDescent="0.3">
      <c r="A118" s="12"/>
      <c r="B118" s="22"/>
      <c r="C118" t="str">
        <f>IF(AND('ENTRY DATA'!D118=""),"",('ENTRY DATA'!D118))</f>
        <v/>
      </c>
      <c r="D118" t="str">
        <f>IF(AND('ENTRY DATA'!F118=""),"",('ENTRY DATA'!F118))</f>
        <v/>
      </c>
      <c r="E118" s="34" t="str">
        <f>IF(AND('ENTRY DATA'!B118=""),"",('ENTRY DATA'!B118))</f>
        <v/>
      </c>
      <c r="F118" s="12"/>
      <c r="G118" s="12"/>
      <c r="H118" s="72"/>
      <c r="I118" s="71"/>
      <c r="J118" s="72"/>
      <c r="K118" s="12"/>
      <c r="L118" s="20">
        <f t="shared" si="6"/>
        <v>0</v>
      </c>
      <c r="M118" s="19" t="str">
        <f t="shared" si="7"/>
        <v/>
      </c>
      <c r="N118" s="12"/>
      <c r="O118" s="119"/>
      <c r="P118" s="95" t="str">
        <f t="shared" si="8"/>
        <v/>
      </c>
      <c r="Q118" s="12"/>
      <c r="S118" s="128"/>
      <c r="T118" s="66"/>
      <c r="U118" s="128"/>
      <c r="W118" s="128"/>
      <c r="X118" s="12"/>
      <c r="Y118" t="str">
        <f t="shared" si="9"/>
        <v/>
      </c>
      <c r="Z118" t="str">
        <f t="shared" si="9"/>
        <v/>
      </c>
      <c r="AA118" s="12"/>
      <c r="AB118" s="95" t="e">
        <f t="shared" si="10"/>
        <v>#VALUE!</v>
      </c>
      <c r="AC118" s="95" t="e">
        <f t="shared" si="11"/>
        <v>#VALUE!</v>
      </c>
      <c r="AD118" s="12"/>
    </row>
    <row r="119" spans="1:30" ht="15.75" thickBot="1" x14ac:dyDescent="0.3">
      <c r="A119" s="12"/>
      <c r="B119" s="22"/>
      <c r="C119" t="str">
        <f>IF(AND('ENTRY DATA'!D119=""),"",('ENTRY DATA'!D119))</f>
        <v/>
      </c>
      <c r="D119" t="str">
        <f>IF(AND('ENTRY DATA'!F119=""),"",('ENTRY DATA'!F119))</f>
        <v/>
      </c>
      <c r="E119" s="34" t="str">
        <f>IF(AND('ENTRY DATA'!B119=""),"",('ENTRY DATA'!B119))</f>
        <v/>
      </c>
      <c r="F119" s="12"/>
      <c r="G119" s="12"/>
      <c r="H119" s="72"/>
      <c r="I119" s="71"/>
      <c r="J119" s="72"/>
      <c r="K119" s="12"/>
      <c r="L119" s="20">
        <f t="shared" si="6"/>
        <v>0</v>
      </c>
      <c r="M119" s="19" t="str">
        <f t="shared" si="7"/>
        <v/>
      </c>
      <c r="N119" s="12"/>
      <c r="O119" s="119"/>
      <c r="P119" s="95" t="str">
        <f t="shared" si="8"/>
        <v/>
      </c>
      <c r="Q119" s="12"/>
      <c r="S119" s="128"/>
      <c r="T119" s="66"/>
      <c r="U119" s="128"/>
      <c r="W119" s="128"/>
      <c r="X119" s="12"/>
      <c r="Y119" t="str">
        <f t="shared" si="9"/>
        <v/>
      </c>
      <c r="Z119" t="str">
        <f t="shared" si="9"/>
        <v/>
      </c>
      <c r="AA119" s="12"/>
      <c r="AB119" s="95" t="e">
        <f t="shared" si="10"/>
        <v>#VALUE!</v>
      </c>
      <c r="AC119" s="95" t="e">
        <f t="shared" si="11"/>
        <v>#VALUE!</v>
      </c>
      <c r="AD119" s="12"/>
    </row>
    <row r="120" spans="1:30" ht="15.75" thickBot="1" x14ac:dyDescent="0.3">
      <c r="A120" s="12"/>
      <c r="B120" s="22"/>
      <c r="C120" t="str">
        <f>IF(AND('ENTRY DATA'!D120=""),"",('ENTRY DATA'!D120))</f>
        <v/>
      </c>
      <c r="D120" t="str">
        <f>IF(AND('ENTRY DATA'!F120=""),"",('ENTRY DATA'!F120))</f>
        <v/>
      </c>
      <c r="E120" s="34" t="str">
        <f>IF(AND('ENTRY DATA'!B120=""),"",('ENTRY DATA'!B120))</f>
        <v/>
      </c>
      <c r="F120" s="12"/>
      <c r="G120" s="12"/>
      <c r="H120" s="72"/>
      <c r="I120" s="71"/>
      <c r="J120" s="72"/>
      <c r="K120" s="12"/>
      <c r="L120" s="20">
        <f t="shared" si="6"/>
        <v>0</v>
      </c>
      <c r="M120" s="19" t="str">
        <f t="shared" si="7"/>
        <v/>
      </c>
      <c r="N120" s="12"/>
      <c r="O120" s="119"/>
      <c r="P120" s="95" t="str">
        <f t="shared" si="8"/>
        <v/>
      </c>
      <c r="Q120" s="12"/>
      <c r="S120" s="128"/>
      <c r="T120" s="66"/>
      <c r="U120" s="128"/>
      <c r="W120" s="128"/>
      <c r="X120" s="12"/>
      <c r="Y120" t="str">
        <f t="shared" si="9"/>
        <v/>
      </c>
      <c r="Z120" t="str">
        <f t="shared" si="9"/>
        <v/>
      </c>
      <c r="AA120" s="12"/>
      <c r="AB120" s="95" t="e">
        <f t="shared" si="10"/>
        <v>#VALUE!</v>
      </c>
      <c r="AC120" s="95" t="e">
        <f t="shared" si="11"/>
        <v>#VALUE!</v>
      </c>
      <c r="AD120" s="12"/>
    </row>
    <row r="121" spans="1:30" ht="15.75" thickBot="1" x14ac:dyDescent="0.3">
      <c r="A121" s="12"/>
      <c r="B121" s="22"/>
      <c r="C121" t="str">
        <f>IF(AND('ENTRY DATA'!D121=""),"",('ENTRY DATA'!D121))</f>
        <v/>
      </c>
      <c r="D121" t="str">
        <f>IF(AND('ENTRY DATA'!F121=""),"",('ENTRY DATA'!F121))</f>
        <v/>
      </c>
      <c r="E121" s="34" t="str">
        <f>IF(AND('ENTRY DATA'!B121=""),"",('ENTRY DATA'!B121))</f>
        <v/>
      </c>
      <c r="F121" s="12"/>
      <c r="G121" s="12"/>
      <c r="H121" s="72"/>
      <c r="I121" s="71"/>
      <c r="J121" s="72"/>
      <c r="K121" s="12"/>
      <c r="L121" s="20">
        <f t="shared" si="6"/>
        <v>0</v>
      </c>
      <c r="M121" s="19" t="str">
        <f t="shared" si="7"/>
        <v/>
      </c>
      <c r="N121" s="12"/>
      <c r="O121" s="119"/>
      <c r="P121" s="95" t="str">
        <f t="shared" si="8"/>
        <v/>
      </c>
      <c r="Q121" s="12"/>
      <c r="S121" s="128"/>
      <c r="T121" s="66"/>
      <c r="U121" s="128"/>
      <c r="W121" s="128"/>
      <c r="X121" s="12"/>
      <c r="Y121" t="str">
        <f t="shared" si="9"/>
        <v/>
      </c>
      <c r="Z121" t="str">
        <f t="shared" si="9"/>
        <v/>
      </c>
      <c r="AA121" s="12"/>
      <c r="AB121" s="95" t="e">
        <f t="shared" si="10"/>
        <v>#VALUE!</v>
      </c>
      <c r="AC121" s="95" t="e">
        <f t="shared" si="11"/>
        <v>#VALUE!</v>
      </c>
      <c r="AD121" s="12"/>
    </row>
    <row r="122" spans="1:30" ht="15.75" thickBot="1" x14ac:dyDescent="0.3">
      <c r="A122" s="12"/>
      <c r="B122" s="22"/>
      <c r="C122" t="str">
        <f>IF(AND('ENTRY DATA'!D122=""),"",('ENTRY DATA'!D122))</f>
        <v/>
      </c>
      <c r="D122" t="str">
        <f>IF(AND('ENTRY DATA'!F122=""),"",('ENTRY DATA'!F122))</f>
        <v/>
      </c>
      <c r="E122" s="34" t="str">
        <f>IF(AND('ENTRY DATA'!B122=""),"",('ENTRY DATA'!B122))</f>
        <v/>
      </c>
      <c r="F122" s="12"/>
      <c r="G122" s="12"/>
      <c r="H122" s="72"/>
      <c r="I122" s="71"/>
      <c r="J122" s="72"/>
      <c r="K122" s="12"/>
      <c r="L122" s="20">
        <f t="shared" si="6"/>
        <v>0</v>
      </c>
      <c r="M122" s="19" t="str">
        <f t="shared" si="7"/>
        <v/>
      </c>
      <c r="N122" s="12"/>
      <c r="O122" s="119"/>
      <c r="P122" s="95" t="str">
        <f t="shared" si="8"/>
        <v/>
      </c>
      <c r="Q122" s="12"/>
      <c r="S122" s="128"/>
      <c r="T122" s="66"/>
      <c r="U122" s="128"/>
      <c r="W122" s="128"/>
      <c r="X122" s="12"/>
      <c r="Y122" t="str">
        <f t="shared" si="9"/>
        <v/>
      </c>
      <c r="Z122" t="str">
        <f t="shared" si="9"/>
        <v/>
      </c>
      <c r="AA122" s="12"/>
      <c r="AB122" s="95" t="e">
        <f t="shared" si="10"/>
        <v>#VALUE!</v>
      </c>
      <c r="AC122" s="95" t="e">
        <f t="shared" si="11"/>
        <v>#VALUE!</v>
      </c>
      <c r="AD122" s="12"/>
    </row>
    <row r="123" spans="1:30" ht="15.75" thickBot="1" x14ac:dyDescent="0.3">
      <c r="A123" s="12"/>
      <c r="B123" s="22"/>
      <c r="C123" t="str">
        <f>IF(AND('ENTRY DATA'!D123=""),"",('ENTRY DATA'!D123))</f>
        <v/>
      </c>
      <c r="D123" t="str">
        <f>IF(AND('ENTRY DATA'!F123=""),"",('ENTRY DATA'!F123))</f>
        <v/>
      </c>
      <c r="E123" s="34" t="str">
        <f>IF(AND('ENTRY DATA'!B123=""),"",('ENTRY DATA'!B123))</f>
        <v/>
      </c>
      <c r="F123" s="12"/>
      <c r="G123" s="12"/>
      <c r="H123" s="72"/>
      <c r="I123" s="71"/>
      <c r="J123" s="72"/>
      <c r="K123" s="12"/>
      <c r="L123" s="20">
        <f t="shared" si="6"/>
        <v>0</v>
      </c>
      <c r="M123" s="19" t="str">
        <f t="shared" si="7"/>
        <v/>
      </c>
      <c r="N123" s="12"/>
      <c r="O123" s="119"/>
      <c r="P123" s="95" t="str">
        <f t="shared" si="8"/>
        <v/>
      </c>
      <c r="Q123" s="12"/>
      <c r="S123" s="128"/>
      <c r="T123" s="66"/>
      <c r="U123" s="128"/>
      <c r="W123" s="128"/>
      <c r="X123" s="12"/>
      <c r="Y123" t="str">
        <f t="shared" si="9"/>
        <v/>
      </c>
      <c r="Z123" t="str">
        <f t="shared" si="9"/>
        <v/>
      </c>
      <c r="AA123" s="12"/>
      <c r="AB123" s="95" t="e">
        <f t="shared" si="10"/>
        <v>#VALUE!</v>
      </c>
      <c r="AC123" s="95" t="e">
        <f t="shared" si="11"/>
        <v>#VALUE!</v>
      </c>
      <c r="AD123" s="12"/>
    </row>
    <row r="124" spans="1:30" ht="15.75" thickBot="1" x14ac:dyDescent="0.3">
      <c r="A124" s="12"/>
      <c r="B124" s="22"/>
      <c r="C124" t="str">
        <f>IF(AND('ENTRY DATA'!D124=""),"",('ENTRY DATA'!D124))</f>
        <v/>
      </c>
      <c r="D124" t="str">
        <f>IF(AND('ENTRY DATA'!F124=""),"",('ENTRY DATA'!F124))</f>
        <v/>
      </c>
      <c r="E124" s="34" t="str">
        <f>IF(AND('ENTRY DATA'!B124=""),"",('ENTRY DATA'!B124))</f>
        <v/>
      </c>
      <c r="F124" s="12"/>
      <c r="G124" s="12"/>
      <c r="H124" s="72"/>
      <c r="I124" s="71"/>
      <c r="J124" s="72"/>
      <c r="K124" s="12"/>
      <c r="L124" s="20">
        <f t="shared" si="6"/>
        <v>0</v>
      </c>
      <c r="M124" s="19" t="str">
        <f t="shared" si="7"/>
        <v/>
      </c>
      <c r="N124" s="12"/>
      <c r="O124" s="119"/>
      <c r="P124" s="95" t="str">
        <f t="shared" si="8"/>
        <v/>
      </c>
      <c r="Q124" s="12"/>
      <c r="S124" s="128"/>
      <c r="T124" s="66"/>
      <c r="U124" s="128"/>
      <c r="W124" s="128"/>
      <c r="X124" s="12"/>
      <c r="Y124" t="str">
        <f t="shared" si="9"/>
        <v/>
      </c>
      <c r="Z124" t="str">
        <f t="shared" si="9"/>
        <v/>
      </c>
      <c r="AA124" s="12"/>
      <c r="AB124" s="95" t="e">
        <f t="shared" si="10"/>
        <v>#VALUE!</v>
      </c>
      <c r="AC124" s="95" t="e">
        <f t="shared" si="11"/>
        <v>#VALUE!</v>
      </c>
      <c r="AD124" s="12"/>
    </row>
    <row r="125" spans="1:30" ht="15.75" thickBot="1" x14ac:dyDescent="0.3">
      <c r="A125" s="12"/>
      <c r="B125" s="22"/>
      <c r="C125" t="str">
        <f>IF(AND('ENTRY DATA'!D125=""),"",('ENTRY DATA'!D125))</f>
        <v/>
      </c>
      <c r="D125" t="str">
        <f>IF(AND('ENTRY DATA'!F125=""),"",('ENTRY DATA'!F125))</f>
        <v/>
      </c>
      <c r="E125" s="34" t="str">
        <f>IF(AND('ENTRY DATA'!B125=""),"",('ENTRY DATA'!B125))</f>
        <v/>
      </c>
      <c r="F125" s="12"/>
      <c r="G125" s="12"/>
      <c r="H125" s="72"/>
      <c r="I125" s="71"/>
      <c r="J125" s="72"/>
      <c r="K125" s="12"/>
      <c r="L125" s="20">
        <f t="shared" si="6"/>
        <v>0</v>
      </c>
      <c r="M125" s="19" t="str">
        <f t="shared" si="7"/>
        <v/>
      </c>
      <c r="N125" s="12"/>
      <c r="O125" s="119"/>
      <c r="P125" s="95" t="str">
        <f t="shared" si="8"/>
        <v/>
      </c>
      <c r="Q125" s="12"/>
      <c r="S125" s="128"/>
      <c r="T125" s="66"/>
      <c r="U125" s="128"/>
      <c r="W125" s="128"/>
      <c r="X125" s="12"/>
      <c r="Y125" t="str">
        <f t="shared" si="9"/>
        <v/>
      </c>
      <c r="Z125" t="str">
        <f t="shared" si="9"/>
        <v/>
      </c>
      <c r="AA125" s="12"/>
      <c r="AB125" s="95" t="e">
        <f t="shared" si="10"/>
        <v>#VALUE!</v>
      </c>
      <c r="AC125" s="95" t="e">
        <f t="shared" si="11"/>
        <v>#VALUE!</v>
      </c>
      <c r="AD125" s="12"/>
    </row>
    <row r="126" spans="1:30" ht="15.75" thickBot="1" x14ac:dyDescent="0.3">
      <c r="A126" s="12"/>
      <c r="B126" s="22"/>
      <c r="C126" t="str">
        <f>IF(AND('ENTRY DATA'!D126=""),"",('ENTRY DATA'!D126))</f>
        <v/>
      </c>
      <c r="D126" t="str">
        <f>IF(AND('ENTRY DATA'!F126=""),"",('ENTRY DATA'!F126))</f>
        <v/>
      </c>
      <c r="E126" s="34" t="str">
        <f>IF(AND('ENTRY DATA'!B126=""),"",('ENTRY DATA'!B126))</f>
        <v/>
      </c>
      <c r="F126" s="12"/>
      <c r="G126" s="12"/>
      <c r="H126" s="72"/>
      <c r="I126" s="71"/>
      <c r="J126" s="72"/>
      <c r="K126" s="12"/>
      <c r="L126" s="20">
        <f t="shared" si="6"/>
        <v>0</v>
      </c>
      <c r="M126" s="19" t="str">
        <f t="shared" si="7"/>
        <v/>
      </c>
      <c r="N126" s="12"/>
      <c r="O126" s="119"/>
      <c r="P126" s="95" t="str">
        <f t="shared" si="8"/>
        <v/>
      </c>
      <c r="Q126" s="12"/>
      <c r="S126" s="128"/>
      <c r="T126" s="66"/>
      <c r="U126" s="128"/>
      <c r="W126" s="128"/>
      <c r="X126" s="12"/>
      <c r="Y126" t="str">
        <f t="shared" si="9"/>
        <v/>
      </c>
      <c r="Z126" t="str">
        <f t="shared" si="9"/>
        <v/>
      </c>
      <c r="AA126" s="12"/>
      <c r="AB126" s="95" t="e">
        <f t="shared" si="10"/>
        <v>#VALUE!</v>
      </c>
      <c r="AC126" s="95" t="e">
        <f t="shared" si="11"/>
        <v>#VALUE!</v>
      </c>
      <c r="AD126" s="12"/>
    </row>
    <row r="127" spans="1:30" ht="15.75" thickBot="1" x14ac:dyDescent="0.3">
      <c r="A127" s="12"/>
      <c r="B127" s="22"/>
      <c r="C127" t="str">
        <f>IF(AND('ENTRY DATA'!D127=""),"",('ENTRY DATA'!D127))</f>
        <v/>
      </c>
      <c r="D127" t="str">
        <f>IF(AND('ENTRY DATA'!F127=""),"",('ENTRY DATA'!F127))</f>
        <v/>
      </c>
      <c r="E127" s="34" t="str">
        <f>IF(AND('ENTRY DATA'!B127=""),"",('ENTRY DATA'!B127))</f>
        <v/>
      </c>
      <c r="F127" s="12"/>
      <c r="G127" s="12"/>
      <c r="H127" s="72"/>
      <c r="I127" s="71"/>
      <c r="J127" s="72"/>
      <c r="K127" s="12"/>
      <c r="L127" s="20">
        <f t="shared" si="6"/>
        <v>0</v>
      </c>
      <c r="M127" s="19" t="str">
        <f t="shared" si="7"/>
        <v/>
      </c>
      <c r="N127" s="12"/>
      <c r="O127" s="119"/>
      <c r="P127" s="95" t="str">
        <f t="shared" si="8"/>
        <v/>
      </c>
      <c r="Q127" s="12"/>
      <c r="S127" s="128"/>
      <c r="T127" s="66"/>
      <c r="U127" s="128"/>
      <c r="W127" s="128"/>
      <c r="X127" s="12"/>
      <c r="Y127" t="str">
        <f t="shared" si="9"/>
        <v/>
      </c>
      <c r="Z127" t="str">
        <f t="shared" si="9"/>
        <v/>
      </c>
      <c r="AA127" s="12"/>
      <c r="AB127" s="95" t="e">
        <f t="shared" si="10"/>
        <v>#VALUE!</v>
      </c>
      <c r="AC127" s="95" t="e">
        <f t="shared" si="11"/>
        <v>#VALUE!</v>
      </c>
      <c r="AD127" s="12"/>
    </row>
    <row r="128" spans="1:30" ht="15.75" thickBot="1" x14ac:dyDescent="0.3">
      <c r="A128" s="12"/>
      <c r="B128" s="22"/>
      <c r="C128" t="str">
        <f>IF(AND('ENTRY DATA'!D128=""),"",('ENTRY DATA'!D128))</f>
        <v/>
      </c>
      <c r="D128" t="str">
        <f>IF(AND('ENTRY DATA'!F128=""),"",('ENTRY DATA'!F128))</f>
        <v/>
      </c>
      <c r="E128" s="34" t="str">
        <f>IF(AND('ENTRY DATA'!B128=""),"",('ENTRY DATA'!B128))</f>
        <v/>
      </c>
      <c r="F128" s="12"/>
      <c r="G128" s="12"/>
      <c r="H128" s="72"/>
      <c r="I128" s="71"/>
      <c r="J128" s="72"/>
      <c r="K128" s="12"/>
      <c r="L128" s="20">
        <f t="shared" si="6"/>
        <v>0</v>
      </c>
      <c r="M128" s="19" t="str">
        <f t="shared" si="7"/>
        <v/>
      </c>
      <c r="N128" s="12"/>
      <c r="O128" s="119"/>
      <c r="P128" s="95" t="str">
        <f t="shared" si="8"/>
        <v/>
      </c>
      <c r="Q128" s="12"/>
      <c r="S128" s="128"/>
      <c r="T128" s="66"/>
      <c r="U128" s="128"/>
      <c r="W128" s="128"/>
      <c r="X128" s="12"/>
      <c r="Y128" t="str">
        <f t="shared" si="9"/>
        <v/>
      </c>
      <c r="Z128" t="str">
        <f t="shared" si="9"/>
        <v/>
      </c>
      <c r="AA128" s="12"/>
      <c r="AB128" s="95" t="e">
        <f t="shared" si="10"/>
        <v>#VALUE!</v>
      </c>
      <c r="AC128" s="95" t="e">
        <f t="shared" si="11"/>
        <v>#VALUE!</v>
      </c>
      <c r="AD128" s="12"/>
    </row>
    <row r="129" spans="1:30" ht="15.75" thickBot="1" x14ac:dyDescent="0.3">
      <c r="A129" s="12"/>
      <c r="B129" s="22"/>
      <c r="C129" t="str">
        <f>IF(AND('ENTRY DATA'!D129=""),"",('ENTRY DATA'!D129))</f>
        <v/>
      </c>
      <c r="D129" t="str">
        <f>IF(AND('ENTRY DATA'!F129=""),"",('ENTRY DATA'!F129))</f>
        <v/>
      </c>
      <c r="E129" s="34" t="str">
        <f>IF(AND('ENTRY DATA'!B129=""),"",('ENTRY DATA'!B129))</f>
        <v/>
      </c>
      <c r="F129" s="12"/>
      <c r="G129" s="12"/>
      <c r="H129" s="72"/>
      <c r="I129" s="71"/>
      <c r="J129" s="72"/>
      <c r="K129" s="12"/>
      <c r="L129" s="20">
        <f t="shared" si="6"/>
        <v>0</v>
      </c>
      <c r="M129" s="19" t="str">
        <f t="shared" si="7"/>
        <v/>
      </c>
      <c r="N129" s="12"/>
      <c r="O129" s="119"/>
      <c r="P129" s="95" t="str">
        <f t="shared" si="8"/>
        <v/>
      </c>
      <c r="Q129" s="12"/>
      <c r="S129" s="128"/>
      <c r="T129" s="66"/>
      <c r="U129" s="128"/>
      <c r="W129" s="128"/>
      <c r="X129" s="12"/>
      <c r="Y129" t="str">
        <f t="shared" si="9"/>
        <v/>
      </c>
      <c r="Z129" t="str">
        <f t="shared" si="9"/>
        <v/>
      </c>
      <c r="AA129" s="12"/>
      <c r="AB129" s="95" t="e">
        <f t="shared" si="10"/>
        <v>#VALUE!</v>
      </c>
      <c r="AC129" s="95" t="e">
        <f t="shared" si="11"/>
        <v>#VALUE!</v>
      </c>
      <c r="AD129" s="12"/>
    </row>
    <row r="130" spans="1:30" ht="15.75" thickBot="1" x14ac:dyDescent="0.3">
      <c r="A130" s="12"/>
      <c r="B130" s="22"/>
      <c r="C130" t="str">
        <f>IF(AND('ENTRY DATA'!D130=""),"",('ENTRY DATA'!D130))</f>
        <v/>
      </c>
      <c r="D130" t="str">
        <f>IF(AND('ENTRY DATA'!F130=""),"",('ENTRY DATA'!F130))</f>
        <v/>
      </c>
      <c r="E130" s="34" t="str">
        <f>IF(AND('ENTRY DATA'!B130=""),"",('ENTRY DATA'!B130))</f>
        <v/>
      </c>
      <c r="F130" s="12"/>
      <c r="G130" s="12"/>
      <c r="H130" s="72"/>
      <c r="I130" s="71"/>
      <c r="J130" s="72"/>
      <c r="K130" s="12"/>
      <c r="L130" s="20">
        <f t="shared" si="6"/>
        <v>0</v>
      </c>
      <c r="M130" s="19" t="str">
        <f t="shared" si="7"/>
        <v/>
      </c>
      <c r="N130" s="12"/>
      <c r="O130" s="119"/>
      <c r="P130" s="95" t="str">
        <f t="shared" si="8"/>
        <v/>
      </c>
      <c r="Q130" s="12"/>
      <c r="S130" s="128"/>
      <c r="T130" s="66"/>
      <c r="U130" s="128"/>
      <c r="W130" s="128"/>
      <c r="X130" s="12"/>
      <c r="Y130" t="str">
        <f t="shared" si="9"/>
        <v/>
      </c>
      <c r="Z130" t="str">
        <f t="shared" si="9"/>
        <v/>
      </c>
      <c r="AA130" s="12"/>
      <c r="AB130" s="95" t="e">
        <f t="shared" si="10"/>
        <v>#VALUE!</v>
      </c>
      <c r="AC130" s="95" t="e">
        <f t="shared" si="11"/>
        <v>#VALUE!</v>
      </c>
      <c r="AD130" s="12"/>
    </row>
    <row r="131" spans="1:30" ht="15.75" thickBot="1" x14ac:dyDescent="0.3">
      <c r="A131" s="12"/>
      <c r="B131" s="22"/>
      <c r="C131" t="str">
        <f>IF(AND('ENTRY DATA'!D131=""),"",('ENTRY DATA'!D131))</f>
        <v/>
      </c>
      <c r="D131" t="str">
        <f>IF(AND('ENTRY DATA'!F131=""),"",('ENTRY DATA'!F131))</f>
        <v/>
      </c>
      <c r="E131" s="34" t="str">
        <f>IF(AND('ENTRY DATA'!B131=""),"",('ENTRY DATA'!B131))</f>
        <v/>
      </c>
      <c r="F131" s="12"/>
      <c r="G131" s="12"/>
      <c r="H131" s="72"/>
      <c r="I131" s="71"/>
      <c r="J131" s="72"/>
      <c r="K131" s="12"/>
      <c r="L131" s="20">
        <f t="shared" si="6"/>
        <v>0</v>
      </c>
      <c r="M131" s="19" t="str">
        <f t="shared" si="7"/>
        <v/>
      </c>
      <c r="N131" s="12"/>
      <c r="O131" s="119"/>
      <c r="P131" s="95" t="str">
        <f t="shared" si="8"/>
        <v/>
      </c>
      <c r="Q131" s="12"/>
      <c r="S131" s="128"/>
      <c r="T131" s="66"/>
      <c r="U131" s="128"/>
      <c r="W131" s="128"/>
      <c r="X131" s="12"/>
      <c r="Y131" t="str">
        <f t="shared" si="9"/>
        <v/>
      </c>
      <c r="Z131" t="str">
        <f t="shared" si="9"/>
        <v/>
      </c>
      <c r="AA131" s="12"/>
      <c r="AB131" s="95" t="e">
        <f t="shared" si="10"/>
        <v>#VALUE!</v>
      </c>
      <c r="AC131" s="95" t="e">
        <f t="shared" si="11"/>
        <v>#VALUE!</v>
      </c>
      <c r="AD131" s="12"/>
    </row>
    <row r="132" spans="1:30" ht="15.75" thickBot="1" x14ac:dyDescent="0.3">
      <c r="A132" s="12"/>
      <c r="B132" s="22"/>
      <c r="C132" t="str">
        <f>IF(AND('ENTRY DATA'!D132=""),"",('ENTRY DATA'!D132))</f>
        <v/>
      </c>
      <c r="D132" t="str">
        <f>IF(AND('ENTRY DATA'!F132=""),"",('ENTRY DATA'!F132))</f>
        <v/>
      </c>
      <c r="E132" s="34" t="str">
        <f>IF(AND('ENTRY DATA'!B132=""),"",('ENTRY DATA'!B132))</f>
        <v/>
      </c>
      <c r="F132" s="12"/>
      <c r="G132" s="12"/>
      <c r="H132" s="72"/>
      <c r="I132" s="71"/>
      <c r="J132" s="72"/>
      <c r="K132" s="12"/>
      <c r="L132" s="20">
        <f t="shared" si="6"/>
        <v>0</v>
      </c>
      <c r="M132" s="19" t="str">
        <f t="shared" si="7"/>
        <v/>
      </c>
      <c r="N132" s="12"/>
      <c r="O132" s="119"/>
      <c r="P132" s="95" t="str">
        <f t="shared" si="8"/>
        <v/>
      </c>
      <c r="Q132" s="12"/>
      <c r="S132" s="128"/>
      <c r="T132" s="66"/>
      <c r="U132" s="128"/>
      <c r="W132" s="128"/>
      <c r="X132" s="12"/>
      <c r="Y132" t="str">
        <f t="shared" si="9"/>
        <v/>
      </c>
      <c r="Z132" t="str">
        <f t="shared" si="9"/>
        <v/>
      </c>
      <c r="AA132" s="12"/>
      <c r="AB132" s="95" t="e">
        <f t="shared" si="10"/>
        <v>#VALUE!</v>
      </c>
      <c r="AC132" s="95" t="e">
        <f t="shared" si="11"/>
        <v>#VALUE!</v>
      </c>
      <c r="AD132" s="12"/>
    </row>
    <row r="133" spans="1:30" ht="15.75" thickBot="1" x14ac:dyDescent="0.3">
      <c r="A133" s="12"/>
      <c r="B133" s="22"/>
      <c r="C133" t="str">
        <f>IF(AND('ENTRY DATA'!D133=""),"",('ENTRY DATA'!D133))</f>
        <v/>
      </c>
      <c r="D133" t="str">
        <f>IF(AND('ENTRY DATA'!F133=""),"",('ENTRY DATA'!F133))</f>
        <v/>
      </c>
      <c r="E133" s="34" t="str">
        <f>IF(AND('ENTRY DATA'!B133=""),"",('ENTRY DATA'!B133))</f>
        <v/>
      </c>
      <c r="F133" s="12"/>
      <c r="G133" s="12"/>
      <c r="H133" s="72"/>
      <c r="I133" s="71"/>
      <c r="J133" s="72"/>
      <c r="K133" s="12"/>
      <c r="L133" s="20">
        <f t="shared" si="6"/>
        <v>0</v>
      </c>
      <c r="M133" s="19" t="str">
        <f t="shared" si="7"/>
        <v/>
      </c>
      <c r="N133" s="12"/>
      <c r="O133" s="119"/>
      <c r="P133" s="95" t="str">
        <f t="shared" si="8"/>
        <v/>
      </c>
      <c r="Q133" s="12"/>
      <c r="S133" s="128"/>
      <c r="T133" s="66"/>
      <c r="U133" s="128"/>
      <c r="W133" s="128"/>
      <c r="X133" s="12"/>
      <c r="Y133" t="str">
        <f t="shared" si="9"/>
        <v/>
      </c>
      <c r="Z133" t="str">
        <f t="shared" si="9"/>
        <v/>
      </c>
      <c r="AA133" s="12"/>
      <c r="AB133" s="95" t="e">
        <f t="shared" si="10"/>
        <v>#VALUE!</v>
      </c>
      <c r="AC133" s="95" t="e">
        <f t="shared" si="11"/>
        <v>#VALUE!</v>
      </c>
      <c r="AD133" s="12"/>
    </row>
    <row r="134" spans="1:30" ht="15.75" thickBot="1" x14ac:dyDescent="0.3">
      <c r="A134" s="12"/>
      <c r="B134" s="22"/>
      <c r="C134" t="str">
        <f>IF(AND('ENTRY DATA'!D134=""),"",('ENTRY DATA'!D134))</f>
        <v/>
      </c>
      <c r="D134" t="str">
        <f>IF(AND('ENTRY DATA'!F134=""),"",('ENTRY DATA'!F134))</f>
        <v/>
      </c>
      <c r="E134" s="34" t="str">
        <f>IF(AND('ENTRY DATA'!B134=""),"",('ENTRY DATA'!B134))</f>
        <v/>
      </c>
      <c r="F134" s="12"/>
      <c r="G134" s="12"/>
      <c r="H134" s="72"/>
      <c r="I134" s="71"/>
      <c r="J134" s="72"/>
      <c r="K134" s="12"/>
      <c r="L134" s="20">
        <f t="shared" ref="L134:L197" si="12">COUNT(H134:J134)</f>
        <v>0</v>
      </c>
      <c r="M134" s="19" t="str">
        <f t="shared" ref="M134:M197" si="13">IF(AND(H134="",I134="",J134=""),"",(H134+I134+J134))</f>
        <v/>
      </c>
      <c r="N134" s="12"/>
      <c r="O134" s="119"/>
      <c r="P134" s="95" t="str">
        <f t="shared" ref="P134:P197" si="14">C134</f>
        <v/>
      </c>
      <c r="Q134" s="12"/>
      <c r="S134" s="128"/>
      <c r="T134" s="66"/>
      <c r="U134" s="128"/>
      <c r="W134" s="128"/>
      <c r="X134" s="12"/>
      <c r="Y134" t="str">
        <f t="shared" ref="Y134:Z197" si="15">IF(AND(R134="",T134="",V134=""),"",SUM(R134,T134,V134))</f>
        <v/>
      </c>
      <c r="Z134" t="str">
        <f t="shared" si="15"/>
        <v/>
      </c>
      <c r="AA134" s="12"/>
      <c r="AB134" s="95" t="e">
        <f t="shared" ref="AB134:AB197" si="16">Y134/L134</f>
        <v>#VALUE!</v>
      </c>
      <c r="AC134" s="95" t="e">
        <f t="shared" ref="AC134:AC197" si="17">Z134/L134</f>
        <v>#VALUE!</v>
      </c>
      <c r="AD134" s="12"/>
    </row>
    <row r="135" spans="1:30" ht="15.75" thickBot="1" x14ac:dyDescent="0.3">
      <c r="A135" s="12"/>
      <c r="B135" s="22"/>
      <c r="C135" t="str">
        <f>IF(AND('ENTRY DATA'!D135=""),"",('ENTRY DATA'!D135))</f>
        <v/>
      </c>
      <c r="D135" t="str">
        <f>IF(AND('ENTRY DATA'!F135=""),"",('ENTRY DATA'!F135))</f>
        <v/>
      </c>
      <c r="E135" s="34" t="str">
        <f>IF(AND('ENTRY DATA'!B135=""),"",('ENTRY DATA'!B135))</f>
        <v/>
      </c>
      <c r="F135" s="12"/>
      <c r="G135" s="12"/>
      <c r="H135" s="72"/>
      <c r="I135" s="71"/>
      <c r="J135" s="72"/>
      <c r="K135" s="12"/>
      <c r="L135" s="20">
        <f t="shared" si="12"/>
        <v>0</v>
      </c>
      <c r="M135" s="19" t="str">
        <f t="shared" si="13"/>
        <v/>
      </c>
      <c r="N135" s="12"/>
      <c r="O135" s="119"/>
      <c r="P135" s="95" t="str">
        <f t="shared" si="14"/>
        <v/>
      </c>
      <c r="Q135" s="12"/>
      <c r="S135" s="128"/>
      <c r="T135" s="66"/>
      <c r="U135" s="128"/>
      <c r="W135" s="128"/>
      <c r="X135" s="12"/>
      <c r="Y135" t="str">
        <f t="shared" si="15"/>
        <v/>
      </c>
      <c r="Z135" t="str">
        <f t="shared" si="15"/>
        <v/>
      </c>
      <c r="AA135" s="12"/>
      <c r="AB135" s="95" t="e">
        <f t="shared" si="16"/>
        <v>#VALUE!</v>
      </c>
      <c r="AC135" s="95" t="e">
        <f t="shared" si="17"/>
        <v>#VALUE!</v>
      </c>
      <c r="AD135" s="12"/>
    </row>
    <row r="136" spans="1:30" ht="15.75" thickBot="1" x14ac:dyDescent="0.3">
      <c r="A136" s="12"/>
      <c r="B136" s="22"/>
      <c r="C136" t="str">
        <f>IF(AND('ENTRY DATA'!D136=""),"",('ENTRY DATA'!D136))</f>
        <v/>
      </c>
      <c r="D136" t="str">
        <f>IF(AND('ENTRY DATA'!F136=""),"",('ENTRY DATA'!F136))</f>
        <v/>
      </c>
      <c r="E136" s="34" t="str">
        <f>IF(AND('ENTRY DATA'!B136=""),"",('ENTRY DATA'!B136))</f>
        <v/>
      </c>
      <c r="F136" s="12"/>
      <c r="G136" s="12"/>
      <c r="H136" s="72"/>
      <c r="I136" s="71"/>
      <c r="J136" s="72"/>
      <c r="K136" s="12"/>
      <c r="L136" s="20">
        <f t="shared" si="12"/>
        <v>0</v>
      </c>
      <c r="M136" s="19" t="str">
        <f t="shared" si="13"/>
        <v/>
      </c>
      <c r="N136" s="12"/>
      <c r="O136" s="119"/>
      <c r="P136" s="95" t="str">
        <f t="shared" si="14"/>
        <v/>
      </c>
      <c r="Q136" s="12"/>
      <c r="S136" s="128"/>
      <c r="T136" s="66"/>
      <c r="U136" s="128"/>
      <c r="W136" s="128"/>
      <c r="X136" s="12"/>
      <c r="Y136" t="str">
        <f t="shared" si="15"/>
        <v/>
      </c>
      <c r="Z136" t="str">
        <f t="shared" si="15"/>
        <v/>
      </c>
      <c r="AA136" s="12"/>
      <c r="AB136" s="95" t="e">
        <f t="shared" si="16"/>
        <v>#VALUE!</v>
      </c>
      <c r="AC136" s="95" t="e">
        <f t="shared" si="17"/>
        <v>#VALUE!</v>
      </c>
      <c r="AD136" s="12"/>
    </row>
    <row r="137" spans="1:30" ht="15.75" thickBot="1" x14ac:dyDescent="0.3">
      <c r="A137" s="12"/>
      <c r="B137" s="22"/>
      <c r="C137" t="str">
        <f>IF(AND('ENTRY DATA'!D137=""),"",('ENTRY DATA'!D137))</f>
        <v/>
      </c>
      <c r="D137" t="str">
        <f>IF(AND('ENTRY DATA'!F137=""),"",('ENTRY DATA'!F137))</f>
        <v/>
      </c>
      <c r="E137" s="34" t="str">
        <f>IF(AND('ENTRY DATA'!B137=""),"",('ENTRY DATA'!B137))</f>
        <v/>
      </c>
      <c r="F137" s="12"/>
      <c r="G137" s="12"/>
      <c r="H137" s="72"/>
      <c r="I137" s="71"/>
      <c r="J137" s="72"/>
      <c r="K137" s="12"/>
      <c r="L137" s="20">
        <f t="shared" si="12"/>
        <v>0</v>
      </c>
      <c r="M137" s="19" t="str">
        <f t="shared" si="13"/>
        <v/>
      </c>
      <c r="N137" s="12"/>
      <c r="O137" s="119"/>
      <c r="P137" s="95" t="str">
        <f t="shared" si="14"/>
        <v/>
      </c>
      <c r="Q137" s="12"/>
      <c r="S137" s="128"/>
      <c r="T137" s="66"/>
      <c r="U137" s="128"/>
      <c r="W137" s="128"/>
      <c r="X137" s="12"/>
      <c r="Y137" t="str">
        <f t="shared" si="15"/>
        <v/>
      </c>
      <c r="Z137" t="str">
        <f t="shared" si="15"/>
        <v/>
      </c>
      <c r="AA137" s="12"/>
      <c r="AB137" s="95" t="e">
        <f t="shared" si="16"/>
        <v>#VALUE!</v>
      </c>
      <c r="AC137" s="95" t="e">
        <f t="shared" si="17"/>
        <v>#VALUE!</v>
      </c>
      <c r="AD137" s="12"/>
    </row>
    <row r="138" spans="1:30" ht="15.75" thickBot="1" x14ac:dyDescent="0.3">
      <c r="A138" s="12"/>
      <c r="B138" s="22"/>
      <c r="C138" t="str">
        <f>IF(AND('ENTRY DATA'!D138=""),"",('ENTRY DATA'!D138))</f>
        <v/>
      </c>
      <c r="D138" t="str">
        <f>IF(AND('ENTRY DATA'!F138=""),"",('ENTRY DATA'!F138))</f>
        <v/>
      </c>
      <c r="E138" s="34" t="str">
        <f>IF(AND('ENTRY DATA'!B138=""),"",('ENTRY DATA'!B138))</f>
        <v/>
      </c>
      <c r="F138" s="12"/>
      <c r="G138" s="12"/>
      <c r="H138" s="72"/>
      <c r="I138" s="71"/>
      <c r="J138" s="72"/>
      <c r="K138" s="12"/>
      <c r="L138" s="20">
        <f t="shared" si="12"/>
        <v>0</v>
      </c>
      <c r="M138" s="19" t="str">
        <f t="shared" si="13"/>
        <v/>
      </c>
      <c r="N138" s="12"/>
      <c r="O138" s="119"/>
      <c r="P138" s="95" t="str">
        <f t="shared" si="14"/>
        <v/>
      </c>
      <c r="Q138" s="12"/>
      <c r="S138" s="128"/>
      <c r="T138" s="66"/>
      <c r="U138" s="128"/>
      <c r="W138" s="128"/>
      <c r="X138" s="12"/>
      <c r="Y138" t="str">
        <f t="shared" si="15"/>
        <v/>
      </c>
      <c r="Z138" t="str">
        <f t="shared" si="15"/>
        <v/>
      </c>
      <c r="AA138" s="12"/>
      <c r="AB138" s="95" t="e">
        <f t="shared" si="16"/>
        <v>#VALUE!</v>
      </c>
      <c r="AC138" s="95" t="e">
        <f t="shared" si="17"/>
        <v>#VALUE!</v>
      </c>
      <c r="AD138" s="12"/>
    </row>
    <row r="139" spans="1:30" ht="15.75" thickBot="1" x14ac:dyDescent="0.3">
      <c r="A139" s="12"/>
      <c r="B139" s="22"/>
      <c r="C139" t="str">
        <f>IF(AND('ENTRY DATA'!D139=""),"",('ENTRY DATA'!D139))</f>
        <v/>
      </c>
      <c r="D139" t="str">
        <f>IF(AND('ENTRY DATA'!F139=""),"",('ENTRY DATA'!F139))</f>
        <v/>
      </c>
      <c r="E139" s="34" t="str">
        <f>IF(AND('ENTRY DATA'!B139=""),"",('ENTRY DATA'!B139))</f>
        <v/>
      </c>
      <c r="F139" s="12"/>
      <c r="G139" s="12"/>
      <c r="H139" s="72"/>
      <c r="I139" s="71"/>
      <c r="J139" s="72"/>
      <c r="K139" s="12"/>
      <c r="L139" s="20">
        <f t="shared" si="12"/>
        <v>0</v>
      </c>
      <c r="M139" s="19" t="str">
        <f t="shared" si="13"/>
        <v/>
      </c>
      <c r="N139" s="12"/>
      <c r="O139" s="119"/>
      <c r="P139" s="95" t="str">
        <f t="shared" si="14"/>
        <v/>
      </c>
      <c r="Q139" s="12"/>
      <c r="S139" s="128"/>
      <c r="T139" s="66"/>
      <c r="U139" s="128"/>
      <c r="W139" s="128"/>
      <c r="X139" s="12"/>
      <c r="Y139" t="str">
        <f t="shared" si="15"/>
        <v/>
      </c>
      <c r="Z139" t="str">
        <f t="shared" si="15"/>
        <v/>
      </c>
      <c r="AA139" s="12"/>
      <c r="AB139" s="95" t="e">
        <f t="shared" si="16"/>
        <v>#VALUE!</v>
      </c>
      <c r="AC139" s="95" t="e">
        <f t="shared" si="17"/>
        <v>#VALUE!</v>
      </c>
      <c r="AD139" s="12"/>
    </row>
    <row r="140" spans="1:30" ht="15.75" thickBot="1" x14ac:dyDescent="0.3">
      <c r="A140" s="12"/>
      <c r="B140" s="22"/>
      <c r="C140" t="str">
        <f>IF(AND('ENTRY DATA'!D140=""),"",('ENTRY DATA'!D140))</f>
        <v/>
      </c>
      <c r="D140" t="str">
        <f>IF(AND('ENTRY DATA'!F140=""),"",('ENTRY DATA'!F140))</f>
        <v/>
      </c>
      <c r="E140" s="34" t="str">
        <f>IF(AND('ENTRY DATA'!B140=""),"",('ENTRY DATA'!B140))</f>
        <v/>
      </c>
      <c r="F140" s="12"/>
      <c r="G140" s="12"/>
      <c r="H140" s="72"/>
      <c r="I140" s="71"/>
      <c r="J140" s="72"/>
      <c r="K140" s="12"/>
      <c r="L140" s="20">
        <f t="shared" si="12"/>
        <v>0</v>
      </c>
      <c r="M140" s="19" t="str">
        <f t="shared" si="13"/>
        <v/>
      </c>
      <c r="N140" s="12"/>
      <c r="O140" s="119"/>
      <c r="P140" s="95" t="str">
        <f t="shared" si="14"/>
        <v/>
      </c>
      <c r="Q140" s="12"/>
      <c r="S140" s="128"/>
      <c r="T140" s="66"/>
      <c r="U140" s="128"/>
      <c r="W140" s="128"/>
      <c r="X140" s="12"/>
      <c r="Y140" t="str">
        <f t="shared" si="15"/>
        <v/>
      </c>
      <c r="Z140" t="str">
        <f t="shared" si="15"/>
        <v/>
      </c>
      <c r="AA140" s="12"/>
      <c r="AB140" s="95" t="e">
        <f t="shared" si="16"/>
        <v>#VALUE!</v>
      </c>
      <c r="AC140" s="95" t="e">
        <f t="shared" si="17"/>
        <v>#VALUE!</v>
      </c>
      <c r="AD140" s="12"/>
    </row>
    <row r="141" spans="1:30" ht="15.75" thickBot="1" x14ac:dyDescent="0.3">
      <c r="A141" s="12"/>
      <c r="B141" s="22"/>
      <c r="C141" t="str">
        <f>IF(AND('ENTRY DATA'!D141=""),"",('ENTRY DATA'!D141))</f>
        <v/>
      </c>
      <c r="D141" t="str">
        <f>IF(AND('ENTRY DATA'!F141=""),"",('ENTRY DATA'!F141))</f>
        <v/>
      </c>
      <c r="E141" s="34" t="str">
        <f>IF(AND('ENTRY DATA'!B141=""),"",('ENTRY DATA'!B141))</f>
        <v/>
      </c>
      <c r="F141" s="12"/>
      <c r="G141" s="12"/>
      <c r="H141" s="72"/>
      <c r="I141" s="71"/>
      <c r="J141" s="72"/>
      <c r="K141" s="12"/>
      <c r="L141" s="20">
        <f t="shared" si="12"/>
        <v>0</v>
      </c>
      <c r="M141" s="19" t="str">
        <f t="shared" si="13"/>
        <v/>
      </c>
      <c r="N141" s="12"/>
      <c r="O141" s="119"/>
      <c r="P141" s="95" t="str">
        <f t="shared" si="14"/>
        <v/>
      </c>
      <c r="Q141" s="12"/>
      <c r="S141" s="128"/>
      <c r="T141" s="66"/>
      <c r="U141" s="128"/>
      <c r="W141" s="128"/>
      <c r="X141" s="12"/>
      <c r="Y141" t="str">
        <f t="shared" si="15"/>
        <v/>
      </c>
      <c r="Z141" t="str">
        <f t="shared" si="15"/>
        <v/>
      </c>
      <c r="AA141" s="12"/>
      <c r="AB141" s="95" t="e">
        <f t="shared" si="16"/>
        <v>#VALUE!</v>
      </c>
      <c r="AC141" s="95" t="e">
        <f t="shared" si="17"/>
        <v>#VALUE!</v>
      </c>
      <c r="AD141" s="12"/>
    </row>
    <row r="142" spans="1:30" ht="15.75" thickBot="1" x14ac:dyDescent="0.3">
      <c r="A142" s="12"/>
      <c r="B142" s="22"/>
      <c r="C142" t="str">
        <f>IF(AND('ENTRY DATA'!D142=""),"",('ENTRY DATA'!D142))</f>
        <v/>
      </c>
      <c r="D142" t="str">
        <f>IF(AND('ENTRY DATA'!F142=""),"",('ENTRY DATA'!F142))</f>
        <v/>
      </c>
      <c r="E142" s="34" t="str">
        <f>IF(AND('ENTRY DATA'!B142=""),"",('ENTRY DATA'!B142))</f>
        <v/>
      </c>
      <c r="F142" s="12"/>
      <c r="G142" s="12"/>
      <c r="H142" s="72"/>
      <c r="I142" s="71"/>
      <c r="J142" s="72"/>
      <c r="K142" s="12"/>
      <c r="L142" s="20">
        <f t="shared" si="12"/>
        <v>0</v>
      </c>
      <c r="M142" s="19" t="str">
        <f t="shared" si="13"/>
        <v/>
      </c>
      <c r="N142" s="12"/>
      <c r="O142" s="119"/>
      <c r="P142" s="95" t="str">
        <f t="shared" si="14"/>
        <v/>
      </c>
      <c r="Q142" s="12"/>
      <c r="S142" s="128"/>
      <c r="T142" s="66"/>
      <c r="U142" s="128"/>
      <c r="W142" s="128"/>
      <c r="X142" s="12"/>
      <c r="Y142" t="str">
        <f t="shared" si="15"/>
        <v/>
      </c>
      <c r="Z142" t="str">
        <f t="shared" si="15"/>
        <v/>
      </c>
      <c r="AA142" s="12"/>
      <c r="AB142" s="95" t="e">
        <f t="shared" si="16"/>
        <v>#VALUE!</v>
      </c>
      <c r="AC142" s="95" t="e">
        <f t="shared" si="17"/>
        <v>#VALUE!</v>
      </c>
      <c r="AD142" s="12"/>
    </row>
    <row r="143" spans="1:30" ht="15.75" thickBot="1" x14ac:dyDescent="0.3">
      <c r="A143" s="12"/>
      <c r="B143" s="22"/>
      <c r="C143" t="str">
        <f>IF(AND('ENTRY DATA'!D143=""),"",('ENTRY DATA'!D143))</f>
        <v/>
      </c>
      <c r="D143" t="str">
        <f>IF(AND('ENTRY DATA'!F143=""),"",('ENTRY DATA'!F143))</f>
        <v/>
      </c>
      <c r="E143" s="34" t="str">
        <f>IF(AND('ENTRY DATA'!B143=""),"",('ENTRY DATA'!B143))</f>
        <v/>
      </c>
      <c r="F143" s="12"/>
      <c r="G143" s="12"/>
      <c r="H143" s="72"/>
      <c r="I143" s="71"/>
      <c r="J143" s="72"/>
      <c r="K143" s="12"/>
      <c r="L143" s="20">
        <f t="shared" si="12"/>
        <v>0</v>
      </c>
      <c r="M143" s="19" t="str">
        <f t="shared" si="13"/>
        <v/>
      </c>
      <c r="N143" s="12"/>
      <c r="O143" s="119"/>
      <c r="P143" s="95" t="str">
        <f t="shared" si="14"/>
        <v/>
      </c>
      <c r="Q143" s="12"/>
      <c r="S143" s="128"/>
      <c r="T143" s="66"/>
      <c r="U143" s="128"/>
      <c r="W143" s="128"/>
      <c r="X143" s="12"/>
      <c r="Y143" t="str">
        <f t="shared" si="15"/>
        <v/>
      </c>
      <c r="Z143" t="str">
        <f t="shared" si="15"/>
        <v/>
      </c>
      <c r="AA143" s="12"/>
      <c r="AB143" s="95" t="e">
        <f t="shared" si="16"/>
        <v>#VALUE!</v>
      </c>
      <c r="AC143" s="95" t="e">
        <f t="shared" si="17"/>
        <v>#VALUE!</v>
      </c>
      <c r="AD143" s="12"/>
    </row>
    <row r="144" spans="1:30" ht="15.75" thickBot="1" x14ac:dyDescent="0.3">
      <c r="A144" s="12"/>
      <c r="B144" s="22"/>
      <c r="C144" t="str">
        <f>IF(AND('ENTRY DATA'!D144=""),"",('ENTRY DATA'!D144))</f>
        <v/>
      </c>
      <c r="D144" t="str">
        <f>IF(AND('ENTRY DATA'!F144=""),"",('ENTRY DATA'!F144))</f>
        <v/>
      </c>
      <c r="E144" s="34" t="str">
        <f>IF(AND('ENTRY DATA'!B144=""),"",('ENTRY DATA'!B144))</f>
        <v/>
      </c>
      <c r="F144" s="12"/>
      <c r="G144" s="12"/>
      <c r="H144" s="72"/>
      <c r="I144" s="71"/>
      <c r="J144" s="72"/>
      <c r="K144" s="12"/>
      <c r="L144" s="20">
        <f t="shared" si="12"/>
        <v>0</v>
      </c>
      <c r="M144" s="19" t="str">
        <f t="shared" si="13"/>
        <v/>
      </c>
      <c r="N144" s="12"/>
      <c r="O144" s="119"/>
      <c r="P144" s="95" t="str">
        <f t="shared" si="14"/>
        <v/>
      </c>
      <c r="Q144" s="12"/>
      <c r="S144" s="128"/>
      <c r="T144" s="66"/>
      <c r="U144" s="128"/>
      <c r="W144" s="128"/>
      <c r="X144" s="12"/>
      <c r="Y144" t="str">
        <f t="shared" si="15"/>
        <v/>
      </c>
      <c r="Z144" t="str">
        <f t="shared" si="15"/>
        <v/>
      </c>
      <c r="AA144" s="12"/>
      <c r="AB144" s="95" t="e">
        <f t="shared" si="16"/>
        <v>#VALUE!</v>
      </c>
      <c r="AC144" s="95" t="e">
        <f t="shared" si="17"/>
        <v>#VALUE!</v>
      </c>
      <c r="AD144" s="12"/>
    </row>
    <row r="145" spans="1:30" ht="15.75" thickBot="1" x14ac:dyDescent="0.3">
      <c r="A145" s="12"/>
      <c r="B145" s="22"/>
      <c r="C145" t="str">
        <f>IF(AND('ENTRY DATA'!D145=""),"",('ENTRY DATA'!D145))</f>
        <v/>
      </c>
      <c r="D145" t="str">
        <f>IF(AND('ENTRY DATA'!F145=""),"",('ENTRY DATA'!F145))</f>
        <v/>
      </c>
      <c r="E145" s="34" t="str">
        <f>IF(AND('ENTRY DATA'!B145=""),"",('ENTRY DATA'!B145))</f>
        <v/>
      </c>
      <c r="F145" s="12"/>
      <c r="G145" s="12"/>
      <c r="H145" s="72"/>
      <c r="I145" s="71"/>
      <c r="J145" s="72"/>
      <c r="K145" s="12"/>
      <c r="L145" s="20">
        <f t="shared" si="12"/>
        <v>0</v>
      </c>
      <c r="M145" s="19" t="str">
        <f t="shared" si="13"/>
        <v/>
      </c>
      <c r="N145" s="12"/>
      <c r="O145" s="119"/>
      <c r="P145" s="95" t="str">
        <f t="shared" si="14"/>
        <v/>
      </c>
      <c r="Q145" s="12"/>
      <c r="S145" s="128"/>
      <c r="T145" s="66"/>
      <c r="U145" s="128"/>
      <c r="W145" s="128"/>
      <c r="X145" s="12"/>
      <c r="Y145" t="str">
        <f t="shared" si="15"/>
        <v/>
      </c>
      <c r="Z145" t="str">
        <f t="shared" si="15"/>
        <v/>
      </c>
      <c r="AA145" s="12"/>
      <c r="AB145" s="95" t="e">
        <f t="shared" si="16"/>
        <v>#VALUE!</v>
      </c>
      <c r="AC145" s="95" t="e">
        <f t="shared" si="17"/>
        <v>#VALUE!</v>
      </c>
      <c r="AD145" s="12"/>
    </row>
    <row r="146" spans="1:30" ht="15.75" thickBot="1" x14ac:dyDescent="0.3">
      <c r="A146" s="12"/>
      <c r="B146" s="22"/>
      <c r="C146" t="str">
        <f>IF(AND('ENTRY DATA'!D146=""),"",('ENTRY DATA'!D146))</f>
        <v/>
      </c>
      <c r="D146" t="str">
        <f>IF(AND('ENTRY DATA'!F146=""),"",('ENTRY DATA'!F146))</f>
        <v/>
      </c>
      <c r="E146" s="34" t="str">
        <f>IF(AND('ENTRY DATA'!B146=""),"",('ENTRY DATA'!B146))</f>
        <v/>
      </c>
      <c r="F146" s="12"/>
      <c r="G146" s="12"/>
      <c r="H146" s="72"/>
      <c r="I146" s="71"/>
      <c r="J146" s="72"/>
      <c r="K146" s="12"/>
      <c r="L146" s="20">
        <f t="shared" si="12"/>
        <v>0</v>
      </c>
      <c r="M146" s="19" t="str">
        <f t="shared" si="13"/>
        <v/>
      </c>
      <c r="N146" s="12"/>
      <c r="O146" s="119"/>
      <c r="P146" s="95" t="str">
        <f t="shared" si="14"/>
        <v/>
      </c>
      <c r="Q146" s="12"/>
      <c r="S146" s="128"/>
      <c r="T146" s="66"/>
      <c r="U146" s="128"/>
      <c r="W146" s="128"/>
      <c r="X146" s="12"/>
      <c r="Y146" t="str">
        <f t="shared" si="15"/>
        <v/>
      </c>
      <c r="Z146" t="str">
        <f t="shared" si="15"/>
        <v/>
      </c>
      <c r="AA146" s="12"/>
      <c r="AB146" s="95" t="e">
        <f t="shared" si="16"/>
        <v>#VALUE!</v>
      </c>
      <c r="AC146" s="95" t="e">
        <f t="shared" si="17"/>
        <v>#VALUE!</v>
      </c>
      <c r="AD146" s="12"/>
    </row>
    <row r="147" spans="1:30" ht="15.75" thickBot="1" x14ac:dyDescent="0.3">
      <c r="A147" s="12"/>
      <c r="B147" s="22"/>
      <c r="C147" t="str">
        <f>IF(AND('ENTRY DATA'!D147=""),"",('ENTRY DATA'!D147))</f>
        <v/>
      </c>
      <c r="D147" t="str">
        <f>IF(AND('ENTRY DATA'!F147=""),"",('ENTRY DATA'!F147))</f>
        <v/>
      </c>
      <c r="E147" s="34" t="str">
        <f>IF(AND('ENTRY DATA'!B147=""),"",('ENTRY DATA'!B147))</f>
        <v/>
      </c>
      <c r="F147" s="12"/>
      <c r="G147" s="12"/>
      <c r="H147" s="72"/>
      <c r="I147" s="71"/>
      <c r="J147" s="72"/>
      <c r="K147" s="12"/>
      <c r="L147" s="20">
        <f t="shared" si="12"/>
        <v>0</v>
      </c>
      <c r="M147" s="19" t="str">
        <f t="shared" si="13"/>
        <v/>
      </c>
      <c r="N147" s="12"/>
      <c r="O147" s="119"/>
      <c r="P147" s="95" t="str">
        <f t="shared" si="14"/>
        <v/>
      </c>
      <c r="Q147" s="12"/>
      <c r="S147" s="128"/>
      <c r="T147" s="66"/>
      <c r="U147" s="128"/>
      <c r="W147" s="128"/>
      <c r="X147" s="12"/>
      <c r="Y147" t="str">
        <f t="shared" si="15"/>
        <v/>
      </c>
      <c r="Z147" t="str">
        <f t="shared" si="15"/>
        <v/>
      </c>
      <c r="AA147" s="12"/>
      <c r="AB147" s="95" t="e">
        <f t="shared" si="16"/>
        <v>#VALUE!</v>
      </c>
      <c r="AC147" s="95" t="e">
        <f t="shared" si="17"/>
        <v>#VALUE!</v>
      </c>
      <c r="AD147" s="12"/>
    </row>
    <row r="148" spans="1:30" ht="15.75" thickBot="1" x14ac:dyDescent="0.3">
      <c r="A148" s="12"/>
      <c r="B148" s="22"/>
      <c r="C148" t="str">
        <f>IF(AND('ENTRY DATA'!D148=""),"",('ENTRY DATA'!D148))</f>
        <v/>
      </c>
      <c r="D148" t="str">
        <f>IF(AND('ENTRY DATA'!F148=""),"",('ENTRY DATA'!F148))</f>
        <v/>
      </c>
      <c r="E148" s="34" t="str">
        <f>IF(AND('ENTRY DATA'!B148=""),"",('ENTRY DATA'!B148))</f>
        <v/>
      </c>
      <c r="F148" s="12"/>
      <c r="G148" s="12"/>
      <c r="H148" s="72"/>
      <c r="I148" s="71"/>
      <c r="J148" s="72"/>
      <c r="K148" s="12"/>
      <c r="L148" s="20">
        <f t="shared" si="12"/>
        <v>0</v>
      </c>
      <c r="M148" s="19" t="str">
        <f t="shared" si="13"/>
        <v/>
      </c>
      <c r="N148" s="12"/>
      <c r="O148" s="119"/>
      <c r="P148" s="95" t="str">
        <f t="shared" si="14"/>
        <v/>
      </c>
      <c r="Q148" s="12"/>
      <c r="S148" s="128"/>
      <c r="T148" s="66"/>
      <c r="U148" s="128"/>
      <c r="W148" s="128"/>
      <c r="X148" s="12"/>
      <c r="Y148" t="str">
        <f t="shared" si="15"/>
        <v/>
      </c>
      <c r="Z148" t="str">
        <f t="shared" si="15"/>
        <v/>
      </c>
      <c r="AA148" s="12"/>
      <c r="AB148" s="95" t="e">
        <f t="shared" si="16"/>
        <v>#VALUE!</v>
      </c>
      <c r="AC148" s="95" t="e">
        <f t="shared" si="17"/>
        <v>#VALUE!</v>
      </c>
      <c r="AD148" s="12"/>
    </row>
    <row r="149" spans="1:30" ht="15.75" thickBot="1" x14ac:dyDescent="0.3">
      <c r="A149" s="12"/>
      <c r="B149" s="22"/>
      <c r="C149" t="str">
        <f>IF(AND('ENTRY DATA'!D149=""),"",('ENTRY DATA'!D149))</f>
        <v/>
      </c>
      <c r="D149" t="str">
        <f>IF(AND('ENTRY DATA'!F149=""),"",('ENTRY DATA'!F149))</f>
        <v/>
      </c>
      <c r="E149" s="34" t="str">
        <f>IF(AND('ENTRY DATA'!B149=""),"",('ENTRY DATA'!B149))</f>
        <v/>
      </c>
      <c r="F149" s="12"/>
      <c r="G149" s="12"/>
      <c r="H149" s="72"/>
      <c r="I149" s="71"/>
      <c r="J149" s="72"/>
      <c r="K149" s="12"/>
      <c r="L149" s="20">
        <f t="shared" si="12"/>
        <v>0</v>
      </c>
      <c r="M149" s="19" t="str">
        <f t="shared" si="13"/>
        <v/>
      </c>
      <c r="N149" s="12"/>
      <c r="O149" s="119"/>
      <c r="P149" s="95" t="str">
        <f t="shared" si="14"/>
        <v/>
      </c>
      <c r="Q149" s="12"/>
      <c r="S149" s="128"/>
      <c r="T149" s="66"/>
      <c r="U149" s="128"/>
      <c r="W149" s="128"/>
      <c r="X149" s="12"/>
      <c r="Y149" t="str">
        <f t="shared" si="15"/>
        <v/>
      </c>
      <c r="Z149" t="str">
        <f t="shared" si="15"/>
        <v/>
      </c>
      <c r="AA149" s="12"/>
      <c r="AB149" s="95" t="e">
        <f t="shared" si="16"/>
        <v>#VALUE!</v>
      </c>
      <c r="AC149" s="95" t="e">
        <f t="shared" si="17"/>
        <v>#VALUE!</v>
      </c>
      <c r="AD149" s="12"/>
    </row>
    <row r="150" spans="1:30" ht="15.75" thickBot="1" x14ac:dyDescent="0.3">
      <c r="A150" s="12"/>
      <c r="B150" s="22"/>
      <c r="C150" t="str">
        <f>IF(AND('ENTRY DATA'!D150=""),"",('ENTRY DATA'!D150))</f>
        <v/>
      </c>
      <c r="D150" t="str">
        <f>IF(AND('ENTRY DATA'!F150=""),"",('ENTRY DATA'!F150))</f>
        <v/>
      </c>
      <c r="E150" s="34" t="str">
        <f>IF(AND('ENTRY DATA'!B150=""),"",('ENTRY DATA'!B150))</f>
        <v/>
      </c>
      <c r="F150" s="12"/>
      <c r="G150" s="12"/>
      <c r="H150" s="72"/>
      <c r="I150" s="71"/>
      <c r="J150" s="72"/>
      <c r="K150" s="12"/>
      <c r="L150" s="20">
        <f t="shared" si="12"/>
        <v>0</v>
      </c>
      <c r="M150" s="19" t="str">
        <f t="shared" si="13"/>
        <v/>
      </c>
      <c r="N150" s="12"/>
      <c r="O150" s="119"/>
      <c r="P150" s="95" t="str">
        <f t="shared" si="14"/>
        <v/>
      </c>
      <c r="Q150" s="12"/>
      <c r="S150" s="128"/>
      <c r="T150" s="66"/>
      <c r="U150" s="128"/>
      <c r="W150" s="128"/>
      <c r="X150" s="12"/>
      <c r="Y150" t="str">
        <f t="shared" si="15"/>
        <v/>
      </c>
      <c r="Z150" t="str">
        <f t="shared" si="15"/>
        <v/>
      </c>
      <c r="AA150" s="12"/>
      <c r="AB150" s="95" t="e">
        <f t="shared" si="16"/>
        <v>#VALUE!</v>
      </c>
      <c r="AC150" s="95" t="e">
        <f t="shared" si="17"/>
        <v>#VALUE!</v>
      </c>
      <c r="AD150" s="12"/>
    </row>
    <row r="151" spans="1:30" ht="15.75" thickBot="1" x14ac:dyDescent="0.3">
      <c r="A151" s="12"/>
      <c r="B151" s="22"/>
      <c r="C151" t="str">
        <f>IF(AND('ENTRY DATA'!D151=""),"",('ENTRY DATA'!D151))</f>
        <v/>
      </c>
      <c r="D151" t="str">
        <f>IF(AND('ENTRY DATA'!F151=""),"",('ENTRY DATA'!F151))</f>
        <v/>
      </c>
      <c r="E151" s="34" t="str">
        <f>IF(AND('ENTRY DATA'!B151=""),"",('ENTRY DATA'!B151))</f>
        <v/>
      </c>
      <c r="F151" s="12"/>
      <c r="G151" s="12"/>
      <c r="H151" s="72"/>
      <c r="I151" s="71"/>
      <c r="J151" s="72"/>
      <c r="K151" s="12"/>
      <c r="L151" s="20">
        <f t="shared" si="12"/>
        <v>0</v>
      </c>
      <c r="M151" s="19" t="str">
        <f t="shared" si="13"/>
        <v/>
      </c>
      <c r="N151" s="12"/>
      <c r="O151" s="119"/>
      <c r="P151" s="95" t="str">
        <f t="shared" si="14"/>
        <v/>
      </c>
      <c r="Q151" s="12"/>
      <c r="S151" s="128"/>
      <c r="T151" s="66"/>
      <c r="U151" s="128"/>
      <c r="W151" s="128"/>
      <c r="X151" s="12"/>
      <c r="Y151" t="str">
        <f t="shared" si="15"/>
        <v/>
      </c>
      <c r="Z151" t="str">
        <f t="shared" si="15"/>
        <v/>
      </c>
      <c r="AA151" s="12"/>
      <c r="AB151" s="95" t="e">
        <f t="shared" si="16"/>
        <v>#VALUE!</v>
      </c>
      <c r="AC151" s="95" t="e">
        <f t="shared" si="17"/>
        <v>#VALUE!</v>
      </c>
      <c r="AD151" s="12"/>
    </row>
    <row r="152" spans="1:30" ht="15.75" thickBot="1" x14ac:dyDescent="0.3">
      <c r="A152" s="12"/>
      <c r="B152" s="22"/>
      <c r="C152" t="str">
        <f>IF(AND('ENTRY DATA'!D152=""),"",('ENTRY DATA'!D152))</f>
        <v/>
      </c>
      <c r="D152" t="str">
        <f>IF(AND('ENTRY DATA'!F152=""),"",('ENTRY DATA'!F152))</f>
        <v/>
      </c>
      <c r="E152" s="34" t="str">
        <f>IF(AND('ENTRY DATA'!B152=""),"",('ENTRY DATA'!B152))</f>
        <v/>
      </c>
      <c r="F152" s="12"/>
      <c r="G152" s="12"/>
      <c r="H152" s="72"/>
      <c r="I152" s="71"/>
      <c r="J152" s="72"/>
      <c r="K152" s="12"/>
      <c r="L152" s="20">
        <f t="shared" si="12"/>
        <v>0</v>
      </c>
      <c r="M152" s="19" t="str">
        <f t="shared" si="13"/>
        <v/>
      </c>
      <c r="N152" s="12"/>
      <c r="O152" s="119"/>
      <c r="P152" s="95" t="str">
        <f t="shared" si="14"/>
        <v/>
      </c>
      <c r="Q152" s="12"/>
      <c r="S152" s="128"/>
      <c r="T152" s="66"/>
      <c r="U152" s="128"/>
      <c r="W152" s="128"/>
      <c r="X152" s="12"/>
      <c r="Y152" t="str">
        <f t="shared" si="15"/>
        <v/>
      </c>
      <c r="Z152" t="str">
        <f t="shared" si="15"/>
        <v/>
      </c>
      <c r="AA152" s="12"/>
      <c r="AB152" s="95" t="e">
        <f t="shared" si="16"/>
        <v>#VALUE!</v>
      </c>
      <c r="AC152" s="95" t="e">
        <f t="shared" si="17"/>
        <v>#VALUE!</v>
      </c>
      <c r="AD152" s="12"/>
    </row>
    <row r="153" spans="1:30" ht="15.75" thickBot="1" x14ac:dyDescent="0.3">
      <c r="A153" s="12"/>
      <c r="B153" s="22"/>
      <c r="C153" t="str">
        <f>IF(AND('ENTRY DATA'!D153=""),"",('ENTRY DATA'!D153))</f>
        <v/>
      </c>
      <c r="D153" t="str">
        <f>IF(AND('ENTRY DATA'!F153=""),"",('ENTRY DATA'!F153))</f>
        <v/>
      </c>
      <c r="E153" s="34" t="str">
        <f>IF(AND('ENTRY DATA'!B153=""),"",('ENTRY DATA'!B153))</f>
        <v/>
      </c>
      <c r="F153" s="12"/>
      <c r="G153" s="12"/>
      <c r="H153" s="72"/>
      <c r="I153" s="71"/>
      <c r="J153" s="72"/>
      <c r="K153" s="12"/>
      <c r="L153" s="20">
        <f t="shared" si="12"/>
        <v>0</v>
      </c>
      <c r="M153" s="19" t="str">
        <f t="shared" si="13"/>
        <v/>
      </c>
      <c r="N153" s="12"/>
      <c r="O153" s="119"/>
      <c r="P153" s="95" t="str">
        <f t="shared" si="14"/>
        <v/>
      </c>
      <c r="Q153" s="12"/>
      <c r="S153" s="128"/>
      <c r="T153" s="66"/>
      <c r="U153" s="128"/>
      <c r="W153" s="128"/>
      <c r="X153" s="12"/>
      <c r="Y153" t="str">
        <f t="shared" si="15"/>
        <v/>
      </c>
      <c r="Z153" t="str">
        <f t="shared" si="15"/>
        <v/>
      </c>
      <c r="AA153" s="12"/>
      <c r="AB153" s="95" t="e">
        <f t="shared" si="16"/>
        <v>#VALUE!</v>
      </c>
      <c r="AC153" s="95" t="e">
        <f t="shared" si="17"/>
        <v>#VALUE!</v>
      </c>
      <c r="AD153" s="12"/>
    </row>
    <row r="154" spans="1:30" ht="15.75" thickBot="1" x14ac:dyDescent="0.3">
      <c r="A154" s="12"/>
      <c r="B154" s="22"/>
      <c r="C154" t="str">
        <f>IF(AND('ENTRY DATA'!D154=""),"",('ENTRY DATA'!D154))</f>
        <v/>
      </c>
      <c r="D154" t="str">
        <f>IF(AND('ENTRY DATA'!F154=""),"",('ENTRY DATA'!F154))</f>
        <v/>
      </c>
      <c r="E154" s="34" t="str">
        <f>IF(AND('ENTRY DATA'!B154=""),"",('ENTRY DATA'!B154))</f>
        <v/>
      </c>
      <c r="F154" s="12"/>
      <c r="G154" s="12"/>
      <c r="H154" s="72"/>
      <c r="I154" s="71"/>
      <c r="J154" s="72"/>
      <c r="K154" s="12"/>
      <c r="L154" s="20">
        <f t="shared" si="12"/>
        <v>0</v>
      </c>
      <c r="M154" s="19" t="str">
        <f t="shared" si="13"/>
        <v/>
      </c>
      <c r="N154" s="12"/>
      <c r="O154" s="119"/>
      <c r="P154" s="95" t="str">
        <f t="shared" si="14"/>
        <v/>
      </c>
      <c r="Q154" s="12"/>
      <c r="S154" s="128"/>
      <c r="T154" s="66"/>
      <c r="U154" s="128"/>
      <c r="W154" s="128"/>
      <c r="X154" s="12"/>
      <c r="Y154" t="str">
        <f t="shared" si="15"/>
        <v/>
      </c>
      <c r="Z154" t="str">
        <f t="shared" si="15"/>
        <v/>
      </c>
      <c r="AA154" s="12"/>
      <c r="AB154" s="95" t="e">
        <f t="shared" si="16"/>
        <v>#VALUE!</v>
      </c>
      <c r="AC154" s="95" t="e">
        <f t="shared" si="17"/>
        <v>#VALUE!</v>
      </c>
      <c r="AD154" s="12"/>
    </row>
    <row r="155" spans="1:30" ht="15.75" thickBot="1" x14ac:dyDescent="0.3">
      <c r="A155" s="12"/>
      <c r="B155" s="22"/>
      <c r="C155" t="str">
        <f>IF(AND('ENTRY DATA'!D155=""),"",('ENTRY DATA'!D155))</f>
        <v/>
      </c>
      <c r="D155" t="str">
        <f>IF(AND('ENTRY DATA'!F155=""),"",('ENTRY DATA'!F155))</f>
        <v/>
      </c>
      <c r="E155" s="34" t="str">
        <f>IF(AND('ENTRY DATA'!B155=""),"",('ENTRY DATA'!B155))</f>
        <v/>
      </c>
      <c r="F155" s="12"/>
      <c r="G155" s="12"/>
      <c r="H155" s="72"/>
      <c r="I155" s="71"/>
      <c r="J155" s="72"/>
      <c r="K155" s="12"/>
      <c r="L155" s="20">
        <f t="shared" si="12"/>
        <v>0</v>
      </c>
      <c r="M155" s="19" t="str">
        <f t="shared" si="13"/>
        <v/>
      </c>
      <c r="N155" s="12"/>
      <c r="O155" s="119"/>
      <c r="P155" s="95" t="str">
        <f t="shared" si="14"/>
        <v/>
      </c>
      <c r="Q155" s="12"/>
      <c r="S155" s="128"/>
      <c r="T155" s="66"/>
      <c r="U155" s="128"/>
      <c r="W155" s="128"/>
      <c r="X155" s="12"/>
      <c r="Y155" t="str">
        <f t="shared" si="15"/>
        <v/>
      </c>
      <c r="Z155" t="str">
        <f t="shared" si="15"/>
        <v/>
      </c>
      <c r="AA155" s="12"/>
      <c r="AB155" s="95" t="e">
        <f t="shared" si="16"/>
        <v>#VALUE!</v>
      </c>
      <c r="AC155" s="95" t="e">
        <f t="shared" si="17"/>
        <v>#VALUE!</v>
      </c>
      <c r="AD155" s="12"/>
    </row>
    <row r="156" spans="1:30" ht="15.75" thickBot="1" x14ac:dyDescent="0.3">
      <c r="A156" s="12"/>
      <c r="B156" s="22"/>
      <c r="C156" t="str">
        <f>IF(AND('ENTRY DATA'!D156=""),"",('ENTRY DATA'!D156))</f>
        <v/>
      </c>
      <c r="D156" t="str">
        <f>IF(AND('ENTRY DATA'!F156=""),"",('ENTRY DATA'!F156))</f>
        <v/>
      </c>
      <c r="E156" s="34" t="str">
        <f>IF(AND('ENTRY DATA'!B156=""),"",('ENTRY DATA'!B156))</f>
        <v/>
      </c>
      <c r="F156" s="12"/>
      <c r="G156" s="12"/>
      <c r="H156" s="72"/>
      <c r="I156" s="71"/>
      <c r="J156" s="72"/>
      <c r="K156" s="12"/>
      <c r="L156" s="20">
        <f t="shared" si="12"/>
        <v>0</v>
      </c>
      <c r="M156" s="19" t="str">
        <f t="shared" si="13"/>
        <v/>
      </c>
      <c r="N156" s="12"/>
      <c r="O156" s="119"/>
      <c r="P156" s="95" t="str">
        <f t="shared" si="14"/>
        <v/>
      </c>
      <c r="Q156" s="12"/>
      <c r="S156" s="128"/>
      <c r="T156" s="66"/>
      <c r="U156" s="128"/>
      <c r="W156" s="128"/>
      <c r="X156" s="12"/>
      <c r="Y156" t="str">
        <f t="shared" si="15"/>
        <v/>
      </c>
      <c r="Z156" t="str">
        <f t="shared" si="15"/>
        <v/>
      </c>
      <c r="AA156" s="12"/>
      <c r="AB156" s="95" t="e">
        <f t="shared" si="16"/>
        <v>#VALUE!</v>
      </c>
      <c r="AC156" s="95" t="e">
        <f t="shared" si="17"/>
        <v>#VALUE!</v>
      </c>
      <c r="AD156" s="12"/>
    </row>
    <row r="157" spans="1:30" ht="15.75" thickBot="1" x14ac:dyDescent="0.3">
      <c r="A157" s="12"/>
      <c r="B157" s="22"/>
      <c r="C157" t="str">
        <f>IF(AND('ENTRY DATA'!D157=""),"",('ENTRY DATA'!D157))</f>
        <v/>
      </c>
      <c r="D157" t="str">
        <f>IF(AND('ENTRY DATA'!F157=""),"",('ENTRY DATA'!F157))</f>
        <v/>
      </c>
      <c r="E157" s="34" t="str">
        <f>IF(AND('ENTRY DATA'!B157=""),"",('ENTRY DATA'!B157))</f>
        <v/>
      </c>
      <c r="F157" s="12"/>
      <c r="G157" s="12"/>
      <c r="H157" s="72"/>
      <c r="I157" s="71"/>
      <c r="J157" s="72"/>
      <c r="K157" s="12"/>
      <c r="L157" s="20">
        <f t="shared" si="12"/>
        <v>0</v>
      </c>
      <c r="M157" s="19" t="str">
        <f t="shared" si="13"/>
        <v/>
      </c>
      <c r="N157" s="12"/>
      <c r="O157" s="119"/>
      <c r="P157" s="95" t="str">
        <f t="shared" si="14"/>
        <v/>
      </c>
      <c r="Q157" s="12"/>
      <c r="S157" s="128"/>
      <c r="T157" s="66"/>
      <c r="U157" s="128"/>
      <c r="W157" s="128"/>
      <c r="X157" s="12"/>
      <c r="Y157" t="str">
        <f t="shared" si="15"/>
        <v/>
      </c>
      <c r="Z157" t="str">
        <f t="shared" si="15"/>
        <v/>
      </c>
      <c r="AA157" s="12"/>
      <c r="AB157" s="95" t="e">
        <f t="shared" si="16"/>
        <v>#VALUE!</v>
      </c>
      <c r="AC157" s="95" t="e">
        <f t="shared" si="17"/>
        <v>#VALUE!</v>
      </c>
      <c r="AD157" s="12"/>
    </row>
    <row r="158" spans="1:30" ht="15.75" thickBot="1" x14ac:dyDescent="0.3">
      <c r="A158" s="12"/>
      <c r="B158" s="22"/>
      <c r="C158" t="str">
        <f>IF(AND('ENTRY DATA'!D158=""),"",('ENTRY DATA'!D158))</f>
        <v/>
      </c>
      <c r="D158" t="str">
        <f>IF(AND('ENTRY DATA'!F158=""),"",('ENTRY DATA'!F158))</f>
        <v/>
      </c>
      <c r="E158" s="34" t="str">
        <f>IF(AND('ENTRY DATA'!B158=""),"",('ENTRY DATA'!B158))</f>
        <v/>
      </c>
      <c r="F158" s="12"/>
      <c r="G158" s="12"/>
      <c r="H158" s="72"/>
      <c r="I158" s="71"/>
      <c r="J158" s="72"/>
      <c r="K158" s="12"/>
      <c r="L158" s="20">
        <f t="shared" si="12"/>
        <v>0</v>
      </c>
      <c r="M158" s="19" t="str">
        <f t="shared" si="13"/>
        <v/>
      </c>
      <c r="N158" s="12"/>
      <c r="O158" s="119"/>
      <c r="P158" s="95" t="str">
        <f t="shared" si="14"/>
        <v/>
      </c>
      <c r="Q158" s="12"/>
      <c r="S158" s="128"/>
      <c r="T158" s="66"/>
      <c r="U158" s="128"/>
      <c r="W158" s="128"/>
      <c r="X158" s="12"/>
      <c r="Y158" t="str">
        <f t="shared" si="15"/>
        <v/>
      </c>
      <c r="Z158" t="str">
        <f t="shared" si="15"/>
        <v/>
      </c>
      <c r="AA158" s="12"/>
      <c r="AB158" s="95" t="e">
        <f t="shared" si="16"/>
        <v>#VALUE!</v>
      </c>
      <c r="AC158" s="95" t="e">
        <f t="shared" si="17"/>
        <v>#VALUE!</v>
      </c>
      <c r="AD158" s="12"/>
    </row>
    <row r="159" spans="1:30" ht="15.75" thickBot="1" x14ac:dyDescent="0.3">
      <c r="A159" s="12"/>
      <c r="B159" s="22"/>
      <c r="C159" t="str">
        <f>IF(AND('ENTRY DATA'!D159=""),"",('ENTRY DATA'!D159))</f>
        <v/>
      </c>
      <c r="D159" t="str">
        <f>IF(AND('ENTRY DATA'!F159=""),"",('ENTRY DATA'!F159))</f>
        <v/>
      </c>
      <c r="E159" s="34" t="str">
        <f>IF(AND('ENTRY DATA'!B159=""),"",('ENTRY DATA'!B159))</f>
        <v/>
      </c>
      <c r="F159" s="12"/>
      <c r="G159" s="12"/>
      <c r="H159" s="72"/>
      <c r="I159" s="71"/>
      <c r="J159" s="72"/>
      <c r="K159" s="12"/>
      <c r="L159" s="20">
        <f t="shared" si="12"/>
        <v>0</v>
      </c>
      <c r="M159" s="19" t="str">
        <f t="shared" si="13"/>
        <v/>
      </c>
      <c r="N159" s="12"/>
      <c r="O159" s="119"/>
      <c r="P159" s="95" t="str">
        <f t="shared" si="14"/>
        <v/>
      </c>
      <c r="Q159" s="12"/>
      <c r="S159" s="128"/>
      <c r="T159" s="66"/>
      <c r="U159" s="128"/>
      <c r="W159" s="128"/>
      <c r="X159" s="12"/>
      <c r="Y159" t="str">
        <f t="shared" si="15"/>
        <v/>
      </c>
      <c r="Z159" t="str">
        <f t="shared" si="15"/>
        <v/>
      </c>
      <c r="AA159" s="12"/>
      <c r="AB159" s="95" t="e">
        <f t="shared" si="16"/>
        <v>#VALUE!</v>
      </c>
      <c r="AC159" s="95" t="e">
        <f t="shared" si="17"/>
        <v>#VALUE!</v>
      </c>
      <c r="AD159" s="12"/>
    </row>
    <row r="160" spans="1:30" ht="15.75" thickBot="1" x14ac:dyDescent="0.3">
      <c r="A160" s="12"/>
      <c r="B160" s="22"/>
      <c r="C160" t="str">
        <f>IF(AND('ENTRY DATA'!D160=""),"",('ENTRY DATA'!D160))</f>
        <v/>
      </c>
      <c r="D160" t="str">
        <f>IF(AND('ENTRY DATA'!F160=""),"",('ENTRY DATA'!F160))</f>
        <v/>
      </c>
      <c r="E160" s="34" t="str">
        <f>IF(AND('ENTRY DATA'!B160=""),"",('ENTRY DATA'!B160))</f>
        <v/>
      </c>
      <c r="F160" s="12"/>
      <c r="G160" s="12"/>
      <c r="H160" s="72"/>
      <c r="I160" s="71"/>
      <c r="J160" s="72"/>
      <c r="K160" s="12"/>
      <c r="L160" s="20">
        <f t="shared" si="12"/>
        <v>0</v>
      </c>
      <c r="M160" s="19" t="str">
        <f t="shared" si="13"/>
        <v/>
      </c>
      <c r="N160" s="12"/>
      <c r="O160" s="119"/>
      <c r="P160" s="95" t="str">
        <f t="shared" si="14"/>
        <v/>
      </c>
      <c r="Q160" s="12"/>
      <c r="S160" s="128"/>
      <c r="T160" s="66"/>
      <c r="U160" s="128"/>
      <c r="W160" s="128"/>
      <c r="X160" s="12"/>
      <c r="Y160" t="str">
        <f t="shared" si="15"/>
        <v/>
      </c>
      <c r="Z160" t="str">
        <f t="shared" si="15"/>
        <v/>
      </c>
      <c r="AA160" s="12"/>
      <c r="AB160" s="95" t="e">
        <f t="shared" si="16"/>
        <v>#VALUE!</v>
      </c>
      <c r="AC160" s="95" t="e">
        <f t="shared" si="17"/>
        <v>#VALUE!</v>
      </c>
      <c r="AD160" s="12"/>
    </row>
    <row r="161" spans="1:30" ht="15.75" thickBot="1" x14ac:dyDescent="0.3">
      <c r="A161" s="12"/>
      <c r="B161" s="22"/>
      <c r="C161" t="str">
        <f>IF(AND('ENTRY DATA'!D161=""),"",('ENTRY DATA'!D161))</f>
        <v/>
      </c>
      <c r="D161" t="str">
        <f>IF(AND('ENTRY DATA'!F161=""),"",('ENTRY DATA'!F161))</f>
        <v/>
      </c>
      <c r="E161" s="34" t="str">
        <f>IF(AND('ENTRY DATA'!B161=""),"",('ENTRY DATA'!B161))</f>
        <v/>
      </c>
      <c r="F161" s="12"/>
      <c r="G161" s="12"/>
      <c r="H161" s="72"/>
      <c r="I161" s="71"/>
      <c r="J161" s="72"/>
      <c r="K161" s="12"/>
      <c r="L161" s="20">
        <f t="shared" si="12"/>
        <v>0</v>
      </c>
      <c r="M161" s="19" t="str">
        <f t="shared" si="13"/>
        <v/>
      </c>
      <c r="N161" s="12"/>
      <c r="O161" s="119"/>
      <c r="P161" s="95" t="str">
        <f t="shared" si="14"/>
        <v/>
      </c>
      <c r="Q161" s="12"/>
      <c r="S161" s="128"/>
      <c r="T161" s="66"/>
      <c r="U161" s="128"/>
      <c r="W161" s="128"/>
      <c r="X161" s="12"/>
      <c r="Y161" t="str">
        <f t="shared" si="15"/>
        <v/>
      </c>
      <c r="Z161" t="str">
        <f t="shared" si="15"/>
        <v/>
      </c>
      <c r="AA161" s="12"/>
      <c r="AB161" s="95" t="e">
        <f t="shared" si="16"/>
        <v>#VALUE!</v>
      </c>
      <c r="AC161" s="95" t="e">
        <f t="shared" si="17"/>
        <v>#VALUE!</v>
      </c>
      <c r="AD161" s="12"/>
    </row>
    <row r="162" spans="1:30" ht="15.75" thickBot="1" x14ac:dyDescent="0.3">
      <c r="A162" s="12"/>
      <c r="B162" s="22"/>
      <c r="C162" t="str">
        <f>IF(AND('ENTRY DATA'!D162=""),"",('ENTRY DATA'!D162))</f>
        <v/>
      </c>
      <c r="D162" t="str">
        <f>IF(AND('ENTRY DATA'!F162=""),"",('ENTRY DATA'!F162))</f>
        <v/>
      </c>
      <c r="E162" s="34" t="str">
        <f>IF(AND('ENTRY DATA'!B162=""),"",('ENTRY DATA'!B162))</f>
        <v/>
      </c>
      <c r="F162" s="12"/>
      <c r="G162" s="12"/>
      <c r="H162" s="72"/>
      <c r="I162" s="71"/>
      <c r="J162" s="72"/>
      <c r="K162" s="12"/>
      <c r="L162" s="20">
        <f t="shared" si="12"/>
        <v>0</v>
      </c>
      <c r="M162" s="19" t="str">
        <f t="shared" si="13"/>
        <v/>
      </c>
      <c r="N162" s="12"/>
      <c r="O162" s="119"/>
      <c r="P162" s="95" t="str">
        <f t="shared" si="14"/>
        <v/>
      </c>
      <c r="Q162" s="12"/>
      <c r="S162" s="128"/>
      <c r="T162" s="66"/>
      <c r="U162" s="128"/>
      <c r="W162" s="128"/>
      <c r="X162" s="12"/>
      <c r="Y162" t="str">
        <f t="shared" si="15"/>
        <v/>
      </c>
      <c r="Z162" t="str">
        <f t="shared" si="15"/>
        <v/>
      </c>
      <c r="AA162" s="12"/>
      <c r="AB162" s="95" t="e">
        <f t="shared" si="16"/>
        <v>#VALUE!</v>
      </c>
      <c r="AC162" s="95" t="e">
        <f t="shared" si="17"/>
        <v>#VALUE!</v>
      </c>
      <c r="AD162" s="12"/>
    </row>
    <row r="163" spans="1:30" ht="15.75" thickBot="1" x14ac:dyDescent="0.3">
      <c r="A163" s="12"/>
      <c r="B163" s="22"/>
      <c r="C163" t="str">
        <f>IF(AND('ENTRY DATA'!D163=""),"",('ENTRY DATA'!D163))</f>
        <v/>
      </c>
      <c r="D163" t="str">
        <f>IF(AND('ENTRY DATA'!F163=""),"",('ENTRY DATA'!F163))</f>
        <v/>
      </c>
      <c r="E163" s="34" t="str">
        <f>IF(AND('ENTRY DATA'!B163=""),"",('ENTRY DATA'!B163))</f>
        <v/>
      </c>
      <c r="F163" s="12"/>
      <c r="G163" s="12"/>
      <c r="H163" s="72"/>
      <c r="I163" s="71"/>
      <c r="J163" s="72"/>
      <c r="K163" s="12"/>
      <c r="L163" s="20">
        <f t="shared" si="12"/>
        <v>0</v>
      </c>
      <c r="M163" s="19" t="str">
        <f t="shared" si="13"/>
        <v/>
      </c>
      <c r="N163" s="12"/>
      <c r="O163" s="119"/>
      <c r="P163" s="95" t="str">
        <f t="shared" si="14"/>
        <v/>
      </c>
      <c r="Q163" s="12"/>
      <c r="S163" s="128"/>
      <c r="T163" s="66"/>
      <c r="U163" s="128"/>
      <c r="W163" s="128"/>
      <c r="X163" s="12"/>
      <c r="Y163" t="str">
        <f t="shared" si="15"/>
        <v/>
      </c>
      <c r="Z163" t="str">
        <f t="shared" si="15"/>
        <v/>
      </c>
      <c r="AA163" s="12"/>
      <c r="AB163" s="95" t="e">
        <f t="shared" si="16"/>
        <v>#VALUE!</v>
      </c>
      <c r="AC163" s="95" t="e">
        <f t="shared" si="17"/>
        <v>#VALUE!</v>
      </c>
      <c r="AD163" s="12"/>
    </row>
    <row r="164" spans="1:30" ht="15.75" thickBot="1" x14ac:dyDescent="0.3">
      <c r="A164" s="12"/>
      <c r="B164" s="22"/>
      <c r="C164" t="str">
        <f>IF(AND('ENTRY DATA'!D164=""),"",('ENTRY DATA'!D164))</f>
        <v/>
      </c>
      <c r="D164" t="str">
        <f>IF(AND('ENTRY DATA'!F164=""),"",('ENTRY DATA'!F164))</f>
        <v/>
      </c>
      <c r="E164" s="34" t="str">
        <f>IF(AND('ENTRY DATA'!B164=""),"",('ENTRY DATA'!B164))</f>
        <v/>
      </c>
      <c r="F164" s="12"/>
      <c r="G164" s="12"/>
      <c r="H164" s="72"/>
      <c r="I164" s="71"/>
      <c r="J164" s="72"/>
      <c r="K164" s="12"/>
      <c r="L164" s="20">
        <f t="shared" si="12"/>
        <v>0</v>
      </c>
      <c r="M164" s="19" t="str">
        <f t="shared" si="13"/>
        <v/>
      </c>
      <c r="N164" s="12"/>
      <c r="O164" s="119"/>
      <c r="P164" s="95" t="str">
        <f t="shared" si="14"/>
        <v/>
      </c>
      <c r="Q164" s="12"/>
      <c r="S164" s="128"/>
      <c r="T164" s="66"/>
      <c r="U164" s="128"/>
      <c r="W164" s="128"/>
      <c r="X164" s="12"/>
      <c r="Y164" t="str">
        <f t="shared" si="15"/>
        <v/>
      </c>
      <c r="Z164" t="str">
        <f t="shared" si="15"/>
        <v/>
      </c>
      <c r="AA164" s="12"/>
      <c r="AB164" s="95" t="e">
        <f t="shared" si="16"/>
        <v>#VALUE!</v>
      </c>
      <c r="AC164" s="95" t="e">
        <f t="shared" si="17"/>
        <v>#VALUE!</v>
      </c>
      <c r="AD164" s="12"/>
    </row>
    <row r="165" spans="1:30" ht="15.75" thickBot="1" x14ac:dyDescent="0.3">
      <c r="A165" s="12"/>
      <c r="B165" s="22"/>
      <c r="C165" t="str">
        <f>IF(AND('ENTRY DATA'!D165=""),"",('ENTRY DATA'!D165))</f>
        <v/>
      </c>
      <c r="D165" t="str">
        <f>IF(AND('ENTRY DATA'!F165=""),"",('ENTRY DATA'!F165))</f>
        <v/>
      </c>
      <c r="E165" s="34" t="str">
        <f>IF(AND('ENTRY DATA'!B165=""),"",('ENTRY DATA'!B165))</f>
        <v/>
      </c>
      <c r="F165" s="12"/>
      <c r="G165" s="12"/>
      <c r="H165" s="72"/>
      <c r="I165" s="71"/>
      <c r="J165" s="72"/>
      <c r="K165" s="12"/>
      <c r="L165" s="20">
        <f t="shared" si="12"/>
        <v>0</v>
      </c>
      <c r="M165" s="19" t="str">
        <f t="shared" si="13"/>
        <v/>
      </c>
      <c r="N165" s="12"/>
      <c r="O165" s="119"/>
      <c r="P165" s="95" t="str">
        <f t="shared" si="14"/>
        <v/>
      </c>
      <c r="Q165" s="12"/>
      <c r="S165" s="128"/>
      <c r="T165" s="66"/>
      <c r="U165" s="128"/>
      <c r="W165" s="128"/>
      <c r="X165" s="12"/>
      <c r="Y165" t="str">
        <f t="shared" si="15"/>
        <v/>
      </c>
      <c r="Z165" t="str">
        <f t="shared" si="15"/>
        <v/>
      </c>
      <c r="AA165" s="12"/>
      <c r="AB165" s="95" t="e">
        <f t="shared" si="16"/>
        <v>#VALUE!</v>
      </c>
      <c r="AC165" s="95" t="e">
        <f t="shared" si="17"/>
        <v>#VALUE!</v>
      </c>
      <c r="AD165" s="12"/>
    </row>
    <row r="166" spans="1:30" ht="15.75" thickBot="1" x14ac:dyDescent="0.3">
      <c r="A166" s="12"/>
      <c r="B166" s="22"/>
      <c r="C166" t="str">
        <f>IF(AND('ENTRY DATA'!D166=""),"",('ENTRY DATA'!D166))</f>
        <v/>
      </c>
      <c r="D166" t="str">
        <f>IF(AND('ENTRY DATA'!F166=""),"",('ENTRY DATA'!F166))</f>
        <v/>
      </c>
      <c r="E166" s="34" t="str">
        <f>IF(AND('ENTRY DATA'!B166=""),"",('ENTRY DATA'!B166))</f>
        <v/>
      </c>
      <c r="F166" s="12"/>
      <c r="G166" s="12"/>
      <c r="H166" s="72"/>
      <c r="I166" s="71"/>
      <c r="J166" s="72"/>
      <c r="K166" s="12"/>
      <c r="L166" s="20">
        <f t="shared" si="12"/>
        <v>0</v>
      </c>
      <c r="M166" s="19" t="str">
        <f t="shared" si="13"/>
        <v/>
      </c>
      <c r="N166" s="12"/>
      <c r="O166" s="119"/>
      <c r="P166" s="95" t="str">
        <f t="shared" si="14"/>
        <v/>
      </c>
      <c r="Q166" s="12"/>
      <c r="S166" s="128"/>
      <c r="T166" s="66"/>
      <c r="U166" s="128"/>
      <c r="W166" s="128"/>
      <c r="X166" s="12"/>
      <c r="Y166" t="str">
        <f t="shared" si="15"/>
        <v/>
      </c>
      <c r="Z166" t="str">
        <f t="shared" si="15"/>
        <v/>
      </c>
      <c r="AA166" s="12"/>
      <c r="AB166" s="95" t="e">
        <f t="shared" si="16"/>
        <v>#VALUE!</v>
      </c>
      <c r="AC166" s="95" t="e">
        <f t="shared" si="17"/>
        <v>#VALUE!</v>
      </c>
      <c r="AD166" s="12"/>
    </row>
    <row r="167" spans="1:30" ht="15.75" thickBot="1" x14ac:dyDescent="0.3">
      <c r="A167" s="12"/>
      <c r="B167" s="22"/>
      <c r="C167" t="str">
        <f>IF(AND('ENTRY DATA'!D167=""),"",('ENTRY DATA'!D167))</f>
        <v/>
      </c>
      <c r="D167" t="str">
        <f>IF(AND('ENTRY DATA'!F167=""),"",('ENTRY DATA'!F167))</f>
        <v/>
      </c>
      <c r="E167" s="34" t="str">
        <f>IF(AND('ENTRY DATA'!B167=""),"",('ENTRY DATA'!B167))</f>
        <v/>
      </c>
      <c r="F167" s="12"/>
      <c r="G167" s="12"/>
      <c r="H167" s="72"/>
      <c r="I167" s="71"/>
      <c r="J167" s="72"/>
      <c r="K167" s="12"/>
      <c r="L167" s="20">
        <f t="shared" si="12"/>
        <v>0</v>
      </c>
      <c r="M167" s="19" t="str">
        <f t="shared" si="13"/>
        <v/>
      </c>
      <c r="N167" s="12"/>
      <c r="O167" s="119"/>
      <c r="P167" s="95" t="str">
        <f t="shared" si="14"/>
        <v/>
      </c>
      <c r="Q167" s="12"/>
      <c r="S167" s="128"/>
      <c r="T167" s="66"/>
      <c r="U167" s="128"/>
      <c r="W167" s="128"/>
      <c r="X167" s="12"/>
      <c r="Y167" t="str">
        <f t="shared" si="15"/>
        <v/>
      </c>
      <c r="Z167" t="str">
        <f t="shared" si="15"/>
        <v/>
      </c>
      <c r="AA167" s="12"/>
      <c r="AB167" s="95" t="e">
        <f t="shared" si="16"/>
        <v>#VALUE!</v>
      </c>
      <c r="AC167" s="95" t="e">
        <f t="shared" si="17"/>
        <v>#VALUE!</v>
      </c>
      <c r="AD167" s="12"/>
    </row>
    <row r="168" spans="1:30" ht="15.75" thickBot="1" x14ac:dyDescent="0.3">
      <c r="A168" s="12"/>
      <c r="B168" s="22"/>
      <c r="C168" t="str">
        <f>IF(AND('ENTRY DATA'!D168=""),"",('ENTRY DATA'!D168))</f>
        <v/>
      </c>
      <c r="D168" t="str">
        <f>IF(AND('ENTRY DATA'!F168=""),"",('ENTRY DATA'!F168))</f>
        <v/>
      </c>
      <c r="E168" s="34" t="str">
        <f>IF(AND('ENTRY DATA'!B168=""),"",('ENTRY DATA'!B168))</f>
        <v/>
      </c>
      <c r="F168" s="12"/>
      <c r="G168" s="12"/>
      <c r="H168" s="72"/>
      <c r="I168" s="71"/>
      <c r="J168" s="72"/>
      <c r="K168" s="12"/>
      <c r="L168" s="20">
        <f t="shared" si="12"/>
        <v>0</v>
      </c>
      <c r="M168" s="19" t="str">
        <f t="shared" si="13"/>
        <v/>
      </c>
      <c r="N168" s="12"/>
      <c r="O168" s="119"/>
      <c r="P168" s="95" t="str">
        <f t="shared" si="14"/>
        <v/>
      </c>
      <c r="Q168" s="12"/>
      <c r="S168" s="128"/>
      <c r="T168" s="66"/>
      <c r="U168" s="128"/>
      <c r="W168" s="128"/>
      <c r="X168" s="12"/>
      <c r="Y168" t="str">
        <f t="shared" si="15"/>
        <v/>
      </c>
      <c r="Z168" t="str">
        <f t="shared" si="15"/>
        <v/>
      </c>
      <c r="AA168" s="12"/>
      <c r="AB168" s="95" t="e">
        <f t="shared" si="16"/>
        <v>#VALUE!</v>
      </c>
      <c r="AC168" s="95" t="e">
        <f t="shared" si="17"/>
        <v>#VALUE!</v>
      </c>
      <c r="AD168" s="12"/>
    </row>
    <row r="169" spans="1:30" ht="15.75" thickBot="1" x14ac:dyDescent="0.3">
      <c r="A169" s="12"/>
      <c r="B169" s="22"/>
      <c r="C169" t="str">
        <f>IF(AND('ENTRY DATA'!D169=""),"",('ENTRY DATA'!D169))</f>
        <v/>
      </c>
      <c r="D169" t="str">
        <f>IF(AND('ENTRY DATA'!F169=""),"",('ENTRY DATA'!F169))</f>
        <v/>
      </c>
      <c r="E169" s="34" t="str">
        <f>IF(AND('ENTRY DATA'!B169=""),"",('ENTRY DATA'!B169))</f>
        <v/>
      </c>
      <c r="F169" s="12"/>
      <c r="G169" s="12"/>
      <c r="H169" s="72"/>
      <c r="I169" s="71"/>
      <c r="J169" s="72"/>
      <c r="K169" s="12"/>
      <c r="L169" s="20">
        <f t="shared" si="12"/>
        <v>0</v>
      </c>
      <c r="M169" s="19" t="str">
        <f t="shared" si="13"/>
        <v/>
      </c>
      <c r="N169" s="12"/>
      <c r="O169" s="119"/>
      <c r="P169" s="95" t="str">
        <f t="shared" si="14"/>
        <v/>
      </c>
      <c r="Q169" s="12"/>
      <c r="S169" s="128"/>
      <c r="T169" s="66"/>
      <c r="U169" s="128"/>
      <c r="W169" s="128"/>
      <c r="X169" s="12"/>
      <c r="Y169" t="str">
        <f t="shared" si="15"/>
        <v/>
      </c>
      <c r="Z169" t="str">
        <f t="shared" si="15"/>
        <v/>
      </c>
      <c r="AA169" s="12"/>
      <c r="AB169" s="95" t="e">
        <f t="shared" si="16"/>
        <v>#VALUE!</v>
      </c>
      <c r="AC169" s="95" t="e">
        <f t="shared" si="17"/>
        <v>#VALUE!</v>
      </c>
      <c r="AD169" s="12"/>
    </row>
    <row r="170" spans="1:30" ht="15.75" thickBot="1" x14ac:dyDescent="0.3">
      <c r="A170" s="12"/>
      <c r="B170" s="22"/>
      <c r="C170" t="str">
        <f>IF(AND('ENTRY DATA'!D170=""),"",('ENTRY DATA'!D170))</f>
        <v/>
      </c>
      <c r="D170" t="str">
        <f>IF(AND('ENTRY DATA'!F170=""),"",('ENTRY DATA'!F170))</f>
        <v/>
      </c>
      <c r="E170" s="34" t="str">
        <f>IF(AND('ENTRY DATA'!B170=""),"",('ENTRY DATA'!B170))</f>
        <v/>
      </c>
      <c r="F170" s="12"/>
      <c r="G170" s="12"/>
      <c r="H170" s="72"/>
      <c r="I170" s="71"/>
      <c r="J170" s="72"/>
      <c r="K170" s="12"/>
      <c r="L170" s="20">
        <f t="shared" si="12"/>
        <v>0</v>
      </c>
      <c r="M170" s="19" t="str">
        <f t="shared" si="13"/>
        <v/>
      </c>
      <c r="N170" s="12"/>
      <c r="O170" s="119"/>
      <c r="P170" s="95" t="str">
        <f t="shared" si="14"/>
        <v/>
      </c>
      <c r="Q170" s="12"/>
      <c r="S170" s="128"/>
      <c r="T170" s="66"/>
      <c r="U170" s="128"/>
      <c r="W170" s="128"/>
      <c r="X170" s="12"/>
      <c r="Y170" t="str">
        <f t="shared" si="15"/>
        <v/>
      </c>
      <c r="Z170" t="str">
        <f t="shared" si="15"/>
        <v/>
      </c>
      <c r="AA170" s="12"/>
      <c r="AB170" s="95" t="e">
        <f t="shared" si="16"/>
        <v>#VALUE!</v>
      </c>
      <c r="AC170" s="95" t="e">
        <f t="shared" si="17"/>
        <v>#VALUE!</v>
      </c>
      <c r="AD170" s="12"/>
    </row>
    <row r="171" spans="1:30" ht="15.75" thickBot="1" x14ac:dyDescent="0.3">
      <c r="A171" s="12"/>
      <c r="B171" s="22"/>
      <c r="C171" t="str">
        <f>IF(AND('ENTRY DATA'!D171=""),"",('ENTRY DATA'!D171))</f>
        <v/>
      </c>
      <c r="D171" t="str">
        <f>IF(AND('ENTRY DATA'!F171=""),"",('ENTRY DATA'!F171))</f>
        <v/>
      </c>
      <c r="E171" s="34" t="str">
        <f>IF(AND('ENTRY DATA'!B171=""),"",('ENTRY DATA'!B171))</f>
        <v/>
      </c>
      <c r="F171" s="12"/>
      <c r="G171" s="12"/>
      <c r="H171" s="72"/>
      <c r="I171" s="71"/>
      <c r="J171" s="72"/>
      <c r="K171" s="12"/>
      <c r="L171" s="20">
        <f t="shared" si="12"/>
        <v>0</v>
      </c>
      <c r="M171" s="19" t="str">
        <f t="shared" si="13"/>
        <v/>
      </c>
      <c r="N171" s="12"/>
      <c r="O171" s="119"/>
      <c r="P171" s="95" t="str">
        <f t="shared" si="14"/>
        <v/>
      </c>
      <c r="Q171" s="12"/>
      <c r="S171" s="128"/>
      <c r="T171" s="66"/>
      <c r="U171" s="128"/>
      <c r="W171" s="128"/>
      <c r="X171" s="12"/>
      <c r="Y171" t="str">
        <f t="shared" si="15"/>
        <v/>
      </c>
      <c r="Z171" t="str">
        <f t="shared" si="15"/>
        <v/>
      </c>
      <c r="AA171" s="12"/>
      <c r="AB171" s="95" t="e">
        <f t="shared" si="16"/>
        <v>#VALUE!</v>
      </c>
      <c r="AC171" s="95" t="e">
        <f t="shared" si="17"/>
        <v>#VALUE!</v>
      </c>
      <c r="AD171" s="12"/>
    </row>
    <row r="172" spans="1:30" ht="15.75" thickBot="1" x14ac:dyDescent="0.3">
      <c r="A172" s="12"/>
      <c r="B172" s="22"/>
      <c r="C172" t="str">
        <f>IF(AND('ENTRY DATA'!D172=""),"",('ENTRY DATA'!D172))</f>
        <v/>
      </c>
      <c r="D172" t="str">
        <f>IF(AND('ENTRY DATA'!F172=""),"",('ENTRY DATA'!F172))</f>
        <v/>
      </c>
      <c r="E172" s="34" t="str">
        <f>IF(AND('ENTRY DATA'!B172=""),"",('ENTRY DATA'!B172))</f>
        <v/>
      </c>
      <c r="F172" s="12"/>
      <c r="G172" s="12"/>
      <c r="H172" s="72"/>
      <c r="I172" s="71"/>
      <c r="J172" s="72"/>
      <c r="K172" s="12"/>
      <c r="L172" s="20">
        <f t="shared" si="12"/>
        <v>0</v>
      </c>
      <c r="M172" s="19" t="str">
        <f t="shared" si="13"/>
        <v/>
      </c>
      <c r="N172" s="12"/>
      <c r="O172" s="119"/>
      <c r="P172" s="95" t="str">
        <f t="shared" si="14"/>
        <v/>
      </c>
      <c r="Q172" s="12"/>
      <c r="S172" s="128"/>
      <c r="T172" s="66"/>
      <c r="U172" s="128"/>
      <c r="W172" s="128"/>
      <c r="X172" s="12"/>
      <c r="Y172" t="str">
        <f t="shared" si="15"/>
        <v/>
      </c>
      <c r="Z172" t="str">
        <f t="shared" si="15"/>
        <v/>
      </c>
      <c r="AA172" s="12"/>
      <c r="AB172" s="95" t="e">
        <f t="shared" si="16"/>
        <v>#VALUE!</v>
      </c>
      <c r="AC172" s="95" t="e">
        <f t="shared" si="17"/>
        <v>#VALUE!</v>
      </c>
      <c r="AD172" s="12"/>
    </row>
    <row r="173" spans="1:30" ht="15.75" thickBot="1" x14ac:dyDescent="0.3">
      <c r="A173" s="12"/>
      <c r="B173" s="22"/>
      <c r="C173" t="str">
        <f>IF(AND('ENTRY DATA'!D173=""),"",('ENTRY DATA'!D173))</f>
        <v/>
      </c>
      <c r="D173" t="str">
        <f>IF(AND('ENTRY DATA'!F173=""),"",('ENTRY DATA'!F173))</f>
        <v/>
      </c>
      <c r="E173" s="34" t="str">
        <f>IF(AND('ENTRY DATA'!B173=""),"",('ENTRY DATA'!B173))</f>
        <v/>
      </c>
      <c r="F173" s="12"/>
      <c r="G173" s="12"/>
      <c r="H173" s="72"/>
      <c r="I173" s="71"/>
      <c r="J173" s="72"/>
      <c r="K173" s="12"/>
      <c r="L173" s="20">
        <f t="shared" si="12"/>
        <v>0</v>
      </c>
      <c r="M173" s="19" t="str">
        <f t="shared" si="13"/>
        <v/>
      </c>
      <c r="N173" s="12"/>
      <c r="O173" s="119"/>
      <c r="P173" s="95" t="str">
        <f t="shared" si="14"/>
        <v/>
      </c>
      <c r="Q173" s="12"/>
      <c r="S173" s="128"/>
      <c r="T173" s="66"/>
      <c r="U173" s="128"/>
      <c r="W173" s="128"/>
      <c r="X173" s="12"/>
      <c r="Y173" t="str">
        <f t="shared" si="15"/>
        <v/>
      </c>
      <c r="Z173" t="str">
        <f t="shared" si="15"/>
        <v/>
      </c>
      <c r="AA173" s="12"/>
      <c r="AB173" s="95" t="e">
        <f t="shared" si="16"/>
        <v>#VALUE!</v>
      </c>
      <c r="AC173" s="95" t="e">
        <f t="shared" si="17"/>
        <v>#VALUE!</v>
      </c>
      <c r="AD173" s="12"/>
    </row>
    <row r="174" spans="1:30" ht="15.75" thickBot="1" x14ac:dyDescent="0.3">
      <c r="A174" s="12"/>
      <c r="B174" s="22"/>
      <c r="C174" t="str">
        <f>IF(AND('ENTRY DATA'!D174=""),"",('ENTRY DATA'!D174))</f>
        <v/>
      </c>
      <c r="D174" t="str">
        <f>IF(AND('ENTRY DATA'!F174=""),"",('ENTRY DATA'!F174))</f>
        <v/>
      </c>
      <c r="E174" s="34" t="str">
        <f>IF(AND('ENTRY DATA'!B174=""),"",('ENTRY DATA'!B174))</f>
        <v/>
      </c>
      <c r="F174" s="12"/>
      <c r="G174" s="12"/>
      <c r="H174" s="72"/>
      <c r="I174" s="71"/>
      <c r="J174" s="72"/>
      <c r="K174" s="12"/>
      <c r="L174" s="20">
        <f t="shared" si="12"/>
        <v>0</v>
      </c>
      <c r="M174" s="19" t="str">
        <f t="shared" si="13"/>
        <v/>
      </c>
      <c r="N174" s="12"/>
      <c r="O174" s="119"/>
      <c r="P174" s="95" t="str">
        <f t="shared" si="14"/>
        <v/>
      </c>
      <c r="Q174" s="12"/>
      <c r="S174" s="128"/>
      <c r="T174" s="66"/>
      <c r="U174" s="128"/>
      <c r="W174" s="128"/>
      <c r="X174" s="12"/>
      <c r="Y174" t="str">
        <f t="shared" si="15"/>
        <v/>
      </c>
      <c r="Z174" t="str">
        <f t="shared" si="15"/>
        <v/>
      </c>
      <c r="AA174" s="12"/>
      <c r="AB174" s="95" t="e">
        <f t="shared" si="16"/>
        <v>#VALUE!</v>
      </c>
      <c r="AC174" s="95" t="e">
        <f t="shared" si="17"/>
        <v>#VALUE!</v>
      </c>
      <c r="AD174" s="12"/>
    </row>
    <row r="175" spans="1:30" ht="15.75" thickBot="1" x14ac:dyDescent="0.3">
      <c r="A175" s="12"/>
      <c r="B175" s="22"/>
      <c r="C175" t="str">
        <f>IF(AND('ENTRY DATA'!D175=""),"",('ENTRY DATA'!D175))</f>
        <v/>
      </c>
      <c r="D175" t="str">
        <f>IF(AND('ENTRY DATA'!F175=""),"",('ENTRY DATA'!F175))</f>
        <v/>
      </c>
      <c r="E175" s="34" t="str">
        <f>IF(AND('ENTRY DATA'!B175=""),"",('ENTRY DATA'!B175))</f>
        <v/>
      </c>
      <c r="F175" s="12"/>
      <c r="G175" s="12"/>
      <c r="H175" s="72"/>
      <c r="I175" s="71"/>
      <c r="J175" s="72"/>
      <c r="K175" s="12"/>
      <c r="L175" s="20">
        <f t="shared" si="12"/>
        <v>0</v>
      </c>
      <c r="M175" s="19" t="str">
        <f t="shared" si="13"/>
        <v/>
      </c>
      <c r="N175" s="12"/>
      <c r="O175" s="119"/>
      <c r="P175" s="95" t="str">
        <f t="shared" si="14"/>
        <v/>
      </c>
      <c r="Q175" s="12"/>
      <c r="S175" s="128"/>
      <c r="T175" s="66"/>
      <c r="U175" s="128"/>
      <c r="W175" s="128"/>
      <c r="X175" s="12"/>
      <c r="Y175" t="str">
        <f t="shared" si="15"/>
        <v/>
      </c>
      <c r="Z175" t="str">
        <f t="shared" si="15"/>
        <v/>
      </c>
      <c r="AA175" s="12"/>
      <c r="AB175" s="95" t="e">
        <f t="shared" si="16"/>
        <v>#VALUE!</v>
      </c>
      <c r="AC175" s="95" t="e">
        <f t="shared" si="17"/>
        <v>#VALUE!</v>
      </c>
      <c r="AD175" s="12"/>
    </row>
    <row r="176" spans="1:30" ht="15.75" thickBot="1" x14ac:dyDescent="0.3">
      <c r="A176" s="12"/>
      <c r="B176" s="22"/>
      <c r="C176" t="str">
        <f>IF(AND('ENTRY DATA'!D176=""),"",('ENTRY DATA'!D176))</f>
        <v/>
      </c>
      <c r="D176" t="str">
        <f>IF(AND('ENTRY DATA'!F176=""),"",('ENTRY DATA'!F176))</f>
        <v/>
      </c>
      <c r="E176" s="34" t="str">
        <f>IF(AND('ENTRY DATA'!B176=""),"",('ENTRY DATA'!B176))</f>
        <v/>
      </c>
      <c r="F176" s="12"/>
      <c r="G176" s="12"/>
      <c r="H176" s="72"/>
      <c r="I176" s="71"/>
      <c r="J176" s="72"/>
      <c r="K176" s="12"/>
      <c r="L176" s="20">
        <f t="shared" si="12"/>
        <v>0</v>
      </c>
      <c r="M176" s="19" t="str">
        <f t="shared" si="13"/>
        <v/>
      </c>
      <c r="N176" s="12"/>
      <c r="O176" s="119"/>
      <c r="P176" s="95" t="str">
        <f t="shared" si="14"/>
        <v/>
      </c>
      <c r="Q176" s="12"/>
      <c r="S176" s="128"/>
      <c r="T176" s="66"/>
      <c r="U176" s="128"/>
      <c r="W176" s="128"/>
      <c r="X176" s="12"/>
      <c r="Y176" t="str">
        <f t="shared" si="15"/>
        <v/>
      </c>
      <c r="Z176" t="str">
        <f t="shared" si="15"/>
        <v/>
      </c>
      <c r="AA176" s="12"/>
      <c r="AB176" s="95" t="e">
        <f t="shared" si="16"/>
        <v>#VALUE!</v>
      </c>
      <c r="AC176" s="95" t="e">
        <f t="shared" si="17"/>
        <v>#VALUE!</v>
      </c>
      <c r="AD176" s="12"/>
    </row>
    <row r="177" spans="1:30" ht="15.75" thickBot="1" x14ac:dyDescent="0.3">
      <c r="A177" s="12"/>
      <c r="B177" s="22"/>
      <c r="C177" t="str">
        <f>IF(AND('ENTRY DATA'!D177=""),"",('ENTRY DATA'!D177))</f>
        <v/>
      </c>
      <c r="D177" t="str">
        <f>IF(AND('ENTRY DATA'!F177=""),"",('ENTRY DATA'!F177))</f>
        <v/>
      </c>
      <c r="E177" s="34" t="str">
        <f>IF(AND('ENTRY DATA'!B177=""),"",('ENTRY DATA'!B177))</f>
        <v/>
      </c>
      <c r="F177" s="12"/>
      <c r="G177" s="12"/>
      <c r="H177" s="72"/>
      <c r="I177" s="71"/>
      <c r="J177" s="72"/>
      <c r="K177" s="12"/>
      <c r="L177" s="20">
        <f t="shared" si="12"/>
        <v>0</v>
      </c>
      <c r="M177" s="19" t="str">
        <f t="shared" si="13"/>
        <v/>
      </c>
      <c r="N177" s="12"/>
      <c r="O177" s="119"/>
      <c r="P177" s="95" t="str">
        <f t="shared" si="14"/>
        <v/>
      </c>
      <c r="Q177" s="12"/>
      <c r="S177" s="128"/>
      <c r="T177" s="66"/>
      <c r="U177" s="128"/>
      <c r="W177" s="128"/>
      <c r="X177" s="12"/>
      <c r="Y177" t="str">
        <f t="shared" si="15"/>
        <v/>
      </c>
      <c r="Z177" t="str">
        <f t="shared" si="15"/>
        <v/>
      </c>
      <c r="AA177" s="12"/>
      <c r="AB177" s="95" t="e">
        <f t="shared" si="16"/>
        <v>#VALUE!</v>
      </c>
      <c r="AC177" s="95" t="e">
        <f t="shared" si="17"/>
        <v>#VALUE!</v>
      </c>
      <c r="AD177" s="12"/>
    </row>
    <row r="178" spans="1:30" ht="15.75" thickBot="1" x14ac:dyDescent="0.3">
      <c r="A178" s="12"/>
      <c r="B178" s="22"/>
      <c r="C178" t="str">
        <f>IF(AND('ENTRY DATA'!D178=""),"",('ENTRY DATA'!D178))</f>
        <v/>
      </c>
      <c r="D178" t="str">
        <f>IF(AND('ENTRY DATA'!F178=""),"",('ENTRY DATA'!F178))</f>
        <v/>
      </c>
      <c r="E178" s="34" t="str">
        <f>IF(AND('ENTRY DATA'!B178=""),"",('ENTRY DATA'!B178))</f>
        <v/>
      </c>
      <c r="F178" s="12"/>
      <c r="G178" s="12"/>
      <c r="H178" s="72"/>
      <c r="I178" s="71"/>
      <c r="J178" s="72"/>
      <c r="K178" s="12"/>
      <c r="L178" s="20">
        <f t="shared" si="12"/>
        <v>0</v>
      </c>
      <c r="M178" s="19" t="str">
        <f t="shared" si="13"/>
        <v/>
      </c>
      <c r="N178" s="12"/>
      <c r="O178" s="119"/>
      <c r="P178" s="95" t="str">
        <f t="shared" si="14"/>
        <v/>
      </c>
      <c r="Q178" s="12"/>
      <c r="S178" s="128"/>
      <c r="T178" s="66"/>
      <c r="U178" s="128"/>
      <c r="W178" s="128"/>
      <c r="X178" s="12"/>
      <c r="Y178" t="str">
        <f t="shared" si="15"/>
        <v/>
      </c>
      <c r="Z178" t="str">
        <f t="shared" si="15"/>
        <v/>
      </c>
      <c r="AA178" s="12"/>
      <c r="AB178" s="95" t="e">
        <f t="shared" si="16"/>
        <v>#VALUE!</v>
      </c>
      <c r="AC178" s="95" t="e">
        <f t="shared" si="17"/>
        <v>#VALUE!</v>
      </c>
      <c r="AD178" s="12"/>
    </row>
    <row r="179" spans="1:30" ht="15.75" thickBot="1" x14ac:dyDescent="0.3">
      <c r="A179" s="12"/>
      <c r="B179" s="22"/>
      <c r="C179" t="str">
        <f>IF(AND('ENTRY DATA'!D179=""),"",('ENTRY DATA'!D179))</f>
        <v/>
      </c>
      <c r="D179" t="str">
        <f>IF(AND('ENTRY DATA'!F179=""),"",('ENTRY DATA'!F179))</f>
        <v/>
      </c>
      <c r="E179" s="34" t="str">
        <f>IF(AND('ENTRY DATA'!B179=""),"",('ENTRY DATA'!B179))</f>
        <v/>
      </c>
      <c r="F179" s="12"/>
      <c r="G179" s="12"/>
      <c r="H179" s="72"/>
      <c r="I179" s="71"/>
      <c r="J179" s="72"/>
      <c r="K179" s="12"/>
      <c r="L179" s="20">
        <f t="shared" si="12"/>
        <v>0</v>
      </c>
      <c r="M179" s="19" t="str">
        <f t="shared" si="13"/>
        <v/>
      </c>
      <c r="N179" s="12"/>
      <c r="O179" s="119"/>
      <c r="P179" s="95" t="str">
        <f t="shared" si="14"/>
        <v/>
      </c>
      <c r="Q179" s="12"/>
      <c r="S179" s="128"/>
      <c r="T179" s="66"/>
      <c r="U179" s="128"/>
      <c r="W179" s="128"/>
      <c r="X179" s="12"/>
      <c r="Y179" t="str">
        <f t="shared" si="15"/>
        <v/>
      </c>
      <c r="Z179" t="str">
        <f t="shared" si="15"/>
        <v/>
      </c>
      <c r="AA179" s="12"/>
      <c r="AB179" s="95" t="e">
        <f t="shared" si="16"/>
        <v>#VALUE!</v>
      </c>
      <c r="AC179" s="95" t="e">
        <f t="shared" si="17"/>
        <v>#VALUE!</v>
      </c>
      <c r="AD179" s="12"/>
    </row>
    <row r="180" spans="1:30" ht="15.75" thickBot="1" x14ac:dyDescent="0.3">
      <c r="A180" s="12"/>
      <c r="B180" s="22"/>
      <c r="C180" t="str">
        <f>IF(AND('ENTRY DATA'!D180=""),"",('ENTRY DATA'!D180))</f>
        <v/>
      </c>
      <c r="D180" t="str">
        <f>IF(AND('ENTRY DATA'!F180=""),"",('ENTRY DATA'!F180))</f>
        <v/>
      </c>
      <c r="E180" s="34" t="str">
        <f>IF(AND('ENTRY DATA'!B180=""),"",('ENTRY DATA'!B180))</f>
        <v/>
      </c>
      <c r="F180" s="12"/>
      <c r="G180" s="12"/>
      <c r="H180" s="72"/>
      <c r="I180" s="71"/>
      <c r="J180" s="72"/>
      <c r="K180" s="12"/>
      <c r="L180" s="20">
        <f t="shared" si="12"/>
        <v>0</v>
      </c>
      <c r="M180" s="19" t="str">
        <f t="shared" si="13"/>
        <v/>
      </c>
      <c r="N180" s="12"/>
      <c r="O180" s="119"/>
      <c r="P180" s="95" t="str">
        <f t="shared" si="14"/>
        <v/>
      </c>
      <c r="Q180" s="12"/>
      <c r="S180" s="128"/>
      <c r="T180" s="66"/>
      <c r="U180" s="128"/>
      <c r="W180" s="128"/>
      <c r="X180" s="12"/>
      <c r="Y180" t="str">
        <f t="shared" si="15"/>
        <v/>
      </c>
      <c r="Z180" t="str">
        <f t="shared" si="15"/>
        <v/>
      </c>
      <c r="AA180" s="12"/>
      <c r="AB180" s="95" t="e">
        <f t="shared" si="16"/>
        <v>#VALUE!</v>
      </c>
      <c r="AC180" s="95" t="e">
        <f t="shared" si="17"/>
        <v>#VALUE!</v>
      </c>
      <c r="AD180" s="12"/>
    </row>
    <row r="181" spans="1:30" ht="15.75" thickBot="1" x14ac:dyDescent="0.3">
      <c r="A181" s="12"/>
      <c r="B181" s="22"/>
      <c r="C181" t="str">
        <f>IF(AND('ENTRY DATA'!D181=""),"",('ENTRY DATA'!D181))</f>
        <v/>
      </c>
      <c r="D181" t="str">
        <f>IF(AND('ENTRY DATA'!F181=""),"",('ENTRY DATA'!F181))</f>
        <v/>
      </c>
      <c r="E181" s="34" t="str">
        <f>IF(AND('ENTRY DATA'!B181=""),"",('ENTRY DATA'!B181))</f>
        <v/>
      </c>
      <c r="F181" s="12"/>
      <c r="G181" s="12"/>
      <c r="H181" s="72"/>
      <c r="I181" s="71"/>
      <c r="J181" s="72"/>
      <c r="K181" s="12"/>
      <c r="L181" s="20">
        <f t="shared" si="12"/>
        <v>0</v>
      </c>
      <c r="M181" s="19" t="str">
        <f t="shared" si="13"/>
        <v/>
      </c>
      <c r="N181" s="12"/>
      <c r="O181" s="119"/>
      <c r="P181" s="95" t="str">
        <f t="shared" si="14"/>
        <v/>
      </c>
      <c r="Q181" s="12"/>
      <c r="S181" s="128"/>
      <c r="T181" s="66"/>
      <c r="U181" s="128"/>
      <c r="W181" s="128"/>
      <c r="X181" s="12"/>
      <c r="Y181" t="str">
        <f t="shared" si="15"/>
        <v/>
      </c>
      <c r="Z181" t="str">
        <f t="shared" si="15"/>
        <v/>
      </c>
      <c r="AA181" s="12"/>
      <c r="AB181" s="95" t="e">
        <f t="shared" si="16"/>
        <v>#VALUE!</v>
      </c>
      <c r="AC181" s="95" t="e">
        <f t="shared" si="17"/>
        <v>#VALUE!</v>
      </c>
      <c r="AD181" s="12"/>
    </row>
    <row r="182" spans="1:30" ht="15.75" thickBot="1" x14ac:dyDescent="0.3">
      <c r="A182" s="12"/>
      <c r="B182" s="22"/>
      <c r="C182" t="str">
        <f>IF(AND('ENTRY DATA'!D182=""),"",('ENTRY DATA'!D182))</f>
        <v/>
      </c>
      <c r="D182" t="str">
        <f>IF(AND('ENTRY DATA'!F182=""),"",('ENTRY DATA'!F182))</f>
        <v/>
      </c>
      <c r="E182" s="34" t="str">
        <f>IF(AND('ENTRY DATA'!B182=""),"",('ENTRY DATA'!B182))</f>
        <v/>
      </c>
      <c r="F182" s="12"/>
      <c r="G182" s="12"/>
      <c r="H182" s="72"/>
      <c r="I182" s="71"/>
      <c r="J182" s="72"/>
      <c r="K182" s="12"/>
      <c r="L182" s="20">
        <f t="shared" si="12"/>
        <v>0</v>
      </c>
      <c r="M182" s="19" t="str">
        <f t="shared" si="13"/>
        <v/>
      </c>
      <c r="N182" s="12"/>
      <c r="O182" s="119"/>
      <c r="P182" s="95" t="str">
        <f t="shared" si="14"/>
        <v/>
      </c>
      <c r="Q182" s="12"/>
      <c r="S182" s="128"/>
      <c r="T182" s="66"/>
      <c r="U182" s="128"/>
      <c r="W182" s="128"/>
      <c r="X182" s="12"/>
      <c r="Y182" t="str">
        <f t="shared" si="15"/>
        <v/>
      </c>
      <c r="Z182" t="str">
        <f t="shared" si="15"/>
        <v/>
      </c>
      <c r="AA182" s="12"/>
      <c r="AB182" s="95" t="e">
        <f t="shared" si="16"/>
        <v>#VALUE!</v>
      </c>
      <c r="AC182" s="95" t="e">
        <f t="shared" si="17"/>
        <v>#VALUE!</v>
      </c>
      <c r="AD182" s="12"/>
    </row>
    <row r="183" spans="1:30" ht="15.75" thickBot="1" x14ac:dyDescent="0.3">
      <c r="A183" s="12"/>
      <c r="B183" s="22"/>
      <c r="C183" t="str">
        <f>IF(AND('ENTRY DATA'!D183=""),"",('ENTRY DATA'!D183))</f>
        <v/>
      </c>
      <c r="D183" t="str">
        <f>IF(AND('ENTRY DATA'!F183=""),"",('ENTRY DATA'!F183))</f>
        <v/>
      </c>
      <c r="E183" s="34" t="str">
        <f>IF(AND('ENTRY DATA'!B183=""),"",('ENTRY DATA'!B183))</f>
        <v/>
      </c>
      <c r="F183" s="12"/>
      <c r="G183" s="12"/>
      <c r="H183" s="72"/>
      <c r="I183" s="71"/>
      <c r="J183" s="72"/>
      <c r="K183" s="12"/>
      <c r="L183" s="20">
        <f t="shared" si="12"/>
        <v>0</v>
      </c>
      <c r="M183" s="19" t="str">
        <f t="shared" si="13"/>
        <v/>
      </c>
      <c r="N183" s="12"/>
      <c r="O183" s="119"/>
      <c r="P183" s="95" t="str">
        <f t="shared" si="14"/>
        <v/>
      </c>
      <c r="Q183" s="12"/>
      <c r="S183" s="128"/>
      <c r="T183" s="66"/>
      <c r="U183" s="128"/>
      <c r="W183" s="128"/>
      <c r="X183" s="12"/>
      <c r="Y183" t="str">
        <f t="shared" si="15"/>
        <v/>
      </c>
      <c r="Z183" t="str">
        <f t="shared" si="15"/>
        <v/>
      </c>
      <c r="AA183" s="12"/>
      <c r="AB183" s="95" t="e">
        <f t="shared" si="16"/>
        <v>#VALUE!</v>
      </c>
      <c r="AC183" s="95" t="e">
        <f t="shared" si="17"/>
        <v>#VALUE!</v>
      </c>
      <c r="AD183" s="12"/>
    </row>
    <row r="184" spans="1:30" ht="15.75" thickBot="1" x14ac:dyDescent="0.3">
      <c r="A184" s="12"/>
      <c r="B184" s="22"/>
      <c r="C184" t="str">
        <f>IF(AND('ENTRY DATA'!D184=""),"",('ENTRY DATA'!D184))</f>
        <v/>
      </c>
      <c r="D184" t="str">
        <f>IF(AND('ENTRY DATA'!F184=""),"",('ENTRY DATA'!F184))</f>
        <v/>
      </c>
      <c r="E184" s="34" t="str">
        <f>IF(AND('ENTRY DATA'!B184=""),"",('ENTRY DATA'!B184))</f>
        <v/>
      </c>
      <c r="F184" s="12"/>
      <c r="G184" s="12"/>
      <c r="H184" s="72"/>
      <c r="I184" s="71"/>
      <c r="J184" s="72"/>
      <c r="K184" s="12"/>
      <c r="L184" s="20">
        <f t="shared" si="12"/>
        <v>0</v>
      </c>
      <c r="M184" s="19" t="str">
        <f t="shared" si="13"/>
        <v/>
      </c>
      <c r="N184" s="12"/>
      <c r="O184" s="119"/>
      <c r="P184" s="95" t="str">
        <f t="shared" si="14"/>
        <v/>
      </c>
      <c r="Q184" s="12"/>
      <c r="S184" s="128"/>
      <c r="T184" s="66"/>
      <c r="U184" s="128"/>
      <c r="W184" s="128"/>
      <c r="X184" s="12"/>
      <c r="Y184" t="str">
        <f t="shared" si="15"/>
        <v/>
      </c>
      <c r="Z184" t="str">
        <f t="shared" si="15"/>
        <v/>
      </c>
      <c r="AA184" s="12"/>
      <c r="AB184" s="95" t="e">
        <f t="shared" si="16"/>
        <v>#VALUE!</v>
      </c>
      <c r="AC184" s="95" t="e">
        <f t="shared" si="17"/>
        <v>#VALUE!</v>
      </c>
      <c r="AD184" s="12"/>
    </row>
    <row r="185" spans="1:30" ht="15.75" thickBot="1" x14ac:dyDescent="0.3">
      <c r="A185" s="12"/>
      <c r="B185" s="22"/>
      <c r="C185" t="str">
        <f>IF(AND('ENTRY DATA'!D185=""),"",('ENTRY DATA'!D185))</f>
        <v/>
      </c>
      <c r="D185" t="str">
        <f>IF(AND('ENTRY DATA'!F185=""),"",('ENTRY DATA'!F185))</f>
        <v/>
      </c>
      <c r="E185" s="34" t="str">
        <f>IF(AND('ENTRY DATA'!B185=""),"",('ENTRY DATA'!B185))</f>
        <v/>
      </c>
      <c r="F185" s="12"/>
      <c r="G185" s="12"/>
      <c r="H185" s="72"/>
      <c r="I185" s="71"/>
      <c r="J185" s="72"/>
      <c r="K185" s="12"/>
      <c r="L185" s="20">
        <f t="shared" si="12"/>
        <v>0</v>
      </c>
      <c r="M185" s="19" t="str">
        <f t="shared" si="13"/>
        <v/>
      </c>
      <c r="N185" s="12"/>
      <c r="O185" s="119"/>
      <c r="P185" s="95" t="str">
        <f t="shared" si="14"/>
        <v/>
      </c>
      <c r="Q185" s="12"/>
      <c r="S185" s="128"/>
      <c r="T185" s="66"/>
      <c r="U185" s="128"/>
      <c r="W185" s="128"/>
      <c r="X185" s="12"/>
      <c r="Y185" t="str">
        <f t="shared" si="15"/>
        <v/>
      </c>
      <c r="Z185" t="str">
        <f t="shared" si="15"/>
        <v/>
      </c>
      <c r="AA185" s="12"/>
      <c r="AB185" s="95" t="e">
        <f t="shared" si="16"/>
        <v>#VALUE!</v>
      </c>
      <c r="AC185" s="95" t="e">
        <f t="shared" si="17"/>
        <v>#VALUE!</v>
      </c>
      <c r="AD185" s="12"/>
    </row>
    <row r="186" spans="1:30" ht="15.75" thickBot="1" x14ac:dyDescent="0.3">
      <c r="A186" s="12"/>
      <c r="B186" s="22"/>
      <c r="C186" t="str">
        <f>IF(AND('ENTRY DATA'!D186=""),"",('ENTRY DATA'!D186))</f>
        <v/>
      </c>
      <c r="D186" t="str">
        <f>IF(AND('ENTRY DATA'!F186=""),"",('ENTRY DATA'!F186))</f>
        <v/>
      </c>
      <c r="E186" s="34" t="str">
        <f>IF(AND('ENTRY DATA'!B186=""),"",('ENTRY DATA'!B186))</f>
        <v/>
      </c>
      <c r="F186" s="12"/>
      <c r="G186" s="12"/>
      <c r="H186" s="72"/>
      <c r="I186" s="71"/>
      <c r="J186" s="72"/>
      <c r="K186" s="12"/>
      <c r="L186" s="20">
        <f t="shared" si="12"/>
        <v>0</v>
      </c>
      <c r="M186" s="19" t="str">
        <f t="shared" si="13"/>
        <v/>
      </c>
      <c r="N186" s="12"/>
      <c r="O186" s="119"/>
      <c r="P186" s="95" t="str">
        <f t="shared" si="14"/>
        <v/>
      </c>
      <c r="Q186" s="12"/>
      <c r="S186" s="128"/>
      <c r="T186" s="66"/>
      <c r="U186" s="128"/>
      <c r="W186" s="128"/>
      <c r="X186" s="12"/>
      <c r="Y186" t="str">
        <f t="shared" si="15"/>
        <v/>
      </c>
      <c r="Z186" t="str">
        <f t="shared" si="15"/>
        <v/>
      </c>
      <c r="AA186" s="12"/>
      <c r="AB186" s="95" t="e">
        <f t="shared" si="16"/>
        <v>#VALUE!</v>
      </c>
      <c r="AC186" s="95" t="e">
        <f t="shared" si="17"/>
        <v>#VALUE!</v>
      </c>
      <c r="AD186" s="12"/>
    </row>
    <row r="187" spans="1:30" ht="15.75" thickBot="1" x14ac:dyDescent="0.3">
      <c r="A187" s="12"/>
      <c r="B187" s="22"/>
      <c r="C187" t="str">
        <f>IF(AND('ENTRY DATA'!D187=""),"",('ENTRY DATA'!D187))</f>
        <v/>
      </c>
      <c r="D187" t="str">
        <f>IF(AND('ENTRY DATA'!F187=""),"",('ENTRY DATA'!F187))</f>
        <v/>
      </c>
      <c r="E187" s="34" t="str">
        <f>IF(AND('ENTRY DATA'!B187=""),"",('ENTRY DATA'!B187))</f>
        <v/>
      </c>
      <c r="F187" s="12"/>
      <c r="G187" s="12"/>
      <c r="H187" s="72"/>
      <c r="I187" s="71"/>
      <c r="J187" s="72"/>
      <c r="K187" s="12"/>
      <c r="L187" s="20">
        <f t="shared" si="12"/>
        <v>0</v>
      </c>
      <c r="M187" s="19" t="str">
        <f t="shared" si="13"/>
        <v/>
      </c>
      <c r="N187" s="12"/>
      <c r="O187" s="119"/>
      <c r="P187" s="95" t="str">
        <f t="shared" si="14"/>
        <v/>
      </c>
      <c r="Q187" s="12"/>
      <c r="S187" s="128"/>
      <c r="T187" s="66"/>
      <c r="U187" s="128"/>
      <c r="W187" s="128"/>
      <c r="X187" s="12"/>
      <c r="Y187" t="str">
        <f t="shared" si="15"/>
        <v/>
      </c>
      <c r="Z187" t="str">
        <f t="shared" si="15"/>
        <v/>
      </c>
      <c r="AA187" s="12"/>
      <c r="AB187" s="95" t="e">
        <f t="shared" si="16"/>
        <v>#VALUE!</v>
      </c>
      <c r="AC187" s="95" t="e">
        <f t="shared" si="17"/>
        <v>#VALUE!</v>
      </c>
      <c r="AD187" s="12"/>
    </row>
    <row r="188" spans="1:30" ht="15.75" thickBot="1" x14ac:dyDescent="0.3">
      <c r="A188" s="12"/>
      <c r="B188" s="22"/>
      <c r="C188" t="str">
        <f>IF(AND('ENTRY DATA'!D188=""),"",('ENTRY DATA'!D188))</f>
        <v/>
      </c>
      <c r="D188" t="str">
        <f>IF(AND('ENTRY DATA'!F188=""),"",('ENTRY DATA'!F188))</f>
        <v/>
      </c>
      <c r="E188" s="34" t="str">
        <f>IF(AND('ENTRY DATA'!B188=""),"",('ENTRY DATA'!B188))</f>
        <v/>
      </c>
      <c r="F188" s="12"/>
      <c r="G188" s="12"/>
      <c r="H188" s="72"/>
      <c r="I188" s="71"/>
      <c r="J188" s="72"/>
      <c r="K188" s="12"/>
      <c r="L188" s="20">
        <f t="shared" si="12"/>
        <v>0</v>
      </c>
      <c r="M188" s="19" t="str">
        <f t="shared" si="13"/>
        <v/>
      </c>
      <c r="N188" s="12"/>
      <c r="O188" s="119"/>
      <c r="P188" s="95" t="str">
        <f t="shared" si="14"/>
        <v/>
      </c>
      <c r="Q188" s="12"/>
      <c r="S188" s="128"/>
      <c r="T188" s="66"/>
      <c r="U188" s="128"/>
      <c r="W188" s="128"/>
      <c r="X188" s="12"/>
      <c r="Y188" t="str">
        <f t="shared" si="15"/>
        <v/>
      </c>
      <c r="Z188" t="str">
        <f t="shared" si="15"/>
        <v/>
      </c>
      <c r="AA188" s="12"/>
      <c r="AB188" s="95" t="e">
        <f t="shared" si="16"/>
        <v>#VALUE!</v>
      </c>
      <c r="AC188" s="95" t="e">
        <f t="shared" si="17"/>
        <v>#VALUE!</v>
      </c>
      <c r="AD188" s="12"/>
    </row>
    <row r="189" spans="1:30" ht="15.75" thickBot="1" x14ac:dyDescent="0.3">
      <c r="A189" s="12"/>
      <c r="B189" s="22"/>
      <c r="C189" t="str">
        <f>IF(AND('ENTRY DATA'!D189=""),"",('ENTRY DATA'!D189))</f>
        <v/>
      </c>
      <c r="D189" t="str">
        <f>IF(AND('ENTRY DATA'!F189=""),"",('ENTRY DATA'!F189))</f>
        <v/>
      </c>
      <c r="E189" s="34" t="str">
        <f>IF(AND('ENTRY DATA'!B189=""),"",('ENTRY DATA'!B189))</f>
        <v/>
      </c>
      <c r="F189" s="12"/>
      <c r="G189" s="12"/>
      <c r="H189" s="72"/>
      <c r="I189" s="71"/>
      <c r="J189" s="72"/>
      <c r="K189" s="12"/>
      <c r="L189" s="20">
        <f t="shared" si="12"/>
        <v>0</v>
      </c>
      <c r="M189" s="19" t="str">
        <f t="shared" si="13"/>
        <v/>
      </c>
      <c r="N189" s="12"/>
      <c r="O189" s="119"/>
      <c r="P189" s="95" t="str">
        <f t="shared" si="14"/>
        <v/>
      </c>
      <c r="Q189" s="12"/>
      <c r="S189" s="128"/>
      <c r="T189" s="66"/>
      <c r="U189" s="128"/>
      <c r="W189" s="128"/>
      <c r="X189" s="12"/>
      <c r="Y189" t="str">
        <f t="shared" si="15"/>
        <v/>
      </c>
      <c r="Z189" t="str">
        <f t="shared" si="15"/>
        <v/>
      </c>
      <c r="AA189" s="12"/>
      <c r="AB189" s="95" t="e">
        <f t="shared" si="16"/>
        <v>#VALUE!</v>
      </c>
      <c r="AC189" s="95" t="e">
        <f t="shared" si="17"/>
        <v>#VALUE!</v>
      </c>
      <c r="AD189" s="12"/>
    </row>
    <row r="190" spans="1:30" ht="15.75" thickBot="1" x14ac:dyDescent="0.3">
      <c r="A190" s="12"/>
      <c r="B190" s="22"/>
      <c r="C190" t="str">
        <f>IF(AND('ENTRY DATA'!D190=""),"",('ENTRY DATA'!D190))</f>
        <v/>
      </c>
      <c r="D190" t="str">
        <f>IF(AND('ENTRY DATA'!F190=""),"",('ENTRY DATA'!F190))</f>
        <v/>
      </c>
      <c r="E190" s="34" t="str">
        <f>IF(AND('ENTRY DATA'!B190=""),"",('ENTRY DATA'!B190))</f>
        <v/>
      </c>
      <c r="F190" s="12"/>
      <c r="G190" s="12"/>
      <c r="H190" s="72"/>
      <c r="I190" s="71"/>
      <c r="J190" s="72"/>
      <c r="K190" s="12"/>
      <c r="L190" s="20">
        <f t="shared" si="12"/>
        <v>0</v>
      </c>
      <c r="M190" s="19" t="str">
        <f t="shared" si="13"/>
        <v/>
      </c>
      <c r="N190" s="12"/>
      <c r="O190" s="119"/>
      <c r="P190" s="95" t="str">
        <f t="shared" si="14"/>
        <v/>
      </c>
      <c r="Q190" s="12"/>
      <c r="S190" s="128"/>
      <c r="T190" s="66"/>
      <c r="U190" s="128"/>
      <c r="W190" s="128"/>
      <c r="X190" s="12"/>
      <c r="Y190" t="str">
        <f t="shared" si="15"/>
        <v/>
      </c>
      <c r="Z190" t="str">
        <f t="shared" si="15"/>
        <v/>
      </c>
      <c r="AA190" s="12"/>
      <c r="AB190" s="95" t="e">
        <f t="shared" si="16"/>
        <v>#VALUE!</v>
      </c>
      <c r="AC190" s="95" t="e">
        <f t="shared" si="17"/>
        <v>#VALUE!</v>
      </c>
      <c r="AD190" s="12"/>
    </row>
    <row r="191" spans="1:30" ht="15.75" thickBot="1" x14ac:dyDescent="0.3">
      <c r="A191" s="12"/>
      <c r="B191" s="22"/>
      <c r="C191" t="str">
        <f>IF(AND('ENTRY DATA'!D191=""),"",('ENTRY DATA'!D191))</f>
        <v/>
      </c>
      <c r="D191" t="str">
        <f>IF(AND('ENTRY DATA'!F191=""),"",('ENTRY DATA'!F191))</f>
        <v/>
      </c>
      <c r="E191" s="34" t="str">
        <f>IF(AND('ENTRY DATA'!B191=""),"",('ENTRY DATA'!B191))</f>
        <v/>
      </c>
      <c r="F191" s="12"/>
      <c r="G191" s="12"/>
      <c r="H191" s="72"/>
      <c r="I191" s="71"/>
      <c r="J191" s="72"/>
      <c r="K191" s="12"/>
      <c r="L191" s="20">
        <f t="shared" si="12"/>
        <v>0</v>
      </c>
      <c r="M191" s="19" t="str">
        <f t="shared" si="13"/>
        <v/>
      </c>
      <c r="N191" s="12"/>
      <c r="O191" s="119"/>
      <c r="P191" s="95" t="str">
        <f t="shared" si="14"/>
        <v/>
      </c>
      <c r="Q191" s="12"/>
      <c r="S191" s="128"/>
      <c r="T191" s="66"/>
      <c r="U191" s="128"/>
      <c r="W191" s="128"/>
      <c r="X191" s="12"/>
      <c r="Y191" t="str">
        <f t="shared" si="15"/>
        <v/>
      </c>
      <c r="Z191" t="str">
        <f t="shared" si="15"/>
        <v/>
      </c>
      <c r="AA191" s="12"/>
      <c r="AB191" s="95" t="e">
        <f t="shared" si="16"/>
        <v>#VALUE!</v>
      </c>
      <c r="AC191" s="95" t="e">
        <f t="shared" si="17"/>
        <v>#VALUE!</v>
      </c>
      <c r="AD191" s="12"/>
    </row>
    <row r="192" spans="1:30" ht="15.75" thickBot="1" x14ac:dyDescent="0.3">
      <c r="A192" s="12"/>
      <c r="B192" s="22"/>
      <c r="C192" t="str">
        <f>IF(AND('ENTRY DATA'!D192=""),"",('ENTRY DATA'!D192))</f>
        <v/>
      </c>
      <c r="D192" t="str">
        <f>IF(AND('ENTRY DATA'!F192=""),"",('ENTRY DATA'!F192))</f>
        <v/>
      </c>
      <c r="E192" s="34" t="str">
        <f>IF(AND('ENTRY DATA'!B192=""),"",('ENTRY DATA'!B192))</f>
        <v/>
      </c>
      <c r="F192" s="12"/>
      <c r="G192" s="12"/>
      <c r="H192" s="72"/>
      <c r="I192" s="71"/>
      <c r="J192" s="72"/>
      <c r="K192" s="12"/>
      <c r="L192" s="20">
        <f t="shared" si="12"/>
        <v>0</v>
      </c>
      <c r="M192" s="19" t="str">
        <f t="shared" si="13"/>
        <v/>
      </c>
      <c r="N192" s="12"/>
      <c r="O192" s="119"/>
      <c r="P192" s="95" t="str">
        <f t="shared" si="14"/>
        <v/>
      </c>
      <c r="Q192" s="12"/>
      <c r="S192" s="128"/>
      <c r="T192" s="66"/>
      <c r="U192" s="128"/>
      <c r="W192" s="128"/>
      <c r="X192" s="12"/>
      <c r="Y192" t="str">
        <f t="shared" si="15"/>
        <v/>
      </c>
      <c r="Z192" t="str">
        <f t="shared" si="15"/>
        <v/>
      </c>
      <c r="AA192" s="12"/>
      <c r="AB192" s="95" t="e">
        <f t="shared" si="16"/>
        <v>#VALUE!</v>
      </c>
      <c r="AC192" s="95" t="e">
        <f t="shared" si="17"/>
        <v>#VALUE!</v>
      </c>
      <c r="AD192" s="12"/>
    </row>
    <row r="193" spans="1:30" ht="15.75" thickBot="1" x14ac:dyDescent="0.3">
      <c r="A193" s="12"/>
      <c r="B193" s="22"/>
      <c r="C193" t="str">
        <f>IF(AND('ENTRY DATA'!D193=""),"",('ENTRY DATA'!D193))</f>
        <v/>
      </c>
      <c r="D193" t="str">
        <f>IF(AND('ENTRY DATA'!F193=""),"",('ENTRY DATA'!F193))</f>
        <v/>
      </c>
      <c r="E193" s="34" t="str">
        <f>IF(AND('ENTRY DATA'!B193=""),"",('ENTRY DATA'!B193))</f>
        <v/>
      </c>
      <c r="F193" s="12"/>
      <c r="G193" s="12"/>
      <c r="H193" s="72"/>
      <c r="I193" s="71"/>
      <c r="J193" s="72"/>
      <c r="K193" s="12"/>
      <c r="L193" s="20">
        <f t="shared" si="12"/>
        <v>0</v>
      </c>
      <c r="M193" s="19" t="str">
        <f t="shared" si="13"/>
        <v/>
      </c>
      <c r="N193" s="12"/>
      <c r="O193" s="119"/>
      <c r="P193" s="95" t="str">
        <f t="shared" si="14"/>
        <v/>
      </c>
      <c r="Q193" s="12"/>
      <c r="S193" s="128"/>
      <c r="T193" s="66"/>
      <c r="U193" s="128"/>
      <c r="W193" s="128"/>
      <c r="X193" s="12"/>
      <c r="Y193" t="str">
        <f t="shared" si="15"/>
        <v/>
      </c>
      <c r="Z193" t="str">
        <f t="shared" si="15"/>
        <v/>
      </c>
      <c r="AA193" s="12"/>
      <c r="AB193" s="95" t="e">
        <f t="shared" si="16"/>
        <v>#VALUE!</v>
      </c>
      <c r="AC193" s="95" t="e">
        <f t="shared" si="17"/>
        <v>#VALUE!</v>
      </c>
      <c r="AD193" s="12"/>
    </row>
    <row r="194" spans="1:30" ht="15.75" thickBot="1" x14ac:dyDescent="0.3">
      <c r="A194" s="12"/>
      <c r="B194" s="22"/>
      <c r="C194" t="str">
        <f>IF(AND('ENTRY DATA'!D194=""),"",('ENTRY DATA'!D194))</f>
        <v/>
      </c>
      <c r="D194" t="str">
        <f>IF(AND('ENTRY DATA'!F194=""),"",('ENTRY DATA'!F194))</f>
        <v/>
      </c>
      <c r="E194" s="34" t="str">
        <f>IF(AND('ENTRY DATA'!B194=""),"",('ENTRY DATA'!B194))</f>
        <v/>
      </c>
      <c r="F194" s="12"/>
      <c r="G194" s="12"/>
      <c r="H194" s="72"/>
      <c r="I194" s="71"/>
      <c r="J194" s="72"/>
      <c r="K194" s="12"/>
      <c r="L194" s="20">
        <f t="shared" si="12"/>
        <v>0</v>
      </c>
      <c r="M194" s="19" t="str">
        <f t="shared" si="13"/>
        <v/>
      </c>
      <c r="N194" s="12"/>
      <c r="O194" s="119"/>
      <c r="P194" s="95" t="str">
        <f t="shared" si="14"/>
        <v/>
      </c>
      <c r="Q194" s="12"/>
      <c r="S194" s="128"/>
      <c r="T194" s="66"/>
      <c r="U194" s="128"/>
      <c r="W194" s="128"/>
      <c r="X194" s="12"/>
      <c r="Y194" t="str">
        <f t="shared" si="15"/>
        <v/>
      </c>
      <c r="Z194" t="str">
        <f t="shared" si="15"/>
        <v/>
      </c>
      <c r="AA194" s="12"/>
      <c r="AB194" s="95" t="e">
        <f t="shared" si="16"/>
        <v>#VALUE!</v>
      </c>
      <c r="AC194" s="95" t="e">
        <f t="shared" si="17"/>
        <v>#VALUE!</v>
      </c>
      <c r="AD194" s="12"/>
    </row>
    <row r="195" spans="1:30" ht="15.75" thickBot="1" x14ac:dyDescent="0.3">
      <c r="A195" s="12"/>
      <c r="B195" s="22"/>
      <c r="C195" t="str">
        <f>IF(AND('ENTRY DATA'!D195=""),"",('ENTRY DATA'!D195))</f>
        <v/>
      </c>
      <c r="D195" t="str">
        <f>IF(AND('ENTRY DATA'!F195=""),"",('ENTRY DATA'!F195))</f>
        <v/>
      </c>
      <c r="E195" s="34" t="str">
        <f>IF(AND('ENTRY DATA'!B195=""),"",('ENTRY DATA'!B195))</f>
        <v/>
      </c>
      <c r="F195" s="12"/>
      <c r="G195" s="12"/>
      <c r="H195" s="72"/>
      <c r="I195" s="71"/>
      <c r="J195" s="72"/>
      <c r="K195" s="12"/>
      <c r="L195" s="20">
        <f t="shared" si="12"/>
        <v>0</v>
      </c>
      <c r="M195" s="19" t="str">
        <f t="shared" si="13"/>
        <v/>
      </c>
      <c r="N195" s="12"/>
      <c r="O195" s="119"/>
      <c r="P195" s="95" t="str">
        <f t="shared" si="14"/>
        <v/>
      </c>
      <c r="Q195" s="12"/>
      <c r="S195" s="128"/>
      <c r="T195" s="66"/>
      <c r="U195" s="128"/>
      <c r="W195" s="128"/>
      <c r="X195" s="12"/>
      <c r="Y195" t="str">
        <f t="shared" si="15"/>
        <v/>
      </c>
      <c r="Z195" t="str">
        <f t="shared" si="15"/>
        <v/>
      </c>
      <c r="AA195" s="12"/>
      <c r="AB195" s="95" t="e">
        <f t="shared" si="16"/>
        <v>#VALUE!</v>
      </c>
      <c r="AC195" s="95" t="e">
        <f t="shared" si="17"/>
        <v>#VALUE!</v>
      </c>
      <c r="AD195" s="12"/>
    </row>
    <row r="196" spans="1:30" ht="15.75" thickBot="1" x14ac:dyDescent="0.3">
      <c r="A196" s="12"/>
      <c r="B196" s="22"/>
      <c r="C196" t="str">
        <f>IF(AND('ENTRY DATA'!D196=""),"",('ENTRY DATA'!D196))</f>
        <v/>
      </c>
      <c r="D196" t="str">
        <f>IF(AND('ENTRY DATA'!F196=""),"",('ENTRY DATA'!F196))</f>
        <v/>
      </c>
      <c r="E196" s="34" t="str">
        <f>IF(AND('ENTRY DATA'!B196=""),"",('ENTRY DATA'!B196))</f>
        <v/>
      </c>
      <c r="F196" s="12"/>
      <c r="G196" s="12"/>
      <c r="H196" s="72"/>
      <c r="I196" s="71"/>
      <c r="J196" s="72"/>
      <c r="K196" s="12"/>
      <c r="L196" s="20">
        <f t="shared" si="12"/>
        <v>0</v>
      </c>
      <c r="M196" s="19" t="str">
        <f t="shared" si="13"/>
        <v/>
      </c>
      <c r="N196" s="12"/>
      <c r="O196" s="119"/>
      <c r="P196" s="95" t="str">
        <f t="shared" si="14"/>
        <v/>
      </c>
      <c r="Q196" s="12"/>
      <c r="S196" s="128"/>
      <c r="T196" s="66"/>
      <c r="U196" s="128"/>
      <c r="W196" s="128"/>
      <c r="X196" s="12"/>
      <c r="Y196" t="str">
        <f t="shared" si="15"/>
        <v/>
      </c>
      <c r="Z196" t="str">
        <f t="shared" si="15"/>
        <v/>
      </c>
      <c r="AA196" s="12"/>
      <c r="AB196" s="95" t="e">
        <f t="shared" si="16"/>
        <v>#VALUE!</v>
      </c>
      <c r="AC196" s="95" t="e">
        <f t="shared" si="17"/>
        <v>#VALUE!</v>
      </c>
      <c r="AD196" s="12"/>
    </row>
    <row r="197" spans="1:30" ht="15.75" thickBot="1" x14ac:dyDescent="0.3">
      <c r="A197" s="12"/>
      <c r="B197" s="22"/>
      <c r="C197" t="str">
        <f>IF(AND('ENTRY DATA'!D197=""),"",('ENTRY DATA'!D197))</f>
        <v/>
      </c>
      <c r="D197" t="str">
        <f>IF(AND('ENTRY DATA'!F197=""),"",('ENTRY DATA'!F197))</f>
        <v/>
      </c>
      <c r="E197" s="34" t="str">
        <f>IF(AND('ENTRY DATA'!B197=""),"",('ENTRY DATA'!B197))</f>
        <v/>
      </c>
      <c r="F197" s="12"/>
      <c r="G197" s="12"/>
      <c r="H197" s="72"/>
      <c r="I197" s="71"/>
      <c r="J197" s="72"/>
      <c r="K197" s="12"/>
      <c r="L197" s="20">
        <f t="shared" si="12"/>
        <v>0</v>
      </c>
      <c r="M197" s="19" t="str">
        <f t="shared" si="13"/>
        <v/>
      </c>
      <c r="N197" s="12"/>
      <c r="O197" s="119"/>
      <c r="P197" s="95" t="str">
        <f t="shared" si="14"/>
        <v/>
      </c>
      <c r="Q197" s="12"/>
      <c r="S197" s="128"/>
      <c r="T197" s="66"/>
      <c r="U197" s="128"/>
      <c r="W197" s="128"/>
      <c r="X197" s="12"/>
      <c r="Y197" t="str">
        <f t="shared" si="15"/>
        <v/>
      </c>
      <c r="Z197" t="str">
        <f t="shared" si="15"/>
        <v/>
      </c>
      <c r="AA197" s="12"/>
      <c r="AB197" s="95" t="e">
        <f t="shared" si="16"/>
        <v>#VALUE!</v>
      </c>
      <c r="AC197" s="95" t="e">
        <f t="shared" si="17"/>
        <v>#VALUE!</v>
      </c>
      <c r="AD197" s="12"/>
    </row>
    <row r="198" spans="1:30" ht="15.75" thickBot="1" x14ac:dyDescent="0.3">
      <c r="A198" s="12"/>
      <c r="B198" s="22"/>
      <c r="C198" t="str">
        <f>IF(AND('ENTRY DATA'!D198=""),"",('ENTRY DATA'!D198))</f>
        <v/>
      </c>
      <c r="D198" t="str">
        <f>IF(AND('ENTRY DATA'!F198=""),"",('ENTRY DATA'!F198))</f>
        <v/>
      </c>
      <c r="E198" s="34" t="str">
        <f>IF(AND('ENTRY DATA'!B198=""),"",('ENTRY DATA'!B198))</f>
        <v/>
      </c>
      <c r="F198" s="12"/>
      <c r="G198" s="12"/>
      <c r="H198" s="72"/>
      <c r="I198" s="71"/>
      <c r="J198" s="72"/>
      <c r="K198" s="12"/>
      <c r="L198" s="20">
        <f t="shared" ref="L198:L261" si="18">COUNT(H198:J198)</f>
        <v>0</v>
      </c>
      <c r="M198" s="19" t="str">
        <f t="shared" ref="M198:M261" si="19">IF(AND(H198="",I198="",J198=""),"",(H198+I198+J198))</f>
        <v/>
      </c>
      <c r="N198" s="12"/>
      <c r="O198" s="119"/>
      <c r="P198" s="95" t="str">
        <f t="shared" ref="P198:P261" si="20">C198</f>
        <v/>
      </c>
      <c r="Q198" s="12"/>
      <c r="S198" s="128"/>
      <c r="T198" s="66"/>
      <c r="U198" s="128"/>
      <c r="W198" s="128"/>
      <c r="X198" s="12"/>
      <c r="Y198" t="str">
        <f t="shared" ref="Y198:Z261" si="21">IF(AND(R198="",T198="",V198=""),"",SUM(R198,T198,V198))</f>
        <v/>
      </c>
      <c r="Z198" t="str">
        <f t="shared" si="21"/>
        <v/>
      </c>
      <c r="AA198" s="12"/>
      <c r="AB198" s="95" t="e">
        <f t="shared" ref="AB198:AB261" si="22">Y198/L198</f>
        <v>#VALUE!</v>
      </c>
      <c r="AC198" s="95" t="e">
        <f t="shared" ref="AC198:AC261" si="23">Z198/L198</f>
        <v>#VALUE!</v>
      </c>
      <c r="AD198" s="12"/>
    </row>
    <row r="199" spans="1:30" ht="15.75" thickBot="1" x14ac:dyDescent="0.3">
      <c r="A199" s="12"/>
      <c r="B199" s="22"/>
      <c r="C199" t="str">
        <f>IF(AND('ENTRY DATA'!D199=""),"",('ENTRY DATA'!D199))</f>
        <v/>
      </c>
      <c r="D199" t="str">
        <f>IF(AND('ENTRY DATA'!F199=""),"",('ENTRY DATA'!F199))</f>
        <v/>
      </c>
      <c r="E199" s="34" t="str">
        <f>IF(AND('ENTRY DATA'!B199=""),"",('ENTRY DATA'!B199))</f>
        <v/>
      </c>
      <c r="F199" s="12"/>
      <c r="G199" s="12"/>
      <c r="H199" s="72"/>
      <c r="I199" s="71"/>
      <c r="J199" s="72"/>
      <c r="K199" s="12"/>
      <c r="L199" s="20">
        <f t="shared" si="18"/>
        <v>0</v>
      </c>
      <c r="M199" s="19" t="str">
        <f t="shared" si="19"/>
        <v/>
      </c>
      <c r="N199" s="12"/>
      <c r="O199" s="119"/>
      <c r="P199" s="95" t="str">
        <f t="shared" si="20"/>
        <v/>
      </c>
      <c r="Q199" s="12"/>
      <c r="S199" s="128"/>
      <c r="T199" s="66"/>
      <c r="U199" s="128"/>
      <c r="W199" s="128"/>
      <c r="X199" s="12"/>
      <c r="Y199" t="str">
        <f t="shared" si="21"/>
        <v/>
      </c>
      <c r="Z199" t="str">
        <f t="shared" si="21"/>
        <v/>
      </c>
      <c r="AA199" s="12"/>
      <c r="AB199" s="95" t="e">
        <f t="shared" si="22"/>
        <v>#VALUE!</v>
      </c>
      <c r="AC199" s="95" t="e">
        <f t="shared" si="23"/>
        <v>#VALUE!</v>
      </c>
      <c r="AD199" s="12"/>
    </row>
    <row r="200" spans="1:30" ht="15.75" thickBot="1" x14ac:dyDescent="0.3">
      <c r="A200" s="12"/>
      <c r="B200" s="22"/>
      <c r="C200" t="str">
        <f>IF(AND('ENTRY DATA'!D200=""),"",('ENTRY DATA'!D200))</f>
        <v/>
      </c>
      <c r="D200" t="str">
        <f>IF(AND('ENTRY DATA'!F200=""),"",('ENTRY DATA'!F200))</f>
        <v/>
      </c>
      <c r="E200" s="34" t="str">
        <f>IF(AND('ENTRY DATA'!B200=""),"",('ENTRY DATA'!B200))</f>
        <v/>
      </c>
      <c r="F200" s="12"/>
      <c r="G200" s="12"/>
      <c r="H200" s="73"/>
      <c r="I200" s="71"/>
      <c r="J200" s="73"/>
      <c r="K200" s="12"/>
      <c r="L200" s="20">
        <f t="shared" si="18"/>
        <v>0</v>
      </c>
      <c r="M200" s="19" t="str">
        <f t="shared" si="19"/>
        <v/>
      </c>
      <c r="N200" s="12"/>
      <c r="O200" s="119"/>
      <c r="P200" s="95" t="str">
        <f t="shared" si="20"/>
        <v/>
      </c>
      <c r="Q200" s="12"/>
      <c r="S200" s="128"/>
      <c r="T200" s="66"/>
      <c r="U200" s="128"/>
      <c r="W200" s="128"/>
      <c r="X200" s="12"/>
      <c r="Y200" t="str">
        <f t="shared" si="21"/>
        <v/>
      </c>
      <c r="Z200" t="str">
        <f t="shared" si="21"/>
        <v/>
      </c>
      <c r="AA200" s="12"/>
      <c r="AB200" s="95" t="e">
        <f t="shared" si="22"/>
        <v>#VALUE!</v>
      </c>
      <c r="AC200" s="95" t="e">
        <f t="shared" si="23"/>
        <v>#VALUE!</v>
      </c>
      <c r="AD200" s="12"/>
    </row>
    <row r="201" spans="1:30" ht="15.75" thickBot="1" x14ac:dyDescent="0.3">
      <c r="A201" s="12"/>
      <c r="B201" s="22"/>
      <c r="C201" t="str">
        <f>IF(AND('ENTRY DATA'!D201=""),"",('ENTRY DATA'!D201))</f>
        <v/>
      </c>
      <c r="D201" t="str">
        <f>IF(AND('ENTRY DATA'!F201=""),"",('ENTRY DATA'!F201))</f>
        <v/>
      </c>
      <c r="E201" s="34" t="str">
        <f>IF(AND('ENTRY DATA'!B201=""),"",('ENTRY DATA'!B201))</f>
        <v/>
      </c>
      <c r="F201" s="12"/>
      <c r="G201" s="12"/>
      <c r="H201" s="73"/>
      <c r="I201" s="71"/>
      <c r="J201" s="73"/>
      <c r="K201" s="12"/>
      <c r="L201" s="20">
        <f t="shared" si="18"/>
        <v>0</v>
      </c>
      <c r="M201" s="19" t="str">
        <f t="shared" si="19"/>
        <v/>
      </c>
      <c r="N201" s="12"/>
      <c r="O201" s="119"/>
      <c r="P201" s="95" t="str">
        <f t="shared" si="20"/>
        <v/>
      </c>
      <c r="Q201" s="12"/>
      <c r="S201" s="128"/>
      <c r="T201" s="66"/>
      <c r="U201" s="128"/>
      <c r="W201" s="128"/>
      <c r="X201" s="12"/>
      <c r="Y201" t="str">
        <f t="shared" si="21"/>
        <v/>
      </c>
      <c r="Z201" t="str">
        <f t="shared" si="21"/>
        <v/>
      </c>
      <c r="AA201" s="12"/>
      <c r="AB201" s="95" t="e">
        <f t="shared" si="22"/>
        <v>#VALUE!</v>
      </c>
      <c r="AC201" s="95" t="e">
        <f t="shared" si="23"/>
        <v>#VALUE!</v>
      </c>
      <c r="AD201" s="12"/>
    </row>
    <row r="202" spans="1:30" ht="15.75" thickBot="1" x14ac:dyDescent="0.3">
      <c r="A202" s="12"/>
      <c r="B202" s="22"/>
      <c r="C202" t="str">
        <f>IF(AND('ENTRY DATA'!D202=""),"",('ENTRY DATA'!D202))</f>
        <v/>
      </c>
      <c r="D202" t="str">
        <f>IF(AND('ENTRY DATA'!F202=""),"",('ENTRY DATA'!F202))</f>
        <v/>
      </c>
      <c r="E202" s="34" t="str">
        <f>IF(AND('ENTRY DATA'!B202=""),"",('ENTRY DATA'!B202))</f>
        <v/>
      </c>
      <c r="F202" s="12"/>
      <c r="G202" s="12"/>
      <c r="H202" s="73"/>
      <c r="I202" s="71"/>
      <c r="J202" s="73"/>
      <c r="K202" s="12"/>
      <c r="L202" s="20">
        <f t="shared" si="18"/>
        <v>0</v>
      </c>
      <c r="M202" s="19" t="str">
        <f t="shared" si="19"/>
        <v/>
      </c>
      <c r="N202" s="12"/>
      <c r="O202" s="119"/>
      <c r="P202" s="95" t="str">
        <f t="shared" si="20"/>
        <v/>
      </c>
      <c r="Q202" s="12"/>
      <c r="S202" s="128"/>
      <c r="T202" s="66"/>
      <c r="U202" s="128"/>
      <c r="W202" s="128"/>
      <c r="X202" s="12"/>
      <c r="Y202" t="str">
        <f t="shared" si="21"/>
        <v/>
      </c>
      <c r="Z202" t="str">
        <f t="shared" si="21"/>
        <v/>
      </c>
      <c r="AA202" s="12"/>
      <c r="AB202" s="95" t="e">
        <f t="shared" si="22"/>
        <v>#VALUE!</v>
      </c>
      <c r="AC202" s="95" t="e">
        <f t="shared" si="23"/>
        <v>#VALUE!</v>
      </c>
      <c r="AD202" s="12"/>
    </row>
    <row r="203" spans="1:30" ht="15.75" thickBot="1" x14ac:dyDescent="0.3">
      <c r="A203" s="12"/>
      <c r="B203" s="22"/>
      <c r="C203" t="str">
        <f>IF(AND('ENTRY DATA'!D203=""),"",('ENTRY DATA'!D203))</f>
        <v/>
      </c>
      <c r="D203" t="str">
        <f>IF(AND('ENTRY DATA'!F203=""),"",('ENTRY DATA'!F203))</f>
        <v/>
      </c>
      <c r="E203" s="34" t="str">
        <f>IF(AND('ENTRY DATA'!B203=""),"",('ENTRY DATA'!B203))</f>
        <v/>
      </c>
      <c r="F203" s="12"/>
      <c r="G203" s="12"/>
      <c r="H203" s="73"/>
      <c r="I203" s="71"/>
      <c r="J203" s="73"/>
      <c r="K203" s="12"/>
      <c r="L203" s="20">
        <f t="shared" si="18"/>
        <v>0</v>
      </c>
      <c r="M203" s="19" t="str">
        <f t="shared" si="19"/>
        <v/>
      </c>
      <c r="N203" s="12"/>
      <c r="O203" s="119"/>
      <c r="P203" s="95" t="str">
        <f t="shared" si="20"/>
        <v/>
      </c>
      <c r="Q203" s="12"/>
      <c r="S203" s="128"/>
      <c r="T203" s="66"/>
      <c r="U203" s="128"/>
      <c r="W203" s="128"/>
      <c r="X203" s="12"/>
      <c r="Y203" t="str">
        <f t="shared" si="21"/>
        <v/>
      </c>
      <c r="Z203" t="str">
        <f t="shared" si="21"/>
        <v/>
      </c>
      <c r="AA203" s="12"/>
      <c r="AB203" s="95" t="e">
        <f t="shared" si="22"/>
        <v>#VALUE!</v>
      </c>
      <c r="AC203" s="95" t="e">
        <f t="shared" si="23"/>
        <v>#VALUE!</v>
      </c>
      <c r="AD203" s="12"/>
    </row>
    <row r="204" spans="1:30" ht="15.75" thickBot="1" x14ac:dyDescent="0.3">
      <c r="A204" s="12"/>
      <c r="B204" s="22"/>
      <c r="C204" t="str">
        <f>IF(AND('ENTRY DATA'!D204=""),"",('ENTRY DATA'!D204))</f>
        <v/>
      </c>
      <c r="D204" t="str">
        <f>IF(AND('ENTRY DATA'!F204=""),"",('ENTRY DATA'!F204))</f>
        <v/>
      </c>
      <c r="E204" s="34" t="str">
        <f>IF(AND('ENTRY DATA'!B204=""),"",('ENTRY DATA'!B204))</f>
        <v/>
      </c>
      <c r="F204" s="12"/>
      <c r="G204" s="12"/>
      <c r="H204" s="73"/>
      <c r="I204" s="71"/>
      <c r="J204" s="73"/>
      <c r="K204" s="12"/>
      <c r="L204" s="20">
        <f t="shared" si="18"/>
        <v>0</v>
      </c>
      <c r="M204" s="19" t="str">
        <f t="shared" si="19"/>
        <v/>
      </c>
      <c r="N204" s="12"/>
      <c r="O204" s="119"/>
      <c r="P204" s="95" t="str">
        <f t="shared" si="20"/>
        <v/>
      </c>
      <c r="Q204" s="12"/>
      <c r="S204" s="128"/>
      <c r="T204" s="66"/>
      <c r="U204" s="128"/>
      <c r="W204" s="128"/>
      <c r="X204" s="12"/>
      <c r="Y204" t="str">
        <f t="shared" si="21"/>
        <v/>
      </c>
      <c r="Z204" t="str">
        <f t="shared" si="21"/>
        <v/>
      </c>
      <c r="AA204" s="12"/>
      <c r="AB204" s="95" t="e">
        <f t="shared" si="22"/>
        <v>#VALUE!</v>
      </c>
      <c r="AC204" s="95" t="e">
        <f t="shared" si="23"/>
        <v>#VALUE!</v>
      </c>
      <c r="AD204" s="12"/>
    </row>
    <row r="205" spans="1:30" ht="15.75" thickBot="1" x14ac:dyDescent="0.3">
      <c r="A205" s="12"/>
      <c r="B205" s="22"/>
      <c r="C205" t="str">
        <f>IF(AND('ENTRY DATA'!D205=""),"",('ENTRY DATA'!D205))</f>
        <v/>
      </c>
      <c r="D205" t="str">
        <f>IF(AND('ENTRY DATA'!F205=""),"",('ENTRY DATA'!F205))</f>
        <v/>
      </c>
      <c r="E205" s="34" t="str">
        <f>IF(AND('ENTRY DATA'!B205=""),"",('ENTRY DATA'!B205))</f>
        <v/>
      </c>
      <c r="F205" s="12"/>
      <c r="G205" s="12"/>
      <c r="H205" s="73"/>
      <c r="I205" s="71"/>
      <c r="J205" s="73"/>
      <c r="K205" s="12"/>
      <c r="L205" s="20">
        <f t="shared" si="18"/>
        <v>0</v>
      </c>
      <c r="M205" s="19" t="str">
        <f t="shared" si="19"/>
        <v/>
      </c>
      <c r="N205" s="12"/>
      <c r="O205" s="119"/>
      <c r="P205" s="95" t="str">
        <f t="shared" si="20"/>
        <v/>
      </c>
      <c r="Q205" s="12"/>
      <c r="S205" s="128"/>
      <c r="T205" s="66"/>
      <c r="U205" s="128"/>
      <c r="W205" s="128"/>
      <c r="X205" s="12"/>
      <c r="Y205" t="str">
        <f t="shared" si="21"/>
        <v/>
      </c>
      <c r="Z205" t="str">
        <f t="shared" si="21"/>
        <v/>
      </c>
      <c r="AA205" s="12"/>
      <c r="AB205" s="95" t="e">
        <f t="shared" si="22"/>
        <v>#VALUE!</v>
      </c>
      <c r="AC205" s="95" t="e">
        <f t="shared" si="23"/>
        <v>#VALUE!</v>
      </c>
      <c r="AD205" s="12"/>
    </row>
    <row r="206" spans="1:30" ht="15.75" thickBot="1" x14ac:dyDescent="0.3">
      <c r="A206" s="12"/>
      <c r="B206" s="22"/>
      <c r="C206" t="str">
        <f>IF(AND('ENTRY DATA'!D206=""),"",('ENTRY DATA'!D206))</f>
        <v/>
      </c>
      <c r="D206" t="str">
        <f>IF(AND('ENTRY DATA'!F206=""),"",('ENTRY DATA'!F206))</f>
        <v/>
      </c>
      <c r="E206" s="34" t="str">
        <f>IF(AND('ENTRY DATA'!B206=""),"",('ENTRY DATA'!B206))</f>
        <v/>
      </c>
      <c r="F206" s="12"/>
      <c r="G206" s="12"/>
      <c r="H206" s="73"/>
      <c r="I206" s="71"/>
      <c r="J206" s="73"/>
      <c r="K206" s="12"/>
      <c r="L206" s="20">
        <f t="shared" si="18"/>
        <v>0</v>
      </c>
      <c r="M206" s="19" t="str">
        <f t="shared" si="19"/>
        <v/>
      </c>
      <c r="N206" s="12"/>
      <c r="O206" s="119"/>
      <c r="P206" s="95" t="str">
        <f t="shared" si="20"/>
        <v/>
      </c>
      <c r="Q206" s="12"/>
      <c r="S206" s="128"/>
      <c r="T206" s="66"/>
      <c r="U206" s="128"/>
      <c r="W206" s="128"/>
      <c r="X206" s="12"/>
      <c r="Y206" t="str">
        <f t="shared" si="21"/>
        <v/>
      </c>
      <c r="Z206" t="str">
        <f t="shared" si="21"/>
        <v/>
      </c>
      <c r="AA206" s="12"/>
      <c r="AB206" s="95" t="e">
        <f t="shared" si="22"/>
        <v>#VALUE!</v>
      </c>
      <c r="AC206" s="95" t="e">
        <f t="shared" si="23"/>
        <v>#VALUE!</v>
      </c>
      <c r="AD206" s="12"/>
    </row>
    <row r="207" spans="1:30" ht="15.75" thickBot="1" x14ac:dyDescent="0.3">
      <c r="A207" s="12"/>
      <c r="B207" s="22"/>
      <c r="C207" t="str">
        <f>IF(AND('ENTRY DATA'!D207=""),"",('ENTRY DATA'!D207))</f>
        <v/>
      </c>
      <c r="D207" t="str">
        <f>IF(AND('ENTRY DATA'!F207=""),"",('ENTRY DATA'!F207))</f>
        <v/>
      </c>
      <c r="E207" s="34" t="str">
        <f>IF(AND('ENTRY DATA'!B207=""),"",('ENTRY DATA'!B207))</f>
        <v/>
      </c>
      <c r="F207" s="12"/>
      <c r="G207" s="12"/>
      <c r="H207" s="73"/>
      <c r="I207" s="71"/>
      <c r="J207" s="73"/>
      <c r="K207" s="12"/>
      <c r="L207" s="20">
        <f t="shared" si="18"/>
        <v>0</v>
      </c>
      <c r="M207" s="19" t="str">
        <f t="shared" si="19"/>
        <v/>
      </c>
      <c r="N207" s="12"/>
      <c r="O207" s="119"/>
      <c r="P207" s="95" t="str">
        <f t="shared" si="20"/>
        <v/>
      </c>
      <c r="Q207" s="12"/>
      <c r="S207" s="128"/>
      <c r="T207" s="66"/>
      <c r="U207" s="128"/>
      <c r="W207" s="128"/>
      <c r="X207" s="12"/>
      <c r="Y207" t="str">
        <f t="shared" si="21"/>
        <v/>
      </c>
      <c r="Z207" t="str">
        <f t="shared" si="21"/>
        <v/>
      </c>
      <c r="AA207" s="12"/>
      <c r="AB207" s="95" t="e">
        <f t="shared" si="22"/>
        <v>#VALUE!</v>
      </c>
      <c r="AC207" s="95" t="e">
        <f t="shared" si="23"/>
        <v>#VALUE!</v>
      </c>
      <c r="AD207" s="12"/>
    </row>
    <row r="208" spans="1:30" ht="15.75" thickBot="1" x14ac:dyDescent="0.3">
      <c r="A208" s="12"/>
      <c r="B208" s="22"/>
      <c r="C208" t="str">
        <f>IF(AND('ENTRY DATA'!D208=""),"",('ENTRY DATA'!D208))</f>
        <v/>
      </c>
      <c r="D208" t="str">
        <f>IF(AND('ENTRY DATA'!F208=""),"",('ENTRY DATA'!F208))</f>
        <v/>
      </c>
      <c r="E208" s="34" t="str">
        <f>IF(AND('ENTRY DATA'!B208=""),"",('ENTRY DATA'!B208))</f>
        <v/>
      </c>
      <c r="F208" s="12"/>
      <c r="G208" s="12"/>
      <c r="H208" s="73"/>
      <c r="I208" s="71"/>
      <c r="J208" s="73"/>
      <c r="K208" s="12"/>
      <c r="L208" s="20">
        <f t="shared" si="18"/>
        <v>0</v>
      </c>
      <c r="M208" s="19" t="str">
        <f t="shared" si="19"/>
        <v/>
      </c>
      <c r="N208" s="12"/>
      <c r="O208" s="119"/>
      <c r="P208" s="95" t="str">
        <f t="shared" si="20"/>
        <v/>
      </c>
      <c r="Q208" s="12"/>
      <c r="S208" s="128"/>
      <c r="T208" s="66"/>
      <c r="U208" s="128"/>
      <c r="W208" s="128"/>
      <c r="X208" s="12"/>
      <c r="Y208" t="str">
        <f t="shared" si="21"/>
        <v/>
      </c>
      <c r="Z208" t="str">
        <f t="shared" si="21"/>
        <v/>
      </c>
      <c r="AA208" s="12"/>
      <c r="AB208" s="95" t="e">
        <f t="shared" si="22"/>
        <v>#VALUE!</v>
      </c>
      <c r="AC208" s="95" t="e">
        <f t="shared" si="23"/>
        <v>#VALUE!</v>
      </c>
      <c r="AD208" s="12"/>
    </row>
    <row r="209" spans="1:30" ht="15.75" thickBot="1" x14ac:dyDescent="0.3">
      <c r="A209" s="12"/>
      <c r="B209" s="22"/>
      <c r="C209" t="str">
        <f>IF(AND('ENTRY DATA'!D209=""),"",('ENTRY DATA'!D209))</f>
        <v/>
      </c>
      <c r="D209" t="str">
        <f>IF(AND('ENTRY DATA'!F209=""),"",('ENTRY DATA'!F209))</f>
        <v/>
      </c>
      <c r="E209" s="34" t="str">
        <f>IF(AND('ENTRY DATA'!B209=""),"",('ENTRY DATA'!B209))</f>
        <v/>
      </c>
      <c r="F209" s="12"/>
      <c r="G209" s="12"/>
      <c r="H209" s="73"/>
      <c r="I209" s="71"/>
      <c r="J209" s="73"/>
      <c r="K209" s="12"/>
      <c r="L209" s="20">
        <f t="shared" si="18"/>
        <v>0</v>
      </c>
      <c r="M209" s="19" t="str">
        <f t="shared" si="19"/>
        <v/>
      </c>
      <c r="N209" s="12"/>
      <c r="O209" s="119"/>
      <c r="P209" s="95" t="str">
        <f t="shared" si="20"/>
        <v/>
      </c>
      <c r="Q209" s="12"/>
      <c r="S209" s="128"/>
      <c r="T209" s="66"/>
      <c r="U209" s="128"/>
      <c r="W209" s="128"/>
      <c r="X209" s="12"/>
      <c r="Y209" t="str">
        <f t="shared" si="21"/>
        <v/>
      </c>
      <c r="Z209" t="str">
        <f t="shared" si="21"/>
        <v/>
      </c>
      <c r="AA209" s="12"/>
      <c r="AB209" s="95" t="e">
        <f t="shared" si="22"/>
        <v>#VALUE!</v>
      </c>
      <c r="AC209" s="95" t="e">
        <f t="shared" si="23"/>
        <v>#VALUE!</v>
      </c>
      <c r="AD209" s="12"/>
    </row>
    <row r="210" spans="1:30" ht="15.75" thickBot="1" x14ac:dyDescent="0.3">
      <c r="A210" s="12"/>
      <c r="B210" s="22"/>
      <c r="C210" t="str">
        <f>IF(AND('ENTRY DATA'!D210=""),"",('ENTRY DATA'!D210))</f>
        <v/>
      </c>
      <c r="D210" t="str">
        <f>IF(AND('ENTRY DATA'!F210=""),"",('ENTRY DATA'!F210))</f>
        <v/>
      </c>
      <c r="E210" s="34" t="str">
        <f>IF(AND('ENTRY DATA'!B210=""),"",('ENTRY DATA'!B210))</f>
        <v/>
      </c>
      <c r="F210" s="12"/>
      <c r="G210" s="12"/>
      <c r="H210" s="73"/>
      <c r="I210" s="71"/>
      <c r="J210" s="73"/>
      <c r="K210" s="12"/>
      <c r="L210" s="20">
        <f t="shared" si="18"/>
        <v>0</v>
      </c>
      <c r="M210" s="19" t="str">
        <f t="shared" si="19"/>
        <v/>
      </c>
      <c r="N210" s="12"/>
      <c r="O210" s="119"/>
      <c r="P210" s="95" t="str">
        <f t="shared" si="20"/>
        <v/>
      </c>
      <c r="Q210" s="12"/>
      <c r="S210" s="128"/>
      <c r="T210" s="66"/>
      <c r="U210" s="128"/>
      <c r="W210" s="128"/>
      <c r="X210" s="12"/>
      <c r="Y210" t="str">
        <f t="shared" si="21"/>
        <v/>
      </c>
      <c r="Z210" t="str">
        <f t="shared" si="21"/>
        <v/>
      </c>
      <c r="AA210" s="12"/>
      <c r="AB210" s="95" t="e">
        <f t="shared" si="22"/>
        <v>#VALUE!</v>
      </c>
      <c r="AC210" s="95" t="e">
        <f t="shared" si="23"/>
        <v>#VALUE!</v>
      </c>
      <c r="AD210" s="12"/>
    </row>
    <row r="211" spans="1:30" ht="15.75" thickBot="1" x14ac:dyDescent="0.3">
      <c r="A211" s="12"/>
      <c r="B211" s="22"/>
      <c r="C211" t="str">
        <f>IF(AND('ENTRY DATA'!D211=""),"",('ENTRY DATA'!D211))</f>
        <v/>
      </c>
      <c r="D211" t="str">
        <f>IF(AND('ENTRY DATA'!F211=""),"",('ENTRY DATA'!F211))</f>
        <v/>
      </c>
      <c r="E211" s="34" t="str">
        <f>IF(AND('ENTRY DATA'!B211=""),"",('ENTRY DATA'!B211))</f>
        <v/>
      </c>
      <c r="F211" s="12"/>
      <c r="G211" s="12"/>
      <c r="H211" s="73"/>
      <c r="I211" s="71"/>
      <c r="J211" s="73"/>
      <c r="K211" s="12"/>
      <c r="L211" s="20">
        <f t="shared" si="18"/>
        <v>0</v>
      </c>
      <c r="M211" s="19" t="str">
        <f t="shared" si="19"/>
        <v/>
      </c>
      <c r="N211" s="12"/>
      <c r="O211" s="119"/>
      <c r="P211" s="95" t="str">
        <f t="shared" si="20"/>
        <v/>
      </c>
      <c r="Q211" s="12"/>
      <c r="S211" s="128"/>
      <c r="T211" s="66"/>
      <c r="U211" s="128"/>
      <c r="W211" s="128"/>
      <c r="X211" s="12"/>
      <c r="Y211" t="str">
        <f t="shared" si="21"/>
        <v/>
      </c>
      <c r="Z211" t="str">
        <f t="shared" si="21"/>
        <v/>
      </c>
      <c r="AA211" s="12"/>
      <c r="AB211" s="95" t="e">
        <f t="shared" si="22"/>
        <v>#VALUE!</v>
      </c>
      <c r="AC211" s="95" t="e">
        <f t="shared" si="23"/>
        <v>#VALUE!</v>
      </c>
      <c r="AD211" s="12"/>
    </row>
    <row r="212" spans="1:30" ht="15.75" thickBot="1" x14ac:dyDescent="0.3">
      <c r="A212" s="12"/>
      <c r="B212" s="22"/>
      <c r="C212" t="str">
        <f>IF(AND('ENTRY DATA'!D212=""),"",('ENTRY DATA'!D212))</f>
        <v/>
      </c>
      <c r="D212" t="str">
        <f>IF(AND('ENTRY DATA'!F212=""),"",('ENTRY DATA'!F212))</f>
        <v/>
      </c>
      <c r="E212" s="34" t="str">
        <f>IF(AND('ENTRY DATA'!B212=""),"",('ENTRY DATA'!B212))</f>
        <v/>
      </c>
      <c r="F212" s="12"/>
      <c r="G212" s="12"/>
      <c r="H212" s="73"/>
      <c r="I212" s="71"/>
      <c r="J212" s="73"/>
      <c r="K212" s="12"/>
      <c r="L212" s="20">
        <f t="shared" si="18"/>
        <v>0</v>
      </c>
      <c r="M212" s="19" t="str">
        <f t="shared" si="19"/>
        <v/>
      </c>
      <c r="N212" s="12"/>
      <c r="O212" s="119"/>
      <c r="P212" s="95" t="str">
        <f t="shared" si="20"/>
        <v/>
      </c>
      <c r="Q212" s="12"/>
      <c r="S212" s="128"/>
      <c r="T212" s="66"/>
      <c r="U212" s="128"/>
      <c r="W212" s="128"/>
      <c r="X212" s="12"/>
      <c r="Y212" t="str">
        <f t="shared" si="21"/>
        <v/>
      </c>
      <c r="Z212" t="str">
        <f t="shared" si="21"/>
        <v/>
      </c>
      <c r="AA212" s="12"/>
      <c r="AB212" s="95" t="e">
        <f t="shared" si="22"/>
        <v>#VALUE!</v>
      </c>
      <c r="AC212" s="95" t="e">
        <f t="shared" si="23"/>
        <v>#VALUE!</v>
      </c>
      <c r="AD212" s="12"/>
    </row>
    <row r="213" spans="1:30" ht="15.75" thickBot="1" x14ac:dyDescent="0.3">
      <c r="A213" s="12"/>
      <c r="B213" s="22"/>
      <c r="C213" t="str">
        <f>IF(AND('ENTRY DATA'!D213=""),"",('ENTRY DATA'!D213))</f>
        <v/>
      </c>
      <c r="D213" t="str">
        <f>IF(AND('ENTRY DATA'!F213=""),"",('ENTRY DATA'!F213))</f>
        <v/>
      </c>
      <c r="E213" s="34" t="str">
        <f>IF(AND('ENTRY DATA'!B213=""),"",('ENTRY DATA'!B213))</f>
        <v/>
      </c>
      <c r="F213" s="12"/>
      <c r="G213" s="12"/>
      <c r="H213" s="73"/>
      <c r="I213" s="71"/>
      <c r="J213" s="73"/>
      <c r="K213" s="12"/>
      <c r="L213" s="20">
        <f t="shared" si="18"/>
        <v>0</v>
      </c>
      <c r="M213" s="19" t="str">
        <f t="shared" si="19"/>
        <v/>
      </c>
      <c r="N213" s="12"/>
      <c r="O213" s="119"/>
      <c r="P213" s="95" t="str">
        <f t="shared" si="20"/>
        <v/>
      </c>
      <c r="Q213" s="12"/>
      <c r="S213" s="128"/>
      <c r="T213" s="66"/>
      <c r="U213" s="128"/>
      <c r="W213" s="128"/>
      <c r="X213" s="12"/>
      <c r="Y213" t="str">
        <f t="shared" si="21"/>
        <v/>
      </c>
      <c r="Z213" t="str">
        <f t="shared" si="21"/>
        <v/>
      </c>
      <c r="AA213" s="12"/>
      <c r="AB213" s="95" t="e">
        <f t="shared" si="22"/>
        <v>#VALUE!</v>
      </c>
      <c r="AC213" s="95" t="e">
        <f t="shared" si="23"/>
        <v>#VALUE!</v>
      </c>
      <c r="AD213" s="12"/>
    </row>
    <row r="214" spans="1:30" ht="15.75" thickBot="1" x14ac:dyDescent="0.3">
      <c r="A214" s="12"/>
      <c r="B214" s="22"/>
      <c r="C214" t="str">
        <f>IF(AND('ENTRY DATA'!D214=""),"",('ENTRY DATA'!D214))</f>
        <v/>
      </c>
      <c r="D214" t="str">
        <f>IF(AND('ENTRY DATA'!F214=""),"",('ENTRY DATA'!F214))</f>
        <v/>
      </c>
      <c r="E214" s="34" t="str">
        <f>IF(AND('ENTRY DATA'!B214=""),"",('ENTRY DATA'!B214))</f>
        <v/>
      </c>
      <c r="F214" s="12"/>
      <c r="G214" s="12"/>
      <c r="H214" s="73"/>
      <c r="I214" s="71"/>
      <c r="J214" s="73"/>
      <c r="K214" s="12"/>
      <c r="L214" s="20">
        <f t="shared" si="18"/>
        <v>0</v>
      </c>
      <c r="M214" s="19" t="str">
        <f t="shared" si="19"/>
        <v/>
      </c>
      <c r="N214" s="12"/>
      <c r="O214" s="119"/>
      <c r="P214" s="95" t="str">
        <f t="shared" si="20"/>
        <v/>
      </c>
      <c r="Q214" s="12"/>
      <c r="S214" s="128"/>
      <c r="T214" s="66"/>
      <c r="U214" s="128"/>
      <c r="W214" s="128"/>
      <c r="X214" s="12"/>
      <c r="Y214" t="str">
        <f t="shared" si="21"/>
        <v/>
      </c>
      <c r="Z214" t="str">
        <f t="shared" si="21"/>
        <v/>
      </c>
      <c r="AA214" s="12"/>
      <c r="AB214" s="95" t="e">
        <f t="shared" si="22"/>
        <v>#VALUE!</v>
      </c>
      <c r="AC214" s="95" t="e">
        <f t="shared" si="23"/>
        <v>#VALUE!</v>
      </c>
      <c r="AD214" s="12"/>
    </row>
    <row r="215" spans="1:30" ht="15.75" thickBot="1" x14ac:dyDescent="0.3">
      <c r="A215" s="12"/>
      <c r="B215" s="22"/>
      <c r="C215" t="str">
        <f>IF(AND('ENTRY DATA'!D215=""),"",('ENTRY DATA'!D215))</f>
        <v/>
      </c>
      <c r="D215" t="str">
        <f>IF(AND('ENTRY DATA'!F215=""),"",('ENTRY DATA'!F215))</f>
        <v/>
      </c>
      <c r="E215" s="34" t="str">
        <f>IF(AND('ENTRY DATA'!B215=""),"",('ENTRY DATA'!B215))</f>
        <v/>
      </c>
      <c r="F215" s="12"/>
      <c r="G215" s="12"/>
      <c r="H215" s="73"/>
      <c r="I215" s="71"/>
      <c r="J215" s="73"/>
      <c r="K215" s="12"/>
      <c r="L215" s="20">
        <f t="shared" si="18"/>
        <v>0</v>
      </c>
      <c r="M215" s="19" t="str">
        <f t="shared" si="19"/>
        <v/>
      </c>
      <c r="N215" s="12"/>
      <c r="O215" s="119"/>
      <c r="P215" s="95" t="str">
        <f t="shared" si="20"/>
        <v/>
      </c>
      <c r="Q215" s="12"/>
      <c r="S215" s="128"/>
      <c r="T215" s="66"/>
      <c r="U215" s="128"/>
      <c r="W215" s="128"/>
      <c r="X215" s="12"/>
      <c r="Y215" t="str">
        <f t="shared" si="21"/>
        <v/>
      </c>
      <c r="Z215" t="str">
        <f t="shared" si="21"/>
        <v/>
      </c>
      <c r="AA215" s="12"/>
      <c r="AB215" s="95" t="e">
        <f t="shared" si="22"/>
        <v>#VALUE!</v>
      </c>
      <c r="AC215" s="95" t="e">
        <f t="shared" si="23"/>
        <v>#VALUE!</v>
      </c>
      <c r="AD215" s="12"/>
    </row>
    <row r="216" spans="1:30" ht="15.75" thickBot="1" x14ac:dyDescent="0.3">
      <c r="A216" s="12"/>
      <c r="B216" s="22"/>
      <c r="C216" t="str">
        <f>IF(AND('ENTRY DATA'!D216=""),"",('ENTRY DATA'!D216))</f>
        <v/>
      </c>
      <c r="D216" t="str">
        <f>IF(AND('ENTRY DATA'!F216=""),"",('ENTRY DATA'!F216))</f>
        <v/>
      </c>
      <c r="E216" s="34" t="str">
        <f>IF(AND('ENTRY DATA'!B216=""),"",('ENTRY DATA'!B216))</f>
        <v/>
      </c>
      <c r="F216" s="12"/>
      <c r="G216" s="12"/>
      <c r="H216" s="73"/>
      <c r="I216" s="71"/>
      <c r="J216" s="73"/>
      <c r="K216" s="12"/>
      <c r="L216" s="20">
        <f t="shared" si="18"/>
        <v>0</v>
      </c>
      <c r="M216" s="19" t="str">
        <f t="shared" si="19"/>
        <v/>
      </c>
      <c r="N216" s="12"/>
      <c r="O216" s="119"/>
      <c r="P216" s="95" t="str">
        <f t="shared" si="20"/>
        <v/>
      </c>
      <c r="Q216" s="12"/>
      <c r="S216" s="128"/>
      <c r="T216" s="66"/>
      <c r="U216" s="128"/>
      <c r="W216" s="128"/>
      <c r="X216" s="12"/>
      <c r="Y216" t="str">
        <f t="shared" si="21"/>
        <v/>
      </c>
      <c r="Z216" t="str">
        <f t="shared" si="21"/>
        <v/>
      </c>
      <c r="AA216" s="12"/>
      <c r="AB216" s="95" t="e">
        <f t="shared" si="22"/>
        <v>#VALUE!</v>
      </c>
      <c r="AC216" s="95" t="e">
        <f t="shared" si="23"/>
        <v>#VALUE!</v>
      </c>
      <c r="AD216" s="12"/>
    </row>
    <row r="217" spans="1:30" ht="15.75" thickBot="1" x14ac:dyDescent="0.3">
      <c r="A217" s="12"/>
      <c r="B217" s="22"/>
      <c r="C217" t="str">
        <f>IF(AND('ENTRY DATA'!D217=""),"",('ENTRY DATA'!D217))</f>
        <v/>
      </c>
      <c r="D217" t="str">
        <f>IF(AND('ENTRY DATA'!F217=""),"",('ENTRY DATA'!F217))</f>
        <v/>
      </c>
      <c r="E217" s="34" t="str">
        <f>IF(AND('ENTRY DATA'!B217=""),"",('ENTRY DATA'!B217))</f>
        <v/>
      </c>
      <c r="F217" s="12"/>
      <c r="G217" s="12"/>
      <c r="H217" s="73"/>
      <c r="I217" s="71"/>
      <c r="J217" s="73"/>
      <c r="K217" s="12"/>
      <c r="L217" s="20">
        <f t="shared" si="18"/>
        <v>0</v>
      </c>
      <c r="M217" s="19" t="str">
        <f t="shared" si="19"/>
        <v/>
      </c>
      <c r="N217" s="12"/>
      <c r="O217" s="119"/>
      <c r="P217" s="95" t="str">
        <f t="shared" si="20"/>
        <v/>
      </c>
      <c r="Q217" s="12"/>
      <c r="S217" s="128"/>
      <c r="T217" s="66"/>
      <c r="U217" s="128"/>
      <c r="W217" s="128"/>
      <c r="X217" s="12"/>
      <c r="Y217" t="str">
        <f t="shared" si="21"/>
        <v/>
      </c>
      <c r="Z217" t="str">
        <f t="shared" si="21"/>
        <v/>
      </c>
      <c r="AA217" s="12"/>
      <c r="AB217" s="95" t="e">
        <f t="shared" si="22"/>
        <v>#VALUE!</v>
      </c>
      <c r="AC217" s="95" t="e">
        <f t="shared" si="23"/>
        <v>#VALUE!</v>
      </c>
      <c r="AD217" s="12"/>
    </row>
    <row r="218" spans="1:30" ht="15.75" thickBot="1" x14ac:dyDescent="0.3">
      <c r="A218" s="12"/>
      <c r="B218" s="22"/>
      <c r="C218" t="str">
        <f>IF(AND('ENTRY DATA'!D218=""),"",('ENTRY DATA'!D218))</f>
        <v/>
      </c>
      <c r="D218" t="str">
        <f>IF(AND('ENTRY DATA'!F218=""),"",('ENTRY DATA'!F218))</f>
        <v/>
      </c>
      <c r="E218" s="34" t="str">
        <f>IF(AND('ENTRY DATA'!B218=""),"",('ENTRY DATA'!B218))</f>
        <v/>
      </c>
      <c r="F218" s="12"/>
      <c r="G218" s="12"/>
      <c r="H218" s="73"/>
      <c r="I218" s="71"/>
      <c r="J218" s="73"/>
      <c r="K218" s="12"/>
      <c r="L218" s="20">
        <f t="shared" si="18"/>
        <v>0</v>
      </c>
      <c r="M218" s="19" t="str">
        <f t="shared" si="19"/>
        <v/>
      </c>
      <c r="N218" s="12"/>
      <c r="O218" s="119"/>
      <c r="P218" s="95" t="str">
        <f t="shared" si="20"/>
        <v/>
      </c>
      <c r="Q218" s="12"/>
      <c r="S218" s="128"/>
      <c r="T218" s="66"/>
      <c r="U218" s="128"/>
      <c r="W218" s="128"/>
      <c r="X218" s="12"/>
      <c r="Y218" t="str">
        <f t="shared" si="21"/>
        <v/>
      </c>
      <c r="Z218" t="str">
        <f t="shared" si="21"/>
        <v/>
      </c>
      <c r="AA218" s="12"/>
      <c r="AB218" s="95" t="e">
        <f t="shared" si="22"/>
        <v>#VALUE!</v>
      </c>
      <c r="AC218" s="95" t="e">
        <f t="shared" si="23"/>
        <v>#VALUE!</v>
      </c>
      <c r="AD218" s="12"/>
    </row>
    <row r="219" spans="1:30" ht="15.75" thickBot="1" x14ac:dyDescent="0.3">
      <c r="A219" s="12"/>
      <c r="B219" s="22"/>
      <c r="C219" t="str">
        <f>IF(AND('ENTRY DATA'!D219=""),"",('ENTRY DATA'!D219))</f>
        <v/>
      </c>
      <c r="D219" t="str">
        <f>IF(AND('ENTRY DATA'!F219=""),"",('ENTRY DATA'!F219))</f>
        <v/>
      </c>
      <c r="E219" s="34" t="str">
        <f>IF(AND('ENTRY DATA'!B219=""),"",('ENTRY DATA'!B219))</f>
        <v/>
      </c>
      <c r="F219" s="12"/>
      <c r="G219" s="12"/>
      <c r="H219" s="73"/>
      <c r="I219" s="71"/>
      <c r="J219" s="73"/>
      <c r="K219" s="12"/>
      <c r="L219" s="20">
        <f t="shared" si="18"/>
        <v>0</v>
      </c>
      <c r="M219" s="19" t="str">
        <f t="shared" si="19"/>
        <v/>
      </c>
      <c r="N219" s="12"/>
      <c r="O219" s="119"/>
      <c r="P219" s="95" t="str">
        <f t="shared" si="20"/>
        <v/>
      </c>
      <c r="Q219" s="12"/>
      <c r="S219" s="128"/>
      <c r="T219" s="66"/>
      <c r="U219" s="128"/>
      <c r="W219" s="128"/>
      <c r="X219" s="12"/>
      <c r="Y219" t="str">
        <f t="shared" si="21"/>
        <v/>
      </c>
      <c r="Z219" t="str">
        <f t="shared" si="21"/>
        <v/>
      </c>
      <c r="AA219" s="12"/>
      <c r="AB219" s="95" t="e">
        <f t="shared" si="22"/>
        <v>#VALUE!</v>
      </c>
      <c r="AC219" s="95" t="e">
        <f t="shared" si="23"/>
        <v>#VALUE!</v>
      </c>
      <c r="AD219" s="12"/>
    </row>
    <row r="220" spans="1:30" ht="15.75" thickBot="1" x14ac:dyDescent="0.3">
      <c r="A220" s="12"/>
      <c r="B220" s="22"/>
      <c r="C220" t="str">
        <f>IF(AND('ENTRY DATA'!D220=""),"",('ENTRY DATA'!D220))</f>
        <v/>
      </c>
      <c r="D220" t="str">
        <f>IF(AND('ENTRY DATA'!F220=""),"",('ENTRY DATA'!F220))</f>
        <v/>
      </c>
      <c r="E220" s="34" t="str">
        <f>IF(AND('ENTRY DATA'!B220=""),"",('ENTRY DATA'!B220))</f>
        <v/>
      </c>
      <c r="F220" s="12"/>
      <c r="G220" s="12"/>
      <c r="H220" s="73"/>
      <c r="I220" s="71"/>
      <c r="J220" s="73"/>
      <c r="K220" s="12"/>
      <c r="L220" s="20">
        <f t="shared" si="18"/>
        <v>0</v>
      </c>
      <c r="M220" s="19" t="str">
        <f t="shared" si="19"/>
        <v/>
      </c>
      <c r="N220" s="12"/>
      <c r="O220" s="119"/>
      <c r="P220" s="95" t="str">
        <f t="shared" si="20"/>
        <v/>
      </c>
      <c r="Q220" s="12"/>
      <c r="S220" s="128"/>
      <c r="T220" s="66"/>
      <c r="U220" s="128"/>
      <c r="W220" s="128"/>
      <c r="X220" s="12"/>
      <c r="Y220" t="str">
        <f t="shared" si="21"/>
        <v/>
      </c>
      <c r="Z220" t="str">
        <f t="shared" si="21"/>
        <v/>
      </c>
      <c r="AA220" s="12"/>
      <c r="AB220" s="95" t="e">
        <f t="shared" si="22"/>
        <v>#VALUE!</v>
      </c>
      <c r="AC220" s="95" t="e">
        <f t="shared" si="23"/>
        <v>#VALUE!</v>
      </c>
      <c r="AD220" s="12"/>
    </row>
    <row r="221" spans="1:30" ht="15.75" thickBot="1" x14ac:dyDescent="0.3">
      <c r="A221" s="12"/>
      <c r="B221" s="22"/>
      <c r="C221" t="str">
        <f>IF(AND('ENTRY DATA'!D221=""),"",('ENTRY DATA'!D221))</f>
        <v/>
      </c>
      <c r="D221" t="str">
        <f>IF(AND('ENTRY DATA'!F221=""),"",('ENTRY DATA'!F221))</f>
        <v/>
      </c>
      <c r="E221" s="34" t="str">
        <f>IF(AND('ENTRY DATA'!B221=""),"",('ENTRY DATA'!B221))</f>
        <v/>
      </c>
      <c r="F221" s="12"/>
      <c r="G221" s="12"/>
      <c r="H221" s="73"/>
      <c r="I221" s="71"/>
      <c r="J221" s="73"/>
      <c r="K221" s="12"/>
      <c r="L221" s="20">
        <f t="shared" si="18"/>
        <v>0</v>
      </c>
      <c r="M221" s="19" t="str">
        <f t="shared" si="19"/>
        <v/>
      </c>
      <c r="N221" s="12"/>
      <c r="O221" s="119"/>
      <c r="P221" s="95" t="str">
        <f t="shared" si="20"/>
        <v/>
      </c>
      <c r="Q221" s="12"/>
      <c r="S221" s="128"/>
      <c r="T221" s="66"/>
      <c r="U221" s="128"/>
      <c r="W221" s="128"/>
      <c r="X221" s="12"/>
      <c r="Y221" t="str">
        <f t="shared" si="21"/>
        <v/>
      </c>
      <c r="Z221" t="str">
        <f t="shared" si="21"/>
        <v/>
      </c>
      <c r="AA221" s="12"/>
      <c r="AB221" s="95" t="e">
        <f t="shared" si="22"/>
        <v>#VALUE!</v>
      </c>
      <c r="AC221" s="95" t="e">
        <f t="shared" si="23"/>
        <v>#VALUE!</v>
      </c>
      <c r="AD221" s="12"/>
    </row>
    <row r="222" spans="1:30" ht="15.75" thickBot="1" x14ac:dyDescent="0.3">
      <c r="A222" s="12"/>
      <c r="B222" s="22"/>
      <c r="C222" t="str">
        <f>IF(AND('ENTRY DATA'!D222=""),"",('ENTRY DATA'!D222))</f>
        <v/>
      </c>
      <c r="D222" t="str">
        <f>IF(AND('ENTRY DATA'!F222=""),"",('ENTRY DATA'!F222))</f>
        <v/>
      </c>
      <c r="E222" s="34" t="str">
        <f>IF(AND('ENTRY DATA'!B222=""),"",('ENTRY DATA'!B222))</f>
        <v/>
      </c>
      <c r="F222" s="12"/>
      <c r="G222" s="12"/>
      <c r="H222" s="73"/>
      <c r="I222" s="71"/>
      <c r="J222" s="73"/>
      <c r="K222" s="12"/>
      <c r="L222" s="20">
        <f t="shared" si="18"/>
        <v>0</v>
      </c>
      <c r="M222" s="19" t="str">
        <f t="shared" si="19"/>
        <v/>
      </c>
      <c r="N222" s="12"/>
      <c r="O222" s="119"/>
      <c r="P222" s="95" t="str">
        <f t="shared" si="20"/>
        <v/>
      </c>
      <c r="Q222" s="12"/>
      <c r="S222" s="128"/>
      <c r="T222" s="66"/>
      <c r="U222" s="128"/>
      <c r="W222" s="128"/>
      <c r="X222" s="12"/>
      <c r="Y222" t="str">
        <f t="shared" si="21"/>
        <v/>
      </c>
      <c r="Z222" t="str">
        <f t="shared" si="21"/>
        <v/>
      </c>
      <c r="AA222" s="12"/>
      <c r="AB222" s="95" t="e">
        <f t="shared" si="22"/>
        <v>#VALUE!</v>
      </c>
      <c r="AC222" s="95" t="e">
        <f t="shared" si="23"/>
        <v>#VALUE!</v>
      </c>
      <c r="AD222" s="12"/>
    </row>
    <row r="223" spans="1:30" ht="15.75" thickBot="1" x14ac:dyDescent="0.3">
      <c r="A223" s="12"/>
      <c r="B223" s="22"/>
      <c r="C223" t="str">
        <f>IF(AND('ENTRY DATA'!D223=""),"",('ENTRY DATA'!D223))</f>
        <v/>
      </c>
      <c r="D223" t="str">
        <f>IF(AND('ENTRY DATA'!F223=""),"",('ENTRY DATA'!F223))</f>
        <v/>
      </c>
      <c r="E223" s="34" t="str">
        <f>IF(AND('ENTRY DATA'!B223=""),"",('ENTRY DATA'!B223))</f>
        <v/>
      </c>
      <c r="F223" s="12"/>
      <c r="G223" s="12"/>
      <c r="H223" s="73"/>
      <c r="I223" s="71"/>
      <c r="J223" s="73"/>
      <c r="K223" s="12"/>
      <c r="L223" s="20">
        <f t="shared" si="18"/>
        <v>0</v>
      </c>
      <c r="M223" s="19" t="str">
        <f t="shared" si="19"/>
        <v/>
      </c>
      <c r="N223" s="12"/>
      <c r="O223" s="119"/>
      <c r="P223" s="95" t="str">
        <f t="shared" si="20"/>
        <v/>
      </c>
      <c r="Q223" s="12"/>
      <c r="S223" s="128"/>
      <c r="T223" s="66"/>
      <c r="U223" s="128"/>
      <c r="W223" s="128"/>
      <c r="X223" s="12"/>
      <c r="Y223" t="str">
        <f t="shared" si="21"/>
        <v/>
      </c>
      <c r="Z223" t="str">
        <f t="shared" si="21"/>
        <v/>
      </c>
      <c r="AA223" s="12"/>
      <c r="AB223" s="95" t="e">
        <f t="shared" si="22"/>
        <v>#VALUE!</v>
      </c>
      <c r="AC223" s="95" t="e">
        <f t="shared" si="23"/>
        <v>#VALUE!</v>
      </c>
      <c r="AD223" s="12"/>
    </row>
    <row r="224" spans="1:30" ht="15.75" thickBot="1" x14ac:dyDescent="0.3">
      <c r="A224" s="12"/>
      <c r="B224" s="22"/>
      <c r="C224" t="str">
        <f>IF(AND('ENTRY DATA'!D224=""),"",('ENTRY DATA'!D224))</f>
        <v/>
      </c>
      <c r="D224" t="str">
        <f>IF(AND('ENTRY DATA'!F224=""),"",('ENTRY DATA'!F224))</f>
        <v/>
      </c>
      <c r="E224" s="34" t="str">
        <f>IF(AND('ENTRY DATA'!B224=""),"",('ENTRY DATA'!B224))</f>
        <v/>
      </c>
      <c r="F224" s="12"/>
      <c r="G224" s="12"/>
      <c r="H224" s="73"/>
      <c r="I224" s="71"/>
      <c r="J224" s="73"/>
      <c r="K224" s="12"/>
      <c r="L224" s="20">
        <f t="shared" si="18"/>
        <v>0</v>
      </c>
      <c r="M224" s="19" t="str">
        <f t="shared" si="19"/>
        <v/>
      </c>
      <c r="N224" s="12"/>
      <c r="O224" s="119"/>
      <c r="P224" s="95" t="str">
        <f t="shared" si="20"/>
        <v/>
      </c>
      <c r="Q224" s="12"/>
      <c r="S224" s="128"/>
      <c r="T224" s="66"/>
      <c r="U224" s="128"/>
      <c r="W224" s="128"/>
      <c r="X224" s="12"/>
      <c r="Y224" t="str">
        <f t="shared" si="21"/>
        <v/>
      </c>
      <c r="Z224" t="str">
        <f t="shared" si="21"/>
        <v/>
      </c>
      <c r="AA224" s="12"/>
      <c r="AB224" s="95" t="e">
        <f t="shared" si="22"/>
        <v>#VALUE!</v>
      </c>
      <c r="AC224" s="95" t="e">
        <f t="shared" si="23"/>
        <v>#VALUE!</v>
      </c>
      <c r="AD224" s="12"/>
    </row>
    <row r="225" spans="1:30" ht="15.75" thickBot="1" x14ac:dyDescent="0.3">
      <c r="A225" s="12"/>
      <c r="B225" s="22"/>
      <c r="C225" t="str">
        <f>IF(AND('ENTRY DATA'!D225=""),"",('ENTRY DATA'!D225))</f>
        <v/>
      </c>
      <c r="D225" t="str">
        <f>IF(AND('ENTRY DATA'!F225=""),"",('ENTRY DATA'!F225))</f>
        <v/>
      </c>
      <c r="E225" s="34" t="str">
        <f>IF(AND('ENTRY DATA'!B225=""),"",('ENTRY DATA'!B225))</f>
        <v/>
      </c>
      <c r="F225" s="12"/>
      <c r="G225" s="12"/>
      <c r="H225" s="73"/>
      <c r="I225" s="71"/>
      <c r="J225" s="73"/>
      <c r="K225" s="12"/>
      <c r="L225" s="20">
        <f t="shared" si="18"/>
        <v>0</v>
      </c>
      <c r="M225" s="19" t="str">
        <f t="shared" si="19"/>
        <v/>
      </c>
      <c r="N225" s="12"/>
      <c r="O225" s="119"/>
      <c r="P225" s="95" t="str">
        <f t="shared" si="20"/>
        <v/>
      </c>
      <c r="Q225" s="12"/>
      <c r="S225" s="128"/>
      <c r="T225" s="66"/>
      <c r="U225" s="128"/>
      <c r="W225" s="128"/>
      <c r="X225" s="12"/>
      <c r="Y225" t="str">
        <f t="shared" si="21"/>
        <v/>
      </c>
      <c r="Z225" t="str">
        <f t="shared" si="21"/>
        <v/>
      </c>
      <c r="AA225" s="12"/>
      <c r="AB225" s="95" t="e">
        <f t="shared" si="22"/>
        <v>#VALUE!</v>
      </c>
      <c r="AC225" s="95" t="e">
        <f t="shared" si="23"/>
        <v>#VALUE!</v>
      </c>
      <c r="AD225" s="12"/>
    </row>
    <row r="226" spans="1:30" ht="15.75" thickBot="1" x14ac:dyDescent="0.3">
      <c r="A226" s="12"/>
      <c r="B226" s="22"/>
      <c r="C226" t="str">
        <f>IF(AND('ENTRY DATA'!D226=""),"",('ENTRY DATA'!D226))</f>
        <v/>
      </c>
      <c r="D226" t="str">
        <f>IF(AND('ENTRY DATA'!F226=""),"",('ENTRY DATA'!F226))</f>
        <v/>
      </c>
      <c r="E226" s="34" t="str">
        <f>IF(AND('ENTRY DATA'!B226=""),"",('ENTRY DATA'!B226))</f>
        <v/>
      </c>
      <c r="F226" s="12"/>
      <c r="G226" s="12"/>
      <c r="H226" s="73"/>
      <c r="I226" s="71"/>
      <c r="J226" s="73"/>
      <c r="K226" s="12"/>
      <c r="L226" s="20">
        <f t="shared" si="18"/>
        <v>0</v>
      </c>
      <c r="M226" s="19" t="str">
        <f t="shared" si="19"/>
        <v/>
      </c>
      <c r="N226" s="12"/>
      <c r="O226" s="119"/>
      <c r="P226" s="95" t="str">
        <f t="shared" si="20"/>
        <v/>
      </c>
      <c r="Q226" s="12"/>
      <c r="S226" s="128"/>
      <c r="T226" s="66"/>
      <c r="U226" s="128"/>
      <c r="W226" s="128"/>
      <c r="X226" s="12"/>
      <c r="Y226" t="str">
        <f t="shared" si="21"/>
        <v/>
      </c>
      <c r="Z226" t="str">
        <f t="shared" si="21"/>
        <v/>
      </c>
      <c r="AA226" s="12"/>
      <c r="AB226" s="95" t="e">
        <f t="shared" si="22"/>
        <v>#VALUE!</v>
      </c>
      <c r="AC226" s="95" t="e">
        <f t="shared" si="23"/>
        <v>#VALUE!</v>
      </c>
      <c r="AD226" s="12"/>
    </row>
    <row r="227" spans="1:30" ht="15.75" thickBot="1" x14ac:dyDescent="0.3">
      <c r="A227" s="12"/>
      <c r="B227" s="22"/>
      <c r="C227" t="str">
        <f>IF(AND('ENTRY DATA'!D227=""),"",('ENTRY DATA'!D227))</f>
        <v/>
      </c>
      <c r="D227" t="str">
        <f>IF(AND('ENTRY DATA'!F227=""),"",('ENTRY DATA'!F227))</f>
        <v/>
      </c>
      <c r="E227" s="34" t="str">
        <f>IF(AND('ENTRY DATA'!B227=""),"",('ENTRY DATA'!B227))</f>
        <v/>
      </c>
      <c r="F227" s="12"/>
      <c r="G227" s="12"/>
      <c r="H227" s="73"/>
      <c r="I227" s="71"/>
      <c r="J227" s="73"/>
      <c r="K227" s="12"/>
      <c r="L227" s="20">
        <f t="shared" si="18"/>
        <v>0</v>
      </c>
      <c r="M227" s="19" t="str">
        <f t="shared" si="19"/>
        <v/>
      </c>
      <c r="N227" s="12"/>
      <c r="O227" s="119"/>
      <c r="P227" s="95" t="str">
        <f t="shared" si="20"/>
        <v/>
      </c>
      <c r="Q227" s="12"/>
      <c r="S227" s="128"/>
      <c r="T227" s="66"/>
      <c r="U227" s="128"/>
      <c r="W227" s="128"/>
      <c r="X227" s="12"/>
      <c r="Y227" t="str">
        <f t="shared" si="21"/>
        <v/>
      </c>
      <c r="Z227" t="str">
        <f t="shared" si="21"/>
        <v/>
      </c>
      <c r="AA227" s="12"/>
      <c r="AB227" s="95" t="e">
        <f t="shared" si="22"/>
        <v>#VALUE!</v>
      </c>
      <c r="AC227" s="95" t="e">
        <f t="shared" si="23"/>
        <v>#VALUE!</v>
      </c>
      <c r="AD227" s="12"/>
    </row>
    <row r="228" spans="1:30" ht="15.75" thickBot="1" x14ac:dyDescent="0.3">
      <c r="A228" s="12"/>
      <c r="B228" s="22"/>
      <c r="C228" t="str">
        <f>IF(AND('ENTRY DATA'!D228=""),"",('ENTRY DATA'!D228))</f>
        <v/>
      </c>
      <c r="D228" t="str">
        <f>IF(AND('ENTRY DATA'!F228=""),"",('ENTRY DATA'!F228))</f>
        <v/>
      </c>
      <c r="E228" s="34" t="str">
        <f>IF(AND('ENTRY DATA'!B228=""),"",('ENTRY DATA'!B228))</f>
        <v/>
      </c>
      <c r="F228" s="12"/>
      <c r="G228" s="12"/>
      <c r="H228" s="73"/>
      <c r="I228" s="71"/>
      <c r="J228" s="73"/>
      <c r="K228" s="12"/>
      <c r="L228" s="20">
        <f t="shared" si="18"/>
        <v>0</v>
      </c>
      <c r="M228" s="19" t="str">
        <f t="shared" si="19"/>
        <v/>
      </c>
      <c r="N228" s="12"/>
      <c r="O228" s="119"/>
      <c r="P228" s="95" t="str">
        <f t="shared" si="20"/>
        <v/>
      </c>
      <c r="Q228" s="12"/>
      <c r="S228" s="128"/>
      <c r="T228" s="66"/>
      <c r="U228" s="128"/>
      <c r="W228" s="128"/>
      <c r="X228" s="12"/>
      <c r="Y228" t="str">
        <f t="shared" si="21"/>
        <v/>
      </c>
      <c r="Z228" t="str">
        <f t="shared" si="21"/>
        <v/>
      </c>
      <c r="AA228" s="12"/>
      <c r="AB228" s="95" t="e">
        <f t="shared" si="22"/>
        <v>#VALUE!</v>
      </c>
      <c r="AC228" s="95" t="e">
        <f t="shared" si="23"/>
        <v>#VALUE!</v>
      </c>
      <c r="AD228" s="12"/>
    </row>
    <row r="229" spans="1:30" ht="15.75" thickBot="1" x14ac:dyDescent="0.3">
      <c r="A229" s="12"/>
      <c r="B229" s="22"/>
      <c r="C229" t="str">
        <f>IF(AND('ENTRY DATA'!D229=""),"",('ENTRY DATA'!D229))</f>
        <v/>
      </c>
      <c r="D229" t="str">
        <f>IF(AND('ENTRY DATA'!F229=""),"",('ENTRY DATA'!F229))</f>
        <v/>
      </c>
      <c r="E229" s="34" t="str">
        <f>IF(AND('ENTRY DATA'!B229=""),"",('ENTRY DATA'!B229))</f>
        <v/>
      </c>
      <c r="F229" s="12"/>
      <c r="G229" s="12"/>
      <c r="H229" s="73"/>
      <c r="I229" s="71"/>
      <c r="J229" s="73"/>
      <c r="K229" s="12"/>
      <c r="L229" s="20">
        <f t="shared" si="18"/>
        <v>0</v>
      </c>
      <c r="M229" s="19" t="str">
        <f t="shared" si="19"/>
        <v/>
      </c>
      <c r="N229" s="12"/>
      <c r="O229" s="119"/>
      <c r="P229" s="95" t="str">
        <f t="shared" si="20"/>
        <v/>
      </c>
      <c r="Q229" s="12"/>
      <c r="S229" s="128"/>
      <c r="T229" s="66"/>
      <c r="U229" s="128"/>
      <c r="W229" s="128"/>
      <c r="X229" s="12"/>
      <c r="Y229" t="str">
        <f t="shared" si="21"/>
        <v/>
      </c>
      <c r="Z229" t="str">
        <f t="shared" si="21"/>
        <v/>
      </c>
      <c r="AA229" s="12"/>
      <c r="AB229" s="95" t="e">
        <f t="shared" si="22"/>
        <v>#VALUE!</v>
      </c>
      <c r="AC229" s="95" t="e">
        <f t="shared" si="23"/>
        <v>#VALUE!</v>
      </c>
      <c r="AD229" s="12"/>
    </row>
    <row r="230" spans="1:30" ht="15.75" thickBot="1" x14ac:dyDescent="0.3">
      <c r="A230" s="12"/>
      <c r="B230" s="22"/>
      <c r="C230" t="str">
        <f>IF(AND('ENTRY DATA'!D230=""),"",('ENTRY DATA'!D230))</f>
        <v/>
      </c>
      <c r="D230" t="str">
        <f>IF(AND('ENTRY DATA'!F230=""),"",('ENTRY DATA'!F230))</f>
        <v/>
      </c>
      <c r="E230" s="34" t="str">
        <f>IF(AND('ENTRY DATA'!B230=""),"",('ENTRY DATA'!B230))</f>
        <v/>
      </c>
      <c r="F230" s="12"/>
      <c r="G230" s="12"/>
      <c r="H230" s="73"/>
      <c r="I230" s="71"/>
      <c r="J230" s="73"/>
      <c r="K230" s="12"/>
      <c r="L230" s="20">
        <f t="shared" si="18"/>
        <v>0</v>
      </c>
      <c r="M230" s="19" t="str">
        <f t="shared" si="19"/>
        <v/>
      </c>
      <c r="N230" s="12"/>
      <c r="O230" s="119"/>
      <c r="P230" s="95" t="str">
        <f t="shared" si="20"/>
        <v/>
      </c>
      <c r="Q230" s="12"/>
      <c r="S230" s="128"/>
      <c r="T230" s="66"/>
      <c r="U230" s="128"/>
      <c r="W230" s="128"/>
      <c r="X230" s="12"/>
      <c r="Y230" t="str">
        <f t="shared" si="21"/>
        <v/>
      </c>
      <c r="Z230" t="str">
        <f t="shared" si="21"/>
        <v/>
      </c>
      <c r="AA230" s="12"/>
      <c r="AB230" s="95" t="e">
        <f t="shared" si="22"/>
        <v>#VALUE!</v>
      </c>
      <c r="AC230" s="95" t="e">
        <f t="shared" si="23"/>
        <v>#VALUE!</v>
      </c>
      <c r="AD230" s="12"/>
    </row>
    <row r="231" spans="1:30" ht="15.75" thickBot="1" x14ac:dyDescent="0.3">
      <c r="A231" s="12"/>
      <c r="B231" s="22"/>
      <c r="C231" t="str">
        <f>IF(AND('ENTRY DATA'!D231=""),"",('ENTRY DATA'!D231))</f>
        <v/>
      </c>
      <c r="D231" t="str">
        <f>IF(AND('ENTRY DATA'!F231=""),"",('ENTRY DATA'!F231))</f>
        <v/>
      </c>
      <c r="E231" s="34" t="str">
        <f>IF(AND('ENTRY DATA'!B231=""),"",('ENTRY DATA'!B231))</f>
        <v/>
      </c>
      <c r="F231" s="12"/>
      <c r="G231" s="12"/>
      <c r="H231" s="73"/>
      <c r="I231" s="71"/>
      <c r="J231" s="73"/>
      <c r="K231" s="12"/>
      <c r="L231" s="20">
        <f t="shared" si="18"/>
        <v>0</v>
      </c>
      <c r="M231" s="19" t="str">
        <f t="shared" si="19"/>
        <v/>
      </c>
      <c r="N231" s="12"/>
      <c r="O231" s="119"/>
      <c r="P231" s="95" t="str">
        <f t="shared" si="20"/>
        <v/>
      </c>
      <c r="Q231" s="12"/>
      <c r="S231" s="128"/>
      <c r="T231" s="66"/>
      <c r="U231" s="128"/>
      <c r="W231" s="128"/>
      <c r="X231" s="12"/>
      <c r="Y231" t="str">
        <f t="shared" si="21"/>
        <v/>
      </c>
      <c r="Z231" t="str">
        <f t="shared" si="21"/>
        <v/>
      </c>
      <c r="AA231" s="12"/>
      <c r="AB231" s="95" t="e">
        <f t="shared" si="22"/>
        <v>#VALUE!</v>
      </c>
      <c r="AC231" s="95" t="e">
        <f t="shared" si="23"/>
        <v>#VALUE!</v>
      </c>
      <c r="AD231" s="12"/>
    </row>
    <row r="232" spans="1:30" ht="15.75" thickBot="1" x14ac:dyDescent="0.3">
      <c r="A232" s="12"/>
      <c r="B232" s="22"/>
      <c r="C232" t="str">
        <f>IF(AND('ENTRY DATA'!D232=""),"",('ENTRY DATA'!D232))</f>
        <v/>
      </c>
      <c r="D232" t="str">
        <f>IF(AND('ENTRY DATA'!F232=""),"",('ENTRY DATA'!F232))</f>
        <v/>
      </c>
      <c r="E232" s="34" t="str">
        <f>IF(AND('ENTRY DATA'!B232=""),"",('ENTRY DATA'!B232))</f>
        <v/>
      </c>
      <c r="F232" s="12"/>
      <c r="G232" s="12"/>
      <c r="H232" s="73"/>
      <c r="I232" s="71"/>
      <c r="J232" s="73"/>
      <c r="K232" s="12"/>
      <c r="L232" s="20">
        <f t="shared" si="18"/>
        <v>0</v>
      </c>
      <c r="M232" s="19" t="str">
        <f t="shared" si="19"/>
        <v/>
      </c>
      <c r="N232" s="12"/>
      <c r="O232" s="119"/>
      <c r="P232" s="95" t="str">
        <f t="shared" si="20"/>
        <v/>
      </c>
      <c r="Q232" s="12"/>
      <c r="S232" s="128"/>
      <c r="T232" s="66"/>
      <c r="U232" s="128"/>
      <c r="W232" s="128"/>
      <c r="X232" s="12"/>
      <c r="Y232" t="str">
        <f t="shared" si="21"/>
        <v/>
      </c>
      <c r="Z232" t="str">
        <f t="shared" si="21"/>
        <v/>
      </c>
      <c r="AA232" s="12"/>
      <c r="AB232" s="95" t="e">
        <f t="shared" si="22"/>
        <v>#VALUE!</v>
      </c>
      <c r="AC232" s="95" t="e">
        <f t="shared" si="23"/>
        <v>#VALUE!</v>
      </c>
      <c r="AD232" s="12"/>
    </row>
    <row r="233" spans="1:30" ht="15.75" thickBot="1" x14ac:dyDescent="0.3">
      <c r="A233" s="12"/>
      <c r="B233" s="22"/>
      <c r="C233" t="str">
        <f>IF(AND('ENTRY DATA'!D233=""),"",('ENTRY DATA'!D233))</f>
        <v/>
      </c>
      <c r="D233" t="str">
        <f>IF(AND('ENTRY DATA'!F233=""),"",('ENTRY DATA'!F233))</f>
        <v/>
      </c>
      <c r="E233" s="34" t="str">
        <f>IF(AND('ENTRY DATA'!B233=""),"",('ENTRY DATA'!B233))</f>
        <v/>
      </c>
      <c r="F233" s="12"/>
      <c r="G233" s="12"/>
      <c r="H233" s="73"/>
      <c r="I233" s="71"/>
      <c r="J233" s="73"/>
      <c r="K233" s="12"/>
      <c r="L233" s="20">
        <f t="shared" si="18"/>
        <v>0</v>
      </c>
      <c r="M233" s="19" t="str">
        <f t="shared" si="19"/>
        <v/>
      </c>
      <c r="N233" s="12"/>
      <c r="O233" s="119"/>
      <c r="P233" s="95" t="str">
        <f t="shared" si="20"/>
        <v/>
      </c>
      <c r="Q233" s="12"/>
      <c r="S233" s="128"/>
      <c r="T233" s="66"/>
      <c r="U233" s="128"/>
      <c r="W233" s="128"/>
      <c r="X233" s="12"/>
      <c r="Y233" t="str">
        <f t="shared" si="21"/>
        <v/>
      </c>
      <c r="Z233" t="str">
        <f t="shared" si="21"/>
        <v/>
      </c>
      <c r="AA233" s="12"/>
      <c r="AB233" s="95" t="e">
        <f t="shared" si="22"/>
        <v>#VALUE!</v>
      </c>
      <c r="AC233" s="95" t="e">
        <f t="shared" si="23"/>
        <v>#VALUE!</v>
      </c>
      <c r="AD233" s="12"/>
    </row>
    <row r="234" spans="1:30" ht="15.75" thickBot="1" x14ac:dyDescent="0.3">
      <c r="A234" s="12"/>
      <c r="B234" s="22"/>
      <c r="C234" t="str">
        <f>IF(AND('ENTRY DATA'!D234=""),"",('ENTRY DATA'!D234))</f>
        <v/>
      </c>
      <c r="D234" t="str">
        <f>IF(AND('ENTRY DATA'!F234=""),"",('ENTRY DATA'!F234))</f>
        <v/>
      </c>
      <c r="E234" s="34" t="str">
        <f>IF(AND('ENTRY DATA'!B234=""),"",('ENTRY DATA'!B234))</f>
        <v/>
      </c>
      <c r="F234" s="12"/>
      <c r="G234" s="12"/>
      <c r="H234" s="73"/>
      <c r="I234" s="71"/>
      <c r="J234" s="73"/>
      <c r="K234" s="12"/>
      <c r="L234" s="20">
        <f t="shared" si="18"/>
        <v>0</v>
      </c>
      <c r="M234" s="19" t="str">
        <f t="shared" si="19"/>
        <v/>
      </c>
      <c r="N234" s="12"/>
      <c r="O234" s="119"/>
      <c r="P234" s="95" t="str">
        <f t="shared" si="20"/>
        <v/>
      </c>
      <c r="Q234" s="12"/>
      <c r="S234" s="128"/>
      <c r="T234" s="66"/>
      <c r="U234" s="128"/>
      <c r="W234" s="128"/>
      <c r="X234" s="12"/>
      <c r="Y234" t="str">
        <f t="shared" si="21"/>
        <v/>
      </c>
      <c r="Z234" t="str">
        <f t="shared" si="21"/>
        <v/>
      </c>
      <c r="AA234" s="12"/>
      <c r="AB234" s="95" t="e">
        <f t="shared" si="22"/>
        <v>#VALUE!</v>
      </c>
      <c r="AC234" s="95" t="e">
        <f t="shared" si="23"/>
        <v>#VALUE!</v>
      </c>
      <c r="AD234" s="12"/>
    </row>
    <row r="235" spans="1:30" ht="15.75" thickBot="1" x14ac:dyDescent="0.3">
      <c r="A235" s="12"/>
      <c r="B235" s="22"/>
      <c r="C235" t="str">
        <f>IF(AND('ENTRY DATA'!D235=""),"",('ENTRY DATA'!D235))</f>
        <v/>
      </c>
      <c r="D235" t="str">
        <f>IF(AND('ENTRY DATA'!F235=""),"",('ENTRY DATA'!F235))</f>
        <v/>
      </c>
      <c r="E235" s="34" t="str">
        <f>IF(AND('ENTRY DATA'!B235=""),"",('ENTRY DATA'!B235))</f>
        <v/>
      </c>
      <c r="F235" s="12"/>
      <c r="G235" s="12"/>
      <c r="H235" s="73"/>
      <c r="I235" s="71"/>
      <c r="J235" s="73"/>
      <c r="K235" s="12"/>
      <c r="L235" s="20">
        <f t="shared" si="18"/>
        <v>0</v>
      </c>
      <c r="M235" s="19" t="str">
        <f t="shared" si="19"/>
        <v/>
      </c>
      <c r="N235" s="12"/>
      <c r="O235" s="119"/>
      <c r="P235" s="95" t="str">
        <f t="shared" si="20"/>
        <v/>
      </c>
      <c r="Q235" s="12"/>
      <c r="S235" s="128"/>
      <c r="T235" s="66"/>
      <c r="U235" s="128"/>
      <c r="W235" s="128"/>
      <c r="X235" s="12"/>
      <c r="Y235" t="str">
        <f t="shared" si="21"/>
        <v/>
      </c>
      <c r="Z235" t="str">
        <f t="shared" si="21"/>
        <v/>
      </c>
      <c r="AA235" s="12"/>
      <c r="AB235" s="95" t="e">
        <f t="shared" si="22"/>
        <v>#VALUE!</v>
      </c>
      <c r="AC235" s="95" t="e">
        <f t="shared" si="23"/>
        <v>#VALUE!</v>
      </c>
      <c r="AD235" s="12"/>
    </row>
    <row r="236" spans="1:30" ht="15.75" thickBot="1" x14ac:dyDescent="0.3">
      <c r="A236" s="12"/>
      <c r="B236" s="22"/>
      <c r="C236" t="str">
        <f>IF(AND('ENTRY DATA'!D236=""),"",('ENTRY DATA'!D236))</f>
        <v/>
      </c>
      <c r="D236" t="str">
        <f>IF(AND('ENTRY DATA'!F236=""),"",('ENTRY DATA'!F236))</f>
        <v/>
      </c>
      <c r="E236" s="34" t="str">
        <f>IF(AND('ENTRY DATA'!B236=""),"",('ENTRY DATA'!B236))</f>
        <v/>
      </c>
      <c r="F236" s="12"/>
      <c r="G236" s="12"/>
      <c r="H236" s="73"/>
      <c r="I236" s="71"/>
      <c r="J236" s="73"/>
      <c r="K236" s="12"/>
      <c r="L236" s="20">
        <f t="shared" si="18"/>
        <v>0</v>
      </c>
      <c r="M236" s="19" t="str">
        <f t="shared" si="19"/>
        <v/>
      </c>
      <c r="N236" s="12"/>
      <c r="O236" s="119"/>
      <c r="P236" s="95" t="str">
        <f t="shared" si="20"/>
        <v/>
      </c>
      <c r="Q236" s="12"/>
      <c r="S236" s="128"/>
      <c r="T236" s="66"/>
      <c r="U236" s="128"/>
      <c r="W236" s="128"/>
      <c r="X236" s="12"/>
      <c r="Y236" t="str">
        <f t="shared" si="21"/>
        <v/>
      </c>
      <c r="Z236" t="str">
        <f t="shared" si="21"/>
        <v/>
      </c>
      <c r="AA236" s="12"/>
      <c r="AB236" s="95" t="e">
        <f t="shared" si="22"/>
        <v>#VALUE!</v>
      </c>
      <c r="AC236" s="95" t="e">
        <f t="shared" si="23"/>
        <v>#VALUE!</v>
      </c>
      <c r="AD236" s="12"/>
    </row>
    <row r="237" spans="1:30" ht="15.75" thickBot="1" x14ac:dyDescent="0.3">
      <c r="A237" s="12"/>
      <c r="B237" s="22"/>
      <c r="C237" t="str">
        <f>IF(AND('ENTRY DATA'!D237=""),"",('ENTRY DATA'!D237))</f>
        <v/>
      </c>
      <c r="D237" t="str">
        <f>IF(AND('ENTRY DATA'!F237=""),"",('ENTRY DATA'!F237))</f>
        <v/>
      </c>
      <c r="E237" s="34" t="str">
        <f>IF(AND('ENTRY DATA'!B237=""),"",('ENTRY DATA'!B237))</f>
        <v/>
      </c>
      <c r="F237" s="12"/>
      <c r="G237" s="12"/>
      <c r="H237" s="73"/>
      <c r="I237" s="71"/>
      <c r="J237" s="73"/>
      <c r="K237" s="12"/>
      <c r="L237" s="20">
        <f t="shared" si="18"/>
        <v>0</v>
      </c>
      <c r="M237" s="19" t="str">
        <f t="shared" si="19"/>
        <v/>
      </c>
      <c r="N237" s="12"/>
      <c r="O237" s="119"/>
      <c r="P237" s="95" t="str">
        <f t="shared" si="20"/>
        <v/>
      </c>
      <c r="Q237" s="12"/>
      <c r="S237" s="128"/>
      <c r="T237" s="66"/>
      <c r="U237" s="128"/>
      <c r="W237" s="128"/>
      <c r="X237" s="12"/>
      <c r="Y237" t="str">
        <f t="shared" si="21"/>
        <v/>
      </c>
      <c r="Z237" t="str">
        <f t="shared" si="21"/>
        <v/>
      </c>
      <c r="AA237" s="12"/>
      <c r="AB237" s="95" t="e">
        <f t="shared" si="22"/>
        <v>#VALUE!</v>
      </c>
      <c r="AC237" s="95" t="e">
        <f t="shared" si="23"/>
        <v>#VALUE!</v>
      </c>
      <c r="AD237" s="12"/>
    </row>
    <row r="238" spans="1:30" ht="15.75" thickBot="1" x14ac:dyDescent="0.3">
      <c r="A238" s="12"/>
      <c r="B238" s="22"/>
      <c r="C238" t="str">
        <f>IF(AND('ENTRY DATA'!D238=""),"",('ENTRY DATA'!D238))</f>
        <v/>
      </c>
      <c r="D238" t="str">
        <f>IF(AND('ENTRY DATA'!F238=""),"",('ENTRY DATA'!F238))</f>
        <v/>
      </c>
      <c r="E238" s="34" t="str">
        <f>IF(AND('ENTRY DATA'!B238=""),"",('ENTRY DATA'!B238))</f>
        <v/>
      </c>
      <c r="F238" s="12"/>
      <c r="G238" s="12"/>
      <c r="H238" s="73"/>
      <c r="I238" s="71"/>
      <c r="J238" s="73"/>
      <c r="K238" s="12"/>
      <c r="L238" s="20">
        <f t="shared" si="18"/>
        <v>0</v>
      </c>
      <c r="M238" s="19" t="str">
        <f t="shared" si="19"/>
        <v/>
      </c>
      <c r="N238" s="12"/>
      <c r="O238" s="119"/>
      <c r="P238" s="95" t="str">
        <f t="shared" si="20"/>
        <v/>
      </c>
      <c r="Q238" s="12"/>
      <c r="S238" s="128"/>
      <c r="T238" s="66"/>
      <c r="U238" s="128"/>
      <c r="W238" s="128"/>
      <c r="X238" s="12"/>
      <c r="Y238" t="str">
        <f t="shared" si="21"/>
        <v/>
      </c>
      <c r="Z238" t="str">
        <f t="shared" si="21"/>
        <v/>
      </c>
      <c r="AA238" s="12"/>
      <c r="AB238" s="95" t="e">
        <f t="shared" si="22"/>
        <v>#VALUE!</v>
      </c>
      <c r="AC238" s="95" t="e">
        <f t="shared" si="23"/>
        <v>#VALUE!</v>
      </c>
      <c r="AD238" s="12"/>
    </row>
    <row r="239" spans="1:30" ht="15.75" thickBot="1" x14ac:dyDescent="0.3">
      <c r="A239" s="12"/>
      <c r="B239" s="22"/>
      <c r="C239" t="str">
        <f>IF(AND('ENTRY DATA'!D239=""),"",('ENTRY DATA'!D239))</f>
        <v/>
      </c>
      <c r="D239" t="str">
        <f>IF(AND('ENTRY DATA'!F239=""),"",('ENTRY DATA'!F239))</f>
        <v/>
      </c>
      <c r="E239" s="34" t="str">
        <f>IF(AND('ENTRY DATA'!B239=""),"",('ENTRY DATA'!B239))</f>
        <v/>
      </c>
      <c r="F239" s="12"/>
      <c r="G239" s="12"/>
      <c r="H239" s="73"/>
      <c r="I239" s="71"/>
      <c r="J239" s="73"/>
      <c r="K239" s="12"/>
      <c r="L239" s="20">
        <f t="shared" si="18"/>
        <v>0</v>
      </c>
      <c r="M239" s="19" t="str">
        <f t="shared" si="19"/>
        <v/>
      </c>
      <c r="N239" s="12"/>
      <c r="O239" s="119"/>
      <c r="P239" s="95" t="str">
        <f t="shared" si="20"/>
        <v/>
      </c>
      <c r="Q239" s="12"/>
      <c r="S239" s="128"/>
      <c r="T239" s="66"/>
      <c r="U239" s="128"/>
      <c r="W239" s="128"/>
      <c r="X239" s="12"/>
      <c r="Y239" t="str">
        <f t="shared" si="21"/>
        <v/>
      </c>
      <c r="Z239" t="str">
        <f t="shared" si="21"/>
        <v/>
      </c>
      <c r="AA239" s="12"/>
      <c r="AB239" s="95" t="e">
        <f t="shared" si="22"/>
        <v>#VALUE!</v>
      </c>
      <c r="AC239" s="95" t="e">
        <f t="shared" si="23"/>
        <v>#VALUE!</v>
      </c>
      <c r="AD239" s="12"/>
    </row>
    <row r="240" spans="1:30" ht="15.75" thickBot="1" x14ac:dyDescent="0.3">
      <c r="A240" s="12"/>
      <c r="B240" s="22"/>
      <c r="C240" t="str">
        <f>IF(AND('ENTRY DATA'!D240=""),"",('ENTRY DATA'!D240))</f>
        <v/>
      </c>
      <c r="D240" t="str">
        <f>IF(AND('ENTRY DATA'!F240=""),"",('ENTRY DATA'!F240))</f>
        <v/>
      </c>
      <c r="E240" s="34" t="str">
        <f>IF(AND('ENTRY DATA'!B240=""),"",('ENTRY DATA'!B240))</f>
        <v/>
      </c>
      <c r="F240" s="12"/>
      <c r="G240" s="12"/>
      <c r="H240" s="73"/>
      <c r="I240" s="71"/>
      <c r="J240" s="73"/>
      <c r="K240" s="12"/>
      <c r="L240" s="20">
        <f t="shared" si="18"/>
        <v>0</v>
      </c>
      <c r="M240" s="19" t="str">
        <f t="shared" si="19"/>
        <v/>
      </c>
      <c r="N240" s="12"/>
      <c r="O240" s="119"/>
      <c r="P240" s="95" t="str">
        <f t="shared" si="20"/>
        <v/>
      </c>
      <c r="Q240" s="12"/>
      <c r="S240" s="128"/>
      <c r="T240" s="66"/>
      <c r="U240" s="128"/>
      <c r="W240" s="128"/>
      <c r="X240" s="12"/>
      <c r="Y240" t="str">
        <f t="shared" si="21"/>
        <v/>
      </c>
      <c r="Z240" t="str">
        <f t="shared" si="21"/>
        <v/>
      </c>
      <c r="AA240" s="12"/>
      <c r="AB240" s="95" t="e">
        <f t="shared" si="22"/>
        <v>#VALUE!</v>
      </c>
      <c r="AC240" s="95" t="e">
        <f t="shared" si="23"/>
        <v>#VALUE!</v>
      </c>
      <c r="AD240" s="12"/>
    </row>
    <row r="241" spans="1:30" ht="15.75" thickBot="1" x14ac:dyDescent="0.3">
      <c r="A241" s="12"/>
      <c r="B241" s="22"/>
      <c r="C241" t="str">
        <f>IF(AND('ENTRY DATA'!D241=""),"",('ENTRY DATA'!D241))</f>
        <v/>
      </c>
      <c r="D241" t="str">
        <f>IF(AND('ENTRY DATA'!F241=""),"",('ENTRY DATA'!F241))</f>
        <v/>
      </c>
      <c r="E241" s="34" t="str">
        <f>IF(AND('ENTRY DATA'!B241=""),"",('ENTRY DATA'!B241))</f>
        <v/>
      </c>
      <c r="F241" s="12"/>
      <c r="G241" s="12"/>
      <c r="H241" s="73"/>
      <c r="I241" s="71"/>
      <c r="J241" s="73"/>
      <c r="K241" s="12"/>
      <c r="L241" s="20">
        <f t="shared" si="18"/>
        <v>0</v>
      </c>
      <c r="M241" s="19" t="str">
        <f t="shared" si="19"/>
        <v/>
      </c>
      <c r="N241" s="12"/>
      <c r="O241" s="119"/>
      <c r="P241" s="95" t="str">
        <f t="shared" si="20"/>
        <v/>
      </c>
      <c r="Q241" s="12"/>
      <c r="S241" s="128"/>
      <c r="T241" s="66"/>
      <c r="U241" s="128"/>
      <c r="W241" s="128"/>
      <c r="X241" s="12"/>
      <c r="Y241" t="str">
        <f t="shared" si="21"/>
        <v/>
      </c>
      <c r="Z241" t="str">
        <f t="shared" si="21"/>
        <v/>
      </c>
      <c r="AA241" s="12"/>
      <c r="AB241" s="95" t="e">
        <f t="shared" si="22"/>
        <v>#VALUE!</v>
      </c>
      <c r="AC241" s="95" t="e">
        <f t="shared" si="23"/>
        <v>#VALUE!</v>
      </c>
      <c r="AD241" s="12"/>
    </row>
    <row r="242" spans="1:30" ht="15.75" thickBot="1" x14ac:dyDescent="0.3">
      <c r="A242" s="12"/>
      <c r="B242" s="22"/>
      <c r="C242" t="str">
        <f>IF(AND('ENTRY DATA'!D242=""),"",('ENTRY DATA'!D242))</f>
        <v/>
      </c>
      <c r="D242" t="str">
        <f>IF(AND('ENTRY DATA'!F242=""),"",('ENTRY DATA'!F242))</f>
        <v/>
      </c>
      <c r="E242" s="34" t="str">
        <f>IF(AND('ENTRY DATA'!B242=""),"",('ENTRY DATA'!B242))</f>
        <v/>
      </c>
      <c r="F242" s="12"/>
      <c r="G242" s="12"/>
      <c r="H242" s="73"/>
      <c r="I242" s="71"/>
      <c r="J242" s="73"/>
      <c r="K242" s="12"/>
      <c r="L242" s="20">
        <f t="shared" si="18"/>
        <v>0</v>
      </c>
      <c r="M242" s="19" t="str">
        <f t="shared" si="19"/>
        <v/>
      </c>
      <c r="N242" s="12"/>
      <c r="O242" s="119"/>
      <c r="P242" s="95" t="str">
        <f t="shared" si="20"/>
        <v/>
      </c>
      <c r="Q242" s="12"/>
      <c r="S242" s="128"/>
      <c r="T242" s="66"/>
      <c r="U242" s="128"/>
      <c r="W242" s="128"/>
      <c r="X242" s="12"/>
      <c r="Y242" t="str">
        <f t="shared" si="21"/>
        <v/>
      </c>
      <c r="Z242" t="str">
        <f t="shared" si="21"/>
        <v/>
      </c>
      <c r="AA242" s="12"/>
      <c r="AB242" s="95" t="e">
        <f t="shared" si="22"/>
        <v>#VALUE!</v>
      </c>
      <c r="AC242" s="95" t="e">
        <f t="shared" si="23"/>
        <v>#VALUE!</v>
      </c>
      <c r="AD242" s="12"/>
    </row>
    <row r="243" spans="1:30" ht="15.75" thickBot="1" x14ac:dyDescent="0.3">
      <c r="A243" s="12"/>
      <c r="B243" s="22"/>
      <c r="C243" t="str">
        <f>IF(AND('ENTRY DATA'!D243=""),"",('ENTRY DATA'!D243))</f>
        <v/>
      </c>
      <c r="D243" t="str">
        <f>IF(AND('ENTRY DATA'!F243=""),"",('ENTRY DATA'!F243))</f>
        <v/>
      </c>
      <c r="E243" s="34" t="str">
        <f>IF(AND('ENTRY DATA'!B243=""),"",('ENTRY DATA'!B243))</f>
        <v/>
      </c>
      <c r="F243" s="12"/>
      <c r="G243" s="12"/>
      <c r="H243" s="73"/>
      <c r="I243" s="71"/>
      <c r="J243" s="73"/>
      <c r="K243" s="12"/>
      <c r="L243" s="20">
        <f t="shared" si="18"/>
        <v>0</v>
      </c>
      <c r="M243" s="19" t="str">
        <f t="shared" si="19"/>
        <v/>
      </c>
      <c r="N243" s="12"/>
      <c r="O243" s="119"/>
      <c r="P243" s="95" t="str">
        <f t="shared" si="20"/>
        <v/>
      </c>
      <c r="Q243" s="12"/>
      <c r="S243" s="128"/>
      <c r="T243" s="66"/>
      <c r="U243" s="128"/>
      <c r="W243" s="128"/>
      <c r="X243" s="12"/>
      <c r="Y243" t="str">
        <f t="shared" si="21"/>
        <v/>
      </c>
      <c r="Z243" t="str">
        <f t="shared" si="21"/>
        <v/>
      </c>
      <c r="AA243" s="12"/>
      <c r="AB243" s="95" t="e">
        <f t="shared" si="22"/>
        <v>#VALUE!</v>
      </c>
      <c r="AC243" s="95" t="e">
        <f t="shared" si="23"/>
        <v>#VALUE!</v>
      </c>
      <c r="AD243" s="12"/>
    </row>
    <row r="244" spans="1:30" ht="15.75" thickBot="1" x14ac:dyDescent="0.3">
      <c r="A244" s="12"/>
      <c r="B244" s="22"/>
      <c r="C244" t="str">
        <f>IF(AND('ENTRY DATA'!D244=""),"",('ENTRY DATA'!D244))</f>
        <v/>
      </c>
      <c r="D244" t="str">
        <f>IF(AND('ENTRY DATA'!F244=""),"",('ENTRY DATA'!F244))</f>
        <v/>
      </c>
      <c r="E244" s="34" t="str">
        <f>IF(AND('ENTRY DATA'!B244=""),"",('ENTRY DATA'!B244))</f>
        <v/>
      </c>
      <c r="F244" s="12"/>
      <c r="G244" s="12"/>
      <c r="H244" s="73"/>
      <c r="I244" s="71"/>
      <c r="J244" s="73"/>
      <c r="K244" s="12"/>
      <c r="L244" s="20">
        <f t="shared" si="18"/>
        <v>0</v>
      </c>
      <c r="M244" s="19" t="str">
        <f t="shared" si="19"/>
        <v/>
      </c>
      <c r="N244" s="12"/>
      <c r="O244" s="119"/>
      <c r="P244" s="95" t="str">
        <f t="shared" si="20"/>
        <v/>
      </c>
      <c r="Q244" s="12"/>
      <c r="S244" s="128"/>
      <c r="T244" s="66"/>
      <c r="U244" s="128"/>
      <c r="W244" s="128"/>
      <c r="X244" s="12"/>
      <c r="Y244" t="str">
        <f t="shared" si="21"/>
        <v/>
      </c>
      <c r="Z244" t="str">
        <f t="shared" si="21"/>
        <v/>
      </c>
      <c r="AA244" s="12"/>
      <c r="AB244" s="95" t="e">
        <f t="shared" si="22"/>
        <v>#VALUE!</v>
      </c>
      <c r="AC244" s="95" t="e">
        <f t="shared" si="23"/>
        <v>#VALUE!</v>
      </c>
      <c r="AD244" s="12"/>
    </row>
    <row r="245" spans="1:30" ht="15.75" thickBot="1" x14ac:dyDescent="0.3">
      <c r="A245" s="12"/>
      <c r="B245" s="22"/>
      <c r="C245" t="str">
        <f>IF(AND('ENTRY DATA'!D245=""),"",('ENTRY DATA'!D245))</f>
        <v/>
      </c>
      <c r="D245" t="str">
        <f>IF(AND('ENTRY DATA'!F245=""),"",('ENTRY DATA'!F245))</f>
        <v/>
      </c>
      <c r="E245" s="34" t="str">
        <f>IF(AND('ENTRY DATA'!B245=""),"",('ENTRY DATA'!B245))</f>
        <v/>
      </c>
      <c r="F245" s="12"/>
      <c r="G245" s="12"/>
      <c r="H245" s="73"/>
      <c r="I245" s="71"/>
      <c r="J245" s="73"/>
      <c r="K245" s="12"/>
      <c r="L245" s="20">
        <f t="shared" si="18"/>
        <v>0</v>
      </c>
      <c r="M245" s="19" t="str">
        <f t="shared" si="19"/>
        <v/>
      </c>
      <c r="N245" s="12"/>
      <c r="O245" s="119"/>
      <c r="P245" s="95" t="str">
        <f t="shared" si="20"/>
        <v/>
      </c>
      <c r="Q245" s="12"/>
      <c r="S245" s="128"/>
      <c r="T245" s="66"/>
      <c r="U245" s="128"/>
      <c r="W245" s="128"/>
      <c r="X245" s="12"/>
      <c r="Y245" t="str">
        <f t="shared" si="21"/>
        <v/>
      </c>
      <c r="Z245" t="str">
        <f t="shared" si="21"/>
        <v/>
      </c>
      <c r="AA245" s="12"/>
      <c r="AB245" s="95" t="e">
        <f t="shared" si="22"/>
        <v>#VALUE!</v>
      </c>
      <c r="AC245" s="95" t="e">
        <f t="shared" si="23"/>
        <v>#VALUE!</v>
      </c>
      <c r="AD245" s="12"/>
    </row>
    <row r="246" spans="1:30" ht="15.75" thickBot="1" x14ac:dyDescent="0.3">
      <c r="A246" s="12"/>
      <c r="B246" s="22"/>
      <c r="C246" t="str">
        <f>IF(AND('ENTRY DATA'!D246=""),"",('ENTRY DATA'!D246))</f>
        <v/>
      </c>
      <c r="D246" t="str">
        <f>IF(AND('ENTRY DATA'!F246=""),"",('ENTRY DATA'!F246))</f>
        <v/>
      </c>
      <c r="E246" s="34" t="str">
        <f>IF(AND('ENTRY DATA'!B246=""),"",('ENTRY DATA'!B246))</f>
        <v/>
      </c>
      <c r="F246" s="12"/>
      <c r="G246" s="12"/>
      <c r="H246" s="73"/>
      <c r="I246" s="71"/>
      <c r="J246" s="73"/>
      <c r="K246" s="12"/>
      <c r="L246" s="20">
        <f t="shared" si="18"/>
        <v>0</v>
      </c>
      <c r="M246" s="19" t="str">
        <f t="shared" si="19"/>
        <v/>
      </c>
      <c r="N246" s="12"/>
      <c r="O246" s="119"/>
      <c r="P246" s="95" t="str">
        <f t="shared" si="20"/>
        <v/>
      </c>
      <c r="Q246" s="12"/>
      <c r="S246" s="128"/>
      <c r="T246" s="66"/>
      <c r="U246" s="128"/>
      <c r="W246" s="128"/>
      <c r="X246" s="12"/>
      <c r="Y246" t="str">
        <f t="shared" si="21"/>
        <v/>
      </c>
      <c r="Z246" t="str">
        <f t="shared" si="21"/>
        <v/>
      </c>
      <c r="AA246" s="12"/>
      <c r="AB246" s="95" t="e">
        <f t="shared" si="22"/>
        <v>#VALUE!</v>
      </c>
      <c r="AC246" s="95" t="e">
        <f t="shared" si="23"/>
        <v>#VALUE!</v>
      </c>
      <c r="AD246" s="12"/>
    </row>
    <row r="247" spans="1:30" ht="15.75" thickBot="1" x14ac:dyDescent="0.3">
      <c r="A247" s="12"/>
      <c r="B247" s="22"/>
      <c r="C247" t="str">
        <f>IF(AND('ENTRY DATA'!D247=""),"",('ENTRY DATA'!D247))</f>
        <v/>
      </c>
      <c r="D247" t="str">
        <f>IF(AND('ENTRY DATA'!F247=""),"",('ENTRY DATA'!F247))</f>
        <v/>
      </c>
      <c r="E247" s="34" t="str">
        <f>IF(AND('ENTRY DATA'!B247=""),"",('ENTRY DATA'!B247))</f>
        <v/>
      </c>
      <c r="F247" s="12"/>
      <c r="G247" s="12"/>
      <c r="H247" s="73"/>
      <c r="I247" s="71"/>
      <c r="J247" s="73"/>
      <c r="K247" s="12"/>
      <c r="L247" s="20">
        <f t="shared" si="18"/>
        <v>0</v>
      </c>
      <c r="M247" s="19" t="str">
        <f t="shared" si="19"/>
        <v/>
      </c>
      <c r="N247" s="12"/>
      <c r="O247" s="119"/>
      <c r="P247" s="95" t="str">
        <f t="shared" si="20"/>
        <v/>
      </c>
      <c r="Q247" s="12"/>
      <c r="S247" s="128"/>
      <c r="T247" s="66"/>
      <c r="U247" s="128"/>
      <c r="W247" s="128"/>
      <c r="X247" s="12"/>
      <c r="Y247" t="str">
        <f t="shared" si="21"/>
        <v/>
      </c>
      <c r="Z247" t="str">
        <f t="shared" si="21"/>
        <v/>
      </c>
      <c r="AA247" s="12"/>
      <c r="AB247" s="95" t="e">
        <f t="shared" si="22"/>
        <v>#VALUE!</v>
      </c>
      <c r="AC247" s="95" t="e">
        <f t="shared" si="23"/>
        <v>#VALUE!</v>
      </c>
      <c r="AD247" s="12"/>
    </row>
    <row r="248" spans="1:30" ht="15.75" thickBot="1" x14ac:dyDescent="0.3">
      <c r="A248" s="12"/>
      <c r="B248" s="22"/>
      <c r="C248" t="str">
        <f>IF(AND('ENTRY DATA'!D248=""),"",('ENTRY DATA'!D248))</f>
        <v/>
      </c>
      <c r="D248" t="str">
        <f>IF(AND('ENTRY DATA'!F248=""),"",('ENTRY DATA'!F248))</f>
        <v/>
      </c>
      <c r="E248" s="34" t="str">
        <f>IF(AND('ENTRY DATA'!B248=""),"",('ENTRY DATA'!B248))</f>
        <v/>
      </c>
      <c r="F248" s="12"/>
      <c r="G248" s="12"/>
      <c r="H248" s="73"/>
      <c r="I248" s="71"/>
      <c r="J248" s="73"/>
      <c r="K248" s="12"/>
      <c r="L248" s="20">
        <f t="shared" si="18"/>
        <v>0</v>
      </c>
      <c r="M248" s="19" t="str">
        <f t="shared" si="19"/>
        <v/>
      </c>
      <c r="N248" s="12"/>
      <c r="O248" s="119"/>
      <c r="P248" s="95" t="str">
        <f t="shared" si="20"/>
        <v/>
      </c>
      <c r="Q248" s="12"/>
      <c r="S248" s="128"/>
      <c r="T248" s="66"/>
      <c r="U248" s="128"/>
      <c r="W248" s="128"/>
      <c r="X248" s="12"/>
      <c r="Y248" t="str">
        <f t="shared" si="21"/>
        <v/>
      </c>
      <c r="Z248" t="str">
        <f t="shared" si="21"/>
        <v/>
      </c>
      <c r="AA248" s="12"/>
      <c r="AB248" s="95" t="e">
        <f t="shared" si="22"/>
        <v>#VALUE!</v>
      </c>
      <c r="AC248" s="95" t="e">
        <f t="shared" si="23"/>
        <v>#VALUE!</v>
      </c>
      <c r="AD248" s="12"/>
    </row>
    <row r="249" spans="1:30" ht="15.75" thickBot="1" x14ac:dyDescent="0.3">
      <c r="A249" s="12"/>
      <c r="B249" s="22"/>
      <c r="C249" t="str">
        <f>IF(AND('ENTRY DATA'!D249=""),"",('ENTRY DATA'!D249))</f>
        <v/>
      </c>
      <c r="D249" t="str">
        <f>IF(AND('ENTRY DATA'!F249=""),"",('ENTRY DATA'!F249))</f>
        <v/>
      </c>
      <c r="E249" s="34" t="str">
        <f>IF(AND('ENTRY DATA'!B249=""),"",('ENTRY DATA'!B249))</f>
        <v/>
      </c>
      <c r="F249" s="12"/>
      <c r="G249" s="12"/>
      <c r="H249" s="73"/>
      <c r="I249" s="71"/>
      <c r="J249" s="73"/>
      <c r="K249" s="12"/>
      <c r="L249" s="20">
        <f t="shared" si="18"/>
        <v>0</v>
      </c>
      <c r="M249" s="19" t="str">
        <f t="shared" si="19"/>
        <v/>
      </c>
      <c r="N249" s="12"/>
      <c r="O249" s="119"/>
      <c r="P249" s="95" t="str">
        <f t="shared" si="20"/>
        <v/>
      </c>
      <c r="Q249" s="12"/>
      <c r="S249" s="128"/>
      <c r="T249" s="66"/>
      <c r="U249" s="128"/>
      <c r="W249" s="128"/>
      <c r="X249" s="12"/>
      <c r="Y249" t="str">
        <f t="shared" si="21"/>
        <v/>
      </c>
      <c r="Z249" t="str">
        <f t="shared" si="21"/>
        <v/>
      </c>
      <c r="AA249" s="12"/>
      <c r="AB249" s="95" t="e">
        <f t="shared" si="22"/>
        <v>#VALUE!</v>
      </c>
      <c r="AC249" s="95" t="e">
        <f t="shared" si="23"/>
        <v>#VALUE!</v>
      </c>
      <c r="AD249" s="12"/>
    </row>
    <row r="250" spans="1:30" ht="15.75" thickBot="1" x14ac:dyDescent="0.3">
      <c r="A250" s="12"/>
      <c r="B250" s="22"/>
      <c r="C250" t="str">
        <f>IF(AND('ENTRY DATA'!D250=""),"",('ENTRY DATA'!D250))</f>
        <v/>
      </c>
      <c r="D250" t="str">
        <f>IF(AND('ENTRY DATA'!F250=""),"",('ENTRY DATA'!F250))</f>
        <v/>
      </c>
      <c r="E250" s="34" t="str">
        <f>IF(AND('ENTRY DATA'!B250=""),"",('ENTRY DATA'!B250))</f>
        <v/>
      </c>
      <c r="F250" s="12"/>
      <c r="G250" s="12"/>
      <c r="H250" s="73"/>
      <c r="I250" s="71"/>
      <c r="J250" s="73"/>
      <c r="K250" s="12"/>
      <c r="L250" s="20">
        <f t="shared" si="18"/>
        <v>0</v>
      </c>
      <c r="M250" s="19" t="str">
        <f t="shared" si="19"/>
        <v/>
      </c>
      <c r="N250" s="12"/>
      <c r="O250" s="119"/>
      <c r="P250" s="95" t="str">
        <f t="shared" si="20"/>
        <v/>
      </c>
      <c r="Q250" s="12"/>
      <c r="S250" s="128"/>
      <c r="T250" s="66"/>
      <c r="U250" s="128"/>
      <c r="W250" s="128"/>
      <c r="X250" s="12"/>
      <c r="Y250" t="str">
        <f t="shared" si="21"/>
        <v/>
      </c>
      <c r="Z250" t="str">
        <f t="shared" si="21"/>
        <v/>
      </c>
      <c r="AA250" s="12"/>
      <c r="AB250" s="95" t="e">
        <f t="shared" si="22"/>
        <v>#VALUE!</v>
      </c>
      <c r="AC250" s="95" t="e">
        <f t="shared" si="23"/>
        <v>#VALUE!</v>
      </c>
      <c r="AD250" s="12"/>
    </row>
    <row r="251" spans="1:30" ht="15.75" thickBot="1" x14ac:dyDescent="0.3">
      <c r="A251" s="12"/>
      <c r="B251" s="22"/>
      <c r="C251" t="str">
        <f>IF(AND('ENTRY DATA'!D251=""),"",('ENTRY DATA'!D251))</f>
        <v/>
      </c>
      <c r="D251" t="str">
        <f>IF(AND('ENTRY DATA'!F251=""),"",('ENTRY DATA'!F251))</f>
        <v/>
      </c>
      <c r="E251" s="34" t="str">
        <f>IF(AND('ENTRY DATA'!B251=""),"",('ENTRY DATA'!B251))</f>
        <v/>
      </c>
      <c r="F251" s="12"/>
      <c r="G251" s="12"/>
      <c r="H251" s="73"/>
      <c r="I251" s="71"/>
      <c r="J251" s="73"/>
      <c r="K251" s="12"/>
      <c r="L251" s="20">
        <f t="shared" si="18"/>
        <v>0</v>
      </c>
      <c r="M251" s="19" t="str">
        <f t="shared" si="19"/>
        <v/>
      </c>
      <c r="N251" s="12"/>
      <c r="O251" s="119"/>
      <c r="P251" s="95" t="str">
        <f t="shared" si="20"/>
        <v/>
      </c>
      <c r="Q251" s="12"/>
      <c r="S251" s="128"/>
      <c r="T251" s="66"/>
      <c r="U251" s="128"/>
      <c r="W251" s="128"/>
      <c r="X251" s="12"/>
      <c r="Y251" t="str">
        <f t="shared" si="21"/>
        <v/>
      </c>
      <c r="Z251" t="str">
        <f t="shared" si="21"/>
        <v/>
      </c>
      <c r="AA251" s="12"/>
      <c r="AB251" s="95" t="e">
        <f t="shared" si="22"/>
        <v>#VALUE!</v>
      </c>
      <c r="AC251" s="95" t="e">
        <f t="shared" si="23"/>
        <v>#VALUE!</v>
      </c>
      <c r="AD251" s="12"/>
    </row>
    <row r="252" spans="1:30" ht="15.75" thickBot="1" x14ac:dyDescent="0.3">
      <c r="A252" s="12"/>
      <c r="B252" s="22"/>
      <c r="C252" t="str">
        <f>IF(AND('ENTRY DATA'!D252=""),"",('ENTRY DATA'!D252))</f>
        <v/>
      </c>
      <c r="D252" t="str">
        <f>IF(AND('ENTRY DATA'!F252=""),"",('ENTRY DATA'!F252))</f>
        <v/>
      </c>
      <c r="E252" s="34" t="str">
        <f>IF(AND('ENTRY DATA'!B252=""),"",('ENTRY DATA'!B252))</f>
        <v/>
      </c>
      <c r="F252" s="12"/>
      <c r="G252" s="12"/>
      <c r="H252" s="73"/>
      <c r="I252" s="71"/>
      <c r="J252" s="73"/>
      <c r="K252" s="12"/>
      <c r="L252" s="20">
        <f t="shared" si="18"/>
        <v>0</v>
      </c>
      <c r="M252" s="19" t="str">
        <f t="shared" si="19"/>
        <v/>
      </c>
      <c r="N252" s="12"/>
      <c r="O252" s="119"/>
      <c r="P252" s="95" t="str">
        <f t="shared" si="20"/>
        <v/>
      </c>
      <c r="Q252" s="12"/>
      <c r="S252" s="128"/>
      <c r="T252" s="66"/>
      <c r="U252" s="128"/>
      <c r="W252" s="128"/>
      <c r="X252" s="12"/>
      <c r="Y252" t="str">
        <f t="shared" si="21"/>
        <v/>
      </c>
      <c r="Z252" t="str">
        <f t="shared" si="21"/>
        <v/>
      </c>
      <c r="AA252" s="12"/>
      <c r="AB252" s="95" t="e">
        <f t="shared" si="22"/>
        <v>#VALUE!</v>
      </c>
      <c r="AC252" s="95" t="e">
        <f t="shared" si="23"/>
        <v>#VALUE!</v>
      </c>
      <c r="AD252" s="12"/>
    </row>
    <row r="253" spans="1:30" ht="15.75" thickBot="1" x14ac:dyDescent="0.3">
      <c r="A253" s="12"/>
      <c r="B253" s="22"/>
      <c r="C253" t="str">
        <f>IF(AND('ENTRY DATA'!D253=""),"",('ENTRY DATA'!D253))</f>
        <v/>
      </c>
      <c r="D253" t="str">
        <f>IF(AND('ENTRY DATA'!F253=""),"",('ENTRY DATA'!F253))</f>
        <v/>
      </c>
      <c r="E253" s="34" t="str">
        <f>IF(AND('ENTRY DATA'!B253=""),"",('ENTRY DATA'!B253))</f>
        <v/>
      </c>
      <c r="F253" s="12"/>
      <c r="G253" s="12"/>
      <c r="H253" s="73"/>
      <c r="I253" s="71"/>
      <c r="J253" s="73"/>
      <c r="K253" s="12"/>
      <c r="L253" s="20">
        <f t="shared" si="18"/>
        <v>0</v>
      </c>
      <c r="M253" s="19" t="str">
        <f t="shared" si="19"/>
        <v/>
      </c>
      <c r="N253" s="12"/>
      <c r="O253" s="119"/>
      <c r="P253" s="95" t="str">
        <f t="shared" si="20"/>
        <v/>
      </c>
      <c r="Q253" s="12"/>
      <c r="S253" s="128"/>
      <c r="T253" s="66"/>
      <c r="U253" s="128"/>
      <c r="W253" s="128"/>
      <c r="X253" s="12"/>
      <c r="Y253" t="str">
        <f t="shared" si="21"/>
        <v/>
      </c>
      <c r="Z253" t="str">
        <f t="shared" si="21"/>
        <v/>
      </c>
      <c r="AA253" s="12"/>
      <c r="AB253" s="95" t="e">
        <f t="shared" si="22"/>
        <v>#VALUE!</v>
      </c>
      <c r="AC253" s="95" t="e">
        <f t="shared" si="23"/>
        <v>#VALUE!</v>
      </c>
      <c r="AD253" s="12"/>
    </row>
    <row r="254" spans="1:30" ht="15.75" thickBot="1" x14ac:dyDescent="0.3">
      <c r="A254" s="12"/>
      <c r="B254" s="22"/>
      <c r="C254" t="str">
        <f>IF(AND('ENTRY DATA'!D254=""),"",('ENTRY DATA'!D254))</f>
        <v/>
      </c>
      <c r="D254" t="str">
        <f>IF(AND('ENTRY DATA'!F254=""),"",('ENTRY DATA'!F254))</f>
        <v/>
      </c>
      <c r="E254" s="34" t="str">
        <f>IF(AND('ENTRY DATA'!B254=""),"",('ENTRY DATA'!B254))</f>
        <v/>
      </c>
      <c r="F254" s="12"/>
      <c r="G254" s="12"/>
      <c r="H254" s="73"/>
      <c r="I254" s="71"/>
      <c r="J254" s="73"/>
      <c r="K254" s="12"/>
      <c r="L254" s="20">
        <f t="shared" si="18"/>
        <v>0</v>
      </c>
      <c r="M254" s="19" t="str">
        <f t="shared" si="19"/>
        <v/>
      </c>
      <c r="N254" s="12"/>
      <c r="O254" s="119"/>
      <c r="P254" s="95" t="str">
        <f t="shared" si="20"/>
        <v/>
      </c>
      <c r="Q254" s="12"/>
      <c r="S254" s="128"/>
      <c r="T254" s="66"/>
      <c r="U254" s="128"/>
      <c r="W254" s="128"/>
      <c r="X254" s="12"/>
      <c r="Y254" t="str">
        <f t="shared" si="21"/>
        <v/>
      </c>
      <c r="Z254" t="str">
        <f t="shared" si="21"/>
        <v/>
      </c>
      <c r="AA254" s="12"/>
      <c r="AB254" s="95" t="e">
        <f t="shared" si="22"/>
        <v>#VALUE!</v>
      </c>
      <c r="AC254" s="95" t="e">
        <f t="shared" si="23"/>
        <v>#VALUE!</v>
      </c>
      <c r="AD254" s="12"/>
    </row>
    <row r="255" spans="1:30" ht="15.75" thickBot="1" x14ac:dyDescent="0.3">
      <c r="A255" s="12"/>
      <c r="B255" s="22"/>
      <c r="C255" t="str">
        <f>IF(AND('ENTRY DATA'!D255=""),"",('ENTRY DATA'!D255))</f>
        <v/>
      </c>
      <c r="D255" t="str">
        <f>IF(AND('ENTRY DATA'!F255=""),"",('ENTRY DATA'!F255))</f>
        <v/>
      </c>
      <c r="E255" s="34" t="str">
        <f>IF(AND('ENTRY DATA'!B255=""),"",('ENTRY DATA'!B255))</f>
        <v/>
      </c>
      <c r="F255" s="12"/>
      <c r="G255" s="12"/>
      <c r="H255" s="73"/>
      <c r="I255" s="71"/>
      <c r="J255" s="73"/>
      <c r="K255" s="12"/>
      <c r="L255" s="20">
        <f t="shared" si="18"/>
        <v>0</v>
      </c>
      <c r="M255" s="19" t="str">
        <f t="shared" si="19"/>
        <v/>
      </c>
      <c r="N255" s="12"/>
      <c r="O255" s="119"/>
      <c r="P255" s="95" t="str">
        <f t="shared" si="20"/>
        <v/>
      </c>
      <c r="Q255" s="12"/>
      <c r="S255" s="128"/>
      <c r="T255" s="66"/>
      <c r="U255" s="128"/>
      <c r="W255" s="128"/>
      <c r="X255" s="12"/>
      <c r="Y255" t="str">
        <f t="shared" si="21"/>
        <v/>
      </c>
      <c r="Z255" t="str">
        <f t="shared" si="21"/>
        <v/>
      </c>
      <c r="AA255" s="12"/>
      <c r="AB255" s="95" t="e">
        <f t="shared" si="22"/>
        <v>#VALUE!</v>
      </c>
      <c r="AC255" s="95" t="e">
        <f t="shared" si="23"/>
        <v>#VALUE!</v>
      </c>
      <c r="AD255" s="12"/>
    </row>
    <row r="256" spans="1:30" ht="15.75" thickBot="1" x14ac:dyDescent="0.3">
      <c r="A256" s="12"/>
      <c r="B256" s="22"/>
      <c r="C256" t="str">
        <f>IF(AND('ENTRY DATA'!D256=""),"",('ENTRY DATA'!D256))</f>
        <v/>
      </c>
      <c r="D256" t="str">
        <f>IF(AND('ENTRY DATA'!F256=""),"",('ENTRY DATA'!F256))</f>
        <v/>
      </c>
      <c r="E256" s="34" t="str">
        <f>IF(AND('ENTRY DATA'!B256=""),"",('ENTRY DATA'!B256))</f>
        <v/>
      </c>
      <c r="F256" s="12"/>
      <c r="G256" s="12"/>
      <c r="H256" s="73"/>
      <c r="I256" s="71"/>
      <c r="J256" s="73"/>
      <c r="K256" s="12"/>
      <c r="L256" s="20">
        <f t="shared" si="18"/>
        <v>0</v>
      </c>
      <c r="M256" s="19" t="str">
        <f t="shared" si="19"/>
        <v/>
      </c>
      <c r="N256" s="12"/>
      <c r="O256" s="119"/>
      <c r="P256" s="95" t="str">
        <f t="shared" si="20"/>
        <v/>
      </c>
      <c r="Q256" s="12"/>
      <c r="S256" s="128"/>
      <c r="T256" s="66"/>
      <c r="U256" s="128"/>
      <c r="W256" s="128"/>
      <c r="X256" s="12"/>
      <c r="Y256" t="str">
        <f t="shared" si="21"/>
        <v/>
      </c>
      <c r="Z256" t="str">
        <f t="shared" si="21"/>
        <v/>
      </c>
      <c r="AA256" s="12"/>
      <c r="AB256" s="95" t="e">
        <f t="shared" si="22"/>
        <v>#VALUE!</v>
      </c>
      <c r="AC256" s="95" t="e">
        <f t="shared" si="23"/>
        <v>#VALUE!</v>
      </c>
      <c r="AD256" s="12"/>
    </row>
    <row r="257" spans="1:30" ht="15.75" thickBot="1" x14ac:dyDescent="0.3">
      <c r="A257" s="12"/>
      <c r="B257" s="22"/>
      <c r="C257" t="str">
        <f>IF(AND('ENTRY DATA'!D257=""),"",('ENTRY DATA'!D257))</f>
        <v/>
      </c>
      <c r="D257" t="str">
        <f>IF(AND('ENTRY DATA'!F257=""),"",('ENTRY DATA'!F257))</f>
        <v/>
      </c>
      <c r="E257" s="34" t="str">
        <f>IF(AND('ENTRY DATA'!B257=""),"",('ENTRY DATA'!B257))</f>
        <v/>
      </c>
      <c r="F257" s="12"/>
      <c r="G257" s="12"/>
      <c r="H257" s="73"/>
      <c r="I257" s="71"/>
      <c r="J257" s="73"/>
      <c r="K257" s="12"/>
      <c r="L257" s="20">
        <f t="shared" si="18"/>
        <v>0</v>
      </c>
      <c r="M257" s="19" t="str">
        <f t="shared" si="19"/>
        <v/>
      </c>
      <c r="N257" s="12"/>
      <c r="O257" s="119"/>
      <c r="P257" s="95" t="str">
        <f t="shared" si="20"/>
        <v/>
      </c>
      <c r="Q257" s="12"/>
      <c r="S257" s="128"/>
      <c r="T257" s="66"/>
      <c r="U257" s="128"/>
      <c r="W257" s="128"/>
      <c r="X257" s="12"/>
      <c r="Y257" t="str">
        <f t="shared" si="21"/>
        <v/>
      </c>
      <c r="Z257" t="str">
        <f t="shared" si="21"/>
        <v/>
      </c>
      <c r="AA257" s="12"/>
      <c r="AB257" s="95" t="e">
        <f t="shared" si="22"/>
        <v>#VALUE!</v>
      </c>
      <c r="AC257" s="95" t="e">
        <f t="shared" si="23"/>
        <v>#VALUE!</v>
      </c>
      <c r="AD257" s="12"/>
    </row>
    <row r="258" spans="1:30" ht="15.75" thickBot="1" x14ac:dyDescent="0.3">
      <c r="A258" s="12"/>
      <c r="B258" s="22"/>
      <c r="C258" t="str">
        <f>IF(AND('ENTRY DATA'!D258=""),"",('ENTRY DATA'!D258))</f>
        <v/>
      </c>
      <c r="D258" t="str">
        <f>IF(AND('ENTRY DATA'!F258=""),"",('ENTRY DATA'!F258))</f>
        <v/>
      </c>
      <c r="E258" s="34" t="str">
        <f>IF(AND('ENTRY DATA'!B258=""),"",('ENTRY DATA'!B258))</f>
        <v/>
      </c>
      <c r="F258" s="12"/>
      <c r="G258" s="12"/>
      <c r="H258" s="73"/>
      <c r="I258" s="71"/>
      <c r="J258" s="73"/>
      <c r="K258" s="12"/>
      <c r="L258" s="20">
        <f t="shared" si="18"/>
        <v>0</v>
      </c>
      <c r="M258" s="19" t="str">
        <f t="shared" si="19"/>
        <v/>
      </c>
      <c r="N258" s="12"/>
      <c r="O258" s="119"/>
      <c r="P258" s="95" t="str">
        <f t="shared" si="20"/>
        <v/>
      </c>
      <c r="Q258" s="12"/>
      <c r="S258" s="128"/>
      <c r="T258" s="66"/>
      <c r="U258" s="128"/>
      <c r="W258" s="128"/>
      <c r="X258" s="12"/>
      <c r="Y258" t="str">
        <f t="shared" si="21"/>
        <v/>
      </c>
      <c r="Z258" t="str">
        <f t="shared" si="21"/>
        <v/>
      </c>
      <c r="AA258" s="12"/>
      <c r="AB258" s="95" t="e">
        <f t="shared" si="22"/>
        <v>#VALUE!</v>
      </c>
      <c r="AC258" s="95" t="e">
        <f t="shared" si="23"/>
        <v>#VALUE!</v>
      </c>
      <c r="AD258" s="12"/>
    </row>
    <row r="259" spans="1:30" ht="15.75" thickBot="1" x14ac:dyDescent="0.3">
      <c r="A259" s="12"/>
      <c r="B259" s="22"/>
      <c r="C259" t="str">
        <f>IF(AND('ENTRY DATA'!D259=""),"",('ENTRY DATA'!D259))</f>
        <v/>
      </c>
      <c r="D259" t="str">
        <f>IF(AND('ENTRY DATA'!F259=""),"",('ENTRY DATA'!F259))</f>
        <v/>
      </c>
      <c r="E259" s="34" t="str">
        <f>IF(AND('ENTRY DATA'!B259=""),"",('ENTRY DATA'!B259))</f>
        <v/>
      </c>
      <c r="F259" s="12"/>
      <c r="G259" s="12"/>
      <c r="H259" s="73"/>
      <c r="I259" s="71"/>
      <c r="J259" s="73"/>
      <c r="K259" s="12"/>
      <c r="L259" s="20">
        <f t="shared" si="18"/>
        <v>0</v>
      </c>
      <c r="M259" s="19" t="str">
        <f t="shared" si="19"/>
        <v/>
      </c>
      <c r="N259" s="12"/>
      <c r="O259" s="119"/>
      <c r="P259" s="95" t="str">
        <f t="shared" si="20"/>
        <v/>
      </c>
      <c r="Q259" s="12"/>
      <c r="S259" s="128"/>
      <c r="T259" s="66"/>
      <c r="U259" s="128"/>
      <c r="W259" s="128"/>
      <c r="X259" s="12"/>
      <c r="Y259" t="str">
        <f t="shared" si="21"/>
        <v/>
      </c>
      <c r="Z259" t="str">
        <f t="shared" si="21"/>
        <v/>
      </c>
      <c r="AA259" s="12"/>
      <c r="AB259" s="95" t="e">
        <f t="shared" si="22"/>
        <v>#VALUE!</v>
      </c>
      <c r="AC259" s="95" t="e">
        <f t="shared" si="23"/>
        <v>#VALUE!</v>
      </c>
      <c r="AD259" s="12"/>
    </row>
    <row r="260" spans="1:30" ht="15.75" thickBot="1" x14ac:dyDescent="0.3">
      <c r="A260" s="12"/>
      <c r="B260" s="22"/>
      <c r="C260" t="str">
        <f>IF(AND('ENTRY DATA'!D260=""),"",('ENTRY DATA'!D260))</f>
        <v/>
      </c>
      <c r="D260" t="str">
        <f>IF(AND('ENTRY DATA'!F260=""),"",('ENTRY DATA'!F260))</f>
        <v/>
      </c>
      <c r="E260" s="34" t="str">
        <f>IF(AND('ENTRY DATA'!B260=""),"",('ENTRY DATA'!B260))</f>
        <v/>
      </c>
      <c r="F260" s="12"/>
      <c r="G260" s="12"/>
      <c r="H260" s="73"/>
      <c r="I260" s="71"/>
      <c r="J260" s="73"/>
      <c r="K260" s="12"/>
      <c r="L260" s="20">
        <f t="shared" si="18"/>
        <v>0</v>
      </c>
      <c r="M260" s="19" t="str">
        <f t="shared" si="19"/>
        <v/>
      </c>
      <c r="N260" s="12"/>
      <c r="O260" s="119"/>
      <c r="P260" s="95" t="str">
        <f t="shared" si="20"/>
        <v/>
      </c>
      <c r="Q260" s="12"/>
      <c r="S260" s="128"/>
      <c r="T260" s="66"/>
      <c r="U260" s="128"/>
      <c r="W260" s="128"/>
      <c r="X260" s="12"/>
      <c r="Y260" t="str">
        <f t="shared" si="21"/>
        <v/>
      </c>
      <c r="Z260" t="str">
        <f t="shared" si="21"/>
        <v/>
      </c>
      <c r="AA260" s="12"/>
      <c r="AB260" s="95" t="e">
        <f t="shared" si="22"/>
        <v>#VALUE!</v>
      </c>
      <c r="AC260" s="95" t="e">
        <f t="shared" si="23"/>
        <v>#VALUE!</v>
      </c>
      <c r="AD260" s="12"/>
    </row>
    <row r="261" spans="1:30" ht="15.75" thickBot="1" x14ac:dyDescent="0.3">
      <c r="A261" s="12"/>
      <c r="B261" s="22"/>
      <c r="C261" t="str">
        <f>IF(AND('ENTRY DATA'!D261=""),"",('ENTRY DATA'!D261))</f>
        <v/>
      </c>
      <c r="D261" t="str">
        <f>IF(AND('ENTRY DATA'!F261=""),"",('ENTRY DATA'!F261))</f>
        <v/>
      </c>
      <c r="E261" s="34" t="str">
        <f>IF(AND('ENTRY DATA'!B261=""),"",('ENTRY DATA'!B261))</f>
        <v/>
      </c>
      <c r="F261" s="12"/>
      <c r="G261" s="12"/>
      <c r="H261" s="73"/>
      <c r="I261" s="71"/>
      <c r="J261" s="73"/>
      <c r="K261" s="12"/>
      <c r="L261" s="20">
        <f t="shared" si="18"/>
        <v>0</v>
      </c>
      <c r="M261" s="19" t="str">
        <f t="shared" si="19"/>
        <v/>
      </c>
      <c r="N261" s="12"/>
      <c r="O261" s="119"/>
      <c r="P261" s="95" t="str">
        <f t="shared" si="20"/>
        <v/>
      </c>
      <c r="Q261" s="12"/>
      <c r="S261" s="128"/>
      <c r="T261" s="66"/>
      <c r="U261" s="128"/>
      <c r="W261" s="128"/>
      <c r="X261" s="12"/>
      <c r="Y261" t="str">
        <f t="shared" si="21"/>
        <v/>
      </c>
      <c r="Z261" t="str">
        <f t="shared" si="21"/>
        <v/>
      </c>
      <c r="AA261" s="12"/>
      <c r="AB261" s="95" t="e">
        <f t="shared" si="22"/>
        <v>#VALUE!</v>
      </c>
      <c r="AC261" s="95" t="e">
        <f t="shared" si="23"/>
        <v>#VALUE!</v>
      </c>
      <c r="AD261" s="12"/>
    </row>
    <row r="262" spans="1:30" ht="15.75" thickBot="1" x14ac:dyDescent="0.3">
      <c r="A262" s="12"/>
      <c r="B262" s="22"/>
      <c r="C262" t="str">
        <f>IF(AND('ENTRY DATA'!D262=""),"",('ENTRY DATA'!D262))</f>
        <v/>
      </c>
      <c r="D262" t="str">
        <f>IF(AND('ENTRY DATA'!F262=""),"",('ENTRY DATA'!F262))</f>
        <v/>
      </c>
      <c r="E262" s="34" t="str">
        <f>IF(AND('ENTRY DATA'!B262=""),"",('ENTRY DATA'!B262))</f>
        <v/>
      </c>
      <c r="F262" s="12"/>
      <c r="G262" s="12"/>
      <c r="H262" s="73"/>
      <c r="I262" s="71"/>
      <c r="J262" s="73"/>
      <c r="K262" s="12"/>
      <c r="L262" s="20">
        <f t="shared" ref="L262:L300" si="24">COUNT(H262:J262)</f>
        <v>0</v>
      </c>
      <c r="M262" s="19" t="str">
        <f t="shared" ref="M262:M300" si="25">IF(AND(H262="",I262="",J262=""),"",(H262+I262+J262))</f>
        <v/>
      </c>
      <c r="N262" s="12"/>
      <c r="O262" s="119"/>
      <c r="P262" s="95" t="str">
        <f t="shared" ref="P262:P301" si="26">C262</f>
        <v/>
      </c>
      <c r="Q262" s="12"/>
      <c r="S262" s="128"/>
      <c r="T262" s="66"/>
      <c r="U262" s="128"/>
      <c r="W262" s="128"/>
      <c r="X262" s="12"/>
      <c r="Y262" t="str">
        <f t="shared" ref="Y262:Z302" si="27">IF(AND(R262="",T262="",V262=""),"",SUM(R262,T262,V262))</f>
        <v/>
      </c>
      <c r="Z262" t="str">
        <f t="shared" si="27"/>
        <v/>
      </c>
      <c r="AA262" s="12"/>
      <c r="AB262" s="95" t="e">
        <f t="shared" ref="AB262:AB301" si="28">Y262/L262</f>
        <v>#VALUE!</v>
      </c>
      <c r="AC262" s="95" t="e">
        <f t="shared" ref="AC262:AC301" si="29">Z262/L262</f>
        <v>#VALUE!</v>
      </c>
      <c r="AD262" s="12"/>
    </row>
    <row r="263" spans="1:30" ht="15.75" thickBot="1" x14ac:dyDescent="0.3">
      <c r="A263" s="12"/>
      <c r="B263" s="22"/>
      <c r="C263" t="str">
        <f>IF(AND('ENTRY DATA'!D263=""),"",('ENTRY DATA'!D263))</f>
        <v/>
      </c>
      <c r="D263" t="str">
        <f>IF(AND('ENTRY DATA'!F263=""),"",('ENTRY DATA'!F263))</f>
        <v/>
      </c>
      <c r="E263" s="34" t="str">
        <f>IF(AND('ENTRY DATA'!B263=""),"",('ENTRY DATA'!B263))</f>
        <v/>
      </c>
      <c r="F263" s="12"/>
      <c r="G263" s="12"/>
      <c r="H263" s="73"/>
      <c r="I263" s="71"/>
      <c r="J263" s="73"/>
      <c r="K263" s="12"/>
      <c r="L263" s="20">
        <f t="shared" si="24"/>
        <v>0</v>
      </c>
      <c r="M263" s="19" t="str">
        <f t="shared" si="25"/>
        <v/>
      </c>
      <c r="N263" s="12"/>
      <c r="O263" s="119"/>
      <c r="P263" s="95" t="str">
        <f t="shared" si="26"/>
        <v/>
      </c>
      <c r="Q263" s="12"/>
      <c r="S263" s="128"/>
      <c r="T263" s="66"/>
      <c r="U263" s="128"/>
      <c r="W263" s="128"/>
      <c r="X263" s="12"/>
      <c r="Y263" t="str">
        <f t="shared" si="27"/>
        <v/>
      </c>
      <c r="Z263" t="str">
        <f t="shared" si="27"/>
        <v/>
      </c>
      <c r="AA263" s="12"/>
      <c r="AB263" s="95" t="e">
        <f t="shared" si="28"/>
        <v>#VALUE!</v>
      </c>
      <c r="AC263" s="95" t="e">
        <f t="shared" si="29"/>
        <v>#VALUE!</v>
      </c>
      <c r="AD263" s="12"/>
    </row>
    <row r="264" spans="1:30" ht="15.75" thickBot="1" x14ac:dyDescent="0.3">
      <c r="A264" s="12"/>
      <c r="B264" s="22"/>
      <c r="C264" t="str">
        <f>IF(AND('ENTRY DATA'!D264=""),"",('ENTRY DATA'!D264))</f>
        <v/>
      </c>
      <c r="D264" t="str">
        <f>IF(AND('ENTRY DATA'!F264=""),"",('ENTRY DATA'!F264))</f>
        <v/>
      </c>
      <c r="E264" s="34" t="str">
        <f>IF(AND('ENTRY DATA'!B264=""),"",('ENTRY DATA'!B264))</f>
        <v/>
      </c>
      <c r="F264" s="12"/>
      <c r="G264" s="12"/>
      <c r="H264" s="73"/>
      <c r="I264" s="71"/>
      <c r="J264" s="73"/>
      <c r="K264" s="12"/>
      <c r="L264" s="20">
        <f t="shared" si="24"/>
        <v>0</v>
      </c>
      <c r="M264" s="19" t="str">
        <f t="shared" si="25"/>
        <v/>
      </c>
      <c r="N264" s="12"/>
      <c r="O264" s="119"/>
      <c r="P264" s="95" t="str">
        <f t="shared" si="26"/>
        <v/>
      </c>
      <c r="Q264" s="12"/>
      <c r="S264" s="128"/>
      <c r="T264" s="66"/>
      <c r="U264" s="128"/>
      <c r="W264" s="128"/>
      <c r="X264" s="12"/>
      <c r="Y264" t="str">
        <f t="shared" si="27"/>
        <v/>
      </c>
      <c r="Z264" t="str">
        <f t="shared" si="27"/>
        <v/>
      </c>
      <c r="AA264" s="12"/>
      <c r="AB264" s="95" t="e">
        <f t="shared" si="28"/>
        <v>#VALUE!</v>
      </c>
      <c r="AC264" s="95" t="e">
        <f t="shared" si="29"/>
        <v>#VALUE!</v>
      </c>
      <c r="AD264" s="12"/>
    </row>
    <row r="265" spans="1:30" ht="15.75" thickBot="1" x14ac:dyDescent="0.3">
      <c r="A265" s="12"/>
      <c r="B265" s="22"/>
      <c r="C265" t="str">
        <f>IF(AND('ENTRY DATA'!D265=""),"",('ENTRY DATA'!D265))</f>
        <v/>
      </c>
      <c r="D265" t="str">
        <f>IF(AND('ENTRY DATA'!F265=""),"",('ENTRY DATA'!F265))</f>
        <v/>
      </c>
      <c r="E265" s="34" t="str">
        <f>IF(AND('ENTRY DATA'!B265=""),"",('ENTRY DATA'!B265))</f>
        <v/>
      </c>
      <c r="F265" s="12"/>
      <c r="G265" s="12"/>
      <c r="H265" s="73"/>
      <c r="I265" s="71"/>
      <c r="J265" s="73"/>
      <c r="K265" s="12"/>
      <c r="L265" s="20">
        <f t="shared" si="24"/>
        <v>0</v>
      </c>
      <c r="M265" s="19" t="str">
        <f t="shared" si="25"/>
        <v/>
      </c>
      <c r="N265" s="12"/>
      <c r="O265" s="119"/>
      <c r="P265" s="95" t="str">
        <f t="shared" si="26"/>
        <v/>
      </c>
      <c r="Q265" s="12"/>
      <c r="S265" s="128"/>
      <c r="T265" s="66"/>
      <c r="U265" s="128"/>
      <c r="W265" s="128"/>
      <c r="X265" s="12"/>
      <c r="Y265" t="str">
        <f t="shared" si="27"/>
        <v/>
      </c>
      <c r="Z265" t="str">
        <f t="shared" si="27"/>
        <v/>
      </c>
      <c r="AA265" s="12"/>
      <c r="AB265" s="95" t="e">
        <f t="shared" si="28"/>
        <v>#VALUE!</v>
      </c>
      <c r="AC265" s="95" t="e">
        <f t="shared" si="29"/>
        <v>#VALUE!</v>
      </c>
      <c r="AD265" s="12"/>
    </row>
    <row r="266" spans="1:30" ht="15.75" thickBot="1" x14ac:dyDescent="0.3">
      <c r="A266" s="12"/>
      <c r="B266" s="22"/>
      <c r="C266" t="str">
        <f>IF(AND('ENTRY DATA'!D266=""),"",('ENTRY DATA'!D266))</f>
        <v/>
      </c>
      <c r="D266" t="str">
        <f>IF(AND('ENTRY DATA'!F266=""),"",('ENTRY DATA'!F266))</f>
        <v/>
      </c>
      <c r="E266" s="34" t="str">
        <f>IF(AND('ENTRY DATA'!B266=""),"",('ENTRY DATA'!B266))</f>
        <v/>
      </c>
      <c r="F266" s="12"/>
      <c r="G266" s="12"/>
      <c r="H266" s="73"/>
      <c r="I266" s="71"/>
      <c r="J266" s="73"/>
      <c r="K266" s="12"/>
      <c r="L266" s="20">
        <f t="shared" si="24"/>
        <v>0</v>
      </c>
      <c r="M266" s="19" t="str">
        <f t="shared" si="25"/>
        <v/>
      </c>
      <c r="N266" s="12"/>
      <c r="O266" s="119"/>
      <c r="P266" s="95" t="str">
        <f t="shared" si="26"/>
        <v/>
      </c>
      <c r="Q266" s="12"/>
      <c r="S266" s="128"/>
      <c r="T266" s="66"/>
      <c r="U266" s="128"/>
      <c r="W266" s="128"/>
      <c r="X266" s="12"/>
      <c r="Y266" t="str">
        <f t="shared" si="27"/>
        <v/>
      </c>
      <c r="Z266" t="str">
        <f t="shared" si="27"/>
        <v/>
      </c>
      <c r="AA266" s="12"/>
      <c r="AB266" s="95" t="e">
        <f t="shared" si="28"/>
        <v>#VALUE!</v>
      </c>
      <c r="AC266" s="95" t="e">
        <f t="shared" si="29"/>
        <v>#VALUE!</v>
      </c>
      <c r="AD266" s="12"/>
    </row>
    <row r="267" spans="1:30" ht="15.75" thickBot="1" x14ac:dyDescent="0.3">
      <c r="A267" s="12"/>
      <c r="B267" s="22"/>
      <c r="C267" t="str">
        <f>IF(AND('ENTRY DATA'!D267=""),"",('ENTRY DATA'!D267))</f>
        <v/>
      </c>
      <c r="D267" t="str">
        <f>IF(AND('ENTRY DATA'!F267=""),"",('ENTRY DATA'!F267))</f>
        <v/>
      </c>
      <c r="E267" s="34" t="str">
        <f>IF(AND('ENTRY DATA'!B267=""),"",('ENTRY DATA'!B267))</f>
        <v/>
      </c>
      <c r="F267" s="12"/>
      <c r="G267" s="12"/>
      <c r="H267" s="73"/>
      <c r="I267" s="71"/>
      <c r="J267" s="73"/>
      <c r="K267" s="12"/>
      <c r="L267" s="20">
        <f t="shared" si="24"/>
        <v>0</v>
      </c>
      <c r="M267" s="19" t="str">
        <f t="shared" si="25"/>
        <v/>
      </c>
      <c r="N267" s="12"/>
      <c r="O267" s="119"/>
      <c r="P267" s="95" t="str">
        <f t="shared" si="26"/>
        <v/>
      </c>
      <c r="Q267" s="12"/>
      <c r="S267" s="128"/>
      <c r="T267" s="66"/>
      <c r="U267" s="128"/>
      <c r="W267" s="128"/>
      <c r="X267" s="12"/>
      <c r="Y267" t="str">
        <f t="shared" si="27"/>
        <v/>
      </c>
      <c r="Z267" t="str">
        <f t="shared" si="27"/>
        <v/>
      </c>
      <c r="AA267" s="12"/>
      <c r="AB267" s="95" t="e">
        <f t="shared" si="28"/>
        <v>#VALUE!</v>
      </c>
      <c r="AC267" s="95" t="e">
        <f t="shared" si="29"/>
        <v>#VALUE!</v>
      </c>
      <c r="AD267" s="12"/>
    </row>
    <row r="268" spans="1:30" ht="15.75" thickBot="1" x14ac:dyDescent="0.3">
      <c r="A268" s="12"/>
      <c r="B268" s="22"/>
      <c r="C268" t="str">
        <f>IF(AND('ENTRY DATA'!D268=""),"",('ENTRY DATA'!D268))</f>
        <v/>
      </c>
      <c r="D268" t="str">
        <f>IF(AND('ENTRY DATA'!F268=""),"",('ENTRY DATA'!F268))</f>
        <v/>
      </c>
      <c r="E268" s="34" t="str">
        <f>IF(AND('ENTRY DATA'!B268=""),"",('ENTRY DATA'!B268))</f>
        <v/>
      </c>
      <c r="F268" s="12"/>
      <c r="G268" s="12"/>
      <c r="H268" s="73"/>
      <c r="I268" s="71"/>
      <c r="J268" s="73"/>
      <c r="K268" s="12"/>
      <c r="L268" s="20">
        <f t="shared" si="24"/>
        <v>0</v>
      </c>
      <c r="M268" s="19" t="str">
        <f t="shared" si="25"/>
        <v/>
      </c>
      <c r="N268" s="12"/>
      <c r="O268" s="119"/>
      <c r="P268" s="95" t="str">
        <f t="shared" si="26"/>
        <v/>
      </c>
      <c r="Q268" s="12"/>
      <c r="S268" s="128"/>
      <c r="T268" s="66"/>
      <c r="U268" s="128"/>
      <c r="W268" s="128"/>
      <c r="X268" s="12"/>
      <c r="Y268" t="str">
        <f t="shared" si="27"/>
        <v/>
      </c>
      <c r="Z268" t="str">
        <f t="shared" si="27"/>
        <v/>
      </c>
      <c r="AA268" s="12"/>
      <c r="AB268" s="95" t="e">
        <f t="shared" si="28"/>
        <v>#VALUE!</v>
      </c>
      <c r="AC268" s="95" t="e">
        <f t="shared" si="29"/>
        <v>#VALUE!</v>
      </c>
      <c r="AD268" s="12"/>
    </row>
    <row r="269" spans="1:30" ht="15.75" thickBot="1" x14ac:dyDescent="0.3">
      <c r="A269" s="12"/>
      <c r="B269" s="22"/>
      <c r="C269" t="str">
        <f>IF(AND('ENTRY DATA'!D269=""),"",('ENTRY DATA'!D269))</f>
        <v/>
      </c>
      <c r="D269" t="str">
        <f>IF(AND('ENTRY DATA'!F269=""),"",('ENTRY DATA'!F269))</f>
        <v/>
      </c>
      <c r="E269" s="34" t="str">
        <f>IF(AND('ENTRY DATA'!B269=""),"",('ENTRY DATA'!B269))</f>
        <v/>
      </c>
      <c r="F269" s="12"/>
      <c r="G269" s="12"/>
      <c r="H269" s="73"/>
      <c r="I269" s="71"/>
      <c r="J269" s="73"/>
      <c r="K269" s="12"/>
      <c r="L269" s="20">
        <f t="shared" si="24"/>
        <v>0</v>
      </c>
      <c r="M269" s="19" t="str">
        <f t="shared" si="25"/>
        <v/>
      </c>
      <c r="N269" s="12"/>
      <c r="O269" s="119"/>
      <c r="P269" s="95" t="str">
        <f t="shared" si="26"/>
        <v/>
      </c>
      <c r="Q269" s="12"/>
      <c r="S269" s="128"/>
      <c r="T269" s="66"/>
      <c r="U269" s="128"/>
      <c r="W269" s="128"/>
      <c r="X269" s="12"/>
      <c r="Y269" t="str">
        <f t="shared" si="27"/>
        <v/>
      </c>
      <c r="Z269" t="str">
        <f t="shared" si="27"/>
        <v/>
      </c>
      <c r="AA269" s="12"/>
      <c r="AB269" s="95" t="e">
        <f t="shared" si="28"/>
        <v>#VALUE!</v>
      </c>
      <c r="AC269" s="95" t="e">
        <f t="shared" si="29"/>
        <v>#VALUE!</v>
      </c>
      <c r="AD269" s="12"/>
    </row>
    <row r="270" spans="1:30" ht="15.75" thickBot="1" x14ac:dyDescent="0.3">
      <c r="A270" s="12"/>
      <c r="B270" s="22"/>
      <c r="C270" t="str">
        <f>IF(AND('ENTRY DATA'!D270=""),"",('ENTRY DATA'!D270))</f>
        <v/>
      </c>
      <c r="D270" t="str">
        <f>IF(AND('ENTRY DATA'!F270=""),"",('ENTRY DATA'!F270))</f>
        <v/>
      </c>
      <c r="E270" s="34" t="str">
        <f>IF(AND('ENTRY DATA'!B270=""),"",('ENTRY DATA'!B270))</f>
        <v/>
      </c>
      <c r="F270" s="12"/>
      <c r="G270" s="12"/>
      <c r="H270" s="73"/>
      <c r="I270" s="71"/>
      <c r="J270" s="73"/>
      <c r="K270" s="12"/>
      <c r="L270" s="20">
        <f t="shared" si="24"/>
        <v>0</v>
      </c>
      <c r="M270" s="19" t="str">
        <f t="shared" si="25"/>
        <v/>
      </c>
      <c r="N270" s="12"/>
      <c r="O270" s="119"/>
      <c r="P270" s="95" t="str">
        <f t="shared" si="26"/>
        <v/>
      </c>
      <c r="Q270" s="12"/>
      <c r="S270" s="128"/>
      <c r="T270" s="66"/>
      <c r="U270" s="128"/>
      <c r="W270" s="128"/>
      <c r="X270" s="12"/>
      <c r="Y270" t="str">
        <f t="shared" si="27"/>
        <v/>
      </c>
      <c r="Z270" t="str">
        <f t="shared" si="27"/>
        <v/>
      </c>
      <c r="AA270" s="12"/>
      <c r="AB270" s="95" t="e">
        <f t="shared" si="28"/>
        <v>#VALUE!</v>
      </c>
      <c r="AC270" s="95" t="e">
        <f t="shared" si="29"/>
        <v>#VALUE!</v>
      </c>
      <c r="AD270" s="12"/>
    </row>
    <row r="271" spans="1:30" ht="15.75" thickBot="1" x14ac:dyDescent="0.3">
      <c r="A271" s="12"/>
      <c r="B271" s="22"/>
      <c r="C271" t="str">
        <f>IF(AND('ENTRY DATA'!D271=""),"",('ENTRY DATA'!D271))</f>
        <v/>
      </c>
      <c r="D271" t="str">
        <f>IF(AND('ENTRY DATA'!F271=""),"",('ENTRY DATA'!F271))</f>
        <v/>
      </c>
      <c r="E271" s="34" t="str">
        <f>IF(AND('ENTRY DATA'!B271=""),"",('ENTRY DATA'!B271))</f>
        <v/>
      </c>
      <c r="F271" s="12"/>
      <c r="G271" s="12"/>
      <c r="H271" s="73"/>
      <c r="I271" s="71"/>
      <c r="J271" s="73"/>
      <c r="K271" s="12"/>
      <c r="L271" s="20">
        <f t="shared" si="24"/>
        <v>0</v>
      </c>
      <c r="M271" s="19" t="str">
        <f t="shared" si="25"/>
        <v/>
      </c>
      <c r="N271" s="12"/>
      <c r="O271" s="119"/>
      <c r="P271" s="95" t="str">
        <f t="shared" si="26"/>
        <v/>
      </c>
      <c r="Q271" s="12"/>
      <c r="S271" s="128"/>
      <c r="T271" s="66"/>
      <c r="U271" s="128"/>
      <c r="W271" s="128"/>
      <c r="X271" s="12"/>
      <c r="Y271" t="str">
        <f t="shared" si="27"/>
        <v/>
      </c>
      <c r="Z271" t="str">
        <f t="shared" si="27"/>
        <v/>
      </c>
      <c r="AA271" s="12"/>
      <c r="AB271" s="95" t="e">
        <f t="shared" si="28"/>
        <v>#VALUE!</v>
      </c>
      <c r="AC271" s="95" t="e">
        <f t="shared" si="29"/>
        <v>#VALUE!</v>
      </c>
      <c r="AD271" s="12"/>
    </row>
    <row r="272" spans="1:30" ht="15.75" thickBot="1" x14ac:dyDescent="0.3">
      <c r="A272" s="12"/>
      <c r="B272" s="22"/>
      <c r="C272" t="str">
        <f>IF(AND('ENTRY DATA'!D272=""),"",('ENTRY DATA'!D272))</f>
        <v/>
      </c>
      <c r="D272" t="str">
        <f>IF(AND('ENTRY DATA'!F272=""),"",('ENTRY DATA'!F272))</f>
        <v/>
      </c>
      <c r="E272" s="34" t="str">
        <f>IF(AND('ENTRY DATA'!B272=""),"",('ENTRY DATA'!B272))</f>
        <v/>
      </c>
      <c r="F272" s="12"/>
      <c r="G272" s="12"/>
      <c r="H272" s="73"/>
      <c r="I272" s="71"/>
      <c r="J272" s="73"/>
      <c r="K272" s="12"/>
      <c r="L272" s="20">
        <f t="shared" si="24"/>
        <v>0</v>
      </c>
      <c r="M272" s="19" t="str">
        <f t="shared" si="25"/>
        <v/>
      </c>
      <c r="N272" s="12"/>
      <c r="O272" s="119"/>
      <c r="P272" s="95" t="str">
        <f t="shared" si="26"/>
        <v/>
      </c>
      <c r="Q272" s="12"/>
      <c r="S272" s="128"/>
      <c r="T272" s="66"/>
      <c r="U272" s="128"/>
      <c r="W272" s="128"/>
      <c r="X272" s="12"/>
      <c r="Y272" t="str">
        <f t="shared" si="27"/>
        <v/>
      </c>
      <c r="Z272" t="str">
        <f t="shared" si="27"/>
        <v/>
      </c>
      <c r="AA272" s="12"/>
      <c r="AB272" s="95" t="e">
        <f t="shared" si="28"/>
        <v>#VALUE!</v>
      </c>
      <c r="AC272" s="95" t="e">
        <f t="shared" si="29"/>
        <v>#VALUE!</v>
      </c>
      <c r="AD272" s="12"/>
    </row>
    <row r="273" spans="1:30" ht="15.75" thickBot="1" x14ac:dyDescent="0.3">
      <c r="A273" s="12"/>
      <c r="B273" s="22"/>
      <c r="C273" t="str">
        <f>IF(AND('ENTRY DATA'!D273=""),"",('ENTRY DATA'!D273))</f>
        <v/>
      </c>
      <c r="D273" t="str">
        <f>IF(AND('ENTRY DATA'!F273=""),"",('ENTRY DATA'!F273))</f>
        <v/>
      </c>
      <c r="E273" s="34" t="str">
        <f>IF(AND('ENTRY DATA'!B273=""),"",('ENTRY DATA'!B273))</f>
        <v/>
      </c>
      <c r="F273" s="12"/>
      <c r="G273" s="12"/>
      <c r="H273" s="73"/>
      <c r="I273" s="71"/>
      <c r="J273" s="73"/>
      <c r="K273" s="12"/>
      <c r="L273" s="20">
        <f t="shared" si="24"/>
        <v>0</v>
      </c>
      <c r="M273" s="19" t="str">
        <f t="shared" si="25"/>
        <v/>
      </c>
      <c r="N273" s="12"/>
      <c r="O273" s="119"/>
      <c r="P273" s="95" t="str">
        <f t="shared" si="26"/>
        <v/>
      </c>
      <c r="Q273" s="12"/>
      <c r="S273" s="128"/>
      <c r="T273" s="66"/>
      <c r="U273" s="128"/>
      <c r="W273" s="128"/>
      <c r="X273" s="12"/>
      <c r="Y273" t="str">
        <f t="shared" si="27"/>
        <v/>
      </c>
      <c r="Z273" t="str">
        <f t="shared" si="27"/>
        <v/>
      </c>
      <c r="AA273" s="12"/>
      <c r="AB273" s="95" t="e">
        <f t="shared" si="28"/>
        <v>#VALUE!</v>
      </c>
      <c r="AC273" s="95" t="e">
        <f t="shared" si="29"/>
        <v>#VALUE!</v>
      </c>
      <c r="AD273" s="12"/>
    </row>
    <row r="274" spans="1:30" ht="15.75" thickBot="1" x14ac:dyDescent="0.3">
      <c r="A274" s="12"/>
      <c r="B274" s="22"/>
      <c r="C274" t="str">
        <f>IF(AND('ENTRY DATA'!D274=""),"",('ENTRY DATA'!D274))</f>
        <v/>
      </c>
      <c r="D274" t="str">
        <f>IF(AND('ENTRY DATA'!F274=""),"",('ENTRY DATA'!F274))</f>
        <v/>
      </c>
      <c r="E274" s="34" t="str">
        <f>IF(AND('ENTRY DATA'!B274=""),"",('ENTRY DATA'!B274))</f>
        <v/>
      </c>
      <c r="F274" s="12"/>
      <c r="G274" s="12"/>
      <c r="H274" s="73"/>
      <c r="I274" s="71"/>
      <c r="J274" s="73"/>
      <c r="K274" s="12"/>
      <c r="L274" s="20">
        <f t="shared" si="24"/>
        <v>0</v>
      </c>
      <c r="M274" s="19" t="str">
        <f t="shared" si="25"/>
        <v/>
      </c>
      <c r="N274" s="12"/>
      <c r="O274" s="119"/>
      <c r="P274" s="95" t="str">
        <f t="shared" si="26"/>
        <v/>
      </c>
      <c r="Q274" s="12"/>
      <c r="S274" s="128"/>
      <c r="T274" s="66"/>
      <c r="U274" s="128"/>
      <c r="W274" s="128"/>
      <c r="X274" s="12"/>
      <c r="Y274" t="str">
        <f t="shared" si="27"/>
        <v/>
      </c>
      <c r="Z274" t="str">
        <f t="shared" si="27"/>
        <v/>
      </c>
      <c r="AA274" s="12"/>
      <c r="AB274" s="95" t="e">
        <f t="shared" si="28"/>
        <v>#VALUE!</v>
      </c>
      <c r="AC274" s="95" t="e">
        <f t="shared" si="29"/>
        <v>#VALUE!</v>
      </c>
      <c r="AD274" s="12"/>
    </row>
    <row r="275" spans="1:30" ht="15.75" thickBot="1" x14ac:dyDescent="0.3">
      <c r="A275" s="12"/>
      <c r="B275" s="22"/>
      <c r="C275" t="str">
        <f>IF(AND('ENTRY DATA'!D275=""),"",('ENTRY DATA'!D275))</f>
        <v/>
      </c>
      <c r="D275" t="str">
        <f>IF(AND('ENTRY DATA'!F275=""),"",('ENTRY DATA'!F275))</f>
        <v/>
      </c>
      <c r="E275" s="34" t="str">
        <f>IF(AND('ENTRY DATA'!B275=""),"",('ENTRY DATA'!B275))</f>
        <v/>
      </c>
      <c r="F275" s="12"/>
      <c r="G275" s="12"/>
      <c r="H275" s="73"/>
      <c r="I275" s="71"/>
      <c r="J275" s="73"/>
      <c r="K275" s="12"/>
      <c r="L275" s="20">
        <f t="shared" si="24"/>
        <v>0</v>
      </c>
      <c r="M275" s="19" t="str">
        <f t="shared" si="25"/>
        <v/>
      </c>
      <c r="N275" s="12"/>
      <c r="O275" s="119"/>
      <c r="P275" s="95" t="str">
        <f t="shared" si="26"/>
        <v/>
      </c>
      <c r="Q275" s="12"/>
      <c r="S275" s="128"/>
      <c r="T275" s="66"/>
      <c r="U275" s="128"/>
      <c r="W275" s="128"/>
      <c r="X275" s="12"/>
      <c r="Y275" t="str">
        <f t="shared" si="27"/>
        <v/>
      </c>
      <c r="Z275" t="str">
        <f t="shared" si="27"/>
        <v/>
      </c>
      <c r="AA275" s="12"/>
      <c r="AB275" s="95" t="e">
        <f t="shared" si="28"/>
        <v>#VALUE!</v>
      </c>
      <c r="AC275" s="95" t="e">
        <f t="shared" si="29"/>
        <v>#VALUE!</v>
      </c>
      <c r="AD275" s="12"/>
    </row>
    <row r="276" spans="1:30" ht="15.75" thickBot="1" x14ac:dyDescent="0.3">
      <c r="A276" s="12"/>
      <c r="B276" s="22"/>
      <c r="C276" t="str">
        <f>IF(AND('ENTRY DATA'!D276=""),"",('ENTRY DATA'!D276))</f>
        <v/>
      </c>
      <c r="D276" t="str">
        <f>IF(AND('ENTRY DATA'!F276=""),"",('ENTRY DATA'!F276))</f>
        <v/>
      </c>
      <c r="E276" s="34" t="str">
        <f>IF(AND('ENTRY DATA'!B276=""),"",('ENTRY DATA'!B276))</f>
        <v/>
      </c>
      <c r="F276" s="12"/>
      <c r="G276" s="12"/>
      <c r="H276" s="73"/>
      <c r="I276" s="71"/>
      <c r="J276" s="73"/>
      <c r="K276" s="12"/>
      <c r="L276" s="20">
        <f t="shared" si="24"/>
        <v>0</v>
      </c>
      <c r="M276" s="19" t="str">
        <f t="shared" si="25"/>
        <v/>
      </c>
      <c r="N276" s="12"/>
      <c r="O276" s="119"/>
      <c r="P276" s="95" t="str">
        <f t="shared" si="26"/>
        <v/>
      </c>
      <c r="Q276" s="12"/>
      <c r="S276" s="128"/>
      <c r="T276" s="66"/>
      <c r="U276" s="128"/>
      <c r="W276" s="128"/>
      <c r="X276" s="12"/>
      <c r="Y276" t="str">
        <f t="shared" si="27"/>
        <v/>
      </c>
      <c r="Z276" t="str">
        <f t="shared" si="27"/>
        <v/>
      </c>
      <c r="AA276" s="12"/>
      <c r="AB276" s="95" t="e">
        <f t="shared" si="28"/>
        <v>#VALUE!</v>
      </c>
      <c r="AC276" s="95" t="e">
        <f t="shared" si="29"/>
        <v>#VALUE!</v>
      </c>
      <c r="AD276" s="12"/>
    </row>
    <row r="277" spans="1:30" ht="15.75" thickBot="1" x14ac:dyDescent="0.3">
      <c r="A277" s="12"/>
      <c r="B277" s="22"/>
      <c r="C277" t="str">
        <f>IF(AND('ENTRY DATA'!D277=""),"",('ENTRY DATA'!D277))</f>
        <v/>
      </c>
      <c r="D277" t="str">
        <f>IF(AND('ENTRY DATA'!F277=""),"",('ENTRY DATA'!F277))</f>
        <v/>
      </c>
      <c r="E277" s="34" t="str">
        <f>IF(AND('ENTRY DATA'!B277=""),"",('ENTRY DATA'!B277))</f>
        <v/>
      </c>
      <c r="F277" s="12"/>
      <c r="G277" s="12"/>
      <c r="H277" s="73"/>
      <c r="I277" s="71"/>
      <c r="J277" s="73"/>
      <c r="K277" s="12"/>
      <c r="L277" s="20">
        <f t="shared" si="24"/>
        <v>0</v>
      </c>
      <c r="M277" s="19" t="str">
        <f t="shared" si="25"/>
        <v/>
      </c>
      <c r="N277" s="12"/>
      <c r="O277" s="119"/>
      <c r="P277" s="95" t="str">
        <f t="shared" si="26"/>
        <v/>
      </c>
      <c r="Q277" s="12"/>
      <c r="S277" s="128"/>
      <c r="T277" s="66"/>
      <c r="U277" s="128"/>
      <c r="W277" s="128"/>
      <c r="X277" s="12"/>
      <c r="Y277" t="str">
        <f t="shared" si="27"/>
        <v/>
      </c>
      <c r="Z277" t="str">
        <f t="shared" si="27"/>
        <v/>
      </c>
      <c r="AA277" s="12"/>
      <c r="AB277" s="95" t="e">
        <f t="shared" si="28"/>
        <v>#VALUE!</v>
      </c>
      <c r="AC277" s="95" t="e">
        <f t="shared" si="29"/>
        <v>#VALUE!</v>
      </c>
      <c r="AD277" s="12"/>
    </row>
    <row r="278" spans="1:30" ht="15.75" thickBot="1" x14ac:dyDescent="0.3">
      <c r="A278" s="12"/>
      <c r="B278" s="22"/>
      <c r="C278" t="str">
        <f>IF(AND('ENTRY DATA'!D278=""),"",('ENTRY DATA'!D278))</f>
        <v/>
      </c>
      <c r="D278" t="str">
        <f>IF(AND('ENTRY DATA'!F278=""),"",('ENTRY DATA'!F278))</f>
        <v/>
      </c>
      <c r="E278" s="34" t="str">
        <f>IF(AND('ENTRY DATA'!B278=""),"",('ENTRY DATA'!B278))</f>
        <v/>
      </c>
      <c r="F278" s="12"/>
      <c r="G278" s="12"/>
      <c r="H278" s="73"/>
      <c r="I278" s="71"/>
      <c r="J278" s="73"/>
      <c r="K278" s="12"/>
      <c r="L278" s="20">
        <f t="shared" si="24"/>
        <v>0</v>
      </c>
      <c r="M278" s="19" t="str">
        <f t="shared" si="25"/>
        <v/>
      </c>
      <c r="N278" s="12"/>
      <c r="O278" s="119"/>
      <c r="P278" s="95" t="str">
        <f t="shared" si="26"/>
        <v/>
      </c>
      <c r="Q278" s="12"/>
      <c r="S278" s="128"/>
      <c r="T278" s="66"/>
      <c r="U278" s="128"/>
      <c r="W278" s="128"/>
      <c r="X278" s="12"/>
      <c r="Y278" t="str">
        <f t="shared" si="27"/>
        <v/>
      </c>
      <c r="Z278" t="str">
        <f t="shared" si="27"/>
        <v/>
      </c>
      <c r="AA278" s="12"/>
      <c r="AB278" s="95" t="e">
        <f t="shared" si="28"/>
        <v>#VALUE!</v>
      </c>
      <c r="AC278" s="95" t="e">
        <f t="shared" si="29"/>
        <v>#VALUE!</v>
      </c>
      <c r="AD278" s="12"/>
    </row>
    <row r="279" spans="1:30" ht="15.75" thickBot="1" x14ac:dyDescent="0.3">
      <c r="A279" s="12"/>
      <c r="B279" s="22"/>
      <c r="C279" t="str">
        <f>IF(AND('ENTRY DATA'!D279=""),"",('ENTRY DATA'!D279))</f>
        <v/>
      </c>
      <c r="D279" t="str">
        <f>IF(AND('ENTRY DATA'!F279=""),"",('ENTRY DATA'!F279))</f>
        <v/>
      </c>
      <c r="E279" s="34" t="str">
        <f>IF(AND('ENTRY DATA'!B279=""),"",('ENTRY DATA'!B279))</f>
        <v/>
      </c>
      <c r="F279" s="12"/>
      <c r="G279" s="12"/>
      <c r="H279" s="73"/>
      <c r="I279" s="71"/>
      <c r="J279" s="73"/>
      <c r="K279" s="12"/>
      <c r="L279" s="20">
        <f t="shared" si="24"/>
        <v>0</v>
      </c>
      <c r="M279" s="19" t="str">
        <f t="shared" si="25"/>
        <v/>
      </c>
      <c r="N279" s="12"/>
      <c r="O279" s="119"/>
      <c r="P279" s="95" t="str">
        <f t="shared" si="26"/>
        <v/>
      </c>
      <c r="Q279" s="12"/>
      <c r="S279" s="128"/>
      <c r="T279" s="66"/>
      <c r="U279" s="128"/>
      <c r="W279" s="128"/>
      <c r="X279" s="12"/>
      <c r="Y279" t="str">
        <f t="shared" si="27"/>
        <v/>
      </c>
      <c r="Z279" t="str">
        <f t="shared" si="27"/>
        <v/>
      </c>
      <c r="AA279" s="12"/>
      <c r="AB279" s="95" t="e">
        <f t="shared" si="28"/>
        <v>#VALUE!</v>
      </c>
      <c r="AC279" s="95" t="e">
        <f t="shared" si="29"/>
        <v>#VALUE!</v>
      </c>
      <c r="AD279" s="12"/>
    </row>
    <row r="280" spans="1:30" ht="15.75" thickBot="1" x14ac:dyDescent="0.3">
      <c r="A280" s="12"/>
      <c r="B280" s="22"/>
      <c r="C280" t="str">
        <f>IF(AND('ENTRY DATA'!D280=""),"",('ENTRY DATA'!D280))</f>
        <v/>
      </c>
      <c r="D280" t="str">
        <f>IF(AND('ENTRY DATA'!F280=""),"",('ENTRY DATA'!F280))</f>
        <v/>
      </c>
      <c r="E280" s="34" t="str">
        <f>IF(AND('ENTRY DATA'!B280=""),"",('ENTRY DATA'!B280))</f>
        <v/>
      </c>
      <c r="F280" s="12"/>
      <c r="G280" s="12"/>
      <c r="H280" s="73"/>
      <c r="I280" s="71"/>
      <c r="J280" s="73"/>
      <c r="K280" s="12"/>
      <c r="L280" s="20">
        <f t="shared" si="24"/>
        <v>0</v>
      </c>
      <c r="M280" s="19" t="str">
        <f t="shared" si="25"/>
        <v/>
      </c>
      <c r="N280" s="12"/>
      <c r="O280" s="119"/>
      <c r="P280" s="95" t="str">
        <f t="shared" si="26"/>
        <v/>
      </c>
      <c r="Q280" s="12"/>
      <c r="S280" s="128"/>
      <c r="T280" s="66"/>
      <c r="U280" s="128"/>
      <c r="W280" s="128"/>
      <c r="X280" s="12"/>
      <c r="Y280" t="str">
        <f t="shared" si="27"/>
        <v/>
      </c>
      <c r="Z280" t="str">
        <f t="shared" si="27"/>
        <v/>
      </c>
      <c r="AA280" s="12"/>
      <c r="AB280" s="95" t="e">
        <f t="shared" si="28"/>
        <v>#VALUE!</v>
      </c>
      <c r="AC280" s="95" t="e">
        <f t="shared" si="29"/>
        <v>#VALUE!</v>
      </c>
      <c r="AD280" s="12"/>
    </row>
    <row r="281" spans="1:30" ht="15.75" thickBot="1" x14ac:dyDescent="0.3">
      <c r="A281" s="12"/>
      <c r="B281" s="22"/>
      <c r="C281" t="str">
        <f>IF(AND('ENTRY DATA'!D281=""),"",('ENTRY DATA'!D281))</f>
        <v/>
      </c>
      <c r="D281" t="str">
        <f>IF(AND('ENTRY DATA'!F281=""),"",('ENTRY DATA'!F281))</f>
        <v/>
      </c>
      <c r="E281" s="34" t="str">
        <f>IF(AND('ENTRY DATA'!B281=""),"",('ENTRY DATA'!B281))</f>
        <v/>
      </c>
      <c r="F281" s="12"/>
      <c r="G281" s="12"/>
      <c r="H281" s="73"/>
      <c r="I281" s="71"/>
      <c r="J281" s="73"/>
      <c r="K281" s="12"/>
      <c r="L281" s="20">
        <f t="shared" si="24"/>
        <v>0</v>
      </c>
      <c r="M281" s="19" t="str">
        <f t="shared" si="25"/>
        <v/>
      </c>
      <c r="N281" s="12"/>
      <c r="O281" s="119"/>
      <c r="P281" s="95" t="str">
        <f t="shared" si="26"/>
        <v/>
      </c>
      <c r="Q281" s="12"/>
      <c r="S281" s="128"/>
      <c r="T281" s="66"/>
      <c r="U281" s="128"/>
      <c r="W281" s="128"/>
      <c r="X281" s="12"/>
      <c r="Y281" t="str">
        <f t="shared" si="27"/>
        <v/>
      </c>
      <c r="Z281" t="str">
        <f t="shared" si="27"/>
        <v/>
      </c>
      <c r="AA281" s="12"/>
      <c r="AB281" s="95" t="e">
        <f t="shared" si="28"/>
        <v>#VALUE!</v>
      </c>
      <c r="AC281" s="95" t="e">
        <f t="shared" si="29"/>
        <v>#VALUE!</v>
      </c>
      <c r="AD281" s="12"/>
    </row>
    <row r="282" spans="1:30" ht="15.75" thickBot="1" x14ac:dyDescent="0.3">
      <c r="A282" s="12"/>
      <c r="B282" s="22"/>
      <c r="C282" t="str">
        <f>IF(AND('ENTRY DATA'!D282=""),"",('ENTRY DATA'!D282))</f>
        <v/>
      </c>
      <c r="D282" t="str">
        <f>IF(AND('ENTRY DATA'!F282=""),"",('ENTRY DATA'!F282))</f>
        <v/>
      </c>
      <c r="E282" s="34" t="str">
        <f>IF(AND('ENTRY DATA'!B282=""),"",('ENTRY DATA'!B282))</f>
        <v/>
      </c>
      <c r="F282" s="12"/>
      <c r="G282" s="12"/>
      <c r="H282" s="73"/>
      <c r="I282" s="71"/>
      <c r="J282" s="73"/>
      <c r="K282" s="12"/>
      <c r="L282" s="20">
        <f t="shared" si="24"/>
        <v>0</v>
      </c>
      <c r="M282" s="19" t="str">
        <f t="shared" si="25"/>
        <v/>
      </c>
      <c r="N282" s="12"/>
      <c r="O282" s="119"/>
      <c r="P282" s="95" t="str">
        <f t="shared" si="26"/>
        <v/>
      </c>
      <c r="Q282" s="12"/>
      <c r="S282" s="128"/>
      <c r="T282" s="66"/>
      <c r="U282" s="128"/>
      <c r="W282" s="128"/>
      <c r="X282" s="12"/>
      <c r="Y282" t="str">
        <f t="shared" si="27"/>
        <v/>
      </c>
      <c r="Z282" t="str">
        <f t="shared" si="27"/>
        <v/>
      </c>
      <c r="AA282" s="12"/>
      <c r="AB282" s="95" t="e">
        <f t="shared" si="28"/>
        <v>#VALUE!</v>
      </c>
      <c r="AC282" s="95" t="e">
        <f t="shared" si="29"/>
        <v>#VALUE!</v>
      </c>
      <c r="AD282" s="12"/>
    </row>
    <row r="283" spans="1:30" ht="15.75" thickBot="1" x14ac:dyDescent="0.3">
      <c r="A283" s="12"/>
      <c r="B283" s="22"/>
      <c r="C283" t="str">
        <f>IF(AND('ENTRY DATA'!D283=""),"",('ENTRY DATA'!D283))</f>
        <v/>
      </c>
      <c r="D283" t="str">
        <f>IF(AND('ENTRY DATA'!F283=""),"",('ENTRY DATA'!F283))</f>
        <v/>
      </c>
      <c r="E283" s="34" t="str">
        <f>IF(AND('ENTRY DATA'!B283=""),"",('ENTRY DATA'!B283))</f>
        <v/>
      </c>
      <c r="F283" s="12"/>
      <c r="G283" s="12"/>
      <c r="H283" s="73"/>
      <c r="I283" s="71"/>
      <c r="J283" s="73"/>
      <c r="K283" s="12"/>
      <c r="L283" s="20">
        <f t="shared" si="24"/>
        <v>0</v>
      </c>
      <c r="M283" s="19" t="str">
        <f t="shared" si="25"/>
        <v/>
      </c>
      <c r="N283" s="12"/>
      <c r="O283" s="119"/>
      <c r="P283" s="95" t="str">
        <f t="shared" si="26"/>
        <v/>
      </c>
      <c r="Q283" s="12"/>
      <c r="S283" s="128"/>
      <c r="T283" s="66"/>
      <c r="U283" s="128"/>
      <c r="W283" s="128"/>
      <c r="X283" s="12"/>
      <c r="Y283" t="str">
        <f t="shared" si="27"/>
        <v/>
      </c>
      <c r="Z283" t="str">
        <f t="shared" si="27"/>
        <v/>
      </c>
      <c r="AA283" s="12"/>
      <c r="AB283" s="95" t="e">
        <f t="shared" si="28"/>
        <v>#VALUE!</v>
      </c>
      <c r="AC283" s="95" t="e">
        <f t="shared" si="29"/>
        <v>#VALUE!</v>
      </c>
      <c r="AD283" s="12"/>
    </row>
    <row r="284" spans="1:30" ht="15.75" thickBot="1" x14ac:dyDescent="0.3">
      <c r="A284" s="12"/>
      <c r="B284" s="22"/>
      <c r="C284" t="str">
        <f>IF(AND('ENTRY DATA'!D284=""),"",('ENTRY DATA'!D284))</f>
        <v/>
      </c>
      <c r="D284" t="str">
        <f>IF(AND('ENTRY DATA'!F284=""),"",('ENTRY DATA'!F284))</f>
        <v/>
      </c>
      <c r="E284" s="34" t="str">
        <f>IF(AND('ENTRY DATA'!B284=""),"",('ENTRY DATA'!B284))</f>
        <v/>
      </c>
      <c r="F284" s="12"/>
      <c r="G284" s="12"/>
      <c r="H284" s="73"/>
      <c r="I284" s="71"/>
      <c r="J284" s="73"/>
      <c r="K284" s="12"/>
      <c r="L284" s="20">
        <f t="shared" si="24"/>
        <v>0</v>
      </c>
      <c r="M284" s="19" t="str">
        <f t="shared" si="25"/>
        <v/>
      </c>
      <c r="N284" s="12"/>
      <c r="O284" s="119"/>
      <c r="P284" s="95" t="str">
        <f t="shared" si="26"/>
        <v/>
      </c>
      <c r="Q284" s="12"/>
      <c r="S284" s="128"/>
      <c r="T284" s="66"/>
      <c r="U284" s="128"/>
      <c r="W284" s="128"/>
      <c r="X284" s="12"/>
      <c r="Y284" t="str">
        <f t="shared" si="27"/>
        <v/>
      </c>
      <c r="Z284" t="str">
        <f t="shared" si="27"/>
        <v/>
      </c>
      <c r="AA284" s="12"/>
      <c r="AB284" s="95" t="e">
        <f t="shared" si="28"/>
        <v>#VALUE!</v>
      </c>
      <c r="AC284" s="95" t="e">
        <f t="shared" si="29"/>
        <v>#VALUE!</v>
      </c>
      <c r="AD284" s="12"/>
    </row>
    <row r="285" spans="1:30" ht="15.75" thickBot="1" x14ac:dyDescent="0.3">
      <c r="A285" s="12"/>
      <c r="B285" s="22"/>
      <c r="C285" t="str">
        <f>IF(AND('ENTRY DATA'!D285=""),"",('ENTRY DATA'!D285))</f>
        <v/>
      </c>
      <c r="D285" t="str">
        <f>IF(AND('ENTRY DATA'!F285=""),"",('ENTRY DATA'!F285))</f>
        <v/>
      </c>
      <c r="E285" s="34" t="str">
        <f>IF(AND('ENTRY DATA'!B285=""),"",('ENTRY DATA'!B285))</f>
        <v/>
      </c>
      <c r="F285" s="12"/>
      <c r="G285" s="12"/>
      <c r="H285" s="73"/>
      <c r="I285" s="71"/>
      <c r="J285" s="73"/>
      <c r="K285" s="12"/>
      <c r="L285" s="20">
        <f t="shared" si="24"/>
        <v>0</v>
      </c>
      <c r="M285" s="19" t="str">
        <f t="shared" si="25"/>
        <v/>
      </c>
      <c r="N285" s="12"/>
      <c r="O285" s="119"/>
      <c r="P285" s="95" t="str">
        <f t="shared" si="26"/>
        <v/>
      </c>
      <c r="Q285" s="12"/>
      <c r="S285" s="128"/>
      <c r="T285" s="66"/>
      <c r="U285" s="128"/>
      <c r="W285" s="128"/>
      <c r="X285" s="12"/>
      <c r="Y285" t="str">
        <f t="shared" si="27"/>
        <v/>
      </c>
      <c r="Z285" t="str">
        <f t="shared" si="27"/>
        <v/>
      </c>
      <c r="AA285" s="12"/>
      <c r="AB285" s="95" t="e">
        <f t="shared" si="28"/>
        <v>#VALUE!</v>
      </c>
      <c r="AC285" s="95" t="e">
        <f t="shared" si="29"/>
        <v>#VALUE!</v>
      </c>
      <c r="AD285" s="12"/>
    </row>
    <row r="286" spans="1:30" ht="15.75" thickBot="1" x14ac:dyDescent="0.3">
      <c r="A286" s="12"/>
      <c r="B286" s="22"/>
      <c r="C286" t="str">
        <f>IF(AND('ENTRY DATA'!D286=""),"",('ENTRY DATA'!D286))</f>
        <v/>
      </c>
      <c r="D286" t="str">
        <f>IF(AND('ENTRY DATA'!F286=""),"",('ENTRY DATA'!F286))</f>
        <v/>
      </c>
      <c r="E286" s="34" t="str">
        <f>IF(AND('ENTRY DATA'!B286=""),"",('ENTRY DATA'!B286))</f>
        <v/>
      </c>
      <c r="F286" s="12"/>
      <c r="G286" s="12"/>
      <c r="H286" s="73"/>
      <c r="I286" s="71"/>
      <c r="J286" s="73"/>
      <c r="K286" s="12"/>
      <c r="L286" s="20">
        <f t="shared" si="24"/>
        <v>0</v>
      </c>
      <c r="M286" s="19" t="str">
        <f t="shared" si="25"/>
        <v/>
      </c>
      <c r="N286" s="12"/>
      <c r="O286" s="119"/>
      <c r="P286" s="95" t="str">
        <f t="shared" si="26"/>
        <v/>
      </c>
      <c r="Q286" s="12"/>
      <c r="S286" s="128"/>
      <c r="T286" s="66"/>
      <c r="U286" s="128"/>
      <c r="W286" s="128"/>
      <c r="X286" s="12"/>
      <c r="Y286" t="str">
        <f t="shared" si="27"/>
        <v/>
      </c>
      <c r="Z286" t="str">
        <f t="shared" si="27"/>
        <v/>
      </c>
      <c r="AA286" s="12"/>
      <c r="AB286" s="95" t="e">
        <f t="shared" si="28"/>
        <v>#VALUE!</v>
      </c>
      <c r="AC286" s="95" t="e">
        <f t="shared" si="29"/>
        <v>#VALUE!</v>
      </c>
      <c r="AD286" s="12"/>
    </row>
    <row r="287" spans="1:30" ht="15.75" thickBot="1" x14ac:dyDescent="0.3">
      <c r="A287" s="12"/>
      <c r="B287" s="22"/>
      <c r="C287" t="str">
        <f>IF(AND('ENTRY DATA'!D287=""),"",('ENTRY DATA'!D287))</f>
        <v/>
      </c>
      <c r="D287" t="str">
        <f>IF(AND('ENTRY DATA'!F287=""),"",('ENTRY DATA'!F287))</f>
        <v/>
      </c>
      <c r="E287" s="34" t="str">
        <f>IF(AND('ENTRY DATA'!B287=""),"",('ENTRY DATA'!B287))</f>
        <v/>
      </c>
      <c r="F287" s="12"/>
      <c r="G287" s="12"/>
      <c r="H287" s="73"/>
      <c r="I287" s="71"/>
      <c r="J287" s="73"/>
      <c r="K287" s="12"/>
      <c r="L287" s="20">
        <f t="shared" si="24"/>
        <v>0</v>
      </c>
      <c r="M287" s="19" t="str">
        <f t="shared" si="25"/>
        <v/>
      </c>
      <c r="N287" s="12"/>
      <c r="O287" s="119"/>
      <c r="P287" s="95" t="str">
        <f t="shared" si="26"/>
        <v/>
      </c>
      <c r="Q287" s="12"/>
      <c r="S287" s="128"/>
      <c r="T287" s="66"/>
      <c r="U287" s="128"/>
      <c r="W287" s="128"/>
      <c r="X287" s="12"/>
      <c r="Y287" t="str">
        <f t="shared" si="27"/>
        <v/>
      </c>
      <c r="Z287" t="str">
        <f t="shared" si="27"/>
        <v/>
      </c>
      <c r="AA287" s="12"/>
      <c r="AB287" s="95" t="e">
        <f t="shared" si="28"/>
        <v>#VALUE!</v>
      </c>
      <c r="AC287" s="95" t="e">
        <f t="shared" si="29"/>
        <v>#VALUE!</v>
      </c>
      <c r="AD287" s="12"/>
    </row>
    <row r="288" spans="1:30" ht="15.75" thickBot="1" x14ac:dyDescent="0.3">
      <c r="A288" s="12"/>
      <c r="B288" s="22"/>
      <c r="C288" t="str">
        <f>IF(AND('ENTRY DATA'!D288=""),"",('ENTRY DATA'!D288))</f>
        <v/>
      </c>
      <c r="D288" t="str">
        <f>IF(AND('ENTRY DATA'!F288=""),"",('ENTRY DATA'!F288))</f>
        <v/>
      </c>
      <c r="E288" s="34" t="str">
        <f>IF(AND('ENTRY DATA'!B288=""),"",('ENTRY DATA'!B288))</f>
        <v/>
      </c>
      <c r="F288" s="12"/>
      <c r="G288" s="12"/>
      <c r="H288" s="73"/>
      <c r="I288" s="71"/>
      <c r="J288" s="73"/>
      <c r="K288" s="12"/>
      <c r="L288" s="20">
        <f t="shared" si="24"/>
        <v>0</v>
      </c>
      <c r="M288" s="19" t="str">
        <f t="shared" si="25"/>
        <v/>
      </c>
      <c r="N288" s="12"/>
      <c r="O288" s="119"/>
      <c r="P288" s="95" t="str">
        <f t="shared" si="26"/>
        <v/>
      </c>
      <c r="Q288" s="12"/>
      <c r="S288" s="128"/>
      <c r="T288" s="66"/>
      <c r="U288" s="128"/>
      <c r="W288" s="128"/>
      <c r="X288" s="12"/>
      <c r="Y288" t="str">
        <f t="shared" si="27"/>
        <v/>
      </c>
      <c r="Z288" t="str">
        <f t="shared" si="27"/>
        <v/>
      </c>
      <c r="AA288" s="12"/>
      <c r="AB288" s="95" t="e">
        <f t="shared" si="28"/>
        <v>#VALUE!</v>
      </c>
      <c r="AC288" s="95" t="e">
        <f t="shared" si="29"/>
        <v>#VALUE!</v>
      </c>
      <c r="AD288" s="12"/>
    </row>
    <row r="289" spans="1:30" ht="15.75" thickBot="1" x14ac:dyDescent="0.3">
      <c r="A289" s="12"/>
      <c r="B289" s="22"/>
      <c r="C289" t="str">
        <f>IF(AND('ENTRY DATA'!D289=""),"",('ENTRY DATA'!D289))</f>
        <v/>
      </c>
      <c r="D289" t="str">
        <f>IF(AND('ENTRY DATA'!F289=""),"",('ENTRY DATA'!F289))</f>
        <v/>
      </c>
      <c r="E289" s="34" t="str">
        <f>IF(AND('ENTRY DATA'!B289=""),"",('ENTRY DATA'!B289))</f>
        <v/>
      </c>
      <c r="F289" s="12"/>
      <c r="G289" s="12"/>
      <c r="H289" s="73"/>
      <c r="I289" s="71"/>
      <c r="J289" s="73"/>
      <c r="K289" s="12"/>
      <c r="L289" s="20">
        <f t="shared" si="24"/>
        <v>0</v>
      </c>
      <c r="M289" s="19" t="str">
        <f t="shared" si="25"/>
        <v/>
      </c>
      <c r="N289" s="12"/>
      <c r="O289" s="119"/>
      <c r="P289" s="95" t="str">
        <f t="shared" si="26"/>
        <v/>
      </c>
      <c r="Q289" s="12"/>
      <c r="S289" s="128"/>
      <c r="T289" s="66"/>
      <c r="U289" s="128"/>
      <c r="W289" s="128"/>
      <c r="X289" s="12"/>
      <c r="Y289" t="str">
        <f t="shared" si="27"/>
        <v/>
      </c>
      <c r="Z289" t="str">
        <f t="shared" si="27"/>
        <v/>
      </c>
      <c r="AA289" s="12"/>
      <c r="AB289" s="95" t="e">
        <f t="shared" si="28"/>
        <v>#VALUE!</v>
      </c>
      <c r="AC289" s="95" t="e">
        <f t="shared" si="29"/>
        <v>#VALUE!</v>
      </c>
      <c r="AD289" s="12"/>
    </row>
    <row r="290" spans="1:30" ht="15.75" thickBot="1" x14ac:dyDescent="0.3">
      <c r="A290" s="12"/>
      <c r="B290" s="22"/>
      <c r="C290" t="str">
        <f>IF(AND('ENTRY DATA'!D290=""),"",('ENTRY DATA'!D290))</f>
        <v/>
      </c>
      <c r="D290" t="str">
        <f>IF(AND('ENTRY DATA'!F290=""),"",('ENTRY DATA'!F290))</f>
        <v/>
      </c>
      <c r="E290" s="34" t="str">
        <f>IF(AND('ENTRY DATA'!B290=""),"",('ENTRY DATA'!B290))</f>
        <v/>
      </c>
      <c r="F290" s="12"/>
      <c r="G290" s="12"/>
      <c r="H290" s="73"/>
      <c r="I290" s="71"/>
      <c r="J290" s="73"/>
      <c r="K290" s="12"/>
      <c r="L290" s="20">
        <f t="shared" si="24"/>
        <v>0</v>
      </c>
      <c r="M290" s="19" t="str">
        <f t="shared" si="25"/>
        <v/>
      </c>
      <c r="N290" s="12"/>
      <c r="O290" s="119"/>
      <c r="P290" s="95" t="str">
        <f t="shared" si="26"/>
        <v/>
      </c>
      <c r="Q290" s="12"/>
      <c r="S290" s="128"/>
      <c r="T290" s="66"/>
      <c r="U290" s="128"/>
      <c r="W290" s="128"/>
      <c r="X290" s="12"/>
      <c r="Y290" t="str">
        <f t="shared" si="27"/>
        <v/>
      </c>
      <c r="Z290" t="str">
        <f t="shared" si="27"/>
        <v/>
      </c>
      <c r="AA290" s="12"/>
      <c r="AB290" s="95" t="e">
        <f t="shared" si="28"/>
        <v>#VALUE!</v>
      </c>
      <c r="AC290" s="95" t="e">
        <f t="shared" si="29"/>
        <v>#VALUE!</v>
      </c>
      <c r="AD290" s="12"/>
    </row>
    <row r="291" spans="1:30" ht="15.75" thickBot="1" x14ac:dyDescent="0.3">
      <c r="A291" s="12"/>
      <c r="B291" s="22"/>
      <c r="C291" t="str">
        <f>IF(AND('ENTRY DATA'!D291=""),"",('ENTRY DATA'!D291))</f>
        <v/>
      </c>
      <c r="D291" t="str">
        <f>IF(AND('ENTRY DATA'!F291=""),"",('ENTRY DATA'!F291))</f>
        <v/>
      </c>
      <c r="E291" s="34" t="str">
        <f>IF(AND('ENTRY DATA'!B291=""),"",('ENTRY DATA'!B291))</f>
        <v/>
      </c>
      <c r="F291" s="12"/>
      <c r="G291" s="12"/>
      <c r="H291" s="73"/>
      <c r="I291" s="71"/>
      <c r="J291" s="73"/>
      <c r="K291" s="12"/>
      <c r="L291" s="20">
        <f t="shared" si="24"/>
        <v>0</v>
      </c>
      <c r="M291" s="19" t="str">
        <f t="shared" si="25"/>
        <v/>
      </c>
      <c r="N291" s="12"/>
      <c r="O291" s="119"/>
      <c r="P291" s="95" t="str">
        <f t="shared" si="26"/>
        <v/>
      </c>
      <c r="Q291" s="12"/>
      <c r="S291" s="128"/>
      <c r="T291" s="66"/>
      <c r="U291" s="128"/>
      <c r="W291" s="128"/>
      <c r="X291" s="12"/>
      <c r="Y291" t="str">
        <f t="shared" si="27"/>
        <v/>
      </c>
      <c r="Z291" t="str">
        <f t="shared" si="27"/>
        <v/>
      </c>
      <c r="AA291" s="12"/>
      <c r="AB291" s="95" t="e">
        <f t="shared" si="28"/>
        <v>#VALUE!</v>
      </c>
      <c r="AC291" s="95" t="e">
        <f t="shared" si="29"/>
        <v>#VALUE!</v>
      </c>
      <c r="AD291" s="12"/>
    </row>
    <row r="292" spans="1:30" ht="15.75" thickBot="1" x14ac:dyDescent="0.3">
      <c r="A292" s="12"/>
      <c r="B292" s="22"/>
      <c r="C292" t="str">
        <f>IF(AND('ENTRY DATA'!D292=""),"",('ENTRY DATA'!D292))</f>
        <v/>
      </c>
      <c r="D292" t="str">
        <f>IF(AND('ENTRY DATA'!F292=""),"",('ENTRY DATA'!F292))</f>
        <v/>
      </c>
      <c r="E292" s="34" t="str">
        <f>IF(AND('ENTRY DATA'!B292=""),"",('ENTRY DATA'!B292))</f>
        <v/>
      </c>
      <c r="F292" s="12"/>
      <c r="G292" s="12"/>
      <c r="H292" s="73"/>
      <c r="I292" s="71"/>
      <c r="J292" s="73"/>
      <c r="K292" s="12"/>
      <c r="L292" s="20">
        <f t="shared" si="24"/>
        <v>0</v>
      </c>
      <c r="M292" s="19" t="str">
        <f t="shared" si="25"/>
        <v/>
      </c>
      <c r="N292" s="12"/>
      <c r="O292" s="119"/>
      <c r="P292" s="95" t="str">
        <f t="shared" si="26"/>
        <v/>
      </c>
      <c r="Q292" s="12"/>
      <c r="S292" s="128"/>
      <c r="T292" s="66"/>
      <c r="U292" s="128"/>
      <c r="W292" s="128"/>
      <c r="X292" s="12"/>
      <c r="Y292" t="str">
        <f t="shared" si="27"/>
        <v/>
      </c>
      <c r="Z292" t="str">
        <f t="shared" si="27"/>
        <v/>
      </c>
      <c r="AA292" s="12"/>
      <c r="AB292" s="95" t="e">
        <f t="shared" si="28"/>
        <v>#VALUE!</v>
      </c>
      <c r="AC292" s="95" t="e">
        <f t="shared" si="29"/>
        <v>#VALUE!</v>
      </c>
      <c r="AD292" s="12"/>
    </row>
    <row r="293" spans="1:30" ht="15.75" thickBot="1" x14ac:dyDescent="0.3">
      <c r="A293" s="12"/>
      <c r="B293" s="22"/>
      <c r="C293" t="str">
        <f>IF(AND('ENTRY DATA'!D293=""),"",('ENTRY DATA'!D293))</f>
        <v/>
      </c>
      <c r="D293" t="str">
        <f>IF(AND('ENTRY DATA'!F293=""),"",('ENTRY DATA'!F293))</f>
        <v/>
      </c>
      <c r="E293" s="34" t="str">
        <f>IF(AND('ENTRY DATA'!B293=""),"",('ENTRY DATA'!B293))</f>
        <v/>
      </c>
      <c r="F293" s="12"/>
      <c r="G293" s="12"/>
      <c r="H293" s="73"/>
      <c r="I293" s="71"/>
      <c r="J293" s="73"/>
      <c r="K293" s="12"/>
      <c r="L293" s="20">
        <f t="shared" si="24"/>
        <v>0</v>
      </c>
      <c r="M293" s="19" t="str">
        <f t="shared" si="25"/>
        <v/>
      </c>
      <c r="N293" s="12"/>
      <c r="O293" s="119"/>
      <c r="P293" s="95" t="str">
        <f t="shared" si="26"/>
        <v/>
      </c>
      <c r="Q293" s="12"/>
      <c r="S293" s="128"/>
      <c r="T293" s="66"/>
      <c r="U293" s="128"/>
      <c r="W293" s="128"/>
      <c r="X293" s="12"/>
      <c r="Y293" t="str">
        <f t="shared" si="27"/>
        <v/>
      </c>
      <c r="Z293" t="str">
        <f t="shared" si="27"/>
        <v/>
      </c>
      <c r="AA293" s="12"/>
      <c r="AB293" s="95" t="e">
        <f t="shared" si="28"/>
        <v>#VALUE!</v>
      </c>
      <c r="AC293" s="95" t="e">
        <f t="shared" si="29"/>
        <v>#VALUE!</v>
      </c>
      <c r="AD293" s="12"/>
    </row>
    <row r="294" spans="1:30" ht="15.75" thickBot="1" x14ac:dyDescent="0.3">
      <c r="A294" s="12"/>
      <c r="B294" s="22"/>
      <c r="C294" t="str">
        <f>IF(AND('ENTRY DATA'!D294=""),"",('ENTRY DATA'!D294))</f>
        <v/>
      </c>
      <c r="D294" t="str">
        <f>IF(AND('ENTRY DATA'!F294=""),"",('ENTRY DATA'!F294))</f>
        <v/>
      </c>
      <c r="E294" s="34" t="str">
        <f>IF(AND('ENTRY DATA'!B294=""),"",('ENTRY DATA'!B294))</f>
        <v/>
      </c>
      <c r="F294" s="12"/>
      <c r="G294" s="12"/>
      <c r="H294" s="73"/>
      <c r="I294" s="71"/>
      <c r="J294" s="73"/>
      <c r="K294" s="12"/>
      <c r="L294" s="20">
        <f t="shared" si="24"/>
        <v>0</v>
      </c>
      <c r="M294" s="19" t="str">
        <f t="shared" si="25"/>
        <v/>
      </c>
      <c r="N294" s="12"/>
      <c r="O294" s="119"/>
      <c r="P294" s="95" t="str">
        <f t="shared" si="26"/>
        <v/>
      </c>
      <c r="Q294" s="12"/>
      <c r="S294" s="128"/>
      <c r="T294" s="66"/>
      <c r="U294" s="128"/>
      <c r="W294" s="128"/>
      <c r="X294" s="12"/>
      <c r="Y294" t="str">
        <f t="shared" si="27"/>
        <v/>
      </c>
      <c r="Z294" t="str">
        <f t="shared" si="27"/>
        <v/>
      </c>
      <c r="AA294" s="12"/>
      <c r="AB294" s="95" t="e">
        <f t="shared" si="28"/>
        <v>#VALUE!</v>
      </c>
      <c r="AC294" s="95" t="e">
        <f t="shared" si="29"/>
        <v>#VALUE!</v>
      </c>
      <c r="AD294" s="12"/>
    </row>
    <row r="295" spans="1:30" ht="15.75" thickBot="1" x14ac:dyDescent="0.3">
      <c r="A295" s="12"/>
      <c r="B295" s="22"/>
      <c r="C295" t="str">
        <f>IF(AND('ENTRY DATA'!D295=""),"",('ENTRY DATA'!D295))</f>
        <v/>
      </c>
      <c r="D295" t="str">
        <f>IF(AND('ENTRY DATA'!F295=""),"",('ENTRY DATA'!F295))</f>
        <v/>
      </c>
      <c r="E295" s="34" t="str">
        <f>IF(AND('ENTRY DATA'!B295=""),"",('ENTRY DATA'!B295))</f>
        <v/>
      </c>
      <c r="F295" s="12"/>
      <c r="G295" s="12"/>
      <c r="H295" s="73"/>
      <c r="I295" s="71"/>
      <c r="J295" s="73"/>
      <c r="K295" s="12"/>
      <c r="L295" s="20">
        <f t="shared" si="24"/>
        <v>0</v>
      </c>
      <c r="M295" s="19" t="str">
        <f t="shared" si="25"/>
        <v/>
      </c>
      <c r="N295" s="12"/>
      <c r="O295" s="119"/>
      <c r="P295" s="95" t="str">
        <f t="shared" si="26"/>
        <v/>
      </c>
      <c r="Q295" s="12"/>
      <c r="S295" s="128"/>
      <c r="T295" s="66"/>
      <c r="U295" s="128"/>
      <c r="W295" s="128"/>
      <c r="X295" s="12"/>
      <c r="Y295" t="str">
        <f t="shared" si="27"/>
        <v/>
      </c>
      <c r="Z295" t="str">
        <f t="shared" si="27"/>
        <v/>
      </c>
      <c r="AA295" s="12"/>
      <c r="AB295" s="95" t="e">
        <f t="shared" si="28"/>
        <v>#VALUE!</v>
      </c>
      <c r="AC295" s="95" t="e">
        <f t="shared" si="29"/>
        <v>#VALUE!</v>
      </c>
      <c r="AD295" s="12"/>
    </row>
    <row r="296" spans="1:30" ht="15.75" thickBot="1" x14ac:dyDescent="0.3">
      <c r="A296" s="12"/>
      <c r="B296" s="22"/>
      <c r="C296" t="str">
        <f>IF(AND('ENTRY DATA'!D296=""),"",('ENTRY DATA'!D296))</f>
        <v/>
      </c>
      <c r="D296" t="str">
        <f>IF(AND('ENTRY DATA'!F296=""),"",('ENTRY DATA'!F296))</f>
        <v/>
      </c>
      <c r="E296" s="34" t="str">
        <f>IF(AND('ENTRY DATA'!B296=""),"",('ENTRY DATA'!B296))</f>
        <v/>
      </c>
      <c r="F296" s="12"/>
      <c r="G296" s="12"/>
      <c r="H296" s="73"/>
      <c r="I296" s="71"/>
      <c r="J296" s="73"/>
      <c r="K296" s="12"/>
      <c r="L296" s="20">
        <f t="shared" si="24"/>
        <v>0</v>
      </c>
      <c r="M296" s="19" t="str">
        <f t="shared" si="25"/>
        <v/>
      </c>
      <c r="N296" s="12"/>
      <c r="O296" s="119"/>
      <c r="P296" s="95" t="str">
        <f t="shared" si="26"/>
        <v/>
      </c>
      <c r="Q296" s="12"/>
      <c r="S296" s="128"/>
      <c r="T296" s="66"/>
      <c r="U296" s="128"/>
      <c r="W296" s="128"/>
      <c r="X296" s="12"/>
      <c r="Y296" t="str">
        <f t="shared" si="27"/>
        <v/>
      </c>
      <c r="Z296" t="str">
        <f t="shared" si="27"/>
        <v/>
      </c>
      <c r="AA296" s="12"/>
      <c r="AB296" s="95" t="e">
        <f t="shared" si="28"/>
        <v>#VALUE!</v>
      </c>
      <c r="AC296" s="95" t="e">
        <f t="shared" si="29"/>
        <v>#VALUE!</v>
      </c>
      <c r="AD296" s="12"/>
    </row>
    <row r="297" spans="1:30" ht="15.75" thickBot="1" x14ac:dyDescent="0.3">
      <c r="A297" s="12"/>
      <c r="B297" s="22"/>
      <c r="C297" t="str">
        <f>IF(AND('ENTRY DATA'!D297=""),"",('ENTRY DATA'!D297))</f>
        <v/>
      </c>
      <c r="D297" t="str">
        <f>IF(AND('ENTRY DATA'!F297=""),"",('ENTRY DATA'!F297))</f>
        <v/>
      </c>
      <c r="E297" s="34" t="str">
        <f>IF(AND('ENTRY DATA'!B297=""),"",('ENTRY DATA'!B297))</f>
        <v/>
      </c>
      <c r="F297" s="12"/>
      <c r="G297" s="12"/>
      <c r="H297" s="73"/>
      <c r="I297" s="71"/>
      <c r="J297" s="73"/>
      <c r="K297" s="12"/>
      <c r="L297" s="20">
        <f t="shared" si="24"/>
        <v>0</v>
      </c>
      <c r="M297" s="19" t="str">
        <f t="shared" si="25"/>
        <v/>
      </c>
      <c r="N297" s="12"/>
      <c r="O297" s="119"/>
      <c r="P297" s="95" t="str">
        <f t="shared" si="26"/>
        <v/>
      </c>
      <c r="Q297" s="12"/>
      <c r="S297" s="128"/>
      <c r="T297" s="66"/>
      <c r="U297" s="128"/>
      <c r="W297" s="128"/>
      <c r="X297" s="12"/>
      <c r="Y297" t="str">
        <f t="shared" si="27"/>
        <v/>
      </c>
      <c r="Z297" t="str">
        <f t="shared" si="27"/>
        <v/>
      </c>
      <c r="AA297" s="12"/>
      <c r="AB297" s="95" t="e">
        <f t="shared" si="28"/>
        <v>#VALUE!</v>
      </c>
      <c r="AC297" s="95" t="e">
        <f t="shared" si="29"/>
        <v>#VALUE!</v>
      </c>
      <c r="AD297" s="12"/>
    </row>
    <row r="298" spans="1:30" ht="15.75" thickBot="1" x14ac:dyDescent="0.3">
      <c r="A298" s="12"/>
      <c r="B298" s="22"/>
      <c r="C298" t="str">
        <f>IF(AND('ENTRY DATA'!D298=""),"",('ENTRY DATA'!D298))</f>
        <v/>
      </c>
      <c r="D298" t="str">
        <f>IF(AND('ENTRY DATA'!F298=""),"",('ENTRY DATA'!F298))</f>
        <v/>
      </c>
      <c r="E298" s="34" t="str">
        <f>IF(AND('ENTRY DATA'!B298=""),"",('ENTRY DATA'!B298))</f>
        <v/>
      </c>
      <c r="F298" s="12"/>
      <c r="G298" s="12"/>
      <c r="H298" s="73"/>
      <c r="I298" s="71"/>
      <c r="J298" s="73"/>
      <c r="K298" s="12"/>
      <c r="L298" s="20">
        <f t="shared" si="24"/>
        <v>0</v>
      </c>
      <c r="M298" s="19" t="str">
        <f t="shared" si="25"/>
        <v/>
      </c>
      <c r="N298" s="12"/>
      <c r="O298" s="119"/>
      <c r="P298" s="95" t="str">
        <f t="shared" si="26"/>
        <v/>
      </c>
      <c r="Q298" s="12"/>
      <c r="S298" s="128"/>
      <c r="T298" s="66"/>
      <c r="U298" s="128"/>
      <c r="W298" s="128"/>
      <c r="X298" s="12"/>
      <c r="Y298" t="str">
        <f t="shared" si="27"/>
        <v/>
      </c>
      <c r="Z298" t="str">
        <f t="shared" si="27"/>
        <v/>
      </c>
      <c r="AA298" s="12"/>
      <c r="AB298" s="95" t="e">
        <f t="shared" si="28"/>
        <v>#VALUE!</v>
      </c>
      <c r="AC298" s="95" t="e">
        <f t="shared" si="29"/>
        <v>#VALUE!</v>
      </c>
      <c r="AD298" s="12"/>
    </row>
    <row r="299" spans="1:30" ht="15.75" thickBot="1" x14ac:dyDescent="0.3">
      <c r="A299" s="12"/>
      <c r="B299" s="22"/>
      <c r="C299" t="str">
        <f>IF(AND('ENTRY DATA'!D299=""),"",('ENTRY DATA'!D299))</f>
        <v/>
      </c>
      <c r="D299" t="str">
        <f>IF(AND('ENTRY DATA'!F299=""),"",('ENTRY DATA'!F299))</f>
        <v/>
      </c>
      <c r="E299" s="34" t="str">
        <f>IF(AND('ENTRY DATA'!B299=""),"",('ENTRY DATA'!B299))</f>
        <v/>
      </c>
      <c r="F299" s="12"/>
      <c r="G299" s="12"/>
      <c r="H299" s="73"/>
      <c r="I299" s="71"/>
      <c r="J299" s="73"/>
      <c r="K299" s="12"/>
      <c r="L299" s="20">
        <f t="shared" si="24"/>
        <v>0</v>
      </c>
      <c r="M299" s="19" t="str">
        <f t="shared" si="25"/>
        <v/>
      </c>
      <c r="N299" s="12"/>
      <c r="O299" s="119"/>
      <c r="P299" s="95" t="str">
        <f t="shared" si="26"/>
        <v/>
      </c>
      <c r="Q299" s="12"/>
      <c r="S299" s="128"/>
      <c r="T299" s="66"/>
      <c r="U299" s="128"/>
      <c r="W299" s="128"/>
      <c r="X299" s="12"/>
      <c r="Y299" t="str">
        <f t="shared" si="27"/>
        <v/>
      </c>
      <c r="Z299" t="str">
        <f t="shared" si="27"/>
        <v/>
      </c>
      <c r="AA299" s="12"/>
      <c r="AB299" s="95" t="e">
        <f t="shared" si="28"/>
        <v>#VALUE!</v>
      </c>
      <c r="AC299" s="95" t="e">
        <f t="shared" si="29"/>
        <v>#VALUE!</v>
      </c>
      <c r="AD299" s="12"/>
    </row>
    <row r="300" spans="1:30" ht="15.75" thickBot="1" x14ac:dyDescent="0.3">
      <c r="A300" s="12"/>
      <c r="B300" s="22"/>
      <c r="C300" t="str">
        <f>IF(AND('ENTRY DATA'!D300=""),"",('ENTRY DATA'!D300))</f>
        <v/>
      </c>
      <c r="D300" t="str">
        <f>IF(AND('ENTRY DATA'!F300=""),"",('ENTRY DATA'!F300))</f>
        <v/>
      </c>
      <c r="E300" s="34" t="str">
        <f>IF(AND('ENTRY DATA'!B300=""),"",('ENTRY DATA'!B300))</f>
        <v/>
      </c>
      <c r="F300" s="12"/>
      <c r="G300" s="12"/>
      <c r="H300" s="73"/>
      <c r="I300" s="71"/>
      <c r="J300" s="73"/>
      <c r="K300" s="12"/>
      <c r="L300" s="20">
        <f t="shared" si="24"/>
        <v>0</v>
      </c>
      <c r="M300" s="19" t="str">
        <f t="shared" si="25"/>
        <v/>
      </c>
      <c r="N300" s="12"/>
      <c r="O300" s="119"/>
      <c r="P300" s="96" t="str">
        <f t="shared" si="26"/>
        <v/>
      </c>
      <c r="Q300" s="12"/>
      <c r="S300" s="128"/>
      <c r="T300" s="68"/>
      <c r="U300" s="128"/>
      <c r="W300" s="128"/>
      <c r="X300" s="12"/>
      <c r="Y300" t="str">
        <f t="shared" si="27"/>
        <v/>
      </c>
      <c r="Z300" t="str">
        <f t="shared" si="27"/>
        <v/>
      </c>
      <c r="AA300" s="12"/>
      <c r="AB300" s="96" t="e">
        <f t="shared" si="28"/>
        <v>#VALUE!</v>
      </c>
      <c r="AC300" s="96" t="e">
        <f t="shared" si="29"/>
        <v>#VALUE!</v>
      </c>
      <c r="AD300" s="12"/>
    </row>
    <row r="301" spans="1:30" x14ac:dyDescent="0.25">
      <c r="A301" s="12"/>
      <c r="B301" s="12"/>
      <c r="C301" s="12"/>
      <c r="D301" s="12"/>
      <c r="E301" s="33"/>
      <c r="F301" s="12"/>
      <c r="G301" s="12"/>
      <c r="H301" s="33"/>
      <c r="I301" s="33"/>
      <c r="J301" s="33"/>
      <c r="K301" s="12"/>
      <c r="L301" s="13"/>
      <c r="M301" s="13"/>
      <c r="N301" s="12"/>
      <c r="O301" s="119"/>
      <c r="P301" s="12">
        <f t="shared" si="26"/>
        <v>0</v>
      </c>
      <c r="Q301" s="12"/>
      <c r="R301" s="12"/>
      <c r="S301" s="12"/>
      <c r="T301" s="12"/>
      <c r="U301" s="12"/>
      <c r="V301" s="12"/>
      <c r="W301" s="12"/>
      <c r="X301" s="12"/>
      <c r="Y301" s="12" t="str">
        <f t="shared" si="27"/>
        <v/>
      </c>
      <c r="Z301" s="12" t="str">
        <f t="shared" si="27"/>
        <v/>
      </c>
      <c r="AA301" s="12"/>
      <c r="AB301" s="12" t="e">
        <f t="shared" si="28"/>
        <v>#VALUE!</v>
      </c>
      <c r="AC301" s="12" t="e">
        <f t="shared" si="29"/>
        <v>#VALUE!</v>
      </c>
      <c r="AD301" s="12"/>
    </row>
    <row r="302" spans="1:30" x14ac:dyDescent="0.25">
      <c r="A302" s="12"/>
      <c r="B302" s="12"/>
      <c r="C302" s="12"/>
      <c r="D302" s="12"/>
      <c r="E302" s="33"/>
      <c r="F302" s="12"/>
      <c r="G302" s="12"/>
      <c r="H302" s="33"/>
      <c r="I302" s="33"/>
      <c r="J302" s="33"/>
      <c r="K302" s="12"/>
      <c r="L302" s="13"/>
      <c r="M302" s="13"/>
      <c r="N302" s="12"/>
      <c r="O302" s="119"/>
      <c r="P302" s="12"/>
      <c r="Q302" s="12"/>
      <c r="R302" s="12"/>
      <c r="S302" s="12"/>
      <c r="T302" s="12"/>
      <c r="U302" s="12"/>
      <c r="V302" s="12"/>
      <c r="W302" s="12"/>
      <c r="X302" s="12"/>
      <c r="Y302" s="12" t="str">
        <f t="shared" si="27"/>
        <v/>
      </c>
      <c r="Z302" s="12" t="str">
        <f t="shared" si="27"/>
        <v/>
      </c>
      <c r="AA302" s="12"/>
      <c r="AB302" s="12"/>
      <c r="AC302" s="12"/>
      <c r="AD302" s="12"/>
    </row>
  </sheetData>
  <mergeCells count="9">
    <mergeCell ref="V3:W3"/>
    <mergeCell ref="Y3:Z3"/>
    <mergeCell ref="AB3:AC3"/>
    <mergeCell ref="R2:T2"/>
    <mergeCell ref="C3:D3"/>
    <mergeCell ref="H3:J3"/>
    <mergeCell ref="L3:M3"/>
    <mergeCell ref="R3:S3"/>
    <mergeCell ref="T3:U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2"/>
  <sheetViews>
    <sheetView topLeftCell="K1" workbookViewId="0">
      <selection activeCell="D20" sqref="D20"/>
    </sheetView>
  </sheetViews>
  <sheetFormatPr defaultRowHeight="15" x14ac:dyDescent="0.25"/>
  <cols>
    <col min="2" max="2" width="4.85546875" customWidth="1"/>
    <col min="3" max="3" width="26.28515625" customWidth="1"/>
    <col min="4" max="4" width="24.7109375" customWidth="1"/>
    <col min="5" max="5" width="10" style="1" customWidth="1"/>
    <col min="6" max="6" width="5.42578125" customWidth="1"/>
    <col min="7" max="7" width="5.28515625" customWidth="1"/>
    <col min="8" max="8" width="18.85546875" style="1" customWidth="1"/>
    <col min="9" max="9" width="18.5703125" style="1" customWidth="1"/>
    <col min="10" max="10" width="17.85546875" style="1" customWidth="1"/>
    <col min="11" max="11" width="13" customWidth="1"/>
    <col min="12" max="12" width="11.85546875" style="2" customWidth="1"/>
    <col min="13" max="13" width="11.7109375" style="2" customWidth="1"/>
    <col min="14" max="14" width="11.42578125" customWidth="1"/>
    <col min="15" max="15" width="3.7109375" style="122" customWidth="1"/>
    <col min="16" max="16" width="16.7109375" customWidth="1"/>
    <col min="17" max="17" width="3.28515625" customWidth="1"/>
    <col min="18" max="18" width="16.42578125" customWidth="1"/>
    <col min="20" max="20" width="13.28515625" customWidth="1"/>
    <col min="22" max="22" width="11.7109375" customWidth="1"/>
    <col min="25" max="25" width="13.140625" customWidth="1"/>
    <col min="26" max="26" width="13.42578125" customWidth="1"/>
    <col min="28" max="28" width="11" customWidth="1"/>
    <col min="29" max="29" width="10.85546875" customWidth="1"/>
  </cols>
  <sheetData>
    <row r="1" spans="1:30" ht="15.75" thickBot="1" x14ac:dyDescent="0.3">
      <c r="A1" s="12"/>
      <c r="B1" s="12"/>
      <c r="C1" s="12"/>
      <c r="D1" s="12"/>
      <c r="E1" s="33"/>
      <c r="F1" s="12"/>
      <c r="G1" s="12"/>
      <c r="H1" s="33"/>
      <c r="I1" s="33"/>
      <c r="J1" s="33"/>
      <c r="K1" s="12"/>
      <c r="L1" s="13"/>
      <c r="M1" s="13"/>
      <c r="N1" s="12"/>
      <c r="O1" s="11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thickBot="1" x14ac:dyDescent="0.3">
      <c r="A2" s="12"/>
      <c r="B2" s="12"/>
      <c r="C2" s="12"/>
      <c r="D2" s="12"/>
      <c r="E2" s="33"/>
      <c r="F2" s="12"/>
      <c r="G2" s="12"/>
      <c r="H2" s="33"/>
      <c r="I2" s="33"/>
      <c r="J2" s="33"/>
      <c r="K2" s="12"/>
      <c r="L2" s="13"/>
      <c r="M2" s="13"/>
      <c r="N2" s="12"/>
      <c r="O2" s="119"/>
      <c r="P2" s="12"/>
      <c r="Q2" s="12"/>
      <c r="R2" s="159" t="s">
        <v>53</v>
      </c>
      <c r="S2" s="160"/>
      <c r="T2" s="16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6.5" thickTop="1" thickBot="1" x14ac:dyDescent="0.3">
      <c r="A3" s="12"/>
      <c r="B3" s="30"/>
      <c r="C3" s="164"/>
      <c r="D3" s="165"/>
      <c r="E3" s="15"/>
      <c r="F3" s="16"/>
      <c r="G3" s="17"/>
      <c r="H3" s="166" t="s">
        <v>15</v>
      </c>
      <c r="I3" s="167"/>
      <c r="J3" s="168"/>
      <c r="K3" s="14"/>
      <c r="L3" s="169" t="s">
        <v>18</v>
      </c>
      <c r="M3" s="170"/>
      <c r="N3" s="14"/>
      <c r="O3" s="120"/>
      <c r="P3" s="12"/>
      <c r="Q3" s="12"/>
      <c r="R3" s="158" t="s">
        <v>12</v>
      </c>
      <c r="S3" s="156"/>
      <c r="T3" s="159" t="s">
        <v>13</v>
      </c>
      <c r="U3" s="161"/>
      <c r="V3" s="156" t="s">
        <v>14</v>
      </c>
      <c r="W3" s="157"/>
      <c r="X3" s="12"/>
      <c r="Y3" s="158" t="s">
        <v>56</v>
      </c>
      <c r="Z3" s="157"/>
      <c r="AA3" s="12"/>
      <c r="AB3" s="162" t="s">
        <v>58</v>
      </c>
      <c r="AC3" s="163"/>
      <c r="AD3" s="12"/>
    </row>
    <row r="4" spans="1:30" ht="15.75" thickBot="1" x14ac:dyDescent="0.3">
      <c r="A4" s="12"/>
      <c r="B4" s="29"/>
      <c r="C4" s="23" t="s">
        <v>9</v>
      </c>
      <c r="D4" s="23" t="s">
        <v>3</v>
      </c>
      <c r="E4" s="31" t="s">
        <v>0</v>
      </c>
      <c r="F4" s="18"/>
      <c r="G4" s="18"/>
      <c r="H4" s="24" t="s">
        <v>12</v>
      </c>
      <c r="I4" s="25" t="s">
        <v>13</v>
      </c>
      <c r="J4" s="26" t="s">
        <v>14</v>
      </c>
      <c r="K4" s="15"/>
      <c r="L4" s="27" t="s">
        <v>16</v>
      </c>
      <c r="M4" s="28" t="s">
        <v>17</v>
      </c>
      <c r="N4" s="15"/>
      <c r="O4" s="121"/>
      <c r="P4" s="123" t="s">
        <v>9</v>
      </c>
      <c r="Q4" s="12"/>
      <c r="R4" s="124" t="s">
        <v>54</v>
      </c>
      <c r="S4" s="125" t="s">
        <v>55</v>
      </c>
      <c r="T4" s="129" t="s">
        <v>54</v>
      </c>
      <c r="U4" s="130" t="s">
        <v>55</v>
      </c>
      <c r="V4" s="125" t="s">
        <v>54</v>
      </c>
      <c r="W4" s="126" t="s">
        <v>55</v>
      </c>
      <c r="X4" s="12"/>
      <c r="Y4" s="129" t="s">
        <v>54</v>
      </c>
      <c r="Z4" s="130" t="s">
        <v>57</v>
      </c>
      <c r="AA4" s="12"/>
      <c r="AB4" s="131" t="s">
        <v>54</v>
      </c>
      <c r="AC4" s="132" t="s">
        <v>57</v>
      </c>
      <c r="AD4" s="12"/>
    </row>
    <row r="5" spans="1:30" ht="15.75" thickBot="1" x14ac:dyDescent="0.3">
      <c r="A5" s="12"/>
      <c r="B5" s="22"/>
      <c r="C5" t="str">
        <f>IF(AND('ENTRY DATA'!D5=""),"",('ENTRY DATA'!D5))</f>
        <v/>
      </c>
      <c r="D5" t="str">
        <f>IF(AND('ENTRY DATA'!F5=""),"",('ENTRY DATA'!F5))</f>
        <v/>
      </c>
      <c r="E5" s="34">
        <f>IF(AND('ENTRY DATA'!B5=""),"",('ENTRY DATA'!B5))</f>
        <v>1</v>
      </c>
      <c r="F5" s="12"/>
      <c r="G5" s="12"/>
      <c r="H5" s="70"/>
      <c r="I5" s="71"/>
      <c r="J5" s="70"/>
      <c r="K5" s="12"/>
      <c r="L5" s="20">
        <f>COUNT(H5:J5)</f>
        <v>0</v>
      </c>
      <c r="M5" s="19" t="str">
        <f>IF(AND(H5="",I5="",J5=""),"",(H5+I5+J5))</f>
        <v/>
      </c>
      <c r="N5" s="12"/>
      <c r="O5" s="119"/>
      <c r="P5" s="95" t="str">
        <f>C5</f>
        <v/>
      </c>
      <c r="Q5" s="12"/>
      <c r="S5" s="128"/>
      <c r="T5" s="66"/>
      <c r="U5" s="128"/>
      <c r="W5" s="128"/>
      <c r="X5" s="12"/>
      <c r="Y5" t="str">
        <f>IF(AND(R5="",T5="",V5=""),"",SUM(R5,T5,V5))</f>
        <v/>
      </c>
      <c r="Z5" t="str">
        <f>IF(AND(S5="",U5="",W5=""),"",SUM(S5,U5,W5))</f>
        <v/>
      </c>
      <c r="AA5" s="12"/>
      <c r="AB5" s="94" t="e">
        <f>Y5/L5</f>
        <v>#VALUE!</v>
      </c>
      <c r="AC5" s="94" t="e">
        <f>Z5/L5</f>
        <v>#VALUE!</v>
      </c>
      <c r="AD5" s="12"/>
    </row>
    <row r="6" spans="1:30" ht="15.75" thickBot="1" x14ac:dyDescent="0.3">
      <c r="A6" s="12"/>
      <c r="B6" s="22"/>
      <c r="C6" t="str">
        <f>IF(AND('ENTRY DATA'!D6=""),"",('ENTRY DATA'!D6))</f>
        <v/>
      </c>
      <c r="D6" t="str">
        <f>IF(AND('ENTRY DATA'!F6=""),"",('ENTRY DATA'!F6))</f>
        <v/>
      </c>
      <c r="E6" s="34" t="str">
        <f>IF(AND('ENTRY DATA'!B6=""),"",('ENTRY DATA'!B6))</f>
        <v/>
      </c>
      <c r="F6" s="12"/>
      <c r="G6" s="12"/>
      <c r="H6" s="72"/>
      <c r="I6" s="71"/>
      <c r="J6" s="72"/>
      <c r="K6" s="12"/>
      <c r="L6" s="20">
        <f t="shared" ref="L6:L69" si="0">COUNT(H6:J6)</f>
        <v>0</v>
      </c>
      <c r="M6" s="19" t="str">
        <f t="shared" ref="M6:M69" si="1">IF(AND(H6="",I6="",J6=""),"",(H6+I6+J6))</f>
        <v/>
      </c>
      <c r="N6" s="12"/>
      <c r="O6" s="119"/>
      <c r="P6" s="95" t="str">
        <f t="shared" ref="P6:P69" si="2">C6</f>
        <v/>
      </c>
      <c r="Q6" s="12"/>
      <c r="S6" s="128"/>
      <c r="T6" s="66"/>
      <c r="U6" s="128"/>
      <c r="W6" s="128"/>
      <c r="X6" s="12"/>
      <c r="Y6" t="str">
        <f t="shared" ref="Y6:Z69" si="3">IF(AND(R6="",T6="",V6=""),"",SUM(R6,T6,V6))</f>
        <v/>
      </c>
      <c r="Z6" t="str">
        <f t="shared" si="3"/>
        <v/>
      </c>
      <c r="AA6" s="12"/>
      <c r="AB6" s="95" t="e">
        <f t="shared" ref="AB6:AB69" si="4">Y6/L6</f>
        <v>#VALUE!</v>
      </c>
      <c r="AC6" s="95" t="e">
        <f t="shared" ref="AC6:AC69" si="5">Z6/L6</f>
        <v>#VALUE!</v>
      </c>
      <c r="AD6" s="12"/>
    </row>
    <row r="7" spans="1:30" ht="15.75" thickBot="1" x14ac:dyDescent="0.3">
      <c r="A7" s="12"/>
      <c r="B7" s="22"/>
      <c r="C7" t="str">
        <f>IF(AND('ENTRY DATA'!D7=""),"",('ENTRY DATA'!D7))</f>
        <v/>
      </c>
      <c r="D7" t="str">
        <f>IF(AND('ENTRY DATA'!F7=""),"",('ENTRY DATA'!F7))</f>
        <v/>
      </c>
      <c r="E7" s="34" t="str">
        <f>IF(AND('ENTRY DATA'!B7=""),"",('ENTRY DATA'!B7))</f>
        <v/>
      </c>
      <c r="F7" s="12"/>
      <c r="G7" s="12"/>
      <c r="H7" s="72"/>
      <c r="I7" s="71"/>
      <c r="J7" s="72"/>
      <c r="K7" s="12"/>
      <c r="L7" s="20">
        <f t="shared" si="0"/>
        <v>0</v>
      </c>
      <c r="M7" s="19" t="str">
        <f t="shared" si="1"/>
        <v/>
      </c>
      <c r="N7" s="12"/>
      <c r="O7" s="119"/>
      <c r="P7" s="95" t="str">
        <f t="shared" si="2"/>
        <v/>
      </c>
      <c r="Q7" s="12"/>
      <c r="S7" s="128"/>
      <c r="T7" s="66"/>
      <c r="U7" s="128"/>
      <c r="W7" s="128"/>
      <c r="X7" s="12"/>
      <c r="Y7" t="str">
        <f t="shared" si="3"/>
        <v/>
      </c>
      <c r="Z7" t="str">
        <f t="shared" si="3"/>
        <v/>
      </c>
      <c r="AA7" s="12"/>
      <c r="AB7" s="95" t="e">
        <f t="shared" si="4"/>
        <v>#VALUE!</v>
      </c>
      <c r="AC7" s="95" t="e">
        <f t="shared" si="5"/>
        <v>#VALUE!</v>
      </c>
      <c r="AD7" s="12"/>
    </row>
    <row r="8" spans="1:30" ht="15.75" thickBot="1" x14ac:dyDescent="0.3">
      <c r="A8" s="12"/>
      <c r="B8" s="22"/>
      <c r="C8" t="str">
        <f>IF(AND('ENTRY DATA'!D8=""),"",('ENTRY DATA'!D8))</f>
        <v/>
      </c>
      <c r="D8" t="str">
        <f>IF(AND('ENTRY DATA'!F8=""),"",('ENTRY DATA'!F8))</f>
        <v/>
      </c>
      <c r="E8" s="34" t="str">
        <f>IF(AND('ENTRY DATA'!B8=""),"",('ENTRY DATA'!B8))</f>
        <v/>
      </c>
      <c r="F8" s="12"/>
      <c r="G8" s="12"/>
      <c r="H8" s="72"/>
      <c r="I8" s="71"/>
      <c r="J8" s="72"/>
      <c r="K8" s="12"/>
      <c r="L8" s="20">
        <f t="shared" si="0"/>
        <v>0</v>
      </c>
      <c r="M8" s="19" t="str">
        <f t="shared" si="1"/>
        <v/>
      </c>
      <c r="N8" s="12"/>
      <c r="O8" s="119"/>
      <c r="P8" s="95" t="str">
        <f t="shared" si="2"/>
        <v/>
      </c>
      <c r="Q8" s="12"/>
      <c r="S8" s="128"/>
      <c r="T8" s="66"/>
      <c r="U8" s="128"/>
      <c r="W8" s="128"/>
      <c r="X8" s="12"/>
      <c r="Y8" t="str">
        <f t="shared" si="3"/>
        <v/>
      </c>
      <c r="Z8" t="str">
        <f t="shared" si="3"/>
        <v/>
      </c>
      <c r="AA8" s="12"/>
      <c r="AB8" s="95" t="e">
        <f t="shared" si="4"/>
        <v>#VALUE!</v>
      </c>
      <c r="AC8" s="95" t="e">
        <f t="shared" si="5"/>
        <v>#VALUE!</v>
      </c>
      <c r="AD8" s="12"/>
    </row>
    <row r="9" spans="1:30" ht="15.75" thickBot="1" x14ac:dyDescent="0.3">
      <c r="A9" s="12"/>
      <c r="B9" s="22"/>
      <c r="C9" t="str">
        <f>IF(AND('ENTRY DATA'!D9=""),"",('ENTRY DATA'!D9))</f>
        <v/>
      </c>
      <c r="D9" t="str">
        <f>IF(AND('ENTRY DATA'!F9=""),"",('ENTRY DATA'!F9))</f>
        <v/>
      </c>
      <c r="E9" s="34" t="str">
        <f>IF(AND('ENTRY DATA'!B9=""),"",('ENTRY DATA'!B9))</f>
        <v/>
      </c>
      <c r="F9" s="12"/>
      <c r="G9" s="12"/>
      <c r="H9" s="72"/>
      <c r="I9" s="71"/>
      <c r="J9" s="72"/>
      <c r="K9" s="12"/>
      <c r="L9" s="20">
        <f t="shared" si="0"/>
        <v>0</v>
      </c>
      <c r="M9" s="19" t="str">
        <f t="shared" si="1"/>
        <v/>
      </c>
      <c r="N9" s="12"/>
      <c r="O9" s="119"/>
      <c r="P9" s="95" t="str">
        <f t="shared" si="2"/>
        <v/>
      </c>
      <c r="Q9" s="12"/>
      <c r="S9" s="128"/>
      <c r="T9" s="66"/>
      <c r="U9" s="128"/>
      <c r="W9" s="128"/>
      <c r="X9" s="12"/>
      <c r="Y9" t="str">
        <f t="shared" si="3"/>
        <v/>
      </c>
      <c r="Z9" t="str">
        <f t="shared" si="3"/>
        <v/>
      </c>
      <c r="AA9" s="12"/>
      <c r="AB9" s="95" t="e">
        <f t="shared" si="4"/>
        <v>#VALUE!</v>
      </c>
      <c r="AC9" s="95" t="e">
        <f t="shared" si="5"/>
        <v>#VALUE!</v>
      </c>
      <c r="AD9" s="12"/>
    </row>
    <row r="10" spans="1:30" ht="15.75" thickBot="1" x14ac:dyDescent="0.3">
      <c r="A10" s="12"/>
      <c r="B10" s="22"/>
      <c r="C10" t="str">
        <f>IF(AND('ENTRY DATA'!D10=""),"",('ENTRY DATA'!D10))</f>
        <v/>
      </c>
      <c r="D10" t="str">
        <f>IF(AND('ENTRY DATA'!F10=""),"",('ENTRY DATA'!F10))</f>
        <v/>
      </c>
      <c r="E10" s="34" t="str">
        <f>IF(AND('ENTRY DATA'!B10=""),"",('ENTRY DATA'!B10))</f>
        <v/>
      </c>
      <c r="F10" s="12"/>
      <c r="G10" s="12"/>
      <c r="H10" s="72"/>
      <c r="I10" s="71"/>
      <c r="J10" s="72"/>
      <c r="K10" s="12"/>
      <c r="L10" s="20">
        <f t="shared" si="0"/>
        <v>0</v>
      </c>
      <c r="M10" s="19" t="str">
        <f t="shared" si="1"/>
        <v/>
      </c>
      <c r="N10" s="12"/>
      <c r="O10" s="119"/>
      <c r="P10" s="95" t="str">
        <f t="shared" si="2"/>
        <v/>
      </c>
      <c r="Q10" s="12"/>
      <c r="S10" s="128"/>
      <c r="T10" s="66"/>
      <c r="U10" s="128"/>
      <c r="W10" s="128"/>
      <c r="X10" s="12"/>
      <c r="Y10" t="str">
        <f t="shared" si="3"/>
        <v/>
      </c>
      <c r="Z10" t="str">
        <f t="shared" si="3"/>
        <v/>
      </c>
      <c r="AA10" s="12"/>
      <c r="AB10" s="95" t="e">
        <f t="shared" si="4"/>
        <v>#VALUE!</v>
      </c>
      <c r="AC10" s="95" t="e">
        <f t="shared" si="5"/>
        <v>#VALUE!</v>
      </c>
      <c r="AD10" s="12"/>
    </row>
    <row r="11" spans="1:30" ht="15.75" thickBot="1" x14ac:dyDescent="0.3">
      <c r="A11" s="12"/>
      <c r="B11" s="22"/>
      <c r="C11" t="str">
        <f>IF(AND('ENTRY DATA'!D11=""),"",('ENTRY DATA'!D11))</f>
        <v/>
      </c>
      <c r="D11" t="str">
        <f>IF(AND('ENTRY DATA'!F11=""),"",('ENTRY DATA'!F11))</f>
        <v/>
      </c>
      <c r="E11" s="34" t="str">
        <f>IF(AND('ENTRY DATA'!B11=""),"",('ENTRY DATA'!B11))</f>
        <v/>
      </c>
      <c r="F11" s="12"/>
      <c r="G11" s="12"/>
      <c r="H11" s="72"/>
      <c r="I11" s="71"/>
      <c r="J11" s="72"/>
      <c r="K11" s="12"/>
      <c r="L11" s="20">
        <f t="shared" si="0"/>
        <v>0</v>
      </c>
      <c r="M11" s="19" t="str">
        <f t="shared" si="1"/>
        <v/>
      </c>
      <c r="N11" s="12"/>
      <c r="O11" s="119"/>
      <c r="P11" s="95" t="str">
        <f t="shared" si="2"/>
        <v/>
      </c>
      <c r="Q11" s="12"/>
      <c r="S11" s="128"/>
      <c r="T11" s="66"/>
      <c r="U11" s="128"/>
      <c r="W11" s="128"/>
      <c r="X11" s="12"/>
      <c r="Y11" t="str">
        <f t="shared" si="3"/>
        <v/>
      </c>
      <c r="Z11" t="str">
        <f t="shared" si="3"/>
        <v/>
      </c>
      <c r="AA11" s="12"/>
      <c r="AB11" s="95" t="e">
        <f t="shared" si="4"/>
        <v>#VALUE!</v>
      </c>
      <c r="AC11" s="95" t="e">
        <f t="shared" si="5"/>
        <v>#VALUE!</v>
      </c>
      <c r="AD11" s="12"/>
    </row>
    <row r="12" spans="1:30" ht="15.75" thickBot="1" x14ac:dyDescent="0.3">
      <c r="A12" s="12"/>
      <c r="B12" s="22"/>
      <c r="C12" t="str">
        <f>IF(AND('ENTRY DATA'!D12=""),"",('ENTRY DATA'!D12))</f>
        <v/>
      </c>
      <c r="D12" t="str">
        <f>IF(AND('ENTRY DATA'!F12=""),"",('ENTRY DATA'!F12))</f>
        <v/>
      </c>
      <c r="E12" s="34" t="str">
        <f>IF(AND('ENTRY DATA'!B12=""),"",('ENTRY DATA'!B12))</f>
        <v/>
      </c>
      <c r="F12" s="12"/>
      <c r="G12" s="12"/>
      <c r="H12" s="72"/>
      <c r="I12" s="71"/>
      <c r="J12" s="72"/>
      <c r="K12" s="12"/>
      <c r="L12" s="20">
        <f t="shared" si="0"/>
        <v>0</v>
      </c>
      <c r="M12" s="19" t="str">
        <f t="shared" si="1"/>
        <v/>
      </c>
      <c r="N12" s="12"/>
      <c r="O12" s="119"/>
      <c r="P12" s="95" t="str">
        <f t="shared" si="2"/>
        <v/>
      </c>
      <c r="Q12" s="12"/>
      <c r="S12" s="128"/>
      <c r="T12" s="66"/>
      <c r="U12" s="128"/>
      <c r="W12" s="128"/>
      <c r="X12" s="12"/>
      <c r="Y12" t="str">
        <f t="shared" si="3"/>
        <v/>
      </c>
      <c r="Z12" t="str">
        <f t="shared" si="3"/>
        <v/>
      </c>
      <c r="AA12" s="12"/>
      <c r="AB12" s="95" t="e">
        <f t="shared" si="4"/>
        <v>#VALUE!</v>
      </c>
      <c r="AC12" s="95" t="e">
        <f t="shared" si="5"/>
        <v>#VALUE!</v>
      </c>
      <c r="AD12" s="12"/>
    </row>
    <row r="13" spans="1:30" ht="15.75" thickBot="1" x14ac:dyDescent="0.3">
      <c r="A13" s="12"/>
      <c r="B13" s="22"/>
      <c r="C13" t="str">
        <f>IF(AND('ENTRY DATA'!D13=""),"",('ENTRY DATA'!D13))</f>
        <v/>
      </c>
      <c r="D13" t="str">
        <f>IF(AND('ENTRY DATA'!F13=""),"",('ENTRY DATA'!F13))</f>
        <v/>
      </c>
      <c r="E13" s="34">
        <f>IF(AND('ENTRY DATA'!B13=""),"",('ENTRY DATA'!B13))</f>
        <v>2</v>
      </c>
      <c r="F13" s="12"/>
      <c r="G13" s="12"/>
      <c r="H13" s="72"/>
      <c r="I13" s="71"/>
      <c r="J13" s="72"/>
      <c r="K13" s="12"/>
      <c r="L13" s="20">
        <f t="shared" si="0"/>
        <v>0</v>
      </c>
      <c r="M13" s="19" t="str">
        <f t="shared" si="1"/>
        <v/>
      </c>
      <c r="N13" s="12"/>
      <c r="O13" s="119"/>
      <c r="P13" s="95" t="str">
        <f t="shared" si="2"/>
        <v/>
      </c>
      <c r="Q13" s="12"/>
      <c r="S13" s="128"/>
      <c r="T13" s="66"/>
      <c r="U13" s="128"/>
      <c r="W13" s="128"/>
      <c r="X13" s="12"/>
      <c r="Y13" t="str">
        <f t="shared" si="3"/>
        <v/>
      </c>
      <c r="Z13" t="str">
        <f t="shared" si="3"/>
        <v/>
      </c>
      <c r="AA13" s="12"/>
      <c r="AB13" s="95" t="e">
        <f t="shared" si="4"/>
        <v>#VALUE!</v>
      </c>
      <c r="AC13" s="95" t="e">
        <f t="shared" si="5"/>
        <v>#VALUE!</v>
      </c>
      <c r="AD13" s="12"/>
    </row>
    <row r="14" spans="1:30" ht="15.75" thickBot="1" x14ac:dyDescent="0.3">
      <c r="A14" s="12"/>
      <c r="B14" s="22"/>
      <c r="C14" t="str">
        <f>IF(AND('ENTRY DATA'!D14=""),"",('ENTRY DATA'!D14))</f>
        <v/>
      </c>
      <c r="D14" t="str">
        <f>IF(AND('ENTRY DATA'!F14=""),"",('ENTRY DATA'!F14))</f>
        <v/>
      </c>
      <c r="E14" s="34" t="str">
        <f>IF(AND('ENTRY DATA'!B14=""),"",('ENTRY DATA'!B14))</f>
        <v/>
      </c>
      <c r="F14" s="12"/>
      <c r="G14" s="12"/>
      <c r="H14" s="72"/>
      <c r="I14" s="71"/>
      <c r="J14" s="72"/>
      <c r="K14" s="12"/>
      <c r="L14" s="20">
        <f t="shared" si="0"/>
        <v>0</v>
      </c>
      <c r="M14" s="19" t="str">
        <f t="shared" si="1"/>
        <v/>
      </c>
      <c r="N14" s="12"/>
      <c r="O14" s="119"/>
      <c r="P14" s="95" t="str">
        <f t="shared" si="2"/>
        <v/>
      </c>
      <c r="Q14" s="12"/>
      <c r="S14" s="128"/>
      <c r="T14" s="66"/>
      <c r="U14" s="128"/>
      <c r="W14" s="128"/>
      <c r="X14" s="12"/>
      <c r="Y14" t="str">
        <f t="shared" si="3"/>
        <v/>
      </c>
      <c r="Z14" t="str">
        <f t="shared" si="3"/>
        <v/>
      </c>
      <c r="AA14" s="12"/>
      <c r="AB14" s="95" t="e">
        <f t="shared" si="4"/>
        <v>#VALUE!</v>
      </c>
      <c r="AC14" s="95" t="e">
        <f t="shared" si="5"/>
        <v>#VALUE!</v>
      </c>
      <c r="AD14" s="12"/>
    </row>
    <row r="15" spans="1:30" ht="15.75" thickBot="1" x14ac:dyDescent="0.3">
      <c r="A15" s="12"/>
      <c r="B15" s="22"/>
      <c r="C15" t="str">
        <f>IF(AND('ENTRY DATA'!D15=""),"",('ENTRY DATA'!D15))</f>
        <v/>
      </c>
      <c r="D15" t="str">
        <f>IF(AND('ENTRY DATA'!F15=""),"",('ENTRY DATA'!F15))</f>
        <v/>
      </c>
      <c r="E15" s="34" t="str">
        <f>IF(AND('ENTRY DATA'!B15=""),"",('ENTRY DATA'!B15))</f>
        <v/>
      </c>
      <c r="F15" s="12"/>
      <c r="G15" s="12"/>
      <c r="H15" s="72"/>
      <c r="I15" s="71"/>
      <c r="J15" s="72"/>
      <c r="K15" s="12"/>
      <c r="L15" s="20">
        <f t="shared" si="0"/>
        <v>0</v>
      </c>
      <c r="M15" s="19" t="str">
        <f t="shared" si="1"/>
        <v/>
      </c>
      <c r="N15" s="12"/>
      <c r="O15" s="119"/>
      <c r="P15" s="95" t="str">
        <f t="shared" si="2"/>
        <v/>
      </c>
      <c r="Q15" s="12"/>
      <c r="S15" s="128"/>
      <c r="T15" s="66"/>
      <c r="U15" s="128"/>
      <c r="W15" s="128"/>
      <c r="X15" s="12"/>
      <c r="Y15" t="str">
        <f t="shared" si="3"/>
        <v/>
      </c>
      <c r="Z15" t="str">
        <f t="shared" si="3"/>
        <v/>
      </c>
      <c r="AA15" s="12"/>
      <c r="AB15" s="95" t="e">
        <f t="shared" si="4"/>
        <v>#VALUE!</v>
      </c>
      <c r="AC15" s="95" t="e">
        <f t="shared" si="5"/>
        <v>#VALUE!</v>
      </c>
      <c r="AD15" s="12"/>
    </row>
    <row r="16" spans="1:30" ht="15.75" thickBot="1" x14ac:dyDescent="0.3">
      <c r="A16" s="12"/>
      <c r="B16" s="22"/>
      <c r="C16" t="str">
        <f>IF(AND('ENTRY DATA'!D16=""),"",('ENTRY DATA'!D16))</f>
        <v/>
      </c>
      <c r="D16" t="str">
        <f>IF(AND('ENTRY DATA'!F16=""),"",('ENTRY DATA'!F16))</f>
        <v/>
      </c>
      <c r="E16" s="34" t="str">
        <f>IF(AND('ENTRY DATA'!B16=""),"",('ENTRY DATA'!B16))</f>
        <v/>
      </c>
      <c r="F16" s="12"/>
      <c r="G16" s="12"/>
      <c r="H16" s="72"/>
      <c r="I16" s="71"/>
      <c r="J16" s="72"/>
      <c r="K16" s="12"/>
      <c r="L16" s="20">
        <f t="shared" si="0"/>
        <v>0</v>
      </c>
      <c r="M16" s="19" t="str">
        <f t="shared" si="1"/>
        <v/>
      </c>
      <c r="N16" s="12"/>
      <c r="O16" s="119"/>
      <c r="P16" s="95" t="str">
        <f t="shared" si="2"/>
        <v/>
      </c>
      <c r="Q16" s="12"/>
      <c r="S16" s="128"/>
      <c r="T16" s="66"/>
      <c r="U16" s="128"/>
      <c r="W16" s="128"/>
      <c r="X16" s="12"/>
      <c r="Y16" t="str">
        <f t="shared" si="3"/>
        <v/>
      </c>
      <c r="Z16" t="str">
        <f t="shared" si="3"/>
        <v/>
      </c>
      <c r="AA16" s="12"/>
      <c r="AB16" s="95" t="e">
        <f t="shared" si="4"/>
        <v>#VALUE!</v>
      </c>
      <c r="AC16" s="95" t="e">
        <f t="shared" si="5"/>
        <v>#VALUE!</v>
      </c>
      <c r="AD16" s="12"/>
    </row>
    <row r="17" spans="1:30" ht="15.75" thickBot="1" x14ac:dyDescent="0.3">
      <c r="A17" s="12"/>
      <c r="B17" s="22"/>
      <c r="C17" t="str">
        <f>IF(AND('ENTRY DATA'!D17=""),"",('ENTRY DATA'!D17))</f>
        <v/>
      </c>
      <c r="D17" t="str">
        <f>IF(AND('ENTRY DATA'!F17=""),"",('ENTRY DATA'!F17))</f>
        <v/>
      </c>
      <c r="E17" s="34" t="str">
        <f>IF(AND('ENTRY DATA'!B17=""),"",('ENTRY DATA'!B17))</f>
        <v/>
      </c>
      <c r="F17" s="12"/>
      <c r="G17" s="12"/>
      <c r="H17" s="72"/>
      <c r="I17" s="71"/>
      <c r="J17" s="72"/>
      <c r="K17" s="12"/>
      <c r="L17" s="20">
        <f t="shared" si="0"/>
        <v>0</v>
      </c>
      <c r="M17" s="19" t="str">
        <f t="shared" si="1"/>
        <v/>
      </c>
      <c r="N17" s="12"/>
      <c r="O17" s="119"/>
      <c r="P17" s="95" t="str">
        <f t="shared" si="2"/>
        <v/>
      </c>
      <c r="Q17" s="12"/>
      <c r="S17" s="128"/>
      <c r="T17" s="66"/>
      <c r="U17" s="128"/>
      <c r="W17" s="128"/>
      <c r="X17" s="12"/>
      <c r="Y17" t="str">
        <f t="shared" si="3"/>
        <v/>
      </c>
      <c r="Z17" t="str">
        <f t="shared" si="3"/>
        <v/>
      </c>
      <c r="AA17" s="12"/>
      <c r="AB17" s="95" t="e">
        <f t="shared" si="4"/>
        <v>#VALUE!</v>
      </c>
      <c r="AC17" s="95" t="e">
        <f t="shared" si="5"/>
        <v>#VALUE!</v>
      </c>
      <c r="AD17" s="12"/>
    </row>
    <row r="18" spans="1:30" ht="15.75" thickBot="1" x14ac:dyDescent="0.3">
      <c r="A18" s="12"/>
      <c r="B18" s="22"/>
      <c r="C18" t="str">
        <f>IF(AND('ENTRY DATA'!D18=""),"",('ENTRY DATA'!D18))</f>
        <v/>
      </c>
      <c r="D18" t="str">
        <f>IF(AND('ENTRY DATA'!F18=""),"",('ENTRY DATA'!F18))</f>
        <v/>
      </c>
      <c r="E18" s="34" t="str">
        <f>IF(AND('ENTRY DATA'!B18=""),"",('ENTRY DATA'!B18))</f>
        <v/>
      </c>
      <c r="F18" s="12"/>
      <c r="G18" s="12"/>
      <c r="H18" s="72"/>
      <c r="I18" s="71"/>
      <c r="J18" s="72"/>
      <c r="K18" s="12"/>
      <c r="L18" s="20">
        <f t="shared" si="0"/>
        <v>0</v>
      </c>
      <c r="M18" s="19" t="str">
        <f t="shared" si="1"/>
        <v/>
      </c>
      <c r="N18" s="12"/>
      <c r="O18" s="119"/>
      <c r="P18" s="95" t="str">
        <f t="shared" si="2"/>
        <v/>
      </c>
      <c r="Q18" s="12"/>
      <c r="S18" s="128"/>
      <c r="T18" s="66"/>
      <c r="U18" s="128"/>
      <c r="W18" s="128"/>
      <c r="X18" s="12"/>
      <c r="Y18" t="str">
        <f t="shared" si="3"/>
        <v/>
      </c>
      <c r="Z18" t="str">
        <f t="shared" si="3"/>
        <v/>
      </c>
      <c r="AA18" s="12"/>
      <c r="AB18" s="95" t="e">
        <f t="shared" si="4"/>
        <v>#VALUE!</v>
      </c>
      <c r="AC18" s="95" t="e">
        <f t="shared" si="5"/>
        <v>#VALUE!</v>
      </c>
      <c r="AD18" s="12"/>
    </row>
    <row r="19" spans="1:30" ht="15.75" thickBot="1" x14ac:dyDescent="0.3">
      <c r="A19" s="12"/>
      <c r="B19" s="22"/>
      <c r="C19" t="str">
        <f>IF(AND('ENTRY DATA'!D19=""),"",('ENTRY DATA'!D19))</f>
        <v/>
      </c>
      <c r="D19" t="str">
        <f>IF(AND('ENTRY DATA'!F19=""),"",('ENTRY DATA'!F19))</f>
        <v/>
      </c>
      <c r="E19" s="34" t="str">
        <f>IF(AND('ENTRY DATA'!B19=""),"",('ENTRY DATA'!B19))</f>
        <v/>
      </c>
      <c r="F19" s="12"/>
      <c r="G19" s="12"/>
      <c r="H19" s="72"/>
      <c r="I19" s="71"/>
      <c r="J19" s="72"/>
      <c r="K19" s="12"/>
      <c r="L19" s="20">
        <f t="shared" si="0"/>
        <v>0</v>
      </c>
      <c r="M19" s="19" t="str">
        <f t="shared" si="1"/>
        <v/>
      </c>
      <c r="N19" s="12"/>
      <c r="O19" s="119"/>
      <c r="P19" s="95" t="str">
        <f t="shared" si="2"/>
        <v/>
      </c>
      <c r="Q19" s="12"/>
      <c r="S19" s="128"/>
      <c r="T19" s="66"/>
      <c r="U19" s="128"/>
      <c r="W19" s="128"/>
      <c r="X19" s="12"/>
      <c r="Y19" t="str">
        <f t="shared" si="3"/>
        <v/>
      </c>
      <c r="Z19" t="str">
        <f t="shared" si="3"/>
        <v/>
      </c>
      <c r="AA19" s="12"/>
      <c r="AB19" s="95" t="e">
        <f t="shared" si="4"/>
        <v>#VALUE!</v>
      </c>
      <c r="AC19" s="95" t="e">
        <f t="shared" si="5"/>
        <v>#VALUE!</v>
      </c>
      <c r="AD19" s="12"/>
    </row>
    <row r="20" spans="1:30" ht="15.75" thickBot="1" x14ac:dyDescent="0.3">
      <c r="A20" s="12"/>
      <c r="B20" s="22"/>
      <c r="C20" t="str">
        <f>IF(AND('ENTRY DATA'!D20=""),"",('ENTRY DATA'!D20))</f>
        <v/>
      </c>
      <c r="D20" t="str">
        <f>IF(AND('ENTRY DATA'!F20=""),"",('ENTRY DATA'!F20))</f>
        <v/>
      </c>
      <c r="E20" s="34" t="str">
        <f>IF(AND('ENTRY DATA'!B20=""),"",('ENTRY DATA'!B20))</f>
        <v/>
      </c>
      <c r="F20" s="12"/>
      <c r="G20" s="12"/>
      <c r="H20" s="72"/>
      <c r="I20" s="71"/>
      <c r="J20" s="72"/>
      <c r="K20" s="12"/>
      <c r="L20" s="20">
        <f t="shared" si="0"/>
        <v>0</v>
      </c>
      <c r="M20" s="19" t="str">
        <f t="shared" si="1"/>
        <v/>
      </c>
      <c r="N20" s="12"/>
      <c r="O20" s="119"/>
      <c r="P20" s="95" t="str">
        <f t="shared" si="2"/>
        <v/>
      </c>
      <c r="Q20" s="12"/>
      <c r="S20" s="128"/>
      <c r="T20" s="66"/>
      <c r="U20" s="128"/>
      <c r="W20" s="128"/>
      <c r="X20" s="12"/>
      <c r="Y20" t="str">
        <f t="shared" si="3"/>
        <v/>
      </c>
      <c r="Z20" t="str">
        <f t="shared" si="3"/>
        <v/>
      </c>
      <c r="AA20" s="12"/>
      <c r="AB20" s="95" t="e">
        <f t="shared" si="4"/>
        <v>#VALUE!</v>
      </c>
      <c r="AC20" s="95" t="e">
        <f t="shared" si="5"/>
        <v>#VALUE!</v>
      </c>
      <c r="AD20" s="12"/>
    </row>
    <row r="21" spans="1:30" ht="15.75" thickBot="1" x14ac:dyDescent="0.3">
      <c r="A21" s="12"/>
      <c r="B21" s="22"/>
      <c r="C21" t="str">
        <f>IF(AND('ENTRY DATA'!D21=""),"",('ENTRY DATA'!D21))</f>
        <v/>
      </c>
      <c r="D21" t="str">
        <f>IF(AND('ENTRY DATA'!F21=""),"",('ENTRY DATA'!F21))</f>
        <v/>
      </c>
      <c r="E21" s="34">
        <f>IF(AND('ENTRY DATA'!B21=""),"",('ENTRY DATA'!B21))</f>
        <v>3</v>
      </c>
      <c r="F21" s="12"/>
      <c r="G21" s="12"/>
      <c r="H21" s="72"/>
      <c r="I21" s="71"/>
      <c r="J21" s="72"/>
      <c r="K21" s="12"/>
      <c r="L21" s="20">
        <f t="shared" si="0"/>
        <v>0</v>
      </c>
      <c r="M21" s="19" t="str">
        <f t="shared" si="1"/>
        <v/>
      </c>
      <c r="N21" s="12"/>
      <c r="O21" s="119"/>
      <c r="P21" s="95" t="str">
        <f t="shared" si="2"/>
        <v/>
      </c>
      <c r="Q21" s="12"/>
      <c r="S21" s="128"/>
      <c r="T21" s="66"/>
      <c r="U21" s="128"/>
      <c r="W21" s="128"/>
      <c r="X21" s="12"/>
      <c r="Y21" t="str">
        <f t="shared" si="3"/>
        <v/>
      </c>
      <c r="Z21" t="str">
        <f t="shared" si="3"/>
        <v/>
      </c>
      <c r="AA21" s="12"/>
      <c r="AB21" s="95" t="e">
        <f t="shared" si="4"/>
        <v>#VALUE!</v>
      </c>
      <c r="AC21" s="95" t="e">
        <f t="shared" si="5"/>
        <v>#VALUE!</v>
      </c>
      <c r="AD21" s="12"/>
    </row>
    <row r="22" spans="1:30" ht="15.75" thickBot="1" x14ac:dyDescent="0.3">
      <c r="A22" s="12"/>
      <c r="B22" s="22"/>
      <c r="C22" t="str">
        <f>IF(AND('ENTRY DATA'!D22=""),"",('ENTRY DATA'!D22))</f>
        <v/>
      </c>
      <c r="D22" t="str">
        <f>IF(AND('ENTRY DATA'!F22=""),"",('ENTRY DATA'!F22))</f>
        <v/>
      </c>
      <c r="E22" s="34" t="str">
        <f>IF(AND('ENTRY DATA'!B22=""),"",('ENTRY DATA'!B22))</f>
        <v/>
      </c>
      <c r="F22" s="12"/>
      <c r="G22" s="12"/>
      <c r="H22" s="72"/>
      <c r="I22" s="71"/>
      <c r="J22" s="72"/>
      <c r="K22" s="12"/>
      <c r="L22" s="20">
        <f t="shared" si="0"/>
        <v>0</v>
      </c>
      <c r="M22" s="19" t="str">
        <f t="shared" si="1"/>
        <v/>
      </c>
      <c r="N22" s="12"/>
      <c r="O22" s="119"/>
      <c r="P22" s="95" t="str">
        <f t="shared" si="2"/>
        <v/>
      </c>
      <c r="Q22" s="12"/>
      <c r="S22" s="128"/>
      <c r="T22" s="66"/>
      <c r="U22" s="128"/>
      <c r="W22" s="128"/>
      <c r="X22" s="12"/>
      <c r="Y22" t="str">
        <f t="shared" si="3"/>
        <v/>
      </c>
      <c r="Z22" t="str">
        <f t="shared" si="3"/>
        <v/>
      </c>
      <c r="AA22" s="12"/>
      <c r="AB22" s="95" t="e">
        <f t="shared" si="4"/>
        <v>#VALUE!</v>
      </c>
      <c r="AC22" s="95" t="e">
        <f t="shared" si="5"/>
        <v>#VALUE!</v>
      </c>
      <c r="AD22" s="12"/>
    </row>
    <row r="23" spans="1:30" ht="15.75" thickBot="1" x14ac:dyDescent="0.3">
      <c r="A23" s="12"/>
      <c r="B23" s="22"/>
      <c r="C23" t="str">
        <f>IF(AND('ENTRY DATA'!D23=""),"",('ENTRY DATA'!D23))</f>
        <v/>
      </c>
      <c r="D23" t="str">
        <f>IF(AND('ENTRY DATA'!F23=""),"",('ENTRY DATA'!F23))</f>
        <v/>
      </c>
      <c r="E23" s="34" t="str">
        <f>IF(AND('ENTRY DATA'!B23=""),"",('ENTRY DATA'!B23))</f>
        <v/>
      </c>
      <c r="F23" s="12"/>
      <c r="G23" s="12"/>
      <c r="H23" s="72"/>
      <c r="I23" s="71"/>
      <c r="J23" s="72"/>
      <c r="K23" s="12"/>
      <c r="L23" s="20">
        <f t="shared" si="0"/>
        <v>0</v>
      </c>
      <c r="M23" s="19" t="str">
        <f t="shared" si="1"/>
        <v/>
      </c>
      <c r="N23" s="12"/>
      <c r="O23" s="119"/>
      <c r="P23" s="95" t="str">
        <f t="shared" si="2"/>
        <v/>
      </c>
      <c r="Q23" s="12"/>
      <c r="S23" s="128"/>
      <c r="T23" s="66"/>
      <c r="U23" s="128"/>
      <c r="W23" s="128"/>
      <c r="X23" s="12"/>
      <c r="Y23" t="str">
        <f t="shared" si="3"/>
        <v/>
      </c>
      <c r="Z23" t="str">
        <f t="shared" si="3"/>
        <v/>
      </c>
      <c r="AA23" s="12"/>
      <c r="AB23" s="95" t="e">
        <f t="shared" si="4"/>
        <v>#VALUE!</v>
      </c>
      <c r="AC23" s="95" t="e">
        <f t="shared" si="5"/>
        <v>#VALUE!</v>
      </c>
      <c r="AD23" s="12"/>
    </row>
    <row r="24" spans="1:30" ht="15.75" thickBot="1" x14ac:dyDescent="0.3">
      <c r="A24" s="12"/>
      <c r="B24" s="22"/>
      <c r="C24" t="str">
        <f>IF(AND('ENTRY DATA'!D24=""),"",('ENTRY DATA'!D24))</f>
        <v/>
      </c>
      <c r="D24" t="str">
        <f>IF(AND('ENTRY DATA'!F24=""),"",('ENTRY DATA'!F24))</f>
        <v/>
      </c>
      <c r="E24" s="34" t="str">
        <f>IF(AND('ENTRY DATA'!B24=""),"",('ENTRY DATA'!B24))</f>
        <v/>
      </c>
      <c r="F24" s="12"/>
      <c r="G24" s="12"/>
      <c r="H24" s="72"/>
      <c r="I24" s="71"/>
      <c r="J24" s="72"/>
      <c r="K24" s="12"/>
      <c r="L24" s="20">
        <f t="shared" si="0"/>
        <v>0</v>
      </c>
      <c r="M24" s="19" t="str">
        <f t="shared" si="1"/>
        <v/>
      </c>
      <c r="N24" s="12"/>
      <c r="O24" s="119"/>
      <c r="P24" s="95" t="str">
        <f t="shared" si="2"/>
        <v/>
      </c>
      <c r="Q24" s="12"/>
      <c r="S24" s="128"/>
      <c r="T24" s="66"/>
      <c r="U24" s="128"/>
      <c r="W24" s="128"/>
      <c r="X24" s="12"/>
      <c r="Y24" t="str">
        <f t="shared" si="3"/>
        <v/>
      </c>
      <c r="Z24" t="str">
        <f t="shared" si="3"/>
        <v/>
      </c>
      <c r="AA24" s="12"/>
      <c r="AB24" s="95" t="e">
        <f t="shared" si="4"/>
        <v>#VALUE!</v>
      </c>
      <c r="AC24" s="95" t="e">
        <f t="shared" si="5"/>
        <v>#VALUE!</v>
      </c>
      <c r="AD24" s="12"/>
    </row>
    <row r="25" spans="1:30" ht="15.75" thickBot="1" x14ac:dyDescent="0.3">
      <c r="A25" s="12"/>
      <c r="B25" s="22"/>
      <c r="C25" t="str">
        <f>IF(AND('ENTRY DATA'!D25=""),"",('ENTRY DATA'!D25))</f>
        <v/>
      </c>
      <c r="D25" t="str">
        <f>IF(AND('ENTRY DATA'!F25=""),"",('ENTRY DATA'!F25))</f>
        <v/>
      </c>
      <c r="E25" s="34" t="str">
        <f>IF(AND('ENTRY DATA'!B25=""),"",('ENTRY DATA'!B25))</f>
        <v/>
      </c>
      <c r="F25" s="12"/>
      <c r="G25" s="12"/>
      <c r="H25" s="72"/>
      <c r="I25" s="71"/>
      <c r="J25" s="72"/>
      <c r="K25" s="12"/>
      <c r="L25" s="20">
        <f t="shared" si="0"/>
        <v>0</v>
      </c>
      <c r="M25" s="19" t="str">
        <f t="shared" si="1"/>
        <v/>
      </c>
      <c r="N25" s="12"/>
      <c r="O25" s="119"/>
      <c r="P25" s="95" t="str">
        <f t="shared" si="2"/>
        <v/>
      </c>
      <c r="Q25" s="12"/>
      <c r="S25" s="128"/>
      <c r="T25" s="66"/>
      <c r="U25" s="128"/>
      <c r="W25" s="128"/>
      <c r="X25" s="12"/>
      <c r="Y25" t="str">
        <f t="shared" si="3"/>
        <v/>
      </c>
      <c r="Z25" t="str">
        <f t="shared" si="3"/>
        <v/>
      </c>
      <c r="AA25" s="12"/>
      <c r="AB25" s="95" t="e">
        <f t="shared" si="4"/>
        <v>#VALUE!</v>
      </c>
      <c r="AC25" s="95" t="e">
        <f t="shared" si="5"/>
        <v>#VALUE!</v>
      </c>
      <c r="AD25" s="12"/>
    </row>
    <row r="26" spans="1:30" ht="15.75" thickBot="1" x14ac:dyDescent="0.3">
      <c r="A26" s="12"/>
      <c r="B26" s="22"/>
      <c r="C26" t="str">
        <f>IF(AND('ENTRY DATA'!D26=""),"",('ENTRY DATA'!D26))</f>
        <v/>
      </c>
      <c r="D26" t="str">
        <f>IF(AND('ENTRY DATA'!F26=""),"",('ENTRY DATA'!F26))</f>
        <v/>
      </c>
      <c r="E26" s="34" t="str">
        <f>IF(AND('ENTRY DATA'!B26=""),"",('ENTRY DATA'!B26))</f>
        <v/>
      </c>
      <c r="F26" s="12"/>
      <c r="G26" s="12"/>
      <c r="H26" s="72"/>
      <c r="I26" s="71"/>
      <c r="J26" s="72"/>
      <c r="K26" s="12"/>
      <c r="L26" s="20">
        <f t="shared" si="0"/>
        <v>0</v>
      </c>
      <c r="M26" s="19" t="str">
        <f t="shared" si="1"/>
        <v/>
      </c>
      <c r="N26" s="12"/>
      <c r="O26" s="119"/>
      <c r="P26" s="95" t="str">
        <f t="shared" si="2"/>
        <v/>
      </c>
      <c r="Q26" s="12"/>
      <c r="S26" s="128"/>
      <c r="T26" s="66"/>
      <c r="U26" s="128"/>
      <c r="W26" s="128"/>
      <c r="X26" s="12"/>
      <c r="Y26" t="str">
        <f t="shared" si="3"/>
        <v/>
      </c>
      <c r="Z26" t="str">
        <f t="shared" si="3"/>
        <v/>
      </c>
      <c r="AA26" s="12"/>
      <c r="AB26" s="95" t="e">
        <f t="shared" si="4"/>
        <v>#VALUE!</v>
      </c>
      <c r="AC26" s="95" t="e">
        <f t="shared" si="5"/>
        <v>#VALUE!</v>
      </c>
      <c r="AD26" s="12"/>
    </row>
    <row r="27" spans="1:30" ht="15.75" thickBot="1" x14ac:dyDescent="0.3">
      <c r="A27" s="12"/>
      <c r="B27" s="22"/>
      <c r="C27" t="str">
        <f>IF(AND('ENTRY DATA'!D27=""),"",('ENTRY DATA'!D27))</f>
        <v/>
      </c>
      <c r="D27" t="str">
        <f>IF(AND('ENTRY DATA'!F27=""),"",('ENTRY DATA'!F27))</f>
        <v/>
      </c>
      <c r="E27" s="34" t="str">
        <f>IF(AND('ENTRY DATA'!B27=""),"",('ENTRY DATA'!B27))</f>
        <v/>
      </c>
      <c r="F27" s="12"/>
      <c r="G27" s="12"/>
      <c r="H27" s="72"/>
      <c r="I27" s="71"/>
      <c r="J27" s="72"/>
      <c r="K27" s="12"/>
      <c r="L27" s="20">
        <f t="shared" si="0"/>
        <v>0</v>
      </c>
      <c r="M27" s="19" t="str">
        <f t="shared" si="1"/>
        <v/>
      </c>
      <c r="N27" s="12"/>
      <c r="O27" s="119"/>
      <c r="P27" s="95" t="str">
        <f t="shared" si="2"/>
        <v/>
      </c>
      <c r="Q27" s="12"/>
      <c r="S27" s="128"/>
      <c r="T27" s="66"/>
      <c r="U27" s="128"/>
      <c r="W27" s="128"/>
      <c r="X27" s="12"/>
      <c r="Y27" t="str">
        <f t="shared" si="3"/>
        <v/>
      </c>
      <c r="Z27" t="str">
        <f t="shared" si="3"/>
        <v/>
      </c>
      <c r="AA27" s="12"/>
      <c r="AB27" s="95" t="e">
        <f t="shared" si="4"/>
        <v>#VALUE!</v>
      </c>
      <c r="AC27" s="95" t="e">
        <f t="shared" si="5"/>
        <v>#VALUE!</v>
      </c>
      <c r="AD27" s="12"/>
    </row>
    <row r="28" spans="1:30" ht="15.75" thickBot="1" x14ac:dyDescent="0.3">
      <c r="A28" s="12"/>
      <c r="B28" s="22"/>
      <c r="C28" t="str">
        <f>IF(AND('ENTRY DATA'!D28=""),"",('ENTRY DATA'!D28))</f>
        <v/>
      </c>
      <c r="D28" t="str">
        <f>IF(AND('ENTRY DATA'!F28=""),"",('ENTRY DATA'!F28))</f>
        <v/>
      </c>
      <c r="E28" s="34" t="str">
        <f>IF(AND('ENTRY DATA'!B28=""),"",('ENTRY DATA'!B28))</f>
        <v/>
      </c>
      <c r="F28" s="12"/>
      <c r="G28" s="12"/>
      <c r="H28" s="72"/>
      <c r="I28" s="71"/>
      <c r="J28" s="72"/>
      <c r="K28" s="12"/>
      <c r="L28" s="20">
        <f t="shared" si="0"/>
        <v>0</v>
      </c>
      <c r="M28" s="19" t="str">
        <f t="shared" si="1"/>
        <v/>
      </c>
      <c r="N28" s="12"/>
      <c r="O28" s="119"/>
      <c r="P28" s="95" t="str">
        <f t="shared" si="2"/>
        <v/>
      </c>
      <c r="Q28" s="12"/>
      <c r="S28" s="128"/>
      <c r="T28" s="66"/>
      <c r="U28" s="128"/>
      <c r="W28" s="128"/>
      <c r="X28" s="12"/>
      <c r="Y28" t="str">
        <f t="shared" si="3"/>
        <v/>
      </c>
      <c r="Z28" t="str">
        <f t="shared" si="3"/>
        <v/>
      </c>
      <c r="AA28" s="12"/>
      <c r="AB28" s="95" t="e">
        <f t="shared" si="4"/>
        <v>#VALUE!</v>
      </c>
      <c r="AC28" s="95" t="e">
        <f t="shared" si="5"/>
        <v>#VALUE!</v>
      </c>
      <c r="AD28" s="12"/>
    </row>
    <row r="29" spans="1:30" ht="15.75" thickBot="1" x14ac:dyDescent="0.3">
      <c r="A29" s="12"/>
      <c r="B29" s="22"/>
      <c r="C29" t="str">
        <f>IF(AND('ENTRY DATA'!D29=""),"",('ENTRY DATA'!D29))</f>
        <v/>
      </c>
      <c r="D29" t="str">
        <f>IF(AND('ENTRY DATA'!F29=""),"",('ENTRY DATA'!F29))</f>
        <v/>
      </c>
      <c r="E29" s="34">
        <f>IF(AND('ENTRY DATA'!B29=""),"",('ENTRY DATA'!B29))</f>
        <v>4</v>
      </c>
      <c r="F29" s="12"/>
      <c r="G29" s="12"/>
      <c r="H29" s="72"/>
      <c r="I29" s="71"/>
      <c r="J29" s="72"/>
      <c r="K29" s="12"/>
      <c r="L29" s="20">
        <f t="shared" si="0"/>
        <v>0</v>
      </c>
      <c r="M29" s="19" t="str">
        <f t="shared" si="1"/>
        <v/>
      </c>
      <c r="N29" s="12"/>
      <c r="O29" s="119"/>
      <c r="P29" s="95" t="str">
        <f t="shared" si="2"/>
        <v/>
      </c>
      <c r="Q29" s="12"/>
      <c r="S29" s="128"/>
      <c r="T29" s="66"/>
      <c r="U29" s="128"/>
      <c r="W29" s="128"/>
      <c r="X29" s="12"/>
      <c r="Y29" t="str">
        <f t="shared" si="3"/>
        <v/>
      </c>
      <c r="Z29" t="str">
        <f t="shared" si="3"/>
        <v/>
      </c>
      <c r="AA29" s="12"/>
      <c r="AB29" s="95" t="e">
        <f t="shared" si="4"/>
        <v>#VALUE!</v>
      </c>
      <c r="AC29" s="95" t="e">
        <f t="shared" si="5"/>
        <v>#VALUE!</v>
      </c>
      <c r="AD29" s="12"/>
    </row>
    <row r="30" spans="1:30" ht="15.75" thickBot="1" x14ac:dyDescent="0.3">
      <c r="A30" s="12"/>
      <c r="B30" s="22"/>
      <c r="C30" t="str">
        <f>IF(AND('ENTRY DATA'!D30=""),"",('ENTRY DATA'!D30))</f>
        <v/>
      </c>
      <c r="D30" t="str">
        <f>IF(AND('ENTRY DATA'!F30=""),"",('ENTRY DATA'!F30))</f>
        <v/>
      </c>
      <c r="E30" s="34" t="str">
        <f>IF(AND('ENTRY DATA'!B30=""),"",('ENTRY DATA'!B30))</f>
        <v/>
      </c>
      <c r="F30" s="12"/>
      <c r="G30" s="12"/>
      <c r="H30" s="72"/>
      <c r="I30" s="71"/>
      <c r="J30" s="72"/>
      <c r="K30" s="12"/>
      <c r="L30" s="20">
        <f t="shared" si="0"/>
        <v>0</v>
      </c>
      <c r="M30" s="19" t="str">
        <f t="shared" si="1"/>
        <v/>
      </c>
      <c r="N30" s="12"/>
      <c r="O30" s="119"/>
      <c r="P30" s="95" t="str">
        <f t="shared" si="2"/>
        <v/>
      </c>
      <c r="Q30" s="12"/>
      <c r="S30" s="128"/>
      <c r="T30" s="66"/>
      <c r="U30" s="128"/>
      <c r="W30" s="128"/>
      <c r="X30" s="12"/>
      <c r="Y30" t="str">
        <f t="shared" si="3"/>
        <v/>
      </c>
      <c r="Z30" t="str">
        <f t="shared" si="3"/>
        <v/>
      </c>
      <c r="AA30" s="12"/>
      <c r="AB30" s="95" t="e">
        <f t="shared" si="4"/>
        <v>#VALUE!</v>
      </c>
      <c r="AC30" s="95" t="e">
        <f t="shared" si="5"/>
        <v>#VALUE!</v>
      </c>
      <c r="AD30" s="12"/>
    </row>
    <row r="31" spans="1:30" ht="15.75" thickBot="1" x14ac:dyDescent="0.3">
      <c r="A31" s="12"/>
      <c r="B31" s="22"/>
      <c r="C31" t="str">
        <f>IF(AND('ENTRY DATA'!D31=""),"",('ENTRY DATA'!D31))</f>
        <v/>
      </c>
      <c r="D31" t="str">
        <f>IF(AND('ENTRY DATA'!F31=""),"",('ENTRY DATA'!F31))</f>
        <v/>
      </c>
      <c r="E31" s="34" t="str">
        <f>IF(AND('ENTRY DATA'!B31=""),"",('ENTRY DATA'!B31))</f>
        <v/>
      </c>
      <c r="F31" s="12"/>
      <c r="G31" s="12"/>
      <c r="H31" s="72"/>
      <c r="I31" s="71"/>
      <c r="J31" s="72"/>
      <c r="K31" s="12"/>
      <c r="L31" s="20">
        <f t="shared" si="0"/>
        <v>0</v>
      </c>
      <c r="M31" s="19" t="str">
        <f t="shared" si="1"/>
        <v/>
      </c>
      <c r="N31" s="12"/>
      <c r="O31" s="119"/>
      <c r="P31" s="95" t="str">
        <f t="shared" si="2"/>
        <v/>
      </c>
      <c r="Q31" s="12"/>
      <c r="S31" s="128"/>
      <c r="T31" s="66"/>
      <c r="U31" s="128"/>
      <c r="W31" s="128"/>
      <c r="X31" s="12"/>
      <c r="Y31" t="str">
        <f t="shared" si="3"/>
        <v/>
      </c>
      <c r="Z31" t="str">
        <f t="shared" si="3"/>
        <v/>
      </c>
      <c r="AA31" s="12"/>
      <c r="AB31" s="95" t="e">
        <f t="shared" si="4"/>
        <v>#VALUE!</v>
      </c>
      <c r="AC31" s="95" t="e">
        <f t="shared" si="5"/>
        <v>#VALUE!</v>
      </c>
      <c r="AD31" s="12"/>
    </row>
    <row r="32" spans="1:30" ht="15.75" thickBot="1" x14ac:dyDescent="0.3">
      <c r="A32" s="12"/>
      <c r="B32" s="22"/>
      <c r="C32" t="str">
        <f>IF(AND('ENTRY DATA'!D32=""),"",('ENTRY DATA'!D32))</f>
        <v/>
      </c>
      <c r="D32" t="str">
        <f>IF(AND('ENTRY DATA'!F32=""),"",('ENTRY DATA'!F32))</f>
        <v/>
      </c>
      <c r="E32" s="34" t="str">
        <f>IF(AND('ENTRY DATA'!B32=""),"",('ENTRY DATA'!B32))</f>
        <v/>
      </c>
      <c r="F32" s="12"/>
      <c r="G32" s="12"/>
      <c r="H32" s="72"/>
      <c r="I32" s="71"/>
      <c r="J32" s="72"/>
      <c r="K32" s="12"/>
      <c r="L32" s="20">
        <f t="shared" si="0"/>
        <v>0</v>
      </c>
      <c r="M32" s="19" t="str">
        <f t="shared" si="1"/>
        <v/>
      </c>
      <c r="N32" s="12"/>
      <c r="O32" s="119"/>
      <c r="P32" s="95" t="str">
        <f t="shared" si="2"/>
        <v/>
      </c>
      <c r="Q32" s="12"/>
      <c r="S32" s="128"/>
      <c r="T32" s="66"/>
      <c r="U32" s="128"/>
      <c r="W32" s="128"/>
      <c r="X32" s="12"/>
      <c r="Y32" t="str">
        <f t="shared" si="3"/>
        <v/>
      </c>
      <c r="Z32" t="str">
        <f t="shared" si="3"/>
        <v/>
      </c>
      <c r="AA32" s="12"/>
      <c r="AB32" s="95" t="e">
        <f t="shared" si="4"/>
        <v>#VALUE!</v>
      </c>
      <c r="AC32" s="95" t="e">
        <f t="shared" si="5"/>
        <v>#VALUE!</v>
      </c>
      <c r="AD32" s="12"/>
    </row>
    <row r="33" spans="1:30" ht="15.75" thickBot="1" x14ac:dyDescent="0.3">
      <c r="A33" s="12"/>
      <c r="B33" s="22"/>
      <c r="C33" t="str">
        <f>IF(AND('ENTRY DATA'!D33=""),"",('ENTRY DATA'!D33))</f>
        <v/>
      </c>
      <c r="D33" t="str">
        <f>IF(AND('ENTRY DATA'!F33=""),"",('ENTRY DATA'!F33))</f>
        <v/>
      </c>
      <c r="E33" s="34" t="str">
        <f>IF(AND('ENTRY DATA'!B33=""),"",('ENTRY DATA'!B33))</f>
        <v/>
      </c>
      <c r="F33" s="12"/>
      <c r="G33" s="12"/>
      <c r="H33" s="72"/>
      <c r="I33" s="71"/>
      <c r="J33" s="72"/>
      <c r="K33" s="12"/>
      <c r="L33" s="20">
        <f t="shared" si="0"/>
        <v>0</v>
      </c>
      <c r="M33" s="19" t="str">
        <f t="shared" si="1"/>
        <v/>
      </c>
      <c r="N33" s="12"/>
      <c r="O33" s="119"/>
      <c r="P33" s="95" t="str">
        <f t="shared" si="2"/>
        <v/>
      </c>
      <c r="Q33" s="12"/>
      <c r="S33" s="128"/>
      <c r="T33" s="66"/>
      <c r="U33" s="128"/>
      <c r="W33" s="128"/>
      <c r="X33" s="12"/>
      <c r="Y33" t="str">
        <f t="shared" si="3"/>
        <v/>
      </c>
      <c r="Z33" t="str">
        <f t="shared" si="3"/>
        <v/>
      </c>
      <c r="AA33" s="12"/>
      <c r="AB33" s="95" t="e">
        <f t="shared" si="4"/>
        <v>#VALUE!</v>
      </c>
      <c r="AC33" s="95" t="e">
        <f t="shared" si="5"/>
        <v>#VALUE!</v>
      </c>
      <c r="AD33" s="12"/>
    </row>
    <row r="34" spans="1:30" ht="15.75" thickBot="1" x14ac:dyDescent="0.3">
      <c r="A34" s="12"/>
      <c r="B34" s="22"/>
      <c r="C34" t="str">
        <f>IF(AND('ENTRY DATA'!D34=""),"",('ENTRY DATA'!D34))</f>
        <v/>
      </c>
      <c r="D34" t="str">
        <f>IF(AND('ENTRY DATA'!F34=""),"",('ENTRY DATA'!F34))</f>
        <v/>
      </c>
      <c r="E34" s="34" t="str">
        <f>IF(AND('ENTRY DATA'!B34=""),"",('ENTRY DATA'!B34))</f>
        <v/>
      </c>
      <c r="F34" s="12"/>
      <c r="G34" s="12"/>
      <c r="H34" s="72"/>
      <c r="I34" s="71"/>
      <c r="J34" s="72"/>
      <c r="K34" s="12"/>
      <c r="L34" s="20">
        <f t="shared" si="0"/>
        <v>0</v>
      </c>
      <c r="M34" s="19" t="str">
        <f t="shared" si="1"/>
        <v/>
      </c>
      <c r="N34" s="12"/>
      <c r="O34" s="119"/>
      <c r="P34" s="95" t="str">
        <f t="shared" si="2"/>
        <v/>
      </c>
      <c r="Q34" s="12"/>
      <c r="S34" s="128"/>
      <c r="T34" s="66"/>
      <c r="U34" s="128"/>
      <c r="W34" s="128"/>
      <c r="X34" s="12"/>
      <c r="Y34" t="str">
        <f t="shared" si="3"/>
        <v/>
      </c>
      <c r="Z34" t="str">
        <f t="shared" si="3"/>
        <v/>
      </c>
      <c r="AA34" s="12"/>
      <c r="AB34" s="95" t="e">
        <f t="shared" si="4"/>
        <v>#VALUE!</v>
      </c>
      <c r="AC34" s="95" t="e">
        <f t="shared" si="5"/>
        <v>#VALUE!</v>
      </c>
      <c r="AD34" s="12"/>
    </row>
    <row r="35" spans="1:30" ht="15.75" thickBot="1" x14ac:dyDescent="0.3">
      <c r="A35" s="12"/>
      <c r="B35" s="22"/>
      <c r="C35" t="str">
        <f>IF(AND('ENTRY DATA'!D35=""),"",('ENTRY DATA'!D35))</f>
        <v/>
      </c>
      <c r="D35" t="str">
        <f>IF(AND('ENTRY DATA'!F35=""),"",('ENTRY DATA'!F35))</f>
        <v/>
      </c>
      <c r="E35" s="34" t="str">
        <f>IF(AND('ENTRY DATA'!B35=""),"",('ENTRY DATA'!B35))</f>
        <v/>
      </c>
      <c r="F35" s="12"/>
      <c r="G35" s="12"/>
      <c r="H35" s="72"/>
      <c r="I35" s="71"/>
      <c r="J35" s="72"/>
      <c r="K35" s="12"/>
      <c r="L35" s="20">
        <f t="shared" si="0"/>
        <v>0</v>
      </c>
      <c r="M35" s="19" t="str">
        <f t="shared" si="1"/>
        <v/>
      </c>
      <c r="N35" s="12"/>
      <c r="O35" s="119"/>
      <c r="P35" s="95" t="str">
        <f t="shared" si="2"/>
        <v/>
      </c>
      <c r="Q35" s="12"/>
      <c r="S35" s="128"/>
      <c r="T35" s="66"/>
      <c r="U35" s="128"/>
      <c r="W35" s="128"/>
      <c r="X35" s="12"/>
      <c r="Y35" t="str">
        <f t="shared" si="3"/>
        <v/>
      </c>
      <c r="Z35" t="str">
        <f t="shared" si="3"/>
        <v/>
      </c>
      <c r="AA35" s="12"/>
      <c r="AB35" s="95" t="e">
        <f t="shared" si="4"/>
        <v>#VALUE!</v>
      </c>
      <c r="AC35" s="95" t="e">
        <f t="shared" si="5"/>
        <v>#VALUE!</v>
      </c>
      <c r="AD35" s="12"/>
    </row>
    <row r="36" spans="1:30" ht="15.75" thickBot="1" x14ac:dyDescent="0.3">
      <c r="A36" s="12"/>
      <c r="B36" s="22"/>
      <c r="C36" t="str">
        <f>IF(AND('ENTRY DATA'!D36=""),"",('ENTRY DATA'!D36))</f>
        <v/>
      </c>
      <c r="D36" t="str">
        <f>IF(AND('ENTRY DATA'!F36=""),"",('ENTRY DATA'!F36))</f>
        <v/>
      </c>
      <c r="E36" s="34" t="str">
        <f>IF(AND('ENTRY DATA'!B36=""),"",('ENTRY DATA'!B36))</f>
        <v/>
      </c>
      <c r="F36" s="12"/>
      <c r="G36" s="12"/>
      <c r="H36" s="72"/>
      <c r="I36" s="71"/>
      <c r="J36" s="72"/>
      <c r="K36" s="12"/>
      <c r="L36" s="20">
        <f t="shared" si="0"/>
        <v>0</v>
      </c>
      <c r="M36" s="19" t="str">
        <f t="shared" si="1"/>
        <v/>
      </c>
      <c r="N36" s="12"/>
      <c r="O36" s="119"/>
      <c r="P36" s="95" t="str">
        <f t="shared" si="2"/>
        <v/>
      </c>
      <c r="Q36" s="12"/>
      <c r="S36" s="128"/>
      <c r="T36" s="66"/>
      <c r="U36" s="128"/>
      <c r="W36" s="128"/>
      <c r="X36" s="12"/>
      <c r="Y36" t="str">
        <f t="shared" si="3"/>
        <v/>
      </c>
      <c r="Z36" t="str">
        <f t="shared" si="3"/>
        <v/>
      </c>
      <c r="AA36" s="12"/>
      <c r="AB36" s="95" t="e">
        <f t="shared" si="4"/>
        <v>#VALUE!</v>
      </c>
      <c r="AC36" s="95" t="e">
        <f t="shared" si="5"/>
        <v>#VALUE!</v>
      </c>
      <c r="AD36" s="12"/>
    </row>
    <row r="37" spans="1:30" ht="15.75" thickBot="1" x14ac:dyDescent="0.3">
      <c r="A37" s="12"/>
      <c r="B37" s="22"/>
      <c r="C37" t="str">
        <f>IF(AND('ENTRY DATA'!D37=""),"",('ENTRY DATA'!D37))</f>
        <v/>
      </c>
      <c r="D37" t="str">
        <f>IF(AND('ENTRY DATA'!F37=""),"",('ENTRY DATA'!F37))</f>
        <v/>
      </c>
      <c r="E37" s="34">
        <f>IF(AND('ENTRY DATA'!B37=""),"",('ENTRY DATA'!B37))</f>
        <v>5</v>
      </c>
      <c r="F37" s="12"/>
      <c r="G37" s="12"/>
      <c r="H37" s="72"/>
      <c r="I37" s="71"/>
      <c r="J37" s="72"/>
      <c r="K37" s="12"/>
      <c r="L37" s="20">
        <f t="shared" si="0"/>
        <v>0</v>
      </c>
      <c r="M37" s="19" t="str">
        <f t="shared" si="1"/>
        <v/>
      </c>
      <c r="N37" s="12"/>
      <c r="O37" s="119"/>
      <c r="P37" s="95" t="str">
        <f t="shared" si="2"/>
        <v/>
      </c>
      <c r="Q37" s="12"/>
      <c r="S37" s="128"/>
      <c r="T37" s="66"/>
      <c r="U37" s="128"/>
      <c r="W37" s="128"/>
      <c r="X37" s="12"/>
      <c r="Y37" t="str">
        <f t="shared" si="3"/>
        <v/>
      </c>
      <c r="Z37" t="str">
        <f t="shared" si="3"/>
        <v/>
      </c>
      <c r="AA37" s="12"/>
      <c r="AB37" s="95" t="e">
        <f t="shared" si="4"/>
        <v>#VALUE!</v>
      </c>
      <c r="AC37" s="95" t="e">
        <f t="shared" si="5"/>
        <v>#VALUE!</v>
      </c>
      <c r="AD37" s="12"/>
    </row>
    <row r="38" spans="1:30" ht="15.75" thickBot="1" x14ac:dyDescent="0.3">
      <c r="A38" s="12"/>
      <c r="B38" s="22"/>
      <c r="C38" t="str">
        <f>IF(AND('ENTRY DATA'!D38=""),"",('ENTRY DATA'!D38))</f>
        <v/>
      </c>
      <c r="D38" t="str">
        <f>IF(AND('ENTRY DATA'!F38=""),"",('ENTRY DATA'!F38))</f>
        <v/>
      </c>
      <c r="E38" s="34" t="str">
        <f>IF(AND('ENTRY DATA'!B38=""),"",('ENTRY DATA'!B38))</f>
        <v/>
      </c>
      <c r="F38" s="12"/>
      <c r="G38" s="12"/>
      <c r="H38" s="72"/>
      <c r="I38" s="71"/>
      <c r="J38" s="72"/>
      <c r="K38" s="12"/>
      <c r="L38" s="20">
        <f t="shared" si="0"/>
        <v>0</v>
      </c>
      <c r="M38" s="19" t="str">
        <f t="shared" si="1"/>
        <v/>
      </c>
      <c r="N38" s="12"/>
      <c r="O38" s="119"/>
      <c r="P38" s="95" t="str">
        <f t="shared" si="2"/>
        <v/>
      </c>
      <c r="Q38" s="12"/>
      <c r="S38" s="128"/>
      <c r="T38" s="66"/>
      <c r="U38" s="128"/>
      <c r="W38" s="128"/>
      <c r="X38" s="12"/>
      <c r="Y38" t="str">
        <f t="shared" si="3"/>
        <v/>
      </c>
      <c r="Z38" t="str">
        <f t="shared" si="3"/>
        <v/>
      </c>
      <c r="AA38" s="12"/>
      <c r="AB38" s="95" t="e">
        <f t="shared" si="4"/>
        <v>#VALUE!</v>
      </c>
      <c r="AC38" s="95" t="e">
        <f t="shared" si="5"/>
        <v>#VALUE!</v>
      </c>
      <c r="AD38" s="12"/>
    </row>
    <row r="39" spans="1:30" ht="15.75" thickBot="1" x14ac:dyDescent="0.3">
      <c r="A39" s="12"/>
      <c r="B39" s="22"/>
      <c r="C39" t="str">
        <f>IF(AND('ENTRY DATA'!D39=""),"",('ENTRY DATA'!D39))</f>
        <v/>
      </c>
      <c r="D39" t="str">
        <f>IF(AND('ENTRY DATA'!F39=""),"",('ENTRY DATA'!F39))</f>
        <v/>
      </c>
      <c r="E39" s="34" t="str">
        <f>IF(AND('ENTRY DATA'!B39=""),"",('ENTRY DATA'!B39))</f>
        <v/>
      </c>
      <c r="F39" s="12"/>
      <c r="G39" s="12"/>
      <c r="H39" s="72"/>
      <c r="I39" s="71"/>
      <c r="J39" s="72"/>
      <c r="K39" s="12"/>
      <c r="L39" s="20">
        <f t="shared" si="0"/>
        <v>0</v>
      </c>
      <c r="M39" s="19" t="str">
        <f t="shared" si="1"/>
        <v/>
      </c>
      <c r="N39" s="12"/>
      <c r="O39" s="119"/>
      <c r="P39" s="95" t="str">
        <f t="shared" si="2"/>
        <v/>
      </c>
      <c r="Q39" s="12"/>
      <c r="S39" s="128"/>
      <c r="T39" s="66"/>
      <c r="U39" s="128"/>
      <c r="W39" s="128"/>
      <c r="X39" s="12"/>
      <c r="Y39" t="str">
        <f t="shared" si="3"/>
        <v/>
      </c>
      <c r="Z39" t="str">
        <f t="shared" si="3"/>
        <v/>
      </c>
      <c r="AA39" s="12"/>
      <c r="AB39" s="95" t="e">
        <f t="shared" si="4"/>
        <v>#VALUE!</v>
      </c>
      <c r="AC39" s="95" t="e">
        <f t="shared" si="5"/>
        <v>#VALUE!</v>
      </c>
      <c r="AD39" s="12"/>
    </row>
    <row r="40" spans="1:30" ht="15.75" thickBot="1" x14ac:dyDescent="0.3">
      <c r="A40" s="12"/>
      <c r="B40" s="22"/>
      <c r="C40" t="str">
        <f>IF(AND('ENTRY DATA'!D40=""),"",('ENTRY DATA'!D40))</f>
        <v/>
      </c>
      <c r="D40" t="str">
        <f>IF(AND('ENTRY DATA'!F40=""),"",('ENTRY DATA'!F40))</f>
        <v/>
      </c>
      <c r="E40" s="34" t="str">
        <f>IF(AND('ENTRY DATA'!B40=""),"",('ENTRY DATA'!B40))</f>
        <v/>
      </c>
      <c r="F40" s="12"/>
      <c r="G40" s="12"/>
      <c r="H40" s="72"/>
      <c r="I40" s="71"/>
      <c r="J40" s="72"/>
      <c r="K40" s="12"/>
      <c r="L40" s="20">
        <f t="shared" si="0"/>
        <v>0</v>
      </c>
      <c r="M40" s="19" t="str">
        <f t="shared" si="1"/>
        <v/>
      </c>
      <c r="N40" s="12"/>
      <c r="O40" s="119"/>
      <c r="P40" s="95" t="str">
        <f t="shared" si="2"/>
        <v/>
      </c>
      <c r="Q40" s="12"/>
      <c r="S40" s="128"/>
      <c r="T40" s="66"/>
      <c r="U40" s="128"/>
      <c r="W40" s="128"/>
      <c r="X40" s="12"/>
      <c r="Y40" t="str">
        <f t="shared" si="3"/>
        <v/>
      </c>
      <c r="Z40" t="str">
        <f t="shared" si="3"/>
        <v/>
      </c>
      <c r="AA40" s="12"/>
      <c r="AB40" s="95" t="e">
        <f t="shared" si="4"/>
        <v>#VALUE!</v>
      </c>
      <c r="AC40" s="95" t="e">
        <f t="shared" si="5"/>
        <v>#VALUE!</v>
      </c>
      <c r="AD40" s="12"/>
    </row>
    <row r="41" spans="1:30" ht="15.75" thickBot="1" x14ac:dyDescent="0.3">
      <c r="A41" s="12"/>
      <c r="B41" s="22"/>
      <c r="C41" t="str">
        <f>IF(AND('ENTRY DATA'!D41=""),"",('ENTRY DATA'!D41))</f>
        <v/>
      </c>
      <c r="D41" t="str">
        <f>IF(AND('ENTRY DATA'!F41=""),"",('ENTRY DATA'!F41))</f>
        <v/>
      </c>
      <c r="E41" s="34" t="str">
        <f>IF(AND('ENTRY DATA'!B41=""),"",('ENTRY DATA'!B41))</f>
        <v/>
      </c>
      <c r="F41" s="12"/>
      <c r="G41" s="12"/>
      <c r="H41" s="72"/>
      <c r="I41" s="71"/>
      <c r="J41" s="72"/>
      <c r="K41" s="12"/>
      <c r="L41" s="20">
        <f t="shared" si="0"/>
        <v>0</v>
      </c>
      <c r="M41" s="19" t="str">
        <f t="shared" si="1"/>
        <v/>
      </c>
      <c r="N41" s="12"/>
      <c r="O41" s="119"/>
      <c r="P41" s="95" t="str">
        <f t="shared" si="2"/>
        <v/>
      </c>
      <c r="Q41" s="12"/>
      <c r="S41" s="128"/>
      <c r="T41" s="66"/>
      <c r="U41" s="128"/>
      <c r="W41" s="128"/>
      <c r="X41" s="12"/>
      <c r="Y41" t="str">
        <f t="shared" si="3"/>
        <v/>
      </c>
      <c r="Z41" t="str">
        <f t="shared" si="3"/>
        <v/>
      </c>
      <c r="AA41" s="12"/>
      <c r="AB41" s="95" t="e">
        <f t="shared" si="4"/>
        <v>#VALUE!</v>
      </c>
      <c r="AC41" s="95" t="e">
        <f t="shared" si="5"/>
        <v>#VALUE!</v>
      </c>
      <c r="AD41" s="12"/>
    </row>
    <row r="42" spans="1:30" ht="15.75" thickBot="1" x14ac:dyDescent="0.3">
      <c r="A42" s="12"/>
      <c r="B42" s="22"/>
      <c r="C42" t="str">
        <f>IF(AND('ENTRY DATA'!D42=""),"",('ENTRY DATA'!D42))</f>
        <v/>
      </c>
      <c r="D42" t="str">
        <f>IF(AND('ENTRY DATA'!F42=""),"",('ENTRY DATA'!F42))</f>
        <v/>
      </c>
      <c r="E42" s="34" t="str">
        <f>IF(AND('ENTRY DATA'!B42=""),"",('ENTRY DATA'!B42))</f>
        <v/>
      </c>
      <c r="F42" s="12"/>
      <c r="G42" s="12"/>
      <c r="H42" s="72"/>
      <c r="I42" s="71"/>
      <c r="J42" s="72"/>
      <c r="K42" s="12"/>
      <c r="L42" s="20">
        <f t="shared" si="0"/>
        <v>0</v>
      </c>
      <c r="M42" s="19" t="str">
        <f t="shared" si="1"/>
        <v/>
      </c>
      <c r="N42" s="12"/>
      <c r="O42" s="119"/>
      <c r="P42" s="95" t="str">
        <f t="shared" si="2"/>
        <v/>
      </c>
      <c r="Q42" s="12"/>
      <c r="S42" s="128"/>
      <c r="T42" s="66"/>
      <c r="U42" s="128"/>
      <c r="W42" s="128"/>
      <c r="X42" s="12"/>
      <c r="Y42" t="str">
        <f t="shared" si="3"/>
        <v/>
      </c>
      <c r="Z42" t="str">
        <f t="shared" si="3"/>
        <v/>
      </c>
      <c r="AA42" s="12"/>
      <c r="AB42" s="95" t="e">
        <f t="shared" si="4"/>
        <v>#VALUE!</v>
      </c>
      <c r="AC42" s="95" t="e">
        <f t="shared" si="5"/>
        <v>#VALUE!</v>
      </c>
      <c r="AD42" s="12"/>
    </row>
    <row r="43" spans="1:30" ht="15.75" thickBot="1" x14ac:dyDescent="0.3">
      <c r="A43" s="12"/>
      <c r="B43" s="22"/>
      <c r="C43" t="str">
        <f>IF(AND('ENTRY DATA'!D43=""),"",('ENTRY DATA'!D43))</f>
        <v/>
      </c>
      <c r="D43" t="str">
        <f>IF(AND('ENTRY DATA'!F43=""),"",('ENTRY DATA'!F43))</f>
        <v/>
      </c>
      <c r="E43" s="34" t="str">
        <f>IF(AND('ENTRY DATA'!B43=""),"",('ENTRY DATA'!B43))</f>
        <v/>
      </c>
      <c r="F43" s="12"/>
      <c r="G43" s="12"/>
      <c r="H43" s="72"/>
      <c r="I43" s="71"/>
      <c r="J43" s="72"/>
      <c r="K43" s="12"/>
      <c r="L43" s="20">
        <f t="shared" si="0"/>
        <v>0</v>
      </c>
      <c r="M43" s="19" t="str">
        <f t="shared" si="1"/>
        <v/>
      </c>
      <c r="N43" s="12"/>
      <c r="O43" s="119"/>
      <c r="P43" s="95" t="str">
        <f t="shared" si="2"/>
        <v/>
      </c>
      <c r="Q43" s="12"/>
      <c r="S43" s="128"/>
      <c r="T43" s="66"/>
      <c r="U43" s="128"/>
      <c r="W43" s="128"/>
      <c r="X43" s="12"/>
      <c r="Y43" t="str">
        <f t="shared" si="3"/>
        <v/>
      </c>
      <c r="Z43" t="str">
        <f t="shared" si="3"/>
        <v/>
      </c>
      <c r="AA43" s="12"/>
      <c r="AB43" s="95" t="e">
        <f t="shared" si="4"/>
        <v>#VALUE!</v>
      </c>
      <c r="AC43" s="95" t="e">
        <f t="shared" si="5"/>
        <v>#VALUE!</v>
      </c>
      <c r="AD43" s="12"/>
    </row>
    <row r="44" spans="1:30" ht="15.75" thickBot="1" x14ac:dyDescent="0.3">
      <c r="A44" s="12"/>
      <c r="B44" s="22"/>
      <c r="C44" t="str">
        <f>IF(AND('ENTRY DATA'!D44=""),"",('ENTRY DATA'!D44))</f>
        <v/>
      </c>
      <c r="D44" t="str">
        <f>IF(AND('ENTRY DATA'!F44=""),"",('ENTRY DATA'!F44))</f>
        <v/>
      </c>
      <c r="E44" s="34" t="str">
        <f>IF(AND('ENTRY DATA'!B44=""),"",('ENTRY DATA'!B44))</f>
        <v/>
      </c>
      <c r="F44" s="12"/>
      <c r="G44" s="12"/>
      <c r="H44" s="72"/>
      <c r="I44" s="71"/>
      <c r="J44" s="72"/>
      <c r="K44" s="12"/>
      <c r="L44" s="20">
        <f t="shared" si="0"/>
        <v>0</v>
      </c>
      <c r="M44" s="19" t="str">
        <f t="shared" si="1"/>
        <v/>
      </c>
      <c r="N44" s="12"/>
      <c r="O44" s="119"/>
      <c r="P44" s="95" t="str">
        <f t="shared" si="2"/>
        <v/>
      </c>
      <c r="Q44" s="12"/>
      <c r="S44" s="128"/>
      <c r="T44" s="66"/>
      <c r="U44" s="128"/>
      <c r="W44" s="128"/>
      <c r="X44" s="12"/>
      <c r="Y44" t="str">
        <f t="shared" si="3"/>
        <v/>
      </c>
      <c r="Z44" t="str">
        <f t="shared" si="3"/>
        <v/>
      </c>
      <c r="AA44" s="12"/>
      <c r="AB44" s="95" t="e">
        <f t="shared" si="4"/>
        <v>#VALUE!</v>
      </c>
      <c r="AC44" s="95" t="e">
        <f t="shared" si="5"/>
        <v>#VALUE!</v>
      </c>
      <c r="AD44" s="12"/>
    </row>
    <row r="45" spans="1:30" ht="15.75" thickBot="1" x14ac:dyDescent="0.3">
      <c r="A45" s="12"/>
      <c r="B45" s="22"/>
      <c r="C45" t="str">
        <f>IF(AND('ENTRY DATA'!D45=""),"",('ENTRY DATA'!D45))</f>
        <v/>
      </c>
      <c r="D45" t="str">
        <f>IF(AND('ENTRY DATA'!F45=""),"",('ENTRY DATA'!F45))</f>
        <v/>
      </c>
      <c r="E45" s="34" t="str">
        <f>IF(AND('ENTRY DATA'!B45=""),"",('ENTRY DATA'!B45))</f>
        <v/>
      </c>
      <c r="F45" s="12"/>
      <c r="G45" s="12"/>
      <c r="H45" s="72"/>
      <c r="I45" s="71"/>
      <c r="J45" s="72"/>
      <c r="K45" s="12"/>
      <c r="L45" s="20">
        <f t="shared" si="0"/>
        <v>0</v>
      </c>
      <c r="M45" s="19" t="str">
        <f t="shared" si="1"/>
        <v/>
      </c>
      <c r="N45" s="12"/>
      <c r="O45" s="119"/>
      <c r="P45" s="95" t="str">
        <f t="shared" si="2"/>
        <v/>
      </c>
      <c r="Q45" s="12"/>
      <c r="S45" s="128"/>
      <c r="T45" s="66"/>
      <c r="U45" s="128"/>
      <c r="W45" s="128"/>
      <c r="X45" s="12"/>
      <c r="Y45" t="str">
        <f t="shared" si="3"/>
        <v/>
      </c>
      <c r="Z45" t="str">
        <f t="shared" si="3"/>
        <v/>
      </c>
      <c r="AA45" s="12"/>
      <c r="AB45" s="95" t="e">
        <f t="shared" si="4"/>
        <v>#VALUE!</v>
      </c>
      <c r="AC45" s="95" t="e">
        <f t="shared" si="5"/>
        <v>#VALUE!</v>
      </c>
      <c r="AD45" s="12"/>
    </row>
    <row r="46" spans="1:30" ht="15.75" thickBot="1" x14ac:dyDescent="0.3">
      <c r="A46" s="12"/>
      <c r="B46" s="22"/>
      <c r="C46" t="str">
        <f>IF(AND('ENTRY DATA'!D46=""),"",('ENTRY DATA'!D46))</f>
        <v/>
      </c>
      <c r="D46" t="str">
        <f>IF(AND('ENTRY DATA'!F46=""),"",('ENTRY DATA'!F46))</f>
        <v/>
      </c>
      <c r="E46" s="34" t="str">
        <f>IF(AND('ENTRY DATA'!B46=""),"",('ENTRY DATA'!B46))</f>
        <v/>
      </c>
      <c r="F46" s="12"/>
      <c r="G46" s="12"/>
      <c r="H46" s="72"/>
      <c r="I46" s="71"/>
      <c r="J46" s="72"/>
      <c r="K46" s="12"/>
      <c r="L46" s="20">
        <f t="shared" si="0"/>
        <v>0</v>
      </c>
      <c r="M46" s="19" t="str">
        <f t="shared" si="1"/>
        <v/>
      </c>
      <c r="N46" s="12"/>
      <c r="O46" s="119"/>
      <c r="P46" s="95" t="str">
        <f t="shared" si="2"/>
        <v/>
      </c>
      <c r="Q46" s="12"/>
      <c r="S46" s="128"/>
      <c r="T46" s="66"/>
      <c r="U46" s="128"/>
      <c r="W46" s="128"/>
      <c r="X46" s="12"/>
      <c r="Y46" t="str">
        <f t="shared" si="3"/>
        <v/>
      </c>
      <c r="Z46" t="str">
        <f t="shared" si="3"/>
        <v/>
      </c>
      <c r="AA46" s="12"/>
      <c r="AB46" s="95" t="e">
        <f t="shared" si="4"/>
        <v>#VALUE!</v>
      </c>
      <c r="AC46" s="95" t="e">
        <f t="shared" si="5"/>
        <v>#VALUE!</v>
      </c>
      <c r="AD46" s="12"/>
    </row>
    <row r="47" spans="1:30" ht="15.75" thickBot="1" x14ac:dyDescent="0.3">
      <c r="A47" s="12"/>
      <c r="B47" s="22"/>
      <c r="C47" t="str">
        <f>IF(AND('ENTRY DATA'!D47=""),"",('ENTRY DATA'!D47))</f>
        <v/>
      </c>
      <c r="D47" t="str">
        <f>IF(AND('ENTRY DATA'!F47=""),"",('ENTRY DATA'!F47))</f>
        <v/>
      </c>
      <c r="E47" s="34" t="str">
        <f>IF(AND('ENTRY DATA'!B47=""),"",('ENTRY DATA'!B47))</f>
        <v/>
      </c>
      <c r="F47" s="12"/>
      <c r="G47" s="12"/>
      <c r="H47" s="72"/>
      <c r="I47" s="71"/>
      <c r="J47" s="72"/>
      <c r="K47" s="12"/>
      <c r="L47" s="20">
        <f t="shared" si="0"/>
        <v>0</v>
      </c>
      <c r="M47" s="19" t="str">
        <f t="shared" si="1"/>
        <v/>
      </c>
      <c r="N47" s="12"/>
      <c r="O47" s="119"/>
      <c r="P47" s="95" t="str">
        <f t="shared" si="2"/>
        <v/>
      </c>
      <c r="Q47" s="12"/>
      <c r="S47" s="128"/>
      <c r="T47" s="66"/>
      <c r="U47" s="128"/>
      <c r="W47" s="128"/>
      <c r="X47" s="12"/>
      <c r="Y47" t="str">
        <f t="shared" si="3"/>
        <v/>
      </c>
      <c r="Z47" t="str">
        <f t="shared" si="3"/>
        <v/>
      </c>
      <c r="AA47" s="12"/>
      <c r="AB47" s="95" t="e">
        <f t="shared" si="4"/>
        <v>#VALUE!</v>
      </c>
      <c r="AC47" s="95" t="e">
        <f t="shared" si="5"/>
        <v>#VALUE!</v>
      </c>
      <c r="AD47" s="12"/>
    </row>
    <row r="48" spans="1:30" ht="15.75" thickBot="1" x14ac:dyDescent="0.3">
      <c r="A48" s="12"/>
      <c r="B48" s="22"/>
      <c r="C48" t="str">
        <f>IF(AND('ENTRY DATA'!D48=""),"",('ENTRY DATA'!D48))</f>
        <v/>
      </c>
      <c r="D48" t="str">
        <f>IF(AND('ENTRY DATA'!F48=""),"",('ENTRY DATA'!F48))</f>
        <v/>
      </c>
      <c r="E48" s="34" t="str">
        <f>IF(AND('ENTRY DATA'!B48=""),"",('ENTRY DATA'!B48))</f>
        <v/>
      </c>
      <c r="F48" s="12"/>
      <c r="G48" s="12"/>
      <c r="H48" s="72"/>
      <c r="I48" s="71"/>
      <c r="J48" s="72"/>
      <c r="K48" s="12"/>
      <c r="L48" s="20">
        <f t="shared" si="0"/>
        <v>0</v>
      </c>
      <c r="M48" s="19" t="str">
        <f t="shared" si="1"/>
        <v/>
      </c>
      <c r="N48" s="12"/>
      <c r="O48" s="119"/>
      <c r="P48" s="95" t="str">
        <f t="shared" si="2"/>
        <v/>
      </c>
      <c r="Q48" s="12"/>
      <c r="S48" s="128"/>
      <c r="T48" s="66"/>
      <c r="U48" s="128"/>
      <c r="W48" s="128"/>
      <c r="X48" s="12"/>
      <c r="Y48" t="str">
        <f t="shared" si="3"/>
        <v/>
      </c>
      <c r="Z48" t="str">
        <f t="shared" si="3"/>
        <v/>
      </c>
      <c r="AA48" s="12"/>
      <c r="AB48" s="95" t="e">
        <f t="shared" si="4"/>
        <v>#VALUE!</v>
      </c>
      <c r="AC48" s="95" t="e">
        <f t="shared" si="5"/>
        <v>#VALUE!</v>
      </c>
      <c r="AD48" s="12"/>
    </row>
    <row r="49" spans="1:30" ht="15.75" thickBot="1" x14ac:dyDescent="0.3">
      <c r="A49" s="12"/>
      <c r="B49" s="22"/>
      <c r="C49" t="str">
        <f>IF(AND('ENTRY DATA'!D49=""),"",('ENTRY DATA'!D49))</f>
        <v/>
      </c>
      <c r="D49" t="str">
        <f>IF(AND('ENTRY DATA'!F49=""),"",('ENTRY DATA'!F49))</f>
        <v/>
      </c>
      <c r="E49" s="34" t="str">
        <f>IF(AND('ENTRY DATA'!B49=""),"",('ENTRY DATA'!B49))</f>
        <v/>
      </c>
      <c r="F49" s="12"/>
      <c r="G49" s="12"/>
      <c r="H49" s="72"/>
      <c r="I49" s="71"/>
      <c r="J49" s="72"/>
      <c r="K49" s="12"/>
      <c r="L49" s="20">
        <f t="shared" si="0"/>
        <v>0</v>
      </c>
      <c r="M49" s="19" t="str">
        <f t="shared" si="1"/>
        <v/>
      </c>
      <c r="N49" s="12"/>
      <c r="O49" s="119"/>
      <c r="P49" s="95" t="str">
        <f t="shared" si="2"/>
        <v/>
      </c>
      <c r="Q49" s="12"/>
      <c r="S49" s="128"/>
      <c r="T49" s="66"/>
      <c r="U49" s="128"/>
      <c r="W49" s="128"/>
      <c r="X49" s="12"/>
      <c r="Y49" t="str">
        <f t="shared" si="3"/>
        <v/>
      </c>
      <c r="Z49" t="str">
        <f t="shared" si="3"/>
        <v/>
      </c>
      <c r="AA49" s="12"/>
      <c r="AB49" s="95" t="e">
        <f t="shared" si="4"/>
        <v>#VALUE!</v>
      </c>
      <c r="AC49" s="95" t="e">
        <f t="shared" si="5"/>
        <v>#VALUE!</v>
      </c>
      <c r="AD49" s="12"/>
    </row>
    <row r="50" spans="1:30" ht="15.75" thickBot="1" x14ac:dyDescent="0.3">
      <c r="A50" s="12"/>
      <c r="B50" s="22"/>
      <c r="C50" t="str">
        <f>IF(AND('ENTRY DATA'!D50=""),"",('ENTRY DATA'!D50))</f>
        <v/>
      </c>
      <c r="D50" t="str">
        <f>IF(AND('ENTRY DATA'!F50=""),"",('ENTRY DATA'!F50))</f>
        <v/>
      </c>
      <c r="E50" s="34" t="str">
        <f>IF(AND('ENTRY DATA'!B50=""),"",('ENTRY DATA'!B50))</f>
        <v/>
      </c>
      <c r="F50" s="12"/>
      <c r="G50" s="12"/>
      <c r="H50" s="72"/>
      <c r="I50" s="71"/>
      <c r="J50" s="72"/>
      <c r="K50" s="12"/>
      <c r="L50" s="20">
        <f t="shared" si="0"/>
        <v>0</v>
      </c>
      <c r="M50" s="19" t="str">
        <f t="shared" si="1"/>
        <v/>
      </c>
      <c r="N50" s="12"/>
      <c r="O50" s="119"/>
      <c r="P50" s="95" t="str">
        <f t="shared" si="2"/>
        <v/>
      </c>
      <c r="Q50" s="12"/>
      <c r="S50" s="128"/>
      <c r="T50" s="66"/>
      <c r="U50" s="128"/>
      <c r="W50" s="128"/>
      <c r="X50" s="12"/>
      <c r="Y50" t="str">
        <f t="shared" si="3"/>
        <v/>
      </c>
      <c r="Z50" t="str">
        <f t="shared" si="3"/>
        <v/>
      </c>
      <c r="AA50" s="12"/>
      <c r="AB50" s="95" t="e">
        <f t="shared" si="4"/>
        <v>#VALUE!</v>
      </c>
      <c r="AC50" s="95" t="e">
        <f t="shared" si="5"/>
        <v>#VALUE!</v>
      </c>
      <c r="AD50" s="12"/>
    </row>
    <row r="51" spans="1:30" ht="15.75" thickBot="1" x14ac:dyDescent="0.3">
      <c r="A51" s="12"/>
      <c r="B51" s="22"/>
      <c r="C51" t="str">
        <f>IF(AND('ENTRY DATA'!D51=""),"",('ENTRY DATA'!D51))</f>
        <v/>
      </c>
      <c r="D51" t="str">
        <f>IF(AND('ENTRY DATA'!F51=""),"",('ENTRY DATA'!F51))</f>
        <v/>
      </c>
      <c r="E51" s="34" t="str">
        <f>IF(AND('ENTRY DATA'!B51=""),"",('ENTRY DATA'!B51))</f>
        <v/>
      </c>
      <c r="F51" s="12"/>
      <c r="G51" s="12"/>
      <c r="H51" s="72"/>
      <c r="I51" s="71"/>
      <c r="J51" s="72"/>
      <c r="K51" s="12"/>
      <c r="L51" s="20">
        <f t="shared" si="0"/>
        <v>0</v>
      </c>
      <c r="M51" s="19" t="str">
        <f t="shared" si="1"/>
        <v/>
      </c>
      <c r="N51" s="12"/>
      <c r="O51" s="119"/>
      <c r="P51" s="95" t="str">
        <f t="shared" si="2"/>
        <v/>
      </c>
      <c r="Q51" s="12"/>
      <c r="S51" s="128"/>
      <c r="T51" s="66"/>
      <c r="U51" s="128"/>
      <c r="W51" s="128"/>
      <c r="X51" s="12"/>
      <c r="Y51" t="str">
        <f t="shared" si="3"/>
        <v/>
      </c>
      <c r="Z51" t="str">
        <f t="shared" si="3"/>
        <v/>
      </c>
      <c r="AA51" s="12"/>
      <c r="AB51" s="95" t="e">
        <f t="shared" si="4"/>
        <v>#VALUE!</v>
      </c>
      <c r="AC51" s="95" t="e">
        <f t="shared" si="5"/>
        <v>#VALUE!</v>
      </c>
      <c r="AD51" s="12"/>
    </row>
    <row r="52" spans="1:30" ht="15.75" thickBot="1" x14ac:dyDescent="0.3">
      <c r="A52" s="12"/>
      <c r="B52" s="22"/>
      <c r="C52" t="str">
        <f>IF(AND('ENTRY DATA'!D52=""),"",('ENTRY DATA'!D52))</f>
        <v/>
      </c>
      <c r="D52" t="str">
        <f>IF(AND('ENTRY DATA'!F52=""),"",('ENTRY DATA'!F52))</f>
        <v/>
      </c>
      <c r="E52" s="34" t="str">
        <f>IF(AND('ENTRY DATA'!B52=""),"",('ENTRY DATA'!B52))</f>
        <v/>
      </c>
      <c r="F52" s="12"/>
      <c r="G52" s="12"/>
      <c r="H52" s="72"/>
      <c r="I52" s="71"/>
      <c r="J52" s="72"/>
      <c r="K52" s="12"/>
      <c r="L52" s="20">
        <f t="shared" si="0"/>
        <v>0</v>
      </c>
      <c r="M52" s="19" t="str">
        <f t="shared" si="1"/>
        <v/>
      </c>
      <c r="N52" s="12"/>
      <c r="O52" s="119"/>
      <c r="P52" s="95" t="str">
        <f t="shared" si="2"/>
        <v/>
      </c>
      <c r="Q52" s="12"/>
      <c r="S52" s="128"/>
      <c r="T52" s="66"/>
      <c r="U52" s="128"/>
      <c r="W52" s="128"/>
      <c r="X52" s="12"/>
      <c r="Y52" t="str">
        <f t="shared" si="3"/>
        <v/>
      </c>
      <c r="Z52" t="str">
        <f t="shared" si="3"/>
        <v/>
      </c>
      <c r="AA52" s="12"/>
      <c r="AB52" s="95" t="e">
        <f t="shared" si="4"/>
        <v>#VALUE!</v>
      </c>
      <c r="AC52" s="95" t="e">
        <f t="shared" si="5"/>
        <v>#VALUE!</v>
      </c>
      <c r="AD52" s="12"/>
    </row>
    <row r="53" spans="1:30" ht="15.75" thickBot="1" x14ac:dyDescent="0.3">
      <c r="A53" s="12"/>
      <c r="B53" s="22"/>
      <c r="C53" t="str">
        <f>IF(AND('ENTRY DATA'!D53=""),"",('ENTRY DATA'!D53))</f>
        <v/>
      </c>
      <c r="D53" t="str">
        <f>IF(AND('ENTRY DATA'!F53=""),"",('ENTRY DATA'!F53))</f>
        <v/>
      </c>
      <c r="E53" s="34" t="str">
        <f>IF(AND('ENTRY DATA'!B53=""),"",('ENTRY DATA'!B53))</f>
        <v/>
      </c>
      <c r="F53" s="12"/>
      <c r="G53" s="12"/>
      <c r="H53" s="72"/>
      <c r="I53" s="71"/>
      <c r="J53" s="72"/>
      <c r="K53" s="12"/>
      <c r="L53" s="20">
        <f t="shared" si="0"/>
        <v>0</v>
      </c>
      <c r="M53" s="19" t="str">
        <f t="shared" si="1"/>
        <v/>
      </c>
      <c r="N53" s="12"/>
      <c r="O53" s="119"/>
      <c r="P53" s="95" t="str">
        <f t="shared" si="2"/>
        <v/>
      </c>
      <c r="Q53" s="12"/>
      <c r="S53" s="128"/>
      <c r="T53" s="66"/>
      <c r="U53" s="128"/>
      <c r="W53" s="128"/>
      <c r="X53" s="12"/>
      <c r="Y53" t="str">
        <f t="shared" si="3"/>
        <v/>
      </c>
      <c r="Z53" t="str">
        <f t="shared" si="3"/>
        <v/>
      </c>
      <c r="AA53" s="12"/>
      <c r="AB53" s="95" t="e">
        <f t="shared" si="4"/>
        <v>#VALUE!</v>
      </c>
      <c r="AC53" s="95" t="e">
        <f t="shared" si="5"/>
        <v>#VALUE!</v>
      </c>
      <c r="AD53" s="12"/>
    </row>
    <row r="54" spans="1:30" ht="15.75" thickBot="1" x14ac:dyDescent="0.3">
      <c r="A54" s="12"/>
      <c r="B54" s="22"/>
      <c r="C54" t="str">
        <f>IF(AND('ENTRY DATA'!D54=""),"",('ENTRY DATA'!D54))</f>
        <v/>
      </c>
      <c r="D54" t="str">
        <f>IF(AND('ENTRY DATA'!F54=""),"",('ENTRY DATA'!F54))</f>
        <v/>
      </c>
      <c r="E54" s="34" t="str">
        <f>IF(AND('ENTRY DATA'!B54=""),"",('ENTRY DATA'!B54))</f>
        <v/>
      </c>
      <c r="F54" s="12"/>
      <c r="G54" s="12"/>
      <c r="H54" s="72"/>
      <c r="I54" s="71"/>
      <c r="J54" s="72"/>
      <c r="K54" s="12"/>
      <c r="L54" s="20">
        <f t="shared" si="0"/>
        <v>0</v>
      </c>
      <c r="M54" s="19" t="str">
        <f t="shared" si="1"/>
        <v/>
      </c>
      <c r="N54" s="12"/>
      <c r="O54" s="119"/>
      <c r="P54" s="95" t="str">
        <f t="shared" si="2"/>
        <v/>
      </c>
      <c r="Q54" s="12"/>
      <c r="S54" s="128"/>
      <c r="T54" s="66"/>
      <c r="U54" s="128"/>
      <c r="W54" s="128"/>
      <c r="X54" s="12"/>
      <c r="Y54" t="str">
        <f t="shared" si="3"/>
        <v/>
      </c>
      <c r="Z54" t="str">
        <f t="shared" si="3"/>
        <v/>
      </c>
      <c r="AA54" s="12"/>
      <c r="AB54" s="95" t="e">
        <f t="shared" si="4"/>
        <v>#VALUE!</v>
      </c>
      <c r="AC54" s="95" t="e">
        <f t="shared" si="5"/>
        <v>#VALUE!</v>
      </c>
      <c r="AD54" s="12"/>
    </row>
    <row r="55" spans="1:30" ht="15.75" thickBot="1" x14ac:dyDescent="0.3">
      <c r="A55" s="12"/>
      <c r="B55" s="22"/>
      <c r="C55" t="str">
        <f>IF(AND('ENTRY DATA'!D55=""),"",('ENTRY DATA'!D55))</f>
        <v/>
      </c>
      <c r="D55" t="str">
        <f>IF(AND('ENTRY DATA'!F55=""),"",('ENTRY DATA'!F55))</f>
        <v/>
      </c>
      <c r="E55" s="34" t="str">
        <f>IF(AND('ENTRY DATA'!B55=""),"",('ENTRY DATA'!B55))</f>
        <v/>
      </c>
      <c r="F55" s="12"/>
      <c r="G55" s="12"/>
      <c r="H55" s="72"/>
      <c r="I55" s="71"/>
      <c r="J55" s="72"/>
      <c r="K55" s="12"/>
      <c r="L55" s="20">
        <f t="shared" si="0"/>
        <v>0</v>
      </c>
      <c r="M55" s="19" t="str">
        <f t="shared" si="1"/>
        <v/>
      </c>
      <c r="N55" s="12"/>
      <c r="O55" s="119"/>
      <c r="P55" s="95" t="str">
        <f t="shared" si="2"/>
        <v/>
      </c>
      <c r="Q55" s="12"/>
      <c r="S55" s="128"/>
      <c r="T55" s="66"/>
      <c r="U55" s="128"/>
      <c r="W55" s="128"/>
      <c r="X55" s="12"/>
      <c r="Y55" t="str">
        <f t="shared" si="3"/>
        <v/>
      </c>
      <c r="Z55" t="str">
        <f t="shared" si="3"/>
        <v/>
      </c>
      <c r="AA55" s="12"/>
      <c r="AB55" s="95" t="e">
        <f t="shared" si="4"/>
        <v>#VALUE!</v>
      </c>
      <c r="AC55" s="95" t="e">
        <f t="shared" si="5"/>
        <v>#VALUE!</v>
      </c>
      <c r="AD55" s="12"/>
    </row>
    <row r="56" spans="1:30" ht="15.75" thickBot="1" x14ac:dyDescent="0.3">
      <c r="A56" s="12"/>
      <c r="B56" s="22"/>
      <c r="C56" t="str">
        <f>IF(AND('ENTRY DATA'!D56=""),"",('ENTRY DATA'!D56))</f>
        <v/>
      </c>
      <c r="D56" t="str">
        <f>IF(AND('ENTRY DATA'!F56=""),"",('ENTRY DATA'!F56))</f>
        <v/>
      </c>
      <c r="E56" s="34" t="str">
        <f>IF(AND('ENTRY DATA'!B56=""),"",('ENTRY DATA'!B56))</f>
        <v/>
      </c>
      <c r="F56" s="12"/>
      <c r="G56" s="12"/>
      <c r="H56" s="72"/>
      <c r="I56" s="71"/>
      <c r="J56" s="72"/>
      <c r="K56" s="12"/>
      <c r="L56" s="20">
        <f t="shared" si="0"/>
        <v>0</v>
      </c>
      <c r="M56" s="19" t="str">
        <f t="shared" si="1"/>
        <v/>
      </c>
      <c r="N56" s="12"/>
      <c r="O56" s="119"/>
      <c r="P56" s="95" t="str">
        <f t="shared" si="2"/>
        <v/>
      </c>
      <c r="Q56" s="12"/>
      <c r="S56" s="128"/>
      <c r="T56" s="66"/>
      <c r="U56" s="128"/>
      <c r="W56" s="128"/>
      <c r="X56" s="12"/>
      <c r="Y56" t="str">
        <f t="shared" si="3"/>
        <v/>
      </c>
      <c r="Z56" t="str">
        <f t="shared" si="3"/>
        <v/>
      </c>
      <c r="AA56" s="12"/>
      <c r="AB56" s="95" t="e">
        <f t="shared" si="4"/>
        <v>#VALUE!</v>
      </c>
      <c r="AC56" s="95" t="e">
        <f t="shared" si="5"/>
        <v>#VALUE!</v>
      </c>
      <c r="AD56" s="12"/>
    </row>
    <row r="57" spans="1:30" ht="15.75" thickBot="1" x14ac:dyDescent="0.3">
      <c r="A57" s="12"/>
      <c r="B57" s="22"/>
      <c r="C57" t="str">
        <f>IF(AND('ENTRY DATA'!D57=""),"",('ENTRY DATA'!D57))</f>
        <v/>
      </c>
      <c r="D57" t="str">
        <f>IF(AND('ENTRY DATA'!F57=""),"",('ENTRY DATA'!F57))</f>
        <v/>
      </c>
      <c r="E57" s="34" t="str">
        <f>IF(AND('ENTRY DATA'!B57=""),"",('ENTRY DATA'!B57))</f>
        <v/>
      </c>
      <c r="F57" s="12"/>
      <c r="G57" s="12"/>
      <c r="H57" s="72"/>
      <c r="I57" s="71"/>
      <c r="J57" s="72"/>
      <c r="K57" s="12"/>
      <c r="L57" s="20">
        <f t="shared" si="0"/>
        <v>0</v>
      </c>
      <c r="M57" s="19" t="str">
        <f t="shared" si="1"/>
        <v/>
      </c>
      <c r="N57" s="12"/>
      <c r="O57" s="119"/>
      <c r="P57" s="95" t="str">
        <f t="shared" si="2"/>
        <v/>
      </c>
      <c r="Q57" s="12"/>
      <c r="S57" s="128"/>
      <c r="T57" s="66"/>
      <c r="U57" s="128"/>
      <c r="W57" s="128"/>
      <c r="X57" s="12"/>
      <c r="Y57" t="str">
        <f t="shared" si="3"/>
        <v/>
      </c>
      <c r="Z57" t="str">
        <f t="shared" si="3"/>
        <v/>
      </c>
      <c r="AA57" s="12"/>
      <c r="AB57" s="95" t="e">
        <f t="shared" si="4"/>
        <v>#VALUE!</v>
      </c>
      <c r="AC57" s="95" t="e">
        <f t="shared" si="5"/>
        <v>#VALUE!</v>
      </c>
      <c r="AD57" s="12"/>
    </row>
    <row r="58" spans="1:30" ht="15.75" thickBot="1" x14ac:dyDescent="0.3">
      <c r="A58" s="12"/>
      <c r="B58" s="22"/>
      <c r="C58" t="str">
        <f>IF(AND('ENTRY DATA'!D58=""),"",('ENTRY DATA'!D58))</f>
        <v/>
      </c>
      <c r="D58" t="str">
        <f>IF(AND('ENTRY DATA'!F58=""),"",('ENTRY DATA'!F58))</f>
        <v/>
      </c>
      <c r="E58" s="34" t="str">
        <f>IF(AND('ENTRY DATA'!B58=""),"",('ENTRY DATA'!B58))</f>
        <v/>
      </c>
      <c r="F58" s="12"/>
      <c r="G58" s="12"/>
      <c r="H58" s="72"/>
      <c r="I58" s="71"/>
      <c r="J58" s="72"/>
      <c r="K58" s="12"/>
      <c r="L58" s="20">
        <f t="shared" si="0"/>
        <v>0</v>
      </c>
      <c r="M58" s="19" t="str">
        <f t="shared" si="1"/>
        <v/>
      </c>
      <c r="N58" s="12"/>
      <c r="O58" s="119"/>
      <c r="P58" s="95" t="str">
        <f t="shared" si="2"/>
        <v/>
      </c>
      <c r="Q58" s="12"/>
      <c r="S58" s="128"/>
      <c r="T58" s="66"/>
      <c r="U58" s="128"/>
      <c r="W58" s="128"/>
      <c r="X58" s="12"/>
      <c r="Y58" t="str">
        <f t="shared" si="3"/>
        <v/>
      </c>
      <c r="Z58" t="str">
        <f t="shared" si="3"/>
        <v/>
      </c>
      <c r="AA58" s="12"/>
      <c r="AB58" s="95" t="e">
        <f t="shared" si="4"/>
        <v>#VALUE!</v>
      </c>
      <c r="AC58" s="95" t="e">
        <f t="shared" si="5"/>
        <v>#VALUE!</v>
      </c>
      <c r="AD58" s="12"/>
    </row>
    <row r="59" spans="1:30" ht="15.75" thickBot="1" x14ac:dyDescent="0.3">
      <c r="A59" s="12"/>
      <c r="B59" s="22"/>
      <c r="C59" t="str">
        <f>IF(AND('ENTRY DATA'!D59=""),"",('ENTRY DATA'!D59))</f>
        <v/>
      </c>
      <c r="D59" t="str">
        <f>IF(AND('ENTRY DATA'!F59=""),"",('ENTRY DATA'!F59))</f>
        <v/>
      </c>
      <c r="E59" s="34" t="str">
        <f>IF(AND('ENTRY DATA'!B59=""),"",('ENTRY DATA'!B59))</f>
        <v/>
      </c>
      <c r="F59" s="12"/>
      <c r="G59" s="12"/>
      <c r="H59" s="72"/>
      <c r="I59" s="71"/>
      <c r="J59" s="72"/>
      <c r="K59" s="12"/>
      <c r="L59" s="20">
        <f t="shared" si="0"/>
        <v>0</v>
      </c>
      <c r="M59" s="19" t="str">
        <f t="shared" si="1"/>
        <v/>
      </c>
      <c r="N59" s="12"/>
      <c r="O59" s="119"/>
      <c r="P59" s="95" t="str">
        <f t="shared" si="2"/>
        <v/>
      </c>
      <c r="Q59" s="12"/>
      <c r="S59" s="128"/>
      <c r="T59" s="66"/>
      <c r="U59" s="128"/>
      <c r="W59" s="128"/>
      <c r="X59" s="12"/>
      <c r="Y59" t="str">
        <f t="shared" si="3"/>
        <v/>
      </c>
      <c r="Z59" t="str">
        <f t="shared" si="3"/>
        <v/>
      </c>
      <c r="AA59" s="12"/>
      <c r="AB59" s="95" t="e">
        <f t="shared" si="4"/>
        <v>#VALUE!</v>
      </c>
      <c r="AC59" s="95" t="e">
        <f t="shared" si="5"/>
        <v>#VALUE!</v>
      </c>
      <c r="AD59" s="12"/>
    </row>
    <row r="60" spans="1:30" ht="15.75" thickBot="1" x14ac:dyDescent="0.3">
      <c r="A60" s="12"/>
      <c r="B60" s="22"/>
      <c r="C60" t="str">
        <f>IF(AND('ENTRY DATA'!D60=""),"",('ENTRY DATA'!D60))</f>
        <v/>
      </c>
      <c r="D60" t="str">
        <f>IF(AND('ENTRY DATA'!F60=""),"",('ENTRY DATA'!F60))</f>
        <v/>
      </c>
      <c r="E60" s="34" t="str">
        <f>IF(AND('ENTRY DATA'!B60=""),"",('ENTRY DATA'!B60))</f>
        <v/>
      </c>
      <c r="F60" s="12"/>
      <c r="G60" s="12"/>
      <c r="H60" s="72"/>
      <c r="I60" s="71"/>
      <c r="J60" s="72"/>
      <c r="K60" s="12"/>
      <c r="L60" s="20">
        <f t="shared" si="0"/>
        <v>0</v>
      </c>
      <c r="M60" s="19" t="str">
        <f t="shared" si="1"/>
        <v/>
      </c>
      <c r="N60" s="12"/>
      <c r="O60" s="119"/>
      <c r="P60" s="95" t="str">
        <f t="shared" si="2"/>
        <v/>
      </c>
      <c r="Q60" s="12"/>
      <c r="S60" s="128"/>
      <c r="T60" s="66"/>
      <c r="U60" s="128"/>
      <c r="W60" s="128"/>
      <c r="X60" s="12"/>
      <c r="Y60" t="str">
        <f t="shared" si="3"/>
        <v/>
      </c>
      <c r="Z60" t="str">
        <f t="shared" si="3"/>
        <v/>
      </c>
      <c r="AA60" s="12"/>
      <c r="AB60" s="95" t="e">
        <f t="shared" si="4"/>
        <v>#VALUE!</v>
      </c>
      <c r="AC60" s="95" t="e">
        <f t="shared" si="5"/>
        <v>#VALUE!</v>
      </c>
      <c r="AD60" s="12"/>
    </row>
    <row r="61" spans="1:30" ht="15.75" thickBot="1" x14ac:dyDescent="0.3">
      <c r="A61" s="12"/>
      <c r="B61" s="22"/>
      <c r="C61" t="str">
        <f>IF(AND('ENTRY DATA'!D61=""),"",('ENTRY DATA'!D61))</f>
        <v/>
      </c>
      <c r="D61" t="str">
        <f>IF(AND('ENTRY DATA'!F61=""),"",('ENTRY DATA'!F61))</f>
        <v/>
      </c>
      <c r="E61" s="34" t="str">
        <f>IF(AND('ENTRY DATA'!B61=""),"",('ENTRY DATA'!B61))</f>
        <v/>
      </c>
      <c r="F61" s="12"/>
      <c r="G61" s="12"/>
      <c r="H61" s="72"/>
      <c r="I61" s="71"/>
      <c r="J61" s="72"/>
      <c r="K61" s="12"/>
      <c r="L61" s="20">
        <f t="shared" si="0"/>
        <v>0</v>
      </c>
      <c r="M61" s="19" t="str">
        <f t="shared" si="1"/>
        <v/>
      </c>
      <c r="N61" s="12"/>
      <c r="O61" s="119"/>
      <c r="P61" s="95" t="str">
        <f t="shared" si="2"/>
        <v/>
      </c>
      <c r="Q61" s="12"/>
      <c r="S61" s="128"/>
      <c r="T61" s="66"/>
      <c r="U61" s="128"/>
      <c r="W61" s="128"/>
      <c r="X61" s="12"/>
      <c r="Y61" t="str">
        <f t="shared" si="3"/>
        <v/>
      </c>
      <c r="Z61" t="str">
        <f t="shared" si="3"/>
        <v/>
      </c>
      <c r="AA61" s="12"/>
      <c r="AB61" s="95" t="e">
        <f t="shared" si="4"/>
        <v>#VALUE!</v>
      </c>
      <c r="AC61" s="95" t="e">
        <f t="shared" si="5"/>
        <v>#VALUE!</v>
      </c>
      <c r="AD61" s="12"/>
    </row>
    <row r="62" spans="1:30" ht="15.75" thickBot="1" x14ac:dyDescent="0.3">
      <c r="A62" s="12"/>
      <c r="B62" s="22"/>
      <c r="C62" t="str">
        <f>IF(AND('ENTRY DATA'!D62=""),"",('ENTRY DATA'!D62))</f>
        <v/>
      </c>
      <c r="D62" t="str">
        <f>IF(AND('ENTRY DATA'!F62=""),"",('ENTRY DATA'!F62))</f>
        <v/>
      </c>
      <c r="E62" s="34" t="str">
        <f>IF(AND('ENTRY DATA'!B62=""),"",('ENTRY DATA'!B62))</f>
        <v/>
      </c>
      <c r="F62" s="12"/>
      <c r="G62" s="12"/>
      <c r="H62" s="72"/>
      <c r="I62" s="71"/>
      <c r="J62" s="72"/>
      <c r="K62" s="12"/>
      <c r="L62" s="20">
        <f t="shared" si="0"/>
        <v>0</v>
      </c>
      <c r="M62" s="19" t="str">
        <f t="shared" si="1"/>
        <v/>
      </c>
      <c r="N62" s="12"/>
      <c r="O62" s="119"/>
      <c r="P62" s="95" t="str">
        <f t="shared" si="2"/>
        <v/>
      </c>
      <c r="Q62" s="12"/>
      <c r="S62" s="128"/>
      <c r="T62" s="66"/>
      <c r="U62" s="128"/>
      <c r="W62" s="128"/>
      <c r="X62" s="12"/>
      <c r="Y62" t="str">
        <f t="shared" si="3"/>
        <v/>
      </c>
      <c r="Z62" t="str">
        <f t="shared" si="3"/>
        <v/>
      </c>
      <c r="AA62" s="12"/>
      <c r="AB62" s="95" t="e">
        <f t="shared" si="4"/>
        <v>#VALUE!</v>
      </c>
      <c r="AC62" s="95" t="e">
        <f t="shared" si="5"/>
        <v>#VALUE!</v>
      </c>
      <c r="AD62" s="12"/>
    </row>
    <row r="63" spans="1:30" ht="15.75" thickBot="1" x14ac:dyDescent="0.3">
      <c r="A63" s="12"/>
      <c r="B63" s="22"/>
      <c r="C63" t="str">
        <f>IF(AND('ENTRY DATA'!D63=""),"",('ENTRY DATA'!D63))</f>
        <v/>
      </c>
      <c r="D63" t="str">
        <f>IF(AND('ENTRY DATA'!F63=""),"",('ENTRY DATA'!F63))</f>
        <v/>
      </c>
      <c r="E63" s="34" t="str">
        <f>IF(AND('ENTRY DATA'!B63=""),"",('ENTRY DATA'!B63))</f>
        <v/>
      </c>
      <c r="F63" s="12"/>
      <c r="G63" s="12"/>
      <c r="H63" s="72"/>
      <c r="I63" s="71"/>
      <c r="J63" s="72"/>
      <c r="K63" s="12"/>
      <c r="L63" s="20">
        <f t="shared" si="0"/>
        <v>0</v>
      </c>
      <c r="M63" s="19" t="str">
        <f t="shared" si="1"/>
        <v/>
      </c>
      <c r="N63" s="12"/>
      <c r="O63" s="119"/>
      <c r="P63" s="95" t="str">
        <f t="shared" si="2"/>
        <v/>
      </c>
      <c r="Q63" s="12"/>
      <c r="S63" s="128"/>
      <c r="T63" s="66"/>
      <c r="U63" s="128"/>
      <c r="W63" s="128"/>
      <c r="X63" s="12"/>
      <c r="Y63" t="str">
        <f t="shared" si="3"/>
        <v/>
      </c>
      <c r="Z63" t="str">
        <f t="shared" si="3"/>
        <v/>
      </c>
      <c r="AA63" s="12"/>
      <c r="AB63" s="95" t="e">
        <f t="shared" si="4"/>
        <v>#VALUE!</v>
      </c>
      <c r="AC63" s="95" t="e">
        <f t="shared" si="5"/>
        <v>#VALUE!</v>
      </c>
      <c r="AD63" s="12"/>
    </row>
    <row r="64" spans="1:30" ht="15.75" thickBot="1" x14ac:dyDescent="0.3">
      <c r="A64" s="12"/>
      <c r="B64" s="22"/>
      <c r="C64" t="str">
        <f>IF(AND('ENTRY DATA'!D64=""),"",('ENTRY DATA'!D64))</f>
        <v/>
      </c>
      <c r="D64" t="str">
        <f>IF(AND('ENTRY DATA'!F64=""),"",('ENTRY DATA'!F64))</f>
        <v/>
      </c>
      <c r="E64" s="34" t="str">
        <f>IF(AND('ENTRY DATA'!B64=""),"",('ENTRY DATA'!B64))</f>
        <v/>
      </c>
      <c r="F64" s="12"/>
      <c r="G64" s="12"/>
      <c r="H64" s="72"/>
      <c r="I64" s="71"/>
      <c r="J64" s="72"/>
      <c r="K64" s="12"/>
      <c r="L64" s="20">
        <f t="shared" si="0"/>
        <v>0</v>
      </c>
      <c r="M64" s="19" t="str">
        <f t="shared" si="1"/>
        <v/>
      </c>
      <c r="N64" s="12"/>
      <c r="O64" s="119"/>
      <c r="P64" s="95" t="str">
        <f t="shared" si="2"/>
        <v/>
      </c>
      <c r="Q64" s="12"/>
      <c r="S64" s="128"/>
      <c r="T64" s="66"/>
      <c r="U64" s="128"/>
      <c r="W64" s="128"/>
      <c r="X64" s="12"/>
      <c r="Y64" t="str">
        <f t="shared" si="3"/>
        <v/>
      </c>
      <c r="Z64" t="str">
        <f t="shared" si="3"/>
        <v/>
      </c>
      <c r="AA64" s="12"/>
      <c r="AB64" s="95" t="e">
        <f t="shared" si="4"/>
        <v>#VALUE!</v>
      </c>
      <c r="AC64" s="95" t="e">
        <f t="shared" si="5"/>
        <v>#VALUE!</v>
      </c>
      <c r="AD64" s="12"/>
    </row>
    <row r="65" spans="1:30" ht="15.75" thickBot="1" x14ac:dyDescent="0.3">
      <c r="A65" s="12"/>
      <c r="B65" s="22"/>
      <c r="C65" t="str">
        <f>IF(AND('ENTRY DATA'!D65=""),"",('ENTRY DATA'!D65))</f>
        <v/>
      </c>
      <c r="D65" t="str">
        <f>IF(AND('ENTRY DATA'!F65=""),"",('ENTRY DATA'!F65))</f>
        <v/>
      </c>
      <c r="E65" s="34" t="str">
        <f>IF(AND('ENTRY DATA'!B65=""),"",('ENTRY DATA'!B65))</f>
        <v/>
      </c>
      <c r="F65" s="12"/>
      <c r="G65" s="12"/>
      <c r="H65" s="72"/>
      <c r="I65" s="71"/>
      <c r="J65" s="72"/>
      <c r="K65" s="12"/>
      <c r="L65" s="20">
        <f t="shared" si="0"/>
        <v>0</v>
      </c>
      <c r="M65" s="19" t="str">
        <f t="shared" si="1"/>
        <v/>
      </c>
      <c r="N65" s="12"/>
      <c r="O65" s="119"/>
      <c r="P65" s="95" t="str">
        <f t="shared" si="2"/>
        <v/>
      </c>
      <c r="Q65" s="12"/>
      <c r="S65" s="128"/>
      <c r="T65" s="66"/>
      <c r="U65" s="128"/>
      <c r="W65" s="128"/>
      <c r="X65" s="12"/>
      <c r="Y65" t="str">
        <f t="shared" si="3"/>
        <v/>
      </c>
      <c r="Z65" t="str">
        <f t="shared" si="3"/>
        <v/>
      </c>
      <c r="AA65" s="12"/>
      <c r="AB65" s="95" t="e">
        <f t="shared" si="4"/>
        <v>#VALUE!</v>
      </c>
      <c r="AC65" s="95" t="e">
        <f t="shared" si="5"/>
        <v>#VALUE!</v>
      </c>
      <c r="AD65" s="12"/>
    </row>
    <row r="66" spans="1:30" ht="15.75" thickBot="1" x14ac:dyDescent="0.3">
      <c r="A66" s="12"/>
      <c r="B66" s="22"/>
      <c r="C66" t="str">
        <f>IF(AND('ENTRY DATA'!D66=""),"",('ENTRY DATA'!D66))</f>
        <v/>
      </c>
      <c r="D66" t="str">
        <f>IF(AND('ENTRY DATA'!F66=""),"",('ENTRY DATA'!F66))</f>
        <v/>
      </c>
      <c r="E66" s="34" t="str">
        <f>IF(AND('ENTRY DATA'!B66=""),"",('ENTRY DATA'!B66))</f>
        <v/>
      </c>
      <c r="F66" s="12"/>
      <c r="G66" s="12"/>
      <c r="H66" s="72"/>
      <c r="I66" s="71"/>
      <c r="J66" s="72"/>
      <c r="K66" s="12"/>
      <c r="L66" s="20">
        <f t="shared" si="0"/>
        <v>0</v>
      </c>
      <c r="M66" s="19" t="str">
        <f t="shared" si="1"/>
        <v/>
      </c>
      <c r="N66" s="12"/>
      <c r="O66" s="119"/>
      <c r="P66" s="95" t="str">
        <f t="shared" si="2"/>
        <v/>
      </c>
      <c r="Q66" s="12"/>
      <c r="S66" s="128"/>
      <c r="T66" s="66"/>
      <c r="U66" s="128"/>
      <c r="W66" s="128"/>
      <c r="X66" s="12"/>
      <c r="Y66" t="str">
        <f t="shared" si="3"/>
        <v/>
      </c>
      <c r="Z66" t="str">
        <f t="shared" si="3"/>
        <v/>
      </c>
      <c r="AA66" s="12"/>
      <c r="AB66" s="95" t="e">
        <f t="shared" si="4"/>
        <v>#VALUE!</v>
      </c>
      <c r="AC66" s="95" t="e">
        <f t="shared" si="5"/>
        <v>#VALUE!</v>
      </c>
      <c r="AD66" s="12"/>
    </row>
    <row r="67" spans="1:30" ht="15.75" thickBot="1" x14ac:dyDescent="0.3">
      <c r="A67" s="12"/>
      <c r="B67" s="22"/>
      <c r="C67" t="str">
        <f>IF(AND('ENTRY DATA'!D67=""),"",('ENTRY DATA'!D67))</f>
        <v/>
      </c>
      <c r="D67" t="str">
        <f>IF(AND('ENTRY DATA'!F67=""),"",('ENTRY DATA'!F67))</f>
        <v/>
      </c>
      <c r="E67" s="34" t="str">
        <f>IF(AND('ENTRY DATA'!B67=""),"",('ENTRY DATA'!B67))</f>
        <v/>
      </c>
      <c r="F67" s="12"/>
      <c r="G67" s="12"/>
      <c r="H67" s="72"/>
      <c r="I67" s="71"/>
      <c r="J67" s="72"/>
      <c r="K67" s="12"/>
      <c r="L67" s="20">
        <f t="shared" si="0"/>
        <v>0</v>
      </c>
      <c r="M67" s="19" t="str">
        <f t="shared" si="1"/>
        <v/>
      </c>
      <c r="N67" s="12"/>
      <c r="O67" s="119"/>
      <c r="P67" s="95" t="str">
        <f t="shared" si="2"/>
        <v/>
      </c>
      <c r="Q67" s="12"/>
      <c r="S67" s="128"/>
      <c r="T67" s="66"/>
      <c r="U67" s="128"/>
      <c r="W67" s="128"/>
      <c r="X67" s="12"/>
      <c r="Y67" t="str">
        <f t="shared" si="3"/>
        <v/>
      </c>
      <c r="Z67" t="str">
        <f t="shared" si="3"/>
        <v/>
      </c>
      <c r="AA67" s="12"/>
      <c r="AB67" s="95" t="e">
        <f t="shared" si="4"/>
        <v>#VALUE!</v>
      </c>
      <c r="AC67" s="95" t="e">
        <f t="shared" si="5"/>
        <v>#VALUE!</v>
      </c>
      <c r="AD67" s="12"/>
    </row>
    <row r="68" spans="1:30" ht="15.75" thickBot="1" x14ac:dyDescent="0.3">
      <c r="A68" s="12"/>
      <c r="B68" s="22"/>
      <c r="C68" t="str">
        <f>IF(AND('ENTRY DATA'!D68=""),"",('ENTRY DATA'!D68))</f>
        <v/>
      </c>
      <c r="D68" t="str">
        <f>IF(AND('ENTRY DATA'!F68=""),"",('ENTRY DATA'!F68))</f>
        <v/>
      </c>
      <c r="E68" s="34" t="str">
        <f>IF(AND('ENTRY DATA'!B68=""),"",('ENTRY DATA'!B68))</f>
        <v/>
      </c>
      <c r="F68" s="12"/>
      <c r="G68" s="12"/>
      <c r="H68" s="72"/>
      <c r="I68" s="71"/>
      <c r="J68" s="72"/>
      <c r="K68" s="12"/>
      <c r="L68" s="20">
        <f t="shared" si="0"/>
        <v>0</v>
      </c>
      <c r="M68" s="19" t="str">
        <f t="shared" si="1"/>
        <v/>
      </c>
      <c r="N68" s="12"/>
      <c r="O68" s="119"/>
      <c r="P68" s="95" t="str">
        <f t="shared" si="2"/>
        <v/>
      </c>
      <c r="Q68" s="12"/>
      <c r="S68" s="128"/>
      <c r="T68" s="66"/>
      <c r="U68" s="128"/>
      <c r="W68" s="128"/>
      <c r="X68" s="12"/>
      <c r="Y68" t="str">
        <f t="shared" si="3"/>
        <v/>
      </c>
      <c r="Z68" t="str">
        <f t="shared" si="3"/>
        <v/>
      </c>
      <c r="AA68" s="12"/>
      <c r="AB68" s="95" t="e">
        <f t="shared" si="4"/>
        <v>#VALUE!</v>
      </c>
      <c r="AC68" s="95" t="e">
        <f t="shared" si="5"/>
        <v>#VALUE!</v>
      </c>
      <c r="AD68" s="12"/>
    </row>
    <row r="69" spans="1:30" ht="15.75" thickBot="1" x14ac:dyDescent="0.3">
      <c r="A69" s="12"/>
      <c r="B69" s="22"/>
      <c r="C69" t="str">
        <f>IF(AND('ENTRY DATA'!D69=""),"",('ENTRY DATA'!D69))</f>
        <v/>
      </c>
      <c r="D69" t="str">
        <f>IF(AND('ENTRY DATA'!F69=""),"",('ENTRY DATA'!F69))</f>
        <v/>
      </c>
      <c r="E69" s="34" t="str">
        <f>IF(AND('ENTRY DATA'!B69=""),"",('ENTRY DATA'!B69))</f>
        <v/>
      </c>
      <c r="F69" s="12"/>
      <c r="G69" s="12"/>
      <c r="H69" s="72"/>
      <c r="I69" s="71"/>
      <c r="J69" s="72"/>
      <c r="K69" s="12"/>
      <c r="L69" s="20">
        <f t="shared" si="0"/>
        <v>0</v>
      </c>
      <c r="M69" s="19" t="str">
        <f t="shared" si="1"/>
        <v/>
      </c>
      <c r="N69" s="12"/>
      <c r="O69" s="119"/>
      <c r="P69" s="95" t="str">
        <f t="shared" si="2"/>
        <v/>
      </c>
      <c r="Q69" s="12"/>
      <c r="S69" s="128"/>
      <c r="T69" s="66"/>
      <c r="U69" s="128"/>
      <c r="W69" s="128"/>
      <c r="X69" s="12"/>
      <c r="Y69" t="str">
        <f t="shared" si="3"/>
        <v/>
      </c>
      <c r="Z69" t="str">
        <f t="shared" si="3"/>
        <v/>
      </c>
      <c r="AA69" s="12"/>
      <c r="AB69" s="95" t="e">
        <f t="shared" si="4"/>
        <v>#VALUE!</v>
      </c>
      <c r="AC69" s="95" t="e">
        <f t="shared" si="5"/>
        <v>#VALUE!</v>
      </c>
      <c r="AD69" s="12"/>
    </row>
    <row r="70" spans="1:30" ht="15.75" thickBot="1" x14ac:dyDescent="0.3">
      <c r="A70" s="12"/>
      <c r="B70" s="22"/>
      <c r="C70" t="str">
        <f>IF(AND('ENTRY DATA'!D70=""),"",('ENTRY DATA'!D70))</f>
        <v/>
      </c>
      <c r="D70" t="str">
        <f>IF(AND('ENTRY DATA'!F70=""),"",('ENTRY DATA'!F70))</f>
        <v/>
      </c>
      <c r="E70" s="34" t="str">
        <f>IF(AND('ENTRY DATA'!B70=""),"",('ENTRY DATA'!B70))</f>
        <v/>
      </c>
      <c r="F70" s="12"/>
      <c r="G70" s="12"/>
      <c r="H70" s="72"/>
      <c r="I70" s="71"/>
      <c r="J70" s="72"/>
      <c r="K70" s="12"/>
      <c r="L70" s="20">
        <f t="shared" ref="L70:L133" si="6">COUNT(H70:J70)</f>
        <v>0</v>
      </c>
      <c r="M70" s="19" t="str">
        <f t="shared" ref="M70:M133" si="7">IF(AND(H70="",I70="",J70=""),"",(H70+I70+J70))</f>
        <v/>
      </c>
      <c r="N70" s="12"/>
      <c r="O70" s="119"/>
      <c r="P70" s="95" t="str">
        <f t="shared" ref="P70:P133" si="8">C70</f>
        <v/>
      </c>
      <c r="Q70" s="12"/>
      <c r="S70" s="128"/>
      <c r="T70" s="66"/>
      <c r="U70" s="128"/>
      <c r="W70" s="128"/>
      <c r="X70" s="12"/>
      <c r="Y70" t="str">
        <f t="shared" ref="Y70:Z133" si="9">IF(AND(R70="",T70="",V70=""),"",SUM(R70,T70,V70))</f>
        <v/>
      </c>
      <c r="Z70" t="str">
        <f t="shared" si="9"/>
        <v/>
      </c>
      <c r="AA70" s="12"/>
      <c r="AB70" s="95" t="e">
        <f t="shared" ref="AB70:AB133" si="10">Y70/L70</f>
        <v>#VALUE!</v>
      </c>
      <c r="AC70" s="95" t="e">
        <f t="shared" ref="AC70:AC133" si="11">Z70/L70</f>
        <v>#VALUE!</v>
      </c>
      <c r="AD70" s="12"/>
    </row>
    <row r="71" spans="1:30" ht="15.75" thickBot="1" x14ac:dyDescent="0.3">
      <c r="A71" s="12"/>
      <c r="B71" s="22"/>
      <c r="C71" t="str">
        <f>IF(AND('ENTRY DATA'!D71=""),"",('ENTRY DATA'!D71))</f>
        <v/>
      </c>
      <c r="D71" t="str">
        <f>IF(AND('ENTRY DATA'!F71=""),"",('ENTRY DATA'!F71))</f>
        <v/>
      </c>
      <c r="E71" s="34" t="str">
        <f>IF(AND('ENTRY DATA'!B71=""),"",('ENTRY DATA'!B71))</f>
        <v/>
      </c>
      <c r="F71" s="12"/>
      <c r="G71" s="12"/>
      <c r="H71" s="72"/>
      <c r="I71" s="71"/>
      <c r="J71" s="72"/>
      <c r="K71" s="12"/>
      <c r="L71" s="20">
        <f t="shared" si="6"/>
        <v>0</v>
      </c>
      <c r="M71" s="19" t="str">
        <f t="shared" si="7"/>
        <v/>
      </c>
      <c r="N71" s="12"/>
      <c r="O71" s="119"/>
      <c r="P71" s="95" t="str">
        <f t="shared" si="8"/>
        <v/>
      </c>
      <c r="Q71" s="12"/>
      <c r="S71" s="128"/>
      <c r="T71" s="66"/>
      <c r="U71" s="128"/>
      <c r="W71" s="128"/>
      <c r="X71" s="12"/>
      <c r="Y71" t="str">
        <f t="shared" si="9"/>
        <v/>
      </c>
      <c r="Z71" t="str">
        <f t="shared" si="9"/>
        <v/>
      </c>
      <c r="AA71" s="12"/>
      <c r="AB71" s="95" t="e">
        <f t="shared" si="10"/>
        <v>#VALUE!</v>
      </c>
      <c r="AC71" s="95" t="e">
        <f t="shared" si="11"/>
        <v>#VALUE!</v>
      </c>
      <c r="AD71" s="12"/>
    </row>
    <row r="72" spans="1:30" ht="15.75" thickBot="1" x14ac:dyDescent="0.3">
      <c r="A72" s="12"/>
      <c r="B72" s="22"/>
      <c r="C72" t="str">
        <f>IF(AND('ENTRY DATA'!D72=""),"",('ENTRY DATA'!D72))</f>
        <v/>
      </c>
      <c r="D72" t="str">
        <f>IF(AND('ENTRY DATA'!F72=""),"",('ENTRY DATA'!F72))</f>
        <v/>
      </c>
      <c r="E72" s="34" t="str">
        <f>IF(AND('ENTRY DATA'!B72=""),"",('ENTRY DATA'!B72))</f>
        <v/>
      </c>
      <c r="F72" s="12"/>
      <c r="G72" s="12"/>
      <c r="H72" s="72"/>
      <c r="I72" s="71"/>
      <c r="J72" s="72"/>
      <c r="K72" s="12"/>
      <c r="L72" s="20">
        <f t="shared" si="6"/>
        <v>0</v>
      </c>
      <c r="M72" s="19" t="str">
        <f t="shared" si="7"/>
        <v/>
      </c>
      <c r="N72" s="12"/>
      <c r="O72" s="119"/>
      <c r="P72" s="95" t="str">
        <f t="shared" si="8"/>
        <v/>
      </c>
      <c r="Q72" s="12"/>
      <c r="S72" s="128"/>
      <c r="T72" s="66"/>
      <c r="U72" s="128"/>
      <c r="W72" s="128"/>
      <c r="X72" s="12"/>
      <c r="Y72" t="str">
        <f t="shared" si="9"/>
        <v/>
      </c>
      <c r="Z72" t="str">
        <f t="shared" si="9"/>
        <v/>
      </c>
      <c r="AA72" s="12"/>
      <c r="AB72" s="95" t="e">
        <f t="shared" si="10"/>
        <v>#VALUE!</v>
      </c>
      <c r="AC72" s="95" t="e">
        <f t="shared" si="11"/>
        <v>#VALUE!</v>
      </c>
      <c r="AD72" s="12"/>
    </row>
    <row r="73" spans="1:30" ht="15.75" thickBot="1" x14ac:dyDescent="0.3">
      <c r="A73" s="12"/>
      <c r="B73" s="22"/>
      <c r="C73" t="str">
        <f>IF(AND('ENTRY DATA'!D73=""),"",('ENTRY DATA'!D73))</f>
        <v/>
      </c>
      <c r="D73" t="str">
        <f>IF(AND('ENTRY DATA'!F73=""),"",('ENTRY DATA'!F73))</f>
        <v/>
      </c>
      <c r="E73" s="34" t="str">
        <f>IF(AND('ENTRY DATA'!B73=""),"",('ENTRY DATA'!B73))</f>
        <v/>
      </c>
      <c r="F73" s="12"/>
      <c r="G73" s="12"/>
      <c r="H73" s="72"/>
      <c r="I73" s="71"/>
      <c r="J73" s="72"/>
      <c r="K73" s="12"/>
      <c r="L73" s="20">
        <f t="shared" si="6"/>
        <v>0</v>
      </c>
      <c r="M73" s="19" t="str">
        <f t="shared" si="7"/>
        <v/>
      </c>
      <c r="N73" s="12"/>
      <c r="O73" s="119"/>
      <c r="P73" s="95" t="str">
        <f t="shared" si="8"/>
        <v/>
      </c>
      <c r="Q73" s="12"/>
      <c r="S73" s="128"/>
      <c r="T73" s="66"/>
      <c r="U73" s="128"/>
      <c r="W73" s="128"/>
      <c r="X73" s="12"/>
      <c r="Y73" t="str">
        <f t="shared" si="9"/>
        <v/>
      </c>
      <c r="Z73" t="str">
        <f t="shared" si="9"/>
        <v/>
      </c>
      <c r="AA73" s="12"/>
      <c r="AB73" s="95" t="e">
        <f t="shared" si="10"/>
        <v>#VALUE!</v>
      </c>
      <c r="AC73" s="95" t="e">
        <f t="shared" si="11"/>
        <v>#VALUE!</v>
      </c>
      <c r="AD73" s="12"/>
    </row>
    <row r="74" spans="1:30" ht="15.75" thickBot="1" x14ac:dyDescent="0.3">
      <c r="A74" s="12"/>
      <c r="B74" s="22"/>
      <c r="C74" t="str">
        <f>IF(AND('ENTRY DATA'!D74=""),"",('ENTRY DATA'!D74))</f>
        <v/>
      </c>
      <c r="D74" t="str">
        <f>IF(AND('ENTRY DATA'!F74=""),"",('ENTRY DATA'!F74))</f>
        <v/>
      </c>
      <c r="E74" s="34" t="str">
        <f>IF(AND('ENTRY DATA'!B74=""),"",('ENTRY DATA'!B74))</f>
        <v/>
      </c>
      <c r="F74" s="12"/>
      <c r="G74" s="12"/>
      <c r="H74" s="72"/>
      <c r="I74" s="71"/>
      <c r="J74" s="72"/>
      <c r="K74" s="12"/>
      <c r="L74" s="20">
        <f t="shared" si="6"/>
        <v>0</v>
      </c>
      <c r="M74" s="19" t="str">
        <f t="shared" si="7"/>
        <v/>
      </c>
      <c r="N74" s="12"/>
      <c r="O74" s="119"/>
      <c r="P74" s="95" t="str">
        <f t="shared" si="8"/>
        <v/>
      </c>
      <c r="Q74" s="12"/>
      <c r="S74" s="128"/>
      <c r="T74" s="66"/>
      <c r="U74" s="128"/>
      <c r="W74" s="128"/>
      <c r="X74" s="12"/>
      <c r="Y74" t="str">
        <f t="shared" si="9"/>
        <v/>
      </c>
      <c r="Z74" t="str">
        <f t="shared" si="9"/>
        <v/>
      </c>
      <c r="AA74" s="12"/>
      <c r="AB74" s="95" t="e">
        <f t="shared" si="10"/>
        <v>#VALUE!</v>
      </c>
      <c r="AC74" s="95" t="e">
        <f t="shared" si="11"/>
        <v>#VALUE!</v>
      </c>
      <c r="AD74" s="12"/>
    </row>
    <row r="75" spans="1:30" ht="15.75" thickBot="1" x14ac:dyDescent="0.3">
      <c r="A75" s="12"/>
      <c r="B75" s="22"/>
      <c r="C75" t="str">
        <f>IF(AND('ENTRY DATA'!D75=""),"",('ENTRY DATA'!D75))</f>
        <v/>
      </c>
      <c r="D75" t="str">
        <f>IF(AND('ENTRY DATA'!F75=""),"",('ENTRY DATA'!F75))</f>
        <v/>
      </c>
      <c r="E75" s="34" t="str">
        <f>IF(AND('ENTRY DATA'!B75=""),"",('ENTRY DATA'!B75))</f>
        <v/>
      </c>
      <c r="F75" s="12"/>
      <c r="G75" s="12"/>
      <c r="H75" s="72"/>
      <c r="I75" s="71"/>
      <c r="J75" s="72"/>
      <c r="K75" s="12"/>
      <c r="L75" s="20">
        <f t="shared" si="6"/>
        <v>0</v>
      </c>
      <c r="M75" s="19" t="str">
        <f t="shared" si="7"/>
        <v/>
      </c>
      <c r="N75" s="12"/>
      <c r="O75" s="119"/>
      <c r="P75" s="95" t="str">
        <f t="shared" si="8"/>
        <v/>
      </c>
      <c r="Q75" s="12"/>
      <c r="S75" s="128"/>
      <c r="T75" s="66"/>
      <c r="U75" s="128"/>
      <c r="W75" s="128"/>
      <c r="X75" s="12"/>
      <c r="Y75" t="str">
        <f t="shared" si="9"/>
        <v/>
      </c>
      <c r="Z75" t="str">
        <f t="shared" si="9"/>
        <v/>
      </c>
      <c r="AA75" s="12"/>
      <c r="AB75" s="95" t="e">
        <f t="shared" si="10"/>
        <v>#VALUE!</v>
      </c>
      <c r="AC75" s="95" t="e">
        <f t="shared" si="11"/>
        <v>#VALUE!</v>
      </c>
      <c r="AD75" s="12"/>
    </row>
    <row r="76" spans="1:30" ht="15.75" thickBot="1" x14ac:dyDescent="0.3">
      <c r="A76" s="12"/>
      <c r="B76" s="22"/>
      <c r="C76" t="str">
        <f>IF(AND('ENTRY DATA'!D76=""),"",('ENTRY DATA'!D76))</f>
        <v/>
      </c>
      <c r="D76" t="str">
        <f>IF(AND('ENTRY DATA'!F76=""),"",('ENTRY DATA'!F76))</f>
        <v/>
      </c>
      <c r="E76" s="34" t="str">
        <f>IF(AND('ENTRY DATA'!B76=""),"",('ENTRY DATA'!B76))</f>
        <v/>
      </c>
      <c r="F76" s="12"/>
      <c r="G76" s="12"/>
      <c r="H76" s="72"/>
      <c r="I76" s="71"/>
      <c r="J76" s="72"/>
      <c r="K76" s="12"/>
      <c r="L76" s="20">
        <f t="shared" si="6"/>
        <v>0</v>
      </c>
      <c r="M76" s="19" t="str">
        <f t="shared" si="7"/>
        <v/>
      </c>
      <c r="N76" s="12"/>
      <c r="O76" s="119"/>
      <c r="P76" s="95" t="str">
        <f t="shared" si="8"/>
        <v/>
      </c>
      <c r="Q76" s="12"/>
      <c r="S76" s="128"/>
      <c r="T76" s="66"/>
      <c r="U76" s="128"/>
      <c r="W76" s="128"/>
      <c r="X76" s="12"/>
      <c r="Y76" t="str">
        <f t="shared" si="9"/>
        <v/>
      </c>
      <c r="Z76" t="str">
        <f t="shared" si="9"/>
        <v/>
      </c>
      <c r="AA76" s="12"/>
      <c r="AB76" s="95" t="e">
        <f t="shared" si="10"/>
        <v>#VALUE!</v>
      </c>
      <c r="AC76" s="95" t="e">
        <f t="shared" si="11"/>
        <v>#VALUE!</v>
      </c>
      <c r="AD76" s="12"/>
    </row>
    <row r="77" spans="1:30" ht="15.75" thickBot="1" x14ac:dyDescent="0.3">
      <c r="A77" s="12"/>
      <c r="B77" s="22"/>
      <c r="C77" t="str">
        <f>IF(AND('ENTRY DATA'!D77=""),"",('ENTRY DATA'!D77))</f>
        <v/>
      </c>
      <c r="D77" t="str">
        <f>IF(AND('ENTRY DATA'!F77=""),"",('ENTRY DATA'!F77))</f>
        <v/>
      </c>
      <c r="E77" s="34" t="str">
        <f>IF(AND('ENTRY DATA'!B77=""),"",('ENTRY DATA'!B77))</f>
        <v/>
      </c>
      <c r="F77" s="12"/>
      <c r="G77" s="12"/>
      <c r="H77" s="72"/>
      <c r="I77" s="71"/>
      <c r="J77" s="72"/>
      <c r="K77" s="12"/>
      <c r="L77" s="20">
        <f t="shared" si="6"/>
        <v>0</v>
      </c>
      <c r="M77" s="19" t="str">
        <f t="shared" si="7"/>
        <v/>
      </c>
      <c r="N77" s="12"/>
      <c r="O77" s="119"/>
      <c r="P77" s="95" t="str">
        <f t="shared" si="8"/>
        <v/>
      </c>
      <c r="Q77" s="12"/>
      <c r="S77" s="128"/>
      <c r="T77" s="66"/>
      <c r="U77" s="128"/>
      <c r="W77" s="128"/>
      <c r="X77" s="12"/>
      <c r="Y77" t="str">
        <f t="shared" si="9"/>
        <v/>
      </c>
      <c r="Z77" t="str">
        <f t="shared" si="9"/>
        <v/>
      </c>
      <c r="AA77" s="12"/>
      <c r="AB77" s="95" t="e">
        <f t="shared" si="10"/>
        <v>#VALUE!</v>
      </c>
      <c r="AC77" s="95" t="e">
        <f t="shared" si="11"/>
        <v>#VALUE!</v>
      </c>
      <c r="AD77" s="12"/>
    </row>
    <row r="78" spans="1:30" ht="15.75" thickBot="1" x14ac:dyDescent="0.3">
      <c r="A78" s="12"/>
      <c r="B78" s="22"/>
      <c r="C78" t="str">
        <f>IF(AND('ENTRY DATA'!D78=""),"",('ENTRY DATA'!D78))</f>
        <v/>
      </c>
      <c r="D78" t="str">
        <f>IF(AND('ENTRY DATA'!F78=""),"",('ENTRY DATA'!F78))</f>
        <v/>
      </c>
      <c r="E78" s="34" t="str">
        <f>IF(AND('ENTRY DATA'!B78=""),"",('ENTRY DATA'!B78))</f>
        <v/>
      </c>
      <c r="F78" s="12"/>
      <c r="G78" s="12"/>
      <c r="H78" s="72"/>
      <c r="I78" s="71"/>
      <c r="J78" s="72"/>
      <c r="K78" s="12"/>
      <c r="L78" s="20">
        <f t="shared" si="6"/>
        <v>0</v>
      </c>
      <c r="M78" s="19" t="str">
        <f t="shared" si="7"/>
        <v/>
      </c>
      <c r="N78" s="12"/>
      <c r="O78" s="119"/>
      <c r="P78" s="95" t="str">
        <f t="shared" si="8"/>
        <v/>
      </c>
      <c r="Q78" s="12"/>
      <c r="S78" s="128"/>
      <c r="T78" s="66"/>
      <c r="U78" s="128"/>
      <c r="W78" s="128"/>
      <c r="X78" s="12"/>
      <c r="Y78" t="str">
        <f t="shared" si="9"/>
        <v/>
      </c>
      <c r="Z78" t="str">
        <f t="shared" si="9"/>
        <v/>
      </c>
      <c r="AA78" s="12"/>
      <c r="AB78" s="95" t="e">
        <f t="shared" si="10"/>
        <v>#VALUE!</v>
      </c>
      <c r="AC78" s="95" t="e">
        <f t="shared" si="11"/>
        <v>#VALUE!</v>
      </c>
      <c r="AD78" s="12"/>
    </row>
    <row r="79" spans="1:30" ht="15.75" thickBot="1" x14ac:dyDescent="0.3">
      <c r="A79" s="12"/>
      <c r="B79" s="22"/>
      <c r="C79" t="str">
        <f>IF(AND('ENTRY DATA'!D79=""),"",('ENTRY DATA'!D79))</f>
        <v/>
      </c>
      <c r="D79" t="str">
        <f>IF(AND('ENTRY DATA'!F79=""),"",('ENTRY DATA'!F79))</f>
        <v/>
      </c>
      <c r="E79" s="34" t="str">
        <f>IF(AND('ENTRY DATA'!B79=""),"",('ENTRY DATA'!B79))</f>
        <v/>
      </c>
      <c r="F79" s="12"/>
      <c r="G79" s="12"/>
      <c r="H79" s="72"/>
      <c r="I79" s="71"/>
      <c r="J79" s="72"/>
      <c r="K79" s="12"/>
      <c r="L79" s="20">
        <f t="shared" si="6"/>
        <v>0</v>
      </c>
      <c r="M79" s="19" t="str">
        <f t="shared" si="7"/>
        <v/>
      </c>
      <c r="N79" s="12"/>
      <c r="O79" s="119"/>
      <c r="P79" s="95" t="str">
        <f t="shared" si="8"/>
        <v/>
      </c>
      <c r="Q79" s="12"/>
      <c r="S79" s="128"/>
      <c r="T79" s="66"/>
      <c r="U79" s="128"/>
      <c r="W79" s="128"/>
      <c r="X79" s="12"/>
      <c r="Y79" t="str">
        <f t="shared" si="9"/>
        <v/>
      </c>
      <c r="Z79" t="str">
        <f t="shared" si="9"/>
        <v/>
      </c>
      <c r="AA79" s="12"/>
      <c r="AB79" s="95" t="e">
        <f t="shared" si="10"/>
        <v>#VALUE!</v>
      </c>
      <c r="AC79" s="95" t="e">
        <f t="shared" si="11"/>
        <v>#VALUE!</v>
      </c>
      <c r="AD79" s="12"/>
    </row>
    <row r="80" spans="1:30" ht="15.75" thickBot="1" x14ac:dyDescent="0.3">
      <c r="A80" s="12"/>
      <c r="B80" s="22"/>
      <c r="C80" t="str">
        <f>IF(AND('ENTRY DATA'!D80=""),"",('ENTRY DATA'!D80))</f>
        <v/>
      </c>
      <c r="D80" t="str">
        <f>IF(AND('ENTRY DATA'!F80=""),"",('ENTRY DATA'!F80))</f>
        <v/>
      </c>
      <c r="E80" s="34" t="str">
        <f>IF(AND('ENTRY DATA'!B80=""),"",('ENTRY DATA'!B80))</f>
        <v/>
      </c>
      <c r="F80" s="12"/>
      <c r="G80" s="12"/>
      <c r="H80" s="72"/>
      <c r="I80" s="71"/>
      <c r="J80" s="72"/>
      <c r="K80" s="12"/>
      <c r="L80" s="20">
        <f t="shared" si="6"/>
        <v>0</v>
      </c>
      <c r="M80" s="19" t="str">
        <f t="shared" si="7"/>
        <v/>
      </c>
      <c r="N80" s="12"/>
      <c r="O80" s="119"/>
      <c r="P80" s="95" t="str">
        <f t="shared" si="8"/>
        <v/>
      </c>
      <c r="Q80" s="12"/>
      <c r="S80" s="128"/>
      <c r="T80" s="66"/>
      <c r="U80" s="128"/>
      <c r="W80" s="128"/>
      <c r="X80" s="12"/>
      <c r="Y80" t="str">
        <f t="shared" si="9"/>
        <v/>
      </c>
      <c r="Z80" t="str">
        <f t="shared" si="9"/>
        <v/>
      </c>
      <c r="AA80" s="12"/>
      <c r="AB80" s="95" t="e">
        <f t="shared" si="10"/>
        <v>#VALUE!</v>
      </c>
      <c r="AC80" s="95" t="e">
        <f t="shared" si="11"/>
        <v>#VALUE!</v>
      </c>
      <c r="AD80" s="12"/>
    </row>
    <row r="81" spans="1:30" ht="15.75" thickBot="1" x14ac:dyDescent="0.3">
      <c r="A81" s="12"/>
      <c r="B81" s="22"/>
      <c r="C81" t="str">
        <f>IF(AND('ENTRY DATA'!D81=""),"",('ENTRY DATA'!D81))</f>
        <v/>
      </c>
      <c r="D81" t="str">
        <f>IF(AND('ENTRY DATA'!F81=""),"",('ENTRY DATA'!F81))</f>
        <v/>
      </c>
      <c r="E81" s="34" t="str">
        <f>IF(AND('ENTRY DATA'!B81=""),"",('ENTRY DATA'!B81))</f>
        <v/>
      </c>
      <c r="F81" s="12"/>
      <c r="G81" s="12"/>
      <c r="H81" s="72"/>
      <c r="I81" s="71"/>
      <c r="J81" s="72"/>
      <c r="K81" s="12"/>
      <c r="L81" s="20">
        <f t="shared" si="6"/>
        <v>0</v>
      </c>
      <c r="M81" s="19" t="str">
        <f t="shared" si="7"/>
        <v/>
      </c>
      <c r="N81" s="12"/>
      <c r="O81" s="119"/>
      <c r="P81" s="95" t="str">
        <f t="shared" si="8"/>
        <v/>
      </c>
      <c r="Q81" s="12"/>
      <c r="S81" s="128"/>
      <c r="T81" s="66"/>
      <c r="U81" s="128"/>
      <c r="W81" s="128"/>
      <c r="X81" s="12"/>
      <c r="Y81" t="str">
        <f t="shared" si="9"/>
        <v/>
      </c>
      <c r="Z81" t="str">
        <f t="shared" si="9"/>
        <v/>
      </c>
      <c r="AA81" s="12"/>
      <c r="AB81" s="95" t="e">
        <f t="shared" si="10"/>
        <v>#VALUE!</v>
      </c>
      <c r="AC81" s="95" t="e">
        <f t="shared" si="11"/>
        <v>#VALUE!</v>
      </c>
      <c r="AD81" s="12"/>
    </row>
    <row r="82" spans="1:30" ht="15.75" thickBot="1" x14ac:dyDescent="0.3">
      <c r="A82" s="12"/>
      <c r="B82" s="22"/>
      <c r="C82" t="str">
        <f>IF(AND('ENTRY DATA'!D82=""),"",('ENTRY DATA'!D82))</f>
        <v/>
      </c>
      <c r="D82" t="str">
        <f>IF(AND('ENTRY DATA'!F82=""),"",('ENTRY DATA'!F82))</f>
        <v/>
      </c>
      <c r="E82" s="34" t="str">
        <f>IF(AND('ENTRY DATA'!B82=""),"",('ENTRY DATA'!B82))</f>
        <v/>
      </c>
      <c r="F82" s="12"/>
      <c r="G82" s="12"/>
      <c r="H82" s="72"/>
      <c r="I82" s="71"/>
      <c r="J82" s="72"/>
      <c r="K82" s="12"/>
      <c r="L82" s="20">
        <f t="shared" si="6"/>
        <v>0</v>
      </c>
      <c r="M82" s="19" t="str">
        <f t="shared" si="7"/>
        <v/>
      </c>
      <c r="N82" s="12"/>
      <c r="O82" s="119"/>
      <c r="P82" s="95" t="str">
        <f t="shared" si="8"/>
        <v/>
      </c>
      <c r="Q82" s="12"/>
      <c r="S82" s="128"/>
      <c r="T82" s="66"/>
      <c r="U82" s="128"/>
      <c r="W82" s="128"/>
      <c r="X82" s="12"/>
      <c r="Y82" t="str">
        <f t="shared" si="9"/>
        <v/>
      </c>
      <c r="Z82" t="str">
        <f t="shared" si="9"/>
        <v/>
      </c>
      <c r="AA82" s="12"/>
      <c r="AB82" s="95" t="e">
        <f t="shared" si="10"/>
        <v>#VALUE!</v>
      </c>
      <c r="AC82" s="95" t="e">
        <f t="shared" si="11"/>
        <v>#VALUE!</v>
      </c>
      <c r="AD82" s="12"/>
    </row>
    <row r="83" spans="1:30" ht="15.75" thickBot="1" x14ac:dyDescent="0.3">
      <c r="A83" s="12"/>
      <c r="B83" s="22"/>
      <c r="C83" t="str">
        <f>IF(AND('ENTRY DATA'!D83=""),"",('ENTRY DATA'!D83))</f>
        <v/>
      </c>
      <c r="D83" t="str">
        <f>IF(AND('ENTRY DATA'!F83=""),"",('ENTRY DATA'!F83))</f>
        <v/>
      </c>
      <c r="E83" s="34" t="str">
        <f>IF(AND('ENTRY DATA'!B83=""),"",('ENTRY DATA'!B83))</f>
        <v/>
      </c>
      <c r="F83" s="12"/>
      <c r="G83" s="12"/>
      <c r="H83" s="72"/>
      <c r="I83" s="71"/>
      <c r="J83" s="72"/>
      <c r="K83" s="12"/>
      <c r="L83" s="20">
        <f t="shared" si="6"/>
        <v>0</v>
      </c>
      <c r="M83" s="19" t="str">
        <f t="shared" si="7"/>
        <v/>
      </c>
      <c r="N83" s="12"/>
      <c r="O83" s="119"/>
      <c r="P83" s="95" t="str">
        <f t="shared" si="8"/>
        <v/>
      </c>
      <c r="Q83" s="12"/>
      <c r="S83" s="128"/>
      <c r="T83" s="66"/>
      <c r="U83" s="128"/>
      <c r="W83" s="128"/>
      <c r="X83" s="12"/>
      <c r="Y83" t="str">
        <f t="shared" si="9"/>
        <v/>
      </c>
      <c r="Z83" t="str">
        <f t="shared" si="9"/>
        <v/>
      </c>
      <c r="AA83" s="12"/>
      <c r="AB83" s="95" t="e">
        <f t="shared" si="10"/>
        <v>#VALUE!</v>
      </c>
      <c r="AC83" s="95" t="e">
        <f t="shared" si="11"/>
        <v>#VALUE!</v>
      </c>
      <c r="AD83" s="12"/>
    </row>
    <row r="84" spans="1:30" ht="15.75" thickBot="1" x14ac:dyDescent="0.3">
      <c r="A84" s="12"/>
      <c r="B84" s="22"/>
      <c r="C84" t="str">
        <f>IF(AND('ENTRY DATA'!D84=""),"",('ENTRY DATA'!D84))</f>
        <v/>
      </c>
      <c r="D84" t="str">
        <f>IF(AND('ENTRY DATA'!F84=""),"",('ENTRY DATA'!F84))</f>
        <v/>
      </c>
      <c r="E84" s="34" t="str">
        <f>IF(AND('ENTRY DATA'!B84=""),"",('ENTRY DATA'!B84))</f>
        <v/>
      </c>
      <c r="F84" s="12"/>
      <c r="G84" s="12"/>
      <c r="H84" s="72"/>
      <c r="I84" s="71"/>
      <c r="J84" s="72"/>
      <c r="K84" s="12"/>
      <c r="L84" s="20">
        <f t="shared" si="6"/>
        <v>0</v>
      </c>
      <c r="M84" s="19" t="str">
        <f t="shared" si="7"/>
        <v/>
      </c>
      <c r="N84" s="12"/>
      <c r="O84" s="119"/>
      <c r="P84" s="95" t="str">
        <f t="shared" si="8"/>
        <v/>
      </c>
      <c r="Q84" s="12"/>
      <c r="S84" s="128"/>
      <c r="T84" s="66"/>
      <c r="U84" s="128"/>
      <c r="W84" s="128"/>
      <c r="X84" s="12"/>
      <c r="Y84" t="str">
        <f t="shared" si="9"/>
        <v/>
      </c>
      <c r="Z84" t="str">
        <f t="shared" si="9"/>
        <v/>
      </c>
      <c r="AA84" s="12"/>
      <c r="AB84" s="95" t="e">
        <f t="shared" si="10"/>
        <v>#VALUE!</v>
      </c>
      <c r="AC84" s="95" t="e">
        <f t="shared" si="11"/>
        <v>#VALUE!</v>
      </c>
      <c r="AD84" s="12"/>
    </row>
    <row r="85" spans="1:30" ht="15.75" thickBot="1" x14ac:dyDescent="0.3">
      <c r="A85" s="12"/>
      <c r="B85" s="22"/>
      <c r="C85" t="str">
        <f>IF(AND('ENTRY DATA'!D85=""),"",('ENTRY DATA'!D85))</f>
        <v/>
      </c>
      <c r="D85" t="str">
        <f>IF(AND('ENTRY DATA'!F85=""),"",('ENTRY DATA'!F85))</f>
        <v/>
      </c>
      <c r="E85" s="34" t="str">
        <f>IF(AND('ENTRY DATA'!B85=""),"",('ENTRY DATA'!B85))</f>
        <v/>
      </c>
      <c r="F85" s="12"/>
      <c r="G85" s="12"/>
      <c r="H85" s="72"/>
      <c r="I85" s="71"/>
      <c r="J85" s="72"/>
      <c r="K85" s="12"/>
      <c r="L85" s="20">
        <f t="shared" si="6"/>
        <v>0</v>
      </c>
      <c r="M85" s="19" t="str">
        <f t="shared" si="7"/>
        <v/>
      </c>
      <c r="N85" s="12"/>
      <c r="O85" s="119"/>
      <c r="P85" s="95" t="str">
        <f t="shared" si="8"/>
        <v/>
      </c>
      <c r="Q85" s="12"/>
      <c r="S85" s="128"/>
      <c r="T85" s="66"/>
      <c r="U85" s="128"/>
      <c r="W85" s="128"/>
      <c r="X85" s="12"/>
      <c r="Y85" t="str">
        <f t="shared" si="9"/>
        <v/>
      </c>
      <c r="Z85" t="str">
        <f t="shared" si="9"/>
        <v/>
      </c>
      <c r="AA85" s="12"/>
      <c r="AB85" s="95" t="e">
        <f t="shared" si="10"/>
        <v>#VALUE!</v>
      </c>
      <c r="AC85" s="95" t="e">
        <f t="shared" si="11"/>
        <v>#VALUE!</v>
      </c>
      <c r="AD85" s="12"/>
    </row>
    <row r="86" spans="1:30" ht="15.75" thickBot="1" x14ac:dyDescent="0.3">
      <c r="A86" s="12"/>
      <c r="B86" s="22"/>
      <c r="C86" t="str">
        <f>IF(AND('ENTRY DATA'!D86=""),"",('ENTRY DATA'!D86))</f>
        <v/>
      </c>
      <c r="D86" t="str">
        <f>IF(AND('ENTRY DATA'!F86=""),"",('ENTRY DATA'!F86))</f>
        <v/>
      </c>
      <c r="E86" s="34" t="str">
        <f>IF(AND('ENTRY DATA'!B86=""),"",('ENTRY DATA'!B86))</f>
        <v/>
      </c>
      <c r="F86" s="12"/>
      <c r="G86" s="12"/>
      <c r="H86" s="72"/>
      <c r="I86" s="71"/>
      <c r="J86" s="72"/>
      <c r="K86" s="12"/>
      <c r="L86" s="20">
        <f t="shared" si="6"/>
        <v>0</v>
      </c>
      <c r="M86" s="19" t="str">
        <f t="shared" si="7"/>
        <v/>
      </c>
      <c r="N86" s="12"/>
      <c r="O86" s="119"/>
      <c r="P86" s="95" t="str">
        <f t="shared" si="8"/>
        <v/>
      </c>
      <c r="Q86" s="12"/>
      <c r="S86" s="128"/>
      <c r="T86" s="66"/>
      <c r="U86" s="128"/>
      <c r="W86" s="128"/>
      <c r="X86" s="12"/>
      <c r="Y86" t="str">
        <f t="shared" si="9"/>
        <v/>
      </c>
      <c r="Z86" t="str">
        <f t="shared" si="9"/>
        <v/>
      </c>
      <c r="AA86" s="12"/>
      <c r="AB86" s="95" t="e">
        <f t="shared" si="10"/>
        <v>#VALUE!</v>
      </c>
      <c r="AC86" s="95" t="e">
        <f t="shared" si="11"/>
        <v>#VALUE!</v>
      </c>
      <c r="AD86" s="12"/>
    </row>
    <row r="87" spans="1:30" ht="15.75" thickBot="1" x14ac:dyDescent="0.3">
      <c r="A87" s="12"/>
      <c r="B87" s="22"/>
      <c r="C87" t="str">
        <f>IF(AND('ENTRY DATA'!D87=""),"",('ENTRY DATA'!D87))</f>
        <v/>
      </c>
      <c r="D87" t="str">
        <f>IF(AND('ENTRY DATA'!F87=""),"",('ENTRY DATA'!F87))</f>
        <v/>
      </c>
      <c r="E87" s="34" t="str">
        <f>IF(AND('ENTRY DATA'!B87=""),"",('ENTRY DATA'!B87))</f>
        <v/>
      </c>
      <c r="F87" s="12"/>
      <c r="G87" s="12"/>
      <c r="H87" s="72"/>
      <c r="I87" s="71"/>
      <c r="J87" s="72"/>
      <c r="K87" s="12"/>
      <c r="L87" s="20">
        <f t="shared" si="6"/>
        <v>0</v>
      </c>
      <c r="M87" s="19" t="str">
        <f t="shared" si="7"/>
        <v/>
      </c>
      <c r="N87" s="12"/>
      <c r="O87" s="119"/>
      <c r="P87" s="95" t="str">
        <f t="shared" si="8"/>
        <v/>
      </c>
      <c r="Q87" s="12"/>
      <c r="S87" s="128"/>
      <c r="T87" s="66"/>
      <c r="U87" s="128"/>
      <c r="W87" s="128"/>
      <c r="X87" s="12"/>
      <c r="Y87" t="str">
        <f t="shared" si="9"/>
        <v/>
      </c>
      <c r="Z87" t="str">
        <f t="shared" si="9"/>
        <v/>
      </c>
      <c r="AA87" s="12"/>
      <c r="AB87" s="95" t="e">
        <f t="shared" si="10"/>
        <v>#VALUE!</v>
      </c>
      <c r="AC87" s="95" t="e">
        <f t="shared" si="11"/>
        <v>#VALUE!</v>
      </c>
      <c r="AD87" s="12"/>
    </row>
    <row r="88" spans="1:30" ht="15.75" thickBot="1" x14ac:dyDescent="0.3">
      <c r="A88" s="12"/>
      <c r="B88" s="22"/>
      <c r="C88" t="str">
        <f>IF(AND('ENTRY DATA'!D88=""),"",('ENTRY DATA'!D88))</f>
        <v/>
      </c>
      <c r="D88" t="str">
        <f>IF(AND('ENTRY DATA'!F88=""),"",('ENTRY DATA'!F88))</f>
        <v/>
      </c>
      <c r="E88" s="34" t="str">
        <f>IF(AND('ENTRY DATA'!B88=""),"",('ENTRY DATA'!B88))</f>
        <v/>
      </c>
      <c r="F88" s="12"/>
      <c r="G88" s="12"/>
      <c r="H88" s="72"/>
      <c r="I88" s="71"/>
      <c r="J88" s="72"/>
      <c r="K88" s="12"/>
      <c r="L88" s="20">
        <f t="shared" si="6"/>
        <v>0</v>
      </c>
      <c r="M88" s="19" t="str">
        <f t="shared" si="7"/>
        <v/>
      </c>
      <c r="N88" s="12"/>
      <c r="O88" s="119"/>
      <c r="P88" s="95" t="str">
        <f t="shared" si="8"/>
        <v/>
      </c>
      <c r="Q88" s="12"/>
      <c r="S88" s="128"/>
      <c r="T88" s="66"/>
      <c r="U88" s="128"/>
      <c r="W88" s="128"/>
      <c r="X88" s="12"/>
      <c r="Y88" t="str">
        <f t="shared" si="9"/>
        <v/>
      </c>
      <c r="Z88" t="str">
        <f t="shared" si="9"/>
        <v/>
      </c>
      <c r="AA88" s="12"/>
      <c r="AB88" s="95" t="e">
        <f t="shared" si="10"/>
        <v>#VALUE!</v>
      </c>
      <c r="AC88" s="95" t="e">
        <f t="shared" si="11"/>
        <v>#VALUE!</v>
      </c>
      <c r="AD88" s="12"/>
    </row>
    <row r="89" spans="1:30" ht="15.75" thickBot="1" x14ac:dyDescent="0.3">
      <c r="A89" s="12"/>
      <c r="B89" s="22"/>
      <c r="C89" t="str">
        <f>IF(AND('ENTRY DATA'!D89=""),"",('ENTRY DATA'!D89))</f>
        <v/>
      </c>
      <c r="D89" t="str">
        <f>IF(AND('ENTRY DATA'!F89=""),"",('ENTRY DATA'!F89))</f>
        <v/>
      </c>
      <c r="E89" s="34" t="str">
        <f>IF(AND('ENTRY DATA'!B89=""),"",('ENTRY DATA'!B89))</f>
        <v/>
      </c>
      <c r="F89" s="12"/>
      <c r="G89" s="12"/>
      <c r="H89" s="72"/>
      <c r="I89" s="71"/>
      <c r="J89" s="72"/>
      <c r="K89" s="12"/>
      <c r="L89" s="20">
        <f t="shared" si="6"/>
        <v>0</v>
      </c>
      <c r="M89" s="19" t="str">
        <f t="shared" si="7"/>
        <v/>
      </c>
      <c r="N89" s="12"/>
      <c r="O89" s="119"/>
      <c r="P89" s="95" t="str">
        <f t="shared" si="8"/>
        <v/>
      </c>
      <c r="Q89" s="12"/>
      <c r="S89" s="128"/>
      <c r="T89" s="66"/>
      <c r="U89" s="128"/>
      <c r="W89" s="128"/>
      <c r="X89" s="12"/>
      <c r="Y89" t="str">
        <f t="shared" si="9"/>
        <v/>
      </c>
      <c r="Z89" t="str">
        <f t="shared" si="9"/>
        <v/>
      </c>
      <c r="AA89" s="12"/>
      <c r="AB89" s="95" t="e">
        <f t="shared" si="10"/>
        <v>#VALUE!</v>
      </c>
      <c r="AC89" s="95" t="e">
        <f t="shared" si="11"/>
        <v>#VALUE!</v>
      </c>
      <c r="AD89" s="12"/>
    </row>
    <row r="90" spans="1:30" ht="15.75" thickBot="1" x14ac:dyDescent="0.3">
      <c r="A90" s="12"/>
      <c r="B90" s="22"/>
      <c r="C90" t="str">
        <f>IF(AND('ENTRY DATA'!D90=""),"",('ENTRY DATA'!D90))</f>
        <v/>
      </c>
      <c r="D90" t="str">
        <f>IF(AND('ENTRY DATA'!F90=""),"",('ENTRY DATA'!F90))</f>
        <v/>
      </c>
      <c r="E90" s="34" t="str">
        <f>IF(AND('ENTRY DATA'!B90=""),"",('ENTRY DATA'!B90))</f>
        <v/>
      </c>
      <c r="F90" s="12"/>
      <c r="G90" s="12"/>
      <c r="H90" s="72"/>
      <c r="I90" s="71"/>
      <c r="J90" s="72"/>
      <c r="K90" s="12"/>
      <c r="L90" s="20">
        <f t="shared" si="6"/>
        <v>0</v>
      </c>
      <c r="M90" s="19" t="str">
        <f t="shared" si="7"/>
        <v/>
      </c>
      <c r="N90" s="12"/>
      <c r="O90" s="119"/>
      <c r="P90" s="95" t="str">
        <f t="shared" si="8"/>
        <v/>
      </c>
      <c r="Q90" s="12"/>
      <c r="S90" s="128"/>
      <c r="T90" s="66"/>
      <c r="U90" s="128"/>
      <c r="W90" s="128"/>
      <c r="X90" s="12"/>
      <c r="Y90" t="str">
        <f t="shared" si="9"/>
        <v/>
      </c>
      <c r="Z90" t="str">
        <f t="shared" si="9"/>
        <v/>
      </c>
      <c r="AA90" s="12"/>
      <c r="AB90" s="95" t="e">
        <f t="shared" si="10"/>
        <v>#VALUE!</v>
      </c>
      <c r="AC90" s="95" t="e">
        <f t="shared" si="11"/>
        <v>#VALUE!</v>
      </c>
      <c r="AD90" s="12"/>
    </row>
    <row r="91" spans="1:30" ht="15.75" thickBot="1" x14ac:dyDescent="0.3">
      <c r="A91" s="12"/>
      <c r="B91" s="22"/>
      <c r="C91" t="str">
        <f>IF(AND('ENTRY DATA'!D91=""),"",('ENTRY DATA'!D91))</f>
        <v/>
      </c>
      <c r="D91" t="str">
        <f>IF(AND('ENTRY DATA'!F91=""),"",('ENTRY DATA'!F91))</f>
        <v/>
      </c>
      <c r="E91" s="34" t="str">
        <f>IF(AND('ENTRY DATA'!B91=""),"",('ENTRY DATA'!B91))</f>
        <v/>
      </c>
      <c r="F91" s="12"/>
      <c r="G91" s="12"/>
      <c r="H91" s="72"/>
      <c r="I91" s="71"/>
      <c r="J91" s="72"/>
      <c r="K91" s="12"/>
      <c r="L91" s="20">
        <f t="shared" si="6"/>
        <v>0</v>
      </c>
      <c r="M91" s="19" t="str">
        <f t="shared" si="7"/>
        <v/>
      </c>
      <c r="N91" s="12"/>
      <c r="O91" s="119"/>
      <c r="P91" s="95" t="str">
        <f t="shared" si="8"/>
        <v/>
      </c>
      <c r="Q91" s="12"/>
      <c r="S91" s="128"/>
      <c r="T91" s="66"/>
      <c r="U91" s="128"/>
      <c r="W91" s="128"/>
      <c r="X91" s="12"/>
      <c r="Y91" t="str">
        <f t="shared" si="9"/>
        <v/>
      </c>
      <c r="Z91" t="str">
        <f t="shared" si="9"/>
        <v/>
      </c>
      <c r="AA91" s="12"/>
      <c r="AB91" s="95" t="e">
        <f t="shared" si="10"/>
        <v>#VALUE!</v>
      </c>
      <c r="AC91" s="95" t="e">
        <f t="shared" si="11"/>
        <v>#VALUE!</v>
      </c>
      <c r="AD91" s="12"/>
    </row>
    <row r="92" spans="1:30" ht="15.75" thickBot="1" x14ac:dyDescent="0.3">
      <c r="A92" s="12"/>
      <c r="B92" s="22"/>
      <c r="C92" t="str">
        <f>IF(AND('ENTRY DATA'!D92=""),"",('ENTRY DATA'!D92))</f>
        <v/>
      </c>
      <c r="D92" t="str">
        <f>IF(AND('ENTRY DATA'!F92=""),"",('ENTRY DATA'!F92))</f>
        <v/>
      </c>
      <c r="E92" s="34" t="str">
        <f>IF(AND('ENTRY DATA'!B92=""),"",('ENTRY DATA'!B92))</f>
        <v/>
      </c>
      <c r="F92" s="12"/>
      <c r="G92" s="12"/>
      <c r="H92" s="72"/>
      <c r="I92" s="71"/>
      <c r="J92" s="72"/>
      <c r="K92" s="12"/>
      <c r="L92" s="20">
        <f t="shared" si="6"/>
        <v>0</v>
      </c>
      <c r="M92" s="19" t="str">
        <f t="shared" si="7"/>
        <v/>
      </c>
      <c r="N92" s="12"/>
      <c r="O92" s="119"/>
      <c r="P92" s="95" t="str">
        <f t="shared" si="8"/>
        <v/>
      </c>
      <c r="Q92" s="12"/>
      <c r="S92" s="128"/>
      <c r="T92" s="66"/>
      <c r="U92" s="128"/>
      <c r="W92" s="128"/>
      <c r="X92" s="12"/>
      <c r="Y92" t="str">
        <f t="shared" si="9"/>
        <v/>
      </c>
      <c r="Z92" t="str">
        <f t="shared" si="9"/>
        <v/>
      </c>
      <c r="AA92" s="12"/>
      <c r="AB92" s="95" t="e">
        <f t="shared" si="10"/>
        <v>#VALUE!</v>
      </c>
      <c r="AC92" s="95" t="e">
        <f t="shared" si="11"/>
        <v>#VALUE!</v>
      </c>
      <c r="AD92" s="12"/>
    </row>
    <row r="93" spans="1:30" ht="15.75" thickBot="1" x14ac:dyDescent="0.3">
      <c r="A93" s="12"/>
      <c r="B93" s="22"/>
      <c r="C93" t="str">
        <f>IF(AND('ENTRY DATA'!D93=""),"",('ENTRY DATA'!D93))</f>
        <v/>
      </c>
      <c r="D93" t="str">
        <f>IF(AND('ENTRY DATA'!F93=""),"",('ENTRY DATA'!F93))</f>
        <v/>
      </c>
      <c r="E93" s="34" t="str">
        <f>IF(AND('ENTRY DATA'!B93=""),"",('ENTRY DATA'!B93))</f>
        <v/>
      </c>
      <c r="F93" s="12"/>
      <c r="G93" s="12"/>
      <c r="H93" s="72"/>
      <c r="I93" s="71"/>
      <c r="J93" s="72"/>
      <c r="K93" s="12"/>
      <c r="L93" s="20">
        <f t="shared" si="6"/>
        <v>0</v>
      </c>
      <c r="M93" s="19" t="str">
        <f t="shared" si="7"/>
        <v/>
      </c>
      <c r="N93" s="12"/>
      <c r="O93" s="119"/>
      <c r="P93" s="95" t="str">
        <f t="shared" si="8"/>
        <v/>
      </c>
      <c r="Q93" s="12"/>
      <c r="S93" s="128"/>
      <c r="T93" s="66"/>
      <c r="U93" s="128"/>
      <c r="W93" s="128"/>
      <c r="X93" s="12"/>
      <c r="Y93" t="str">
        <f t="shared" si="9"/>
        <v/>
      </c>
      <c r="Z93" t="str">
        <f t="shared" si="9"/>
        <v/>
      </c>
      <c r="AA93" s="12"/>
      <c r="AB93" s="95" t="e">
        <f t="shared" si="10"/>
        <v>#VALUE!</v>
      </c>
      <c r="AC93" s="95" t="e">
        <f t="shared" si="11"/>
        <v>#VALUE!</v>
      </c>
      <c r="AD93" s="12"/>
    </row>
    <row r="94" spans="1:30" ht="15.75" thickBot="1" x14ac:dyDescent="0.3">
      <c r="A94" s="12"/>
      <c r="B94" s="22"/>
      <c r="C94" t="str">
        <f>IF(AND('ENTRY DATA'!D94=""),"",('ENTRY DATA'!D94))</f>
        <v/>
      </c>
      <c r="D94" t="str">
        <f>IF(AND('ENTRY DATA'!F94=""),"",('ENTRY DATA'!F94))</f>
        <v/>
      </c>
      <c r="E94" s="34" t="str">
        <f>IF(AND('ENTRY DATA'!B94=""),"",('ENTRY DATA'!B94))</f>
        <v/>
      </c>
      <c r="F94" s="12"/>
      <c r="G94" s="12"/>
      <c r="H94" s="72"/>
      <c r="I94" s="71"/>
      <c r="J94" s="72"/>
      <c r="K94" s="12"/>
      <c r="L94" s="20">
        <f t="shared" si="6"/>
        <v>0</v>
      </c>
      <c r="M94" s="19" t="str">
        <f t="shared" si="7"/>
        <v/>
      </c>
      <c r="N94" s="12"/>
      <c r="O94" s="119"/>
      <c r="P94" s="95" t="str">
        <f t="shared" si="8"/>
        <v/>
      </c>
      <c r="Q94" s="12"/>
      <c r="S94" s="128"/>
      <c r="T94" s="66"/>
      <c r="U94" s="128"/>
      <c r="W94" s="128"/>
      <c r="X94" s="12"/>
      <c r="Y94" t="str">
        <f t="shared" si="9"/>
        <v/>
      </c>
      <c r="Z94" t="str">
        <f t="shared" si="9"/>
        <v/>
      </c>
      <c r="AA94" s="12"/>
      <c r="AB94" s="95" t="e">
        <f t="shared" si="10"/>
        <v>#VALUE!</v>
      </c>
      <c r="AC94" s="95" t="e">
        <f t="shared" si="11"/>
        <v>#VALUE!</v>
      </c>
      <c r="AD94" s="12"/>
    </row>
    <row r="95" spans="1:30" ht="15.75" thickBot="1" x14ac:dyDescent="0.3">
      <c r="A95" s="12"/>
      <c r="B95" s="22"/>
      <c r="C95" t="str">
        <f>IF(AND('ENTRY DATA'!D95=""),"",('ENTRY DATA'!D95))</f>
        <v/>
      </c>
      <c r="D95" t="str">
        <f>IF(AND('ENTRY DATA'!F95=""),"",('ENTRY DATA'!F95))</f>
        <v/>
      </c>
      <c r="E95" s="34" t="str">
        <f>IF(AND('ENTRY DATA'!B95=""),"",('ENTRY DATA'!B95))</f>
        <v/>
      </c>
      <c r="F95" s="12"/>
      <c r="G95" s="12"/>
      <c r="H95" s="72"/>
      <c r="I95" s="71"/>
      <c r="J95" s="72"/>
      <c r="K95" s="12"/>
      <c r="L95" s="20">
        <f t="shared" si="6"/>
        <v>0</v>
      </c>
      <c r="M95" s="19" t="str">
        <f t="shared" si="7"/>
        <v/>
      </c>
      <c r="N95" s="12"/>
      <c r="O95" s="119"/>
      <c r="P95" s="95" t="str">
        <f t="shared" si="8"/>
        <v/>
      </c>
      <c r="Q95" s="12"/>
      <c r="S95" s="128"/>
      <c r="T95" s="66"/>
      <c r="U95" s="128"/>
      <c r="W95" s="128"/>
      <c r="X95" s="12"/>
      <c r="Y95" t="str">
        <f t="shared" si="9"/>
        <v/>
      </c>
      <c r="Z95" t="str">
        <f t="shared" si="9"/>
        <v/>
      </c>
      <c r="AA95" s="12"/>
      <c r="AB95" s="95" t="e">
        <f t="shared" si="10"/>
        <v>#VALUE!</v>
      </c>
      <c r="AC95" s="95" t="e">
        <f t="shared" si="11"/>
        <v>#VALUE!</v>
      </c>
      <c r="AD95" s="12"/>
    </row>
    <row r="96" spans="1:30" ht="15.75" thickBot="1" x14ac:dyDescent="0.3">
      <c r="A96" s="12"/>
      <c r="B96" s="22"/>
      <c r="C96" t="str">
        <f>IF(AND('ENTRY DATA'!D96=""),"",('ENTRY DATA'!D96))</f>
        <v/>
      </c>
      <c r="D96" t="str">
        <f>IF(AND('ENTRY DATA'!F96=""),"",('ENTRY DATA'!F96))</f>
        <v/>
      </c>
      <c r="E96" s="34" t="str">
        <f>IF(AND('ENTRY DATA'!B96=""),"",('ENTRY DATA'!B96))</f>
        <v/>
      </c>
      <c r="F96" s="12"/>
      <c r="G96" s="12"/>
      <c r="H96" s="72"/>
      <c r="I96" s="71"/>
      <c r="J96" s="72"/>
      <c r="K96" s="12"/>
      <c r="L96" s="20">
        <f t="shared" si="6"/>
        <v>0</v>
      </c>
      <c r="M96" s="19" t="str">
        <f t="shared" si="7"/>
        <v/>
      </c>
      <c r="N96" s="12"/>
      <c r="O96" s="119"/>
      <c r="P96" s="95" t="str">
        <f t="shared" si="8"/>
        <v/>
      </c>
      <c r="Q96" s="12"/>
      <c r="S96" s="128"/>
      <c r="T96" s="66"/>
      <c r="U96" s="128"/>
      <c r="W96" s="128"/>
      <c r="X96" s="12"/>
      <c r="Y96" t="str">
        <f t="shared" si="9"/>
        <v/>
      </c>
      <c r="Z96" t="str">
        <f t="shared" si="9"/>
        <v/>
      </c>
      <c r="AA96" s="12"/>
      <c r="AB96" s="95" t="e">
        <f t="shared" si="10"/>
        <v>#VALUE!</v>
      </c>
      <c r="AC96" s="95" t="e">
        <f t="shared" si="11"/>
        <v>#VALUE!</v>
      </c>
      <c r="AD96" s="12"/>
    </row>
    <row r="97" spans="1:30" ht="15.75" thickBot="1" x14ac:dyDescent="0.3">
      <c r="A97" s="12"/>
      <c r="B97" s="22"/>
      <c r="C97" t="str">
        <f>IF(AND('ENTRY DATA'!D97=""),"",('ENTRY DATA'!D97))</f>
        <v/>
      </c>
      <c r="D97" t="str">
        <f>IF(AND('ENTRY DATA'!F97=""),"",('ENTRY DATA'!F97))</f>
        <v/>
      </c>
      <c r="E97" s="34" t="str">
        <f>IF(AND('ENTRY DATA'!B97=""),"",('ENTRY DATA'!B97))</f>
        <v/>
      </c>
      <c r="F97" s="12"/>
      <c r="G97" s="12"/>
      <c r="H97" s="72"/>
      <c r="I97" s="71"/>
      <c r="J97" s="72"/>
      <c r="K97" s="12"/>
      <c r="L97" s="20">
        <f t="shared" si="6"/>
        <v>0</v>
      </c>
      <c r="M97" s="19" t="str">
        <f t="shared" si="7"/>
        <v/>
      </c>
      <c r="N97" s="12"/>
      <c r="O97" s="119"/>
      <c r="P97" s="95" t="str">
        <f t="shared" si="8"/>
        <v/>
      </c>
      <c r="Q97" s="12"/>
      <c r="S97" s="128"/>
      <c r="T97" s="66"/>
      <c r="U97" s="128"/>
      <c r="W97" s="128"/>
      <c r="X97" s="12"/>
      <c r="Y97" t="str">
        <f t="shared" si="9"/>
        <v/>
      </c>
      <c r="Z97" t="str">
        <f t="shared" si="9"/>
        <v/>
      </c>
      <c r="AA97" s="12"/>
      <c r="AB97" s="95" t="e">
        <f t="shared" si="10"/>
        <v>#VALUE!</v>
      </c>
      <c r="AC97" s="95" t="e">
        <f t="shared" si="11"/>
        <v>#VALUE!</v>
      </c>
      <c r="AD97" s="12"/>
    </row>
    <row r="98" spans="1:30" ht="15.75" thickBot="1" x14ac:dyDescent="0.3">
      <c r="A98" s="12"/>
      <c r="B98" s="22"/>
      <c r="C98" t="str">
        <f>IF(AND('ENTRY DATA'!D98=""),"",('ENTRY DATA'!D98))</f>
        <v/>
      </c>
      <c r="D98" t="str">
        <f>IF(AND('ENTRY DATA'!F98=""),"",('ENTRY DATA'!F98))</f>
        <v/>
      </c>
      <c r="E98" s="34" t="str">
        <f>IF(AND('ENTRY DATA'!B98=""),"",('ENTRY DATA'!B98))</f>
        <v/>
      </c>
      <c r="F98" s="12"/>
      <c r="G98" s="12"/>
      <c r="H98" s="72"/>
      <c r="I98" s="71"/>
      <c r="J98" s="72"/>
      <c r="K98" s="12"/>
      <c r="L98" s="20">
        <f t="shared" si="6"/>
        <v>0</v>
      </c>
      <c r="M98" s="19" t="str">
        <f t="shared" si="7"/>
        <v/>
      </c>
      <c r="N98" s="12"/>
      <c r="O98" s="119"/>
      <c r="P98" s="95" t="str">
        <f t="shared" si="8"/>
        <v/>
      </c>
      <c r="Q98" s="12"/>
      <c r="S98" s="128"/>
      <c r="T98" s="66"/>
      <c r="U98" s="128"/>
      <c r="W98" s="128"/>
      <c r="X98" s="12"/>
      <c r="Y98" t="str">
        <f t="shared" si="9"/>
        <v/>
      </c>
      <c r="Z98" t="str">
        <f t="shared" si="9"/>
        <v/>
      </c>
      <c r="AA98" s="12"/>
      <c r="AB98" s="95" t="e">
        <f t="shared" si="10"/>
        <v>#VALUE!</v>
      </c>
      <c r="AC98" s="95" t="e">
        <f t="shared" si="11"/>
        <v>#VALUE!</v>
      </c>
      <c r="AD98" s="12"/>
    </row>
    <row r="99" spans="1:30" ht="15.75" thickBot="1" x14ac:dyDescent="0.3">
      <c r="A99" s="12"/>
      <c r="B99" s="22"/>
      <c r="C99" t="str">
        <f>IF(AND('ENTRY DATA'!D99=""),"",('ENTRY DATA'!D99))</f>
        <v/>
      </c>
      <c r="D99" t="str">
        <f>IF(AND('ENTRY DATA'!F99=""),"",('ENTRY DATA'!F99))</f>
        <v/>
      </c>
      <c r="E99" s="34" t="str">
        <f>IF(AND('ENTRY DATA'!B99=""),"",('ENTRY DATA'!B99))</f>
        <v/>
      </c>
      <c r="F99" s="12"/>
      <c r="G99" s="12"/>
      <c r="H99" s="72"/>
      <c r="I99" s="71"/>
      <c r="J99" s="72"/>
      <c r="K99" s="12"/>
      <c r="L99" s="20">
        <f t="shared" si="6"/>
        <v>0</v>
      </c>
      <c r="M99" s="19" t="str">
        <f t="shared" si="7"/>
        <v/>
      </c>
      <c r="N99" s="12"/>
      <c r="O99" s="119"/>
      <c r="P99" s="95" t="str">
        <f t="shared" si="8"/>
        <v/>
      </c>
      <c r="Q99" s="12"/>
      <c r="S99" s="128"/>
      <c r="T99" s="66"/>
      <c r="U99" s="128"/>
      <c r="W99" s="128"/>
      <c r="X99" s="12"/>
      <c r="Y99" t="str">
        <f t="shared" si="9"/>
        <v/>
      </c>
      <c r="Z99" t="str">
        <f t="shared" si="9"/>
        <v/>
      </c>
      <c r="AA99" s="12"/>
      <c r="AB99" s="95" t="e">
        <f t="shared" si="10"/>
        <v>#VALUE!</v>
      </c>
      <c r="AC99" s="95" t="e">
        <f t="shared" si="11"/>
        <v>#VALUE!</v>
      </c>
      <c r="AD99" s="12"/>
    </row>
    <row r="100" spans="1:30" ht="15.75" thickBot="1" x14ac:dyDescent="0.3">
      <c r="A100" s="12"/>
      <c r="B100" s="22"/>
      <c r="C100" t="str">
        <f>IF(AND('ENTRY DATA'!D100=""),"",('ENTRY DATA'!D100))</f>
        <v/>
      </c>
      <c r="D100" t="str">
        <f>IF(AND('ENTRY DATA'!F100=""),"",('ENTRY DATA'!F100))</f>
        <v/>
      </c>
      <c r="E100" s="34" t="str">
        <f>IF(AND('ENTRY DATA'!B100=""),"",('ENTRY DATA'!B100))</f>
        <v/>
      </c>
      <c r="F100" s="12"/>
      <c r="G100" s="12"/>
      <c r="H100" s="72"/>
      <c r="I100" s="71"/>
      <c r="J100" s="72"/>
      <c r="K100" s="12"/>
      <c r="L100" s="20">
        <f t="shared" si="6"/>
        <v>0</v>
      </c>
      <c r="M100" s="19" t="str">
        <f t="shared" si="7"/>
        <v/>
      </c>
      <c r="N100" s="12"/>
      <c r="O100" s="119"/>
      <c r="P100" s="95" t="str">
        <f t="shared" si="8"/>
        <v/>
      </c>
      <c r="Q100" s="12"/>
      <c r="S100" s="128"/>
      <c r="T100" s="66"/>
      <c r="U100" s="128"/>
      <c r="W100" s="128"/>
      <c r="X100" s="12"/>
      <c r="Y100" t="str">
        <f t="shared" si="9"/>
        <v/>
      </c>
      <c r="Z100" t="str">
        <f t="shared" si="9"/>
        <v/>
      </c>
      <c r="AA100" s="12"/>
      <c r="AB100" s="95" t="e">
        <f t="shared" si="10"/>
        <v>#VALUE!</v>
      </c>
      <c r="AC100" s="95" t="e">
        <f t="shared" si="11"/>
        <v>#VALUE!</v>
      </c>
      <c r="AD100" s="12"/>
    </row>
    <row r="101" spans="1:30" ht="15.75" thickBot="1" x14ac:dyDescent="0.3">
      <c r="A101" s="12"/>
      <c r="B101" s="22"/>
      <c r="C101" t="str">
        <f>IF(AND('ENTRY DATA'!D101=""),"",('ENTRY DATA'!D101))</f>
        <v/>
      </c>
      <c r="D101" t="str">
        <f>IF(AND('ENTRY DATA'!F101=""),"",('ENTRY DATA'!F101))</f>
        <v/>
      </c>
      <c r="E101" s="34" t="str">
        <f>IF(AND('ENTRY DATA'!B101=""),"",('ENTRY DATA'!B101))</f>
        <v/>
      </c>
      <c r="F101" s="12"/>
      <c r="G101" s="12"/>
      <c r="H101" s="72"/>
      <c r="I101" s="71"/>
      <c r="J101" s="72"/>
      <c r="K101" s="12"/>
      <c r="L101" s="20">
        <f t="shared" si="6"/>
        <v>0</v>
      </c>
      <c r="M101" s="19" t="str">
        <f t="shared" si="7"/>
        <v/>
      </c>
      <c r="N101" s="12"/>
      <c r="O101" s="119"/>
      <c r="P101" s="95" t="str">
        <f t="shared" si="8"/>
        <v/>
      </c>
      <c r="Q101" s="12"/>
      <c r="S101" s="128"/>
      <c r="T101" s="66"/>
      <c r="U101" s="128"/>
      <c r="W101" s="128"/>
      <c r="X101" s="12"/>
      <c r="Y101" t="str">
        <f t="shared" si="9"/>
        <v/>
      </c>
      <c r="Z101" t="str">
        <f t="shared" si="9"/>
        <v/>
      </c>
      <c r="AA101" s="12"/>
      <c r="AB101" s="95" t="e">
        <f t="shared" si="10"/>
        <v>#VALUE!</v>
      </c>
      <c r="AC101" s="95" t="e">
        <f t="shared" si="11"/>
        <v>#VALUE!</v>
      </c>
      <c r="AD101" s="12"/>
    </row>
    <row r="102" spans="1:30" ht="15.75" thickBot="1" x14ac:dyDescent="0.3">
      <c r="A102" s="12"/>
      <c r="B102" s="22"/>
      <c r="C102" t="str">
        <f>IF(AND('ENTRY DATA'!D102=""),"",('ENTRY DATA'!D102))</f>
        <v/>
      </c>
      <c r="D102" t="str">
        <f>IF(AND('ENTRY DATA'!F102=""),"",('ENTRY DATA'!F102))</f>
        <v/>
      </c>
      <c r="E102" s="34" t="str">
        <f>IF(AND('ENTRY DATA'!B102=""),"",('ENTRY DATA'!B102))</f>
        <v/>
      </c>
      <c r="F102" s="12"/>
      <c r="G102" s="12"/>
      <c r="H102" s="72"/>
      <c r="I102" s="71"/>
      <c r="J102" s="72"/>
      <c r="K102" s="12"/>
      <c r="L102" s="20">
        <f t="shared" si="6"/>
        <v>0</v>
      </c>
      <c r="M102" s="19" t="str">
        <f t="shared" si="7"/>
        <v/>
      </c>
      <c r="N102" s="12"/>
      <c r="O102" s="119"/>
      <c r="P102" s="95" t="str">
        <f t="shared" si="8"/>
        <v/>
      </c>
      <c r="Q102" s="12"/>
      <c r="S102" s="128"/>
      <c r="T102" s="66"/>
      <c r="U102" s="128"/>
      <c r="W102" s="128"/>
      <c r="X102" s="12"/>
      <c r="Y102" t="str">
        <f t="shared" si="9"/>
        <v/>
      </c>
      <c r="Z102" t="str">
        <f t="shared" si="9"/>
        <v/>
      </c>
      <c r="AA102" s="12"/>
      <c r="AB102" s="95" t="e">
        <f t="shared" si="10"/>
        <v>#VALUE!</v>
      </c>
      <c r="AC102" s="95" t="e">
        <f t="shared" si="11"/>
        <v>#VALUE!</v>
      </c>
      <c r="AD102" s="12"/>
    </row>
    <row r="103" spans="1:30" ht="15.75" thickBot="1" x14ac:dyDescent="0.3">
      <c r="A103" s="12"/>
      <c r="B103" s="22"/>
      <c r="C103" t="str">
        <f>IF(AND('ENTRY DATA'!D103=""),"",('ENTRY DATA'!D103))</f>
        <v/>
      </c>
      <c r="D103" t="str">
        <f>IF(AND('ENTRY DATA'!F103=""),"",('ENTRY DATA'!F103))</f>
        <v/>
      </c>
      <c r="E103" s="34" t="str">
        <f>IF(AND('ENTRY DATA'!B103=""),"",('ENTRY DATA'!B103))</f>
        <v/>
      </c>
      <c r="F103" s="12"/>
      <c r="G103" s="12"/>
      <c r="H103" s="72"/>
      <c r="I103" s="71"/>
      <c r="J103" s="72"/>
      <c r="K103" s="12"/>
      <c r="L103" s="20">
        <f t="shared" si="6"/>
        <v>0</v>
      </c>
      <c r="M103" s="19" t="str">
        <f t="shared" si="7"/>
        <v/>
      </c>
      <c r="N103" s="12"/>
      <c r="O103" s="119"/>
      <c r="P103" s="95" t="str">
        <f t="shared" si="8"/>
        <v/>
      </c>
      <c r="Q103" s="12"/>
      <c r="S103" s="128"/>
      <c r="T103" s="66"/>
      <c r="U103" s="128"/>
      <c r="W103" s="128"/>
      <c r="X103" s="12"/>
      <c r="Y103" t="str">
        <f t="shared" si="9"/>
        <v/>
      </c>
      <c r="Z103" t="str">
        <f t="shared" si="9"/>
        <v/>
      </c>
      <c r="AA103" s="12"/>
      <c r="AB103" s="95" t="e">
        <f t="shared" si="10"/>
        <v>#VALUE!</v>
      </c>
      <c r="AC103" s="95" t="e">
        <f t="shared" si="11"/>
        <v>#VALUE!</v>
      </c>
      <c r="AD103" s="12"/>
    </row>
    <row r="104" spans="1:30" ht="15.75" thickBot="1" x14ac:dyDescent="0.3">
      <c r="A104" s="12"/>
      <c r="B104" s="22"/>
      <c r="C104" t="str">
        <f>IF(AND('ENTRY DATA'!D104=""),"",('ENTRY DATA'!D104))</f>
        <v/>
      </c>
      <c r="D104" t="str">
        <f>IF(AND('ENTRY DATA'!F104=""),"",('ENTRY DATA'!F104))</f>
        <v/>
      </c>
      <c r="E104" s="34" t="str">
        <f>IF(AND('ENTRY DATA'!B104=""),"",('ENTRY DATA'!B104))</f>
        <v/>
      </c>
      <c r="F104" s="12"/>
      <c r="G104" s="12"/>
      <c r="H104" s="72"/>
      <c r="I104" s="71"/>
      <c r="J104" s="72"/>
      <c r="K104" s="12"/>
      <c r="L104" s="20">
        <f t="shared" si="6"/>
        <v>0</v>
      </c>
      <c r="M104" s="19" t="str">
        <f t="shared" si="7"/>
        <v/>
      </c>
      <c r="N104" s="12"/>
      <c r="O104" s="119"/>
      <c r="P104" s="95" t="str">
        <f t="shared" si="8"/>
        <v/>
      </c>
      <c r="Q104" s="12"/>
      <c r="S104" s="128"/>
      <c r="T104" s="66"/>
      <c r="U104" s="128"/>
      <c r="W104" s="128"/>
      <c r="X104" s="12"/>
      <c r="Y104" t="str">
        <f t="shared" si="9"/>
        <v/>
      </c>
      <c r="Z104" t="str">
        <f t="shared" si="9"/>
        <v/>
      </c>
      <c r="AA104" s="12"/>
      <c r="AB104" s="95" t="e">
        <f t="shared" si="10"/>
        <v>#VALUE!</v>
      </c>
      <c r="AC104" s="95" t="e">
        <f t="shared" si="11"/>
        <v>#VALUE!</v>
      </c>
      <c r="AD104" s="12"/>
    </row>
    <row r="105" spans="1:30" ht="15.75" thickBot="1" x14ac:dyDescent="0.3">
      <c r="A105" s="12"/>
      <c r="B105" s="22"/>
      <c r="C105" t="str">
        <f>IF(AND('ENTRY DATA'!D105=""),"",('ENTRY DATA'!D105))</f>
        <v/>
      </c>
      <c r="D105" t="str">
        <f>IF(AND('ENTRY DATA'!F105=""),"",('ENTRY DATA'!F105))</f>
        <v/>
      </c>
      <c r="E105" s="34" t="str">
        <f>IF(AND('ENTRY DATA'!B105=""),"",('ENTRY DATA'!B105))</f>
        <v/>
      </c>
      <c r="F105" s="12"/>
      <c r="G105" s="12"/>
      <c r="H105" s="72"/>
      <c r="I105" s="71"/>
      <c r="J105" s="72"/>
      <c r="K105" s="12"/>
      <c r="L105" s="20">
        <f t="shared" si="6"/>
        <v>0</v>
      </c>
      <c r="M105" s="19" t="str">
        <f t="shared" si="7"/>
        <v/>
      </c>
      <c r="N105" s="12"/>
      <c r="O105" s="119"/>
      <c r="P105" s="95" t="str">
        <f t="shared" si="8"/>
        <v/>
      </c>
      <c r="Q105" s="12"/>
      <c r="S105" s="128"/>
      <c r="T105" s="66"/>
      <c r="U105" s="128"/>
      <c r="W105" s="128"/>
      <c r="X105" s="12"/>
      <c r="Y105" t="str">
        <f t="shared" si="9"/>
        <v/>
      </c>
      <c r="Z105" t="str">
        <f t="shared" si="9"/>
        <v/>
      </c>
      <c r="AA105" s="12"/>
      <c r="AB105" s="95" t="e">
        <f t="shared" si="10"/>
        <v>#VALUE!</v>
      </c>
      <c r="AC105" s="95" t="e">
        <f t="shared" si="11"/>
        <v>#VALUE!</v>
      </c>
      <c r="AD105" s="12"/>
    </row>
    <row r="106" spans="1:30" ht="15.75" thickBot="1" x14ac:dyDescent="0.3">
      <c r="A106" s="12"/>
      <c r="B106" s="22"/>
      <c r="C106" t="str">
        <f>IF(AND('ENTRY DATA'!D106=""),"",('ENTRY DATA'!D106))</f>
        <v/>
      </c>
      <c r="D106" t="str">
        <f>IF(AND('ENTRY DATA'!F106=""),"",('ENTRY DATA'!F106))</f>
        <v/>
      </c>
      <c r="E106" s="34" t="str">
        <f>IF(AND('ENTRY DATA'!B106=""),"",('ENTRY DATA'!B106))</f>
        <v/>
      </c>
      <c r="F106" s="12"/>
      <c r="G106" s="12"/>
      <c r="H106" s="72"/>
      <c r="I106" s="71"/>
      <c r="J106" s="72"/>
      <c r="K106" s="12"/>
      <c r="L106" s="20">
        <f t="shared" si="6"/>
        <v>0</v>
      </c>
      <c r="M106" s="19" t="str">
        <f t="shared" si="7"/>
        <v/>
      </c>
      <c r="N106" s="12"/>
      <c r="O106" s="119"/>
      <c r="P106" s="95" t="str">
        <f t="shared" si="8"/>
        <v/>
      </c>
      <c r="Q106" s="12"/>
      <c r="S106" s="128"/>
      <c r="T106" s="66"/>
      <c r="U106" s="128"/>
      <c r="W106" s="128"/>
      <c r="X106" s="12"/>
      <c r="Y106" t="str">
        <f t="shared" si="9"/>
        <v/>
      </c>
      <c r="Z106" t="str">
        <f t="shared" si="9"/>
        <v/>
      </c>
      <c r="AA106" s="12"/>
      <c r="AB106" s="95" t="e">
        <f t="shared" si="10"/>
        <v>#VALUE!</v>
      </c>
      <c r="AC106" s="95" t="e">
        <f t="shared" si="11"/>
        <v>#VALUE!</v>
      </c>
      <c r="AD106" s="12"/>
    </row>
    <row r="107" spans="1:30" ht="15.75" thickBot="1" x14ac:dyDescent="0.3">
      <c r="A107" s="12"/>
      <c r="B107" s="22"/>
      <c r="C107" t="str">
        <f>IF(AND('ENTRY DATA'!D107=""),"",('ENTRY DATA'!D107))</f>
        <v/>
      </c>
      <c r="D107" t="str">
        <f>IF(AND('ENTRY DATA'!F107=""),"",('ENTRY DATA'!F107))</f>
        <v/>
      </c>
      <c r="E107" s="34" t="str">
        <f>IF(AND('ENTRY DATA'!B107=""),"",('ENTRY DATA'!B107))</f>
        <v/>
      </c>
      <c r="F107" s="12"/>
      <c r="G107" s="12"/>
      <c r="H107" s="72"/>
      <c r="I107" s="71"/>
      <c r="J107" s="72"/>
      <c r="K107" s="12"/>
      <c r="L107" s="20">
        <f t="shared" si="6"/>
        <v>0</v>
      </c>
      <c r="M107" s="19" t="str">
        <f t="shared" si="7"/>
        <v/>
      </c>
      <c r="N107" s="12"/>
      <c r="O107" s="119"/>
      <c r="P107" s="95" t="str">
        <f t="shared" si="8"/>
        <v/>
      </c>
      <c r="Q107" s="12"/>
      <c r="S107" s="128"/>
      <c r="T107" s="66"/>
      <c r="U107" s="128"/>
      <c r="W107" s="128"/>
      <c r="X107" s="12"/>
      <c r="Y107" t="str">
        <f t="shared" si="9"/>
        <v/>
      </c>
      <c r="Z107" t="str">
        <f t="shared" si="9"/>
        <v/>
      </c>
      <c r="AA107" s="12"/>
      <c r="AB107" s="95" t="e">
        <f t="shared" si="10"/>
        <v>#VALUE!</v>
      </c>
      <c r="AC107" s="95" t="e">
        <f t="shared" si="11"/>
        <v>#VALUE!</v>
      </c>
      <c r="AD107" s="12"/>
    </row>
    <row r="108" spans="1:30" ht="15.75" thickBot="1" x14ac:dyDescent="0.3">
      <c r="A108" s="12"/>
      <c r="B108" s="22"/>
      <c r="C108" t="str">
        <f>IF(AND('ENTRY DATA'!D108=""),"",('ENTRY DATA'!D108))</f>
        <v/>
      </c>
      <c r="D108" t="str">
        <f>IF(AND('ENTRY DATA'!F108=""),"",('ENTRY DATA'!F108))</f>
        <v/>
      </c>
      <c r="E108" s="34" t="str">
        <f>IF(AND('ENTRY DATA'!B108=""),"",('ENTRY DATA'!B108))</f>
        <v/>
      </c>
      <c r="F108" s="12"/>
      <c r="G108" s="12"/>
      <c r="H108" s="72"/>
      <c r="I108" s="71"/>
      <c r="J108" s="72"/>
      <c r="K108" s="12"/>
      <c r="L108" s="20">
        <f t="shared" si="6"/>
        <v>0</v>
      </c>
      <c r="M108" s="19" t="str">
        <f t="shared" si="7"/>
        <v/>
      </c>
      <c r="N108" s="12"/>
      <c r="O108" s="119"/>
      <c r="P108" s="95" t="str">
        <f t="shared" si="8"/>
        <v/>
      </c>
      <c r="Q108" s="12"/>
      <c r="S108" s="128"/>
      <c r="T108" s="66"/>
      <c r="U108" s="128"/>
      <c r="W108" s="128"/>
      <c r="X108" s="12"/>
      <c r="Y108" t="str">
        <f t="shared" si="9"/>
        <v/>
      </c>
      <c r="Z108" t="str">
        <f t="shared" si="9"/>
        <v/>
      </c>
      <c r="AA108" s="12"/>
      <c r="AB108" s="95" t="e">
        <f t="shared" si="10"/>
        <v>#VALUE!</v>
      </c>
      <c r="AC108" s="95" t="e">
        <f t="shared" si="11"/>
        <v>#VALUE!</v>
      </c>
      <c r="AD108" s="12"/>
    </row>
    <row r="109" spans="1:30" ht="15.75" thickBot="1" x14ac:dyDescent="0.3">
      <c r="A109" s="12"/>
      <c r="B109" s="22"/>
      <c r="C109" t="str">
        <f>IF(AND('ENTRY DATA'!D109=""),"",('ENTRY DATA'!D109))</f>
        <v/>
      </c>
      <c r="D109" t="str">
        <f>IF(AND('ENTRY DATA'!F109=""),"",('ENTRY DATA'!F109))</f>
        <v/>
      </c>
      <c r="E109" s="34" t="str">
        <f>IF(AND('ENTRY DATA'!B109=""),"",('ENTRY DATA'!B109))</f>
        <v/>
      </c>
      <c r="F109" s="12"/>
      <c r="G109" s="12"/>
      <c r="H109" s="72"/>
      <c r="I109" s="71"/>
      <c r="J109" s="72"/>
      <c r="K109" s="12"/>
      <c r="L109" s="20">
        <f t="shared" si="6"/>
        <v>0</v>
      </c>
      <c r="M109" s="19" t="str">
        <f t="shared" si="7"/>
        <v/>
      </c>
      <c r="N109" s="12"/>
      <c r="O109" s="119"/>
      <c r="P109" s="95" t="str">
        <f t="shared" si="8"/>
        <v/>
      </c>
      <c r="Q109" s="12"/>
      <c r="S109" s="128"/>
      <c r="T109" s="66"/>
      <c r="U109" s="128"/>
      <c r="W109" s="128"/>
      <c r="X109" s="12"/>
      <c r="Y109" t="str">
        <f t="shared" si="9"/>
        <v/>
      </c>
      <c r="Z109" t="str">
        <f t="shared" si="9"/>
        <v/>
      </c>
      <c r="AA109" s="12"/>
      <c r="AB109" s="95" t="e">
        <f t="shared" si="10"/>
        <v>#VALUE!</v>
      </c>
      <c r="AC109" s="95" t="e">
        <f t="shared" si="11"/>
        <v>#VALUE!</v>
      </c>
      <c r="AD109" s="12"/>
    </row>
    <row r="110" spans="1:30" ht="15.75" thickBot="1" x14ac:dyDescent="0.3">
      <c r="A110" s="12"/>
      <c r="B110" s="22"/>
      <c r="C110" t="str">
        <f>IF(AND('ENTRY DATA'!D110=""),"",('ENTRY DATA'!D110))</f>
        <v/>
      </c>
      <c r="D110" t="str">
        <f>IF(AND('ENTRY DATA'!F110=""),"",('ENTRY DATA'!F110))</f>
        <v/>
      </c>
      <c r="E110" s="34" t="str">
        <f>IF(AND('ENTRY DATA'!B110=""),"",('ENTRY DATA'!B110))</f>
        <v/>
      </c>
      <c r="F110" s="12"/>
      <c r="G110" s="12"/>
      <c r="H110" s="72"/>
      <c r="I110" s="71"/>
      <c r="J110" s="72"/>
      <c r="K110" s="12"/>
      <c r="L110" s="20">
        <f t="shared" si="6"/>
        <v>0</v>
      </c>
      <c r="M110" s="19" t="str">
        <f t="shared" si="7"/>
        <v/>
      </c>
      <c r="N110" s="12"/>
      <c r="O110" s="119"/>
      <c r="P110" s="95" t="str">
        <f t="shared" si="8"/>
        <v/>
      </c>
      <c r="Q110" s="12"/>
      <c r="S110" s="128"/>
      <c r="T110" s="66"/>
      <c r="U110" s="128"/>
      <c r="W110" s="128"/>
      <c r="X110" s="12"/>
      <c r="Y110" t="str">
        <f t="shared" si="9"/>
        <v/>
      </c>
      <c r="Z110" t="str">
        <f t="shared" si="9"/>
        <v/>
      </c>
      <c r="AA110" s="12"/>
      <c r="AB110" s="95" t="e">
        <f t="shared" si="10"/>
        <v>#VALUE!</v>
      </c>
      <c r="AC110" s="95" t="e">
        <f t="shared" si="11"/>
        <v>#VALUE!</v>
      </c>
      <c r="AD110" s="12"/>
    </row>
    <row r="111" spans="1:30" ht="15.75" thickBot="1" x14ac:dyDescent="0.3">
      <c r="A111" s="12"/>
      <c r="B111" s="22"/>
      <c r="C111" t="str">
        <f>IF(AND('ENTRY DATA'!D111=""),"",('ENTRY DATA'!D111))</f>
        <v/>
      </c>
      <c r="D111" t="str">
        <f>IF(AND('ENTRY DATA'!F111=""),"",('ENTRY DATA'!F111))</f>
        <v/>
      </c>
      <c r="E111" s="34" t="str">
        <f>IF(AND('ENTRY DATA'!B111=""),"",('ENTRY DATA'!B111))</f>
        <v/>
      </c>
      <c r="F111" s="12"/>
      <c r="G111" s="12"/>
      <c r="H111" s="72"/>
      <c r="I111" s="71"/>
      <c r="J111" s="72"/>
      <c r="K111" s="12"/>
      <c r="L111" s="20">
        <f t="shared" si="6"/>
        <v>0</v>
      </c>
      <c r="M111" s="19" t="str">
        <f t="shared" si="7"/>
        <v/>
      </c>
      <c r="N111" s="12"/>
      <c r="O111" s="119"/>
      <c r="P111" s="95" t="str">
        <f t="shared" si="8"/>
        <v/>
      </c>
      <c r="Q111" s="12"/>
      <c r="S111" s="128"/>
      <c r="T111" s="66"/>
      <c r="U111" s="128"/>
      <c r="W111" s="128"/>
      <c r="X111" s="12"/>
      <c r="Y111" t="str">
        <f t="shared" si="9"/>
        <v/>
      </c>
      <c r="Z111" t="str">
        <f t="shared" si="9"/>
        <v/>
      </c>
      <c r="AA111" s="12"/>
      <c r="AB111" s="95" t="e">
        <f t="shared" si="10"/>
        <v>#VALUE!</v>
      </c>
      <c r="AC111" s="95" t="e">
        <f t="shared" si="11"/>
        <v>#VALUE!</v>
      </c>
      <c r="AD111" s="12"/>
    </row>
    <row r="112" spans="1:30" ht="15.75" thickBot="1" x14ac:dyDescent="0.3">
      <c r="A112" s="12"/>
      <c r="B112" s="22"/>
      <c r="C112" t="str">
        <f>IF(AND('ENTRY DATA'!D112=""),"",('ENTRY DATA'!D112))</f>
        <v/>
      </c>
      <c r="D112" t="str">
        <f>IF(AND('ENTRY DATA'!F112=""),"",('ENTRY DATA'!F112))</f>
        <v/>
      </c>
      <c r="E112" s="34" t="str">
        <f>IF(AND('ENTRY DATA'!B112=""),"",('ENTRY DATA'!B112))</f>
        <v/>
      </c>
      <c r="F112" s="12"/>
      <c r="G112" s="12"/>
      <c r="H112" s="72"/>
      <c r="I112" s="71"/>
      <c r="J112" s="72"/>
      <c r="K112" s="12"/>
      <c r="L112" s="20">
        <f t="shared" si="6"/>
        <v>0</v>
      </c>
      <c r="M112" s="19" t="str">
        <f t="shared" si="7"/>
        <v/>
      </c>
      <c r="N112" s="12"/>
      <c r="O112" s="119"/>
      <c r="P112" s="95" t="str">
        <f t="shared" si="8"/>
        <v/>
      </c>
      <c r="Q112" s="12"/>
      <c r="S112" s="128"/>
      <c r="T112" s="66"/>
      <c r="U112" s="128"/>
      <c r="W112" s="128"/>
      <c r="X112" s="12"/>
      <c r="Y112" t="str">
        <f t="shared" si="9"/>
        <v/>
      </c>
      <c r="Z112" t="str">
        <f t="shared" si="9"/>
        <v/>
      </c>
      <c r="AA112" s="12"/>
      <c r="AB112" s="95" t="e">
        <f t="shared" si="10"/>
        <v>#VALUE!</v>
      </c>
      <c r="AC112" s="95" t="e">
        <f t="shared" si="11"/>
        <v>#VALUE!</v>
      </c>
      <c r="AD112" s="12"/>
    </row>
    <row r="113" spans="1:30" ht="15.75" thickBot="1" x14ac:dyDescent="0.3">
      <c r="A113" s="12"/>
      <c r="B113" s="22"/>
      <c r="C113" t="str">
        <f>IF(AND('ENTRY DATA'!D113=""),"",('ENTRY DATA'!D113))</f>
        <v/>
      </c>
      <c r="D113" t="str">
        <f>IF(AND('ENTRY DATA'!F113=""),"",('ENTRY DATA'!F113))</f>
        <v/>
      </c>
      <c r="E113" s="34" t="str">
        <f>IF(AND('ENTRY DATA'!B113=""),"",('ENTRY DATA'!B113))</f>
        <v/>
      </c>
      <c r="F113" s="12"/>
      <c r="G113" s="12"/>
      <c r="H113" s="72"/>
      <c r="I113" s="71"/>
      <c r="J113" s="72"/>
      <c r="K113" s="12"/>
      <c r="L113" s="20">
        <f t="shared" si="6"/>
        <v>0</v>
      </c>
      <c r="M113" s="19" t="str">
        <f t="shared" si="7"/>
        <v/>
      </c>
      <c r="N113" s="12"/>
      <c r="O113" s="119"/>
      <c r="P113" s="95" t="str">
        <f t="shared" si="8"/>
        <v/>
      </c>
      <c r="Q113" s="12"/>
      <c r="S113" s="128"/>
      <c r="T113" s="66"/>
      <c r="U113" s="128"/>
      <c r="W113" s="128"/>
      <c r="X113" s="12"/>
      <c r="Y113" t="str">
        <f t="shared" si="9"/>
        <v/>
      </c>
      <c r="Z113" t="str">
        <f t="shared" si="9"/>
        <v/>
      </c>
      <c r="AA113" s="12"/>
      <c r="AB113" s="95" t="e">
        <f t="shared" si="10"/>
        <v>#VALUE!</v>
      </c>
      <c r="AC113" s="95" t="e">
        <f t="shared" si="11"/>
        <v>#VALUE!</v>
      </c>
      <c r="AD113" s="12"/>
    </row>
    <row r="114" spans="1:30" ht="15.75" thickBot="1" x14ac:dyDescent="0.3">
      <c r="A114" s="12"/>
      <c r="B114" s="22"/>
      <c r="C114" t="str">
        <f>IF(AND('ENTRY DATA'!D114=""),"",('ENTRY DATA'!D114))</f>
        <v/>
      </c>
      <c r="D114" t="str">
        <f>IF(AND('ENTRY DATA'!F114=""),"",('ENTRY DATA'!F114))</f>
        <v/>
      </c>
      <c r="E114" s="34" t="str">
        <f>IF(AND('ENTRY DATA'!B114=""),"",('ENTRY DATA'!B114))</f>
        <v/>
      </c>
      <c r="F114" s="12"/>
      <c r="G114" s="12"/>
      <c r="H114" s="72"/>
      <c r="I114" s="71"/>
      <c r="J114" s="72"/>
      <c r="K114" s="12"/>
      <c r="L114" s="20">
        <f t="shared" si="6"/>
        <v>0</v>
      </c>
      <c r="M114" s="19" t="str">
        <f t="shared" si="7"/>
        <v/>
      </c>
      <c r="N114" s="12"/>
      <c r="O114" s="119"/>
      <c r="P114" s="95" t="str">
        <f t="shared" si="8"/>
        <v/>
      </c>
      <c r="Q114" s="12"/>
      <c r="S114" s="128"/>
      <c r="T114" s="66"/>
      <c r="U114" s="128"/>
      <c r="W114" s="128"/>
      <c r="X114" s="12"/>
      <c r="Y114" t="str">
        <f t="shared" si="9"/>
        <v/>
      </c>
      <c r="Z114" t="str">
        <f t="shared" si="9"/>
        <v/>
      </c>
      <c r="AA114" s="12"/>
      <c r="AB114" s="95" t="e">
        <f t="shared" si="10"/>
        <v>#VALUE!</v>
      </c>
      <c r="AC114" s="95" t="e">
        <f t="shared" si="11"/>
        <v>#VALUE!</v>
      </c>
      <c r="AD114" s="12"/>
    </row>
    <row r="115" spans="1:30" ht="15.75" thickBot="1" x14ac:dyDescent="0.3">
      <c r="A115" s="12"/>
      <c r="B115" s="22"/>
      <c r="C115" t="str">
        <f>IF(AND('ENTRY DATA'!D115=""),"",('ENTRY DATA'!D115))</f>
        <v/>
      </c>
      <c r="D115" t="str">
        <f>IF(AND('ENTRY DATA'!F115=""),"",('ENTRY DATA'!F115))</f>
        <v/>
      </c>
      <c r="E115" s="34" t="str">
        <f>IF(AND('ENTRY DATA'!B115=""),"",('ENTRY DATA'!B115))</f>
        <v/>
      </c>
      <c r="F115" s="12"/>
      <c r="G115" s="12"/>
      <c r="H115" s="72"/>
      <c r="I115" s="71"/>
      <c r="J115" s="72"/>
      <c r="K115" s="12"/>
      <c r="L115" s="20">
        <f t="shared" si="6"/>
        <v>0</v>
      </c>
      <c r="M115" s="19" t="str">
        <f t="shared" si="7"/>
        <v/>
      </c>
      <c r="N115" s="12"/>
      <c r="O115" s="119"/>
      <c r="P115" s="95" t="str">
        <f t="shared" si="8"/>
        <v/>
      </c>
      <c r="Q115" s="12"/>
      <c r="S115" s="128"/>
      <c r="T115" s="66"/>
      <c r="U115" s="128"/>
      <c r="W115" s="128"/>
      <c r="X115" s="12"/>
      <c r="Y115" t="str">
        <f t="shared" si="9"/>
        <v/>
      </c>
      <c r="Z115" t="str">
        <f t="shared" si="9"/>
        <v/>
      </c>
      <c r="AA115" s="12"/>
      <c r="AB115" s="95" t="e">
        <f t="shared" si="10"/>
        <v>#VALUE!</v>
      </c>
      <c r="AC115" s="95" t="e">
        <f t="shared" si="11"/>
        <v>#VALUE!</v>
      </c>
      <c r="AD115" s="12"/>
    </row>
    <row r="116" spans="1:30" ht="15.75" thickBot="1" x14ac:dyDescent="0.3">
      <c r="A116" s="12"/>
      <c r="B116" s="22"/>
      <c r="C116" t="str">
        <f>IF(AND('ENTRY DATA'!D116=""),"",('ENTRY DATA'!D116))</f>
        <v/>
      </c>
      <c r="D116" t="str">
        <f>IF(AND('ENTRY DATA'!F116=""),"",('ENTRY DATA'!F116))</f>
        <v/>
      </c>
      <c r="E116" s="34" t="str">
        <f>IF(AND('ENTRY DATA'!B116=""),"",('ENTRY DATA'!B116))</f>
        <v/>
      </c>
      <c r="F116" s="12"/>
      <c r="G116" s="12"/>
      <c r="H116" s="72"/>
      <c r="I116" s="71"/>
      <c r="J116" s="72"/>
      <c r="K116" s="12"/>
      <c r="L116" s="20">
        <f t="shared" si="6"/>
        <v>0</v>
      </c>
      <c r="M116" s="19" t="str">
        <f t="shared" si="7"/>
        <v/>
      </c>
      <c r="N116" s="12"/>
      <c r="O116" s="119"/>
      <c r="P116" s="95" t="str">
        <f t="shared" si="8"/>
        <v/>
      </c>
      <c r="Q116" s="12"/>
      <c r="S116" s="128"/>
      <c r="T116" s="66"/>
      <c r="U116" s="128"/>
      <c r="W116" s="128"/>
      <c r="X116" s="12"/>
      <c r="Y116" t="str">
        <f t="shared" si="9"/>
        <v/>
      </c>
      <c r="Z116" t="str">
        <f t="shared" si="9"/>
        <v/>
      </c>
      <c r="AA116" s="12"/>
      <c r="AB116" s="95" t="e">
        <f t="shared" si="10"/>
        <v>#VALUE!</v>
      </c>
      <c r="AC116" s="95" t="e">
        <f t="shared" si="11"/>
        <v>#VALUE!</v>
      </c>
      <c r="AD116" s="12"/>
    </row>
    <row r="117" spans="1:30" ht="15.75" thickBot="1" x14ac:dyDescent="0.3">
      <c r="A117" s="12"/>
      <c r="B117" s="22"/>
      <c r="C117" t="str">
        <f>IF(AND('ENTRY DATA'!D117=""),"",('ENTRY DATA'!D117))</f>
        <v/>
      </c>
      <c r="D117" t="str">
        <f>IF(AND('ENTRY DATA'!F117=""),"",('ENTRY DATA'!F117))</f>
        <v/>
      </c>
      <c r="E117" s="34" t="str">
        <f>IF(AND('ENTRY DATA'!B117=""),"",('ENTRY DATA'!B117))</f>
        <v/>
      </c>
      <c r="F117" s="12"/>
      <c r="G117" s="12"/>
      <c r="H117" s="72"/>
      <c r="I117" s="71"/>
      <c r="J117" s="72"/>
      <c r="K117" s="12"/>
      <c r="L117" s="20">
        <f t="shared" si="6"/>
        <v>0</v>
      </c>
      <c r="M117" s="19" t="str">
        <f t="shared" si="7"/>
        <v/>
      </c>
      <c r="N117" s="12"/>
      <c r="O117" s="119"/>
      <c r="P117" s="95" t="str">
        <f t="shared" si="8"/>
        <v/>
      </c>
      <c r="Q117" s="12"/>
      <c r="S117" s="128"/>
      <c r="T117" s="66"/>
      <c r="U117" s="128"/>
      <c r="W117" s="128"/>
      <c r="X117" s="12"/>
      <c r="Y117" t="str">
        <f t="shared" si="9"/>
        <v/>
      </c>
      <c r="Z117" t="str">
        <f t="shared" si="9"/>
        <v/>
      </c>
      <c r="AA117" s="12"/>
      <c r="AB117" s="95" t="e">
        <f t="shared" si="10"/>
        <v>#VALUE!</v>
      </c>
      <c r="AC117" s="95" t="e">
        <f t="shared" si="11"/>
        <v>#VALUE!</v>
      </c>
      <c r="AD117" s="12"/>
    </row>
    <row r="118" spans="1:30" ht="15.75" thickBot="1" x14ac:dyDescent="0.3">
      <c r="A118" s="12"/>
      <c r="B118" s="22"/>
      <c r="C118" t="str">
        <f>IF(AND('ENTRY DATA'!D118=""),"",('ENTRY DATA'!D118))</f>
        <v/>
      </c>
      <c r="D118" t="str">
        <f>IF(AND('ENTRY DATA'!F118=""),"",('ENTRY DATA'!F118))</f>
        <v/>
      </c>
      <c r="E118" s="34" t="str">
        <f>IF(AND('ENTRY DATA'!B118=""),"",('ENTRY DATA'!B118))</f>
        <v/>
      </c>
      <c r="F118" s="12"/>
      <c r="G118" s="12"/>
      <c r="H118" s="72"/>
      <c r="I118" s="71"/>
      <c r="J118" s="72"/>
      <c r="K118" s="12"/>
      <c r="L118" s="20">
        <f t="shared" si="6"/>
        <v>0</v>
      </c>
      <c r="M118" s="19" t="str">
        <f t="shared" si="7"/>
        <v/>
      </c>
      <c r="N118" s="12"/>
      <c r="O118" s="119"/>
      <c r="P118" s="95" t="str">
        <f t="shared" si="8"/>
        <v/>
      </c>
      <c r="Q118" s="12"/>
      <c r="S118" s="128"/>
      <c r="T118" s="66"/>
      <c r="U118" s="128"/>
      <c r="W118" s="128"/>
      <c r="X118" s="12"/>
      <c r="Y118" t="str">
        <f t="shared" si="9"/>
        <v/>
      </c>
      <c r="Z118" t="str">
        <f t="shared" si="9"/>
        <v/>
      </c>
      <c r="AA118" s="12"/>
      <c r="AB118" s="95" t="e">
        <f t="shared" si="10"/>
        <v>#VALUE!</v>
      </c>
      <c r="AC118" s="95" t="e">
        <f t="shared" si="11"/>
        <v>#VALUE!</v>
      </c>
      <c r="AD118" s="12"/>
    </row>
    <row r="119" spans="1:30" ht="15.75" thickBot="1" x14ac:dyDescent="0.3">
      <c r="A119" s="12"/>
      <c r="B119" s="22"/>
      <c r="C119" t="str">
        <f>IF(AND('ENTRY DATA'!D119=""),"",('ENTRY DATA'!D119))</f>
        <v/>
      </c>
      <c r="D119" t="str">
        <f>IF(AND('ENTRY DATA'!F119=""),"",('ENTRY DATA'!F119))</f>
        <v/>
      </c>
      <c r="E119" s="34" t="str">
        <f>IF(AND('ENTRY DATA'!B119=""),"",('ENTRY DATA'!B119))</f>
        <v/>
      </c>
      <c r="F119" s="12"/>
      <c r="G119" s="12"/>
      <c r="H119" s="72"/>
      <c r="I119" s="71"/>
      <c r="J119" s="72"/>
      <c r="K119" s="12"/>
      <c r="L119" s="20">
        <f t="shared" si="6"/>
        <v>0</v>
      </c>
      <c r="M119" s="19" t="str">
        <f t="shared" si="7"/>
        <v/>
      </c>
      <c r="N119" s="12"/>
      <c r="O119" s="119"/>
      <c r="P119" s="95" t="str">
        <f t="shared" si="8"/>
        <v/>
      </c>
      <c r="Q119" s="12"/>
      <c r="S119" s="128"/>
      <c r="T119" s="66"/>
      <c r="U119" s="128"/>
      <c r="W119" s="128"/>
      <c r="X119" s="12"/>
      <c r="Y119" t="str">
        <f t="shared" si="9"/>
        <v/>
      </c>
      <c r="Z119" t="str">
        <f t="shared" si="9"/>
        <v/>
      </c>
      <c r="AA119" s="12"/>
      <c r="AB119" s="95" t="e">
        <f t="shared" si="10"/>
        <v>#VALUE!</v>
      </c>
      <c r="AC119" s="95" t="e">
        <f t="shared" si="11"/>
        <v>#VALUE!</v>
      </c>
      <c r="AD119" s="12"/>
    </row>
    <row r="120" spans="1:30" ht="15.75" thickBot="1" x14ac:dyDescent="0.3">
      <c r="A120" s="12"/>
      <c r="B120" s="22"/>
      <c r="C120" t="str">
        <f>IF(AND('ENTRY DATA'!D120=""),"",('ENTRY DATA'!D120))</f>
        <v/>
      </c>
      <c r="D120" t="str">
        <f>IF(AND('ENTRY DATA'!F120=""),"",('ENTRY DATA'!F120))</f>
        <v/>
      </c>
      <c r="E120" s="34" t="str">
        <f>IF(AND('ENTRY DATA'!B120=""),"",('ENTRY DATA'!B120))</f>
        <v/>
      </c>
      <c r="F120" s="12"/>
      <c r="G120" s="12"/>
      <c r="H120" s="72"/>
      <c r="I120" s="71"/>
      <c r="J120" s="72"/>
      <c r="K120" s="12"/>
      <c r="L120" s="20">
        <f t="shared" si="6"/>
        <v>0</v>
      </c>
      <c r="M120" s="19" t="str">
        <f t="shared" si="7"/>
        <v/>
      </c>
      <c r="N120" s="12"/>
      <c r="O120" s="119"/>
      <c r="P120" s="95" t="str">
        <f t="shared" si="8"/>
        <v/>
      </c>
      <c r="Q120" s="12"/>
      <c r="S120" s="128"/>
      <c r="T120" s="66"/>
      <c r="U120" s="128"/>
      <c r="W120" s="128"/>
      <c r="X120" s="12"/>
      <c r="Y120" t="str">
        <f t="shared" si="9"/>
        <v/>
      </c>
      <c r="Z120" t="str">
        <f t="shared" si="9"/>
        <v/>
      </c>
      <c r="AA120" s="12"/>
      <c r="AB120" s="95" t="e">
        <f t="shared" si="10"/>
        <v>#VALUE!</v>
      </c>
      <c r="AC120" s="95" t="e">
        <f t="shared" si="11"/>
        <v>#VALUE!</v>
      </c>
      <c r="AD120" s="12"/>
    </row>
    <row r="121" spans="1:30" ht="15.75" thickBot="1" x14ac:dyDescent="0.3">
      <c r="A121" s="12"/>
      <c r="B121" s="22"/>
      <c r="C121" t="str">
        <f>IF(AND('ENTRY DATA'!D121=""),"",('ENTRY DATA'!D121))</f>
        <v/>
      </c>
      <c r="D121" t="str">
        <f>IF(AND('ENTRY DATA'!F121=""),"",('ENTRY DATA'!F121))</f>
        <v/>
      </c>
      <c r="E121" s="34" t="str">
        <f>IF(AND('ENTRY DATA'!B121=""),"",('ENTRY DATA'!B121))</f>
        <v/>
      </c>
      <c r="F121" s="12"/>
      <c r="G121" s="12"/>
      <c r="H121" s="72"/>
      <c r="I121" s="71"/>
      <c r="J121" s="72"/>
      <c r="K121" s="12"/>
      <c r="L121" s="20">
        <f t="shared" si="6"/>
        <v>0</v>
      </c>
      <c r="M121" s="19" t="str">
        <f t="shared" si="7"/>
        <v/>
      </c>
      <c r="N121" s="12"/>
      <c r="O121" s="119"/>
      <c r="P121" s="95" t="str">
        <f t="shared" si="8"/>
        <v/>
      </c>
      <c r="Q121" s="12"/>
      <c r="S121" s="128"/>
      <c r="T121" s="66"/>
      <c r="U121" s="128"/>
      <c r="W121" s="128"/>
      <c r="X121" s="12"/>
      <c r="Y121" t="str">
        <f t="shared" si="9"/>
        <v/>
      </c>
      <c r="Z121" t="str">
        <f t="shared" si="9"/>
        <v/>
      </c>
      <c r="AA121" s="12"/>
      <c r="AB121" s="95" t="e">
        <f t="shared" si="10"/>
        <v>#VALUE!</v>
      </c>
      <c r="AC121" s="95" t="e">
        <f t="shared" si="11"/>
        <v>#VALUE!</v>
      </c>
      <c r="AD121" s="12"/>
    </row>
    <row r="122" spans="1:30" ht="15.75" thickBot="1" x14ac:dyDescent="0.3">
      <c r="A122" s="12"/>
      <c r="B122" s="22"/>
      <c r="C122" t="str">
        <f>IF(AND('ENTRY DATA'!D122=""),"",('ENTRY DATA'!D122))</f>
        <v/>
      </c>
      <c r="D122" t="str">
        <f>IF(AND('ENTRY DATA'!F122=""),"",('ENTRY DATA'!F122))</f>
        <v/>
      </c>
      <c r="E122" s="34" t="str">
        <f>IF(AND('ENTRY DATA'!B122=""),"",('ENTRY DATA'!B122))</f>
        <v/>
      </c>
      <c r="F122" s="12"/>
      <c r="G122" s="12"/>
      <c r="H122" s="72"/>
      <c r="I122" s="71"/>
      <c r="J122" s="72"/>
      <c r="K122" s="12"/>
      <c r="L122" s="20">
        <f t="shared" si="6"/>
        <v>0</v>
      </c>
      <c r="M122" s="19" t="str">
        <f t="shared" si="7"/>
        <v/>
      </c>
      <c r="N122" s="12"/>
      <c r="O122" s="119"/>
      <c r="P122" s="95" t="str">
        <f t="shared" si="8"/>
        <v/>
      </c>
      <c r="Q122" s="12"/>
      <c r="S122" s="128"/>
      <c r="T122" s="66"/>
      <c r="U122" s="128"/>
      <c r="W122" s="128"/>
      <c r="X122" s="12"/>
      <c r="Y122" t="str">
        <f t="shared" si="9"/>
        <v/>
      </c>
      <c r="Z122" t="str">
        <f t="shared" si="9"/>
        <v/>
      </c>
      <c r="AA122" s="12"/>
      <c r="AB122" s="95" t="e">
        <f t="shared" si="10"/>
        <v>#VALUE!</v>
      </c>
      <c r="AC122" s="95" t="e">
        <f t="shared" si="11"/>
        <v>#VALUE!</v>
      </c>
      <c r="AD122" s="12"/>
    </row>
    <row r="123" spans="1:30" ht="15.75" thickBot="1" x14ac:dyDescent="0.3">
      <c r="A123" s="12"/>
      <c r="B123" s="22"/>
      <c r="C123" t="str">
        <f>IF(AND('ENTRY DATA'!D123=""),"",('ENTRY DATA'!D123))</f>
        <v/>
      </c>
      <c r="D123" t="str">
        <f>IF(AND('ENTRY DATA'!F123=""),"",('ENTRY DATA'!F123))</f>
        <v/>
      </c>
      <c r="E123" s="34" t="str">
        <f>IF(AND('ENTRY DATA'!B123=""),"",('ENTRY DATA'!B123))</f>
        <v/>
      </c>
      <c r="F123" s="12"/>
      <c r="G123" s="12"/>
      <c r="H123" s="72"/>
      <c r="I123" s="71"/>
      <c r="J123" s="72"/>
      <c r="K123" s="12"/>
      <c r="L123" s="20">
        <f t="shared" si="6"/>
        <v>0</v>
      </c>
      <c r="M123" s="19" t="str">
        <f t="shared" si="7"/>
        <v/>
      </c>
      <c r="N123" s="12"/>
      <c r="O123" s="119"/>
      <c r="P123" s="95" t="str">
        <f t="shared" si="8"/>
        <v/>
      </c>
      <c r="Q123" s="12"/>
      <c r="S123" s="128"/>
      <c r="T123" s="66"/>
      <c r="U123" s="128"/>
      <c r="W123" s="128"/>
      <c r="X123" s="12"/>
      <c r="Y123" t="str">
        <f t="shared" si="9"/>
        <v/>
      </c>
      <c r="Z123" t="str">
        <f t="shared" si="9"/>
        <v/>
      </c>
      <c r="AA123" s="12"/>
      <c r="AB123" s="95" t="e">
        <f t="shared" si="10"/>
        <v>#VALUE!</v>
      </c>
      <c r="AC123" s="95" t="e">
        <f t="shared" si="11"/>
        <v>#VALUE!</v>
      </c>
      <c r="AD123" s="12"/>
    </row>
    <row r="124" spans="1:30" ht="15.75" thickBot="1" x14ac:dyDescent="0.3">
      <c r="A124" s="12"/>
      <c r="B124" s="22"/>
      <c r="C124" t="str">
        <f>IF(AND('ENTRY DATA'!D124=""),"",('ENTRY DATA'!D124))</f>
        <v/>
      </c>
      <c r="D124" t="str">
        <f>IF(AND('ENTRY DATA'!F124=""),"",('ENTRY DATA'!F124))</f>
        <v/>
      </c>
      <c r="E124" s="34" t="str">
        <f>IF(AND('ENTRY DATA'!B124=""),"",('ENTRY DATA'!B124))</f>
        <v/>
      </c>
      <c r="F124" s="12"/>
      <c r="G124" s="12"/>
      <c r="H124" s="72"/>
      <c r="I124" s="71"/>
      <c r="J124" s="72"/>
      <c r="K124" s="12"/>
      <c r="L124" s="20">
        <f t="shared" si="6"/>
        <v>0</v>
      </c>
      <c r="M124" s="19" t="str">
        <f t="shared" si="7"/>
        <v/>
      </c>
      <c r="N124" s="12"/>
      <c r="O124" s="119"/>
      <c r="P124" s="95" t="str">
        <f t="shared" si="8"/>
        <v/>
      </c>
      <c r="Q124" s="12"/>
      <c r="S124" s="128"/>
      <c r="T124" s="66"/>
      <c r="U124" s="128"/>
      <c r="W124" s="128"/>
      <c r="X124" s="12"/>
      <c r="Y124" t="str">
        <f t="shared" si="9"/>
        <v/>
      </c>
      <c r="Z124" t="str">
        <f t="shared" si="9"/>
        <v/>
      </c>
      <c r="AA124" s="12"/>
      <c r="AB124" s="95" t="e">
        <f t="shared" si="10"/>
        <v>#VALUE!</v>
      </c>
      <c r="AC124" s="95" t="e">
        <f t="shared" si="11"/>
        <v>#VALUE!</v>
      </c>
      <c r="AD124" s="12"/>
    </row>
    <row r="125" spans="1:30" ht="15.75" thickBot="1" x14ac:dyDescent="0.3">
      <c r="A125" s="12"/>
      <c r="B125" s="22"/>
      <c r="C125" t="str">
        <f>IF(AND('ENTRY DATA'!D125=""),"",('ENTRY DATA'!D125))</f>
        <v/>
      </c>
      <c r="D125" t="str">
        <f>IF(AND('ENTRY DATA'!F125=""),"",('ENTRY DATA'!F125))</f>
        <v/>
      </c>
      <c r="E125" s="34" t="str">
        <f>IF(AND('ENTRY DATA'!B125=""),"",('ENTRY DATA'!B125))</f>
        <v/>
      </c>
      <c r="F125" s="12"/>
      <c r="G125" s="12"/>
      <c r="H125" s="72"/>
      <c r="I125" s="71"/>
      <c r="J125" s="72"/>
      <c r="K125" s="12"/>
      <c r="L125" s="20">
        <f t="shared" si="6"/>
        <v>0</v>
      </c>
      <c r="M125" s="19" t="str">
        <f t="shared" si="7"/>
        <v/>
      </c>
      <c r="N125" s="12"/>
      <c r="O125" s="119"/>
      <c r="P125" s="95" t="str">
        <f t="shared" si="8"/>
        <v/>
      </c>
      <c r="Q125" s="12"/>
      <c r="S125" s="128"/>
      <c r="T125" s="66"/>
      <c r="U125" s="128"/>
      <c r="W125" s="128"/>
      <c r="X125" s="12"/>
      <c r="Y125" t="str">
        <f t="shared" si="9"/>
        <v/>
      </c>
      <c r="Z125" t="str">
        <f t="shared" si="9"/>
        <v/>
      </c>
      <c r="AA125" s="12"/>
      <c r="AB125" s="95" t="e">
        <f t="shared" si="10"/>
        <v>#VALUE!</v>
      </c>
      <c r="AC125" s="95" t="e">
        <f t="shared" si="11"/>
        <v>#VALUE!</v>
      </c>
      <c r="AD125" s="12"/>
    </row>
    <row r="126" spans="1:30" ht="15.75" thickBot="1" x14ac:dyDescent="0.3">
      <c r="A126" s="12"/>
      <c r="B126" s="22"/>
      <c r="C126" t="str">
        <f>IF(AND('ENTRY DATA'!D126=""),"",('ENTRY DATA'!D126))</f>
        <v/>
      </c>
      <c r="D126" t="str">
        <f>IF(AND('ENTRY DATA'!F126=""),"",('ENTRY DATA'!F126))</f>
        <v/>
      </c>
      <c r="E126" s="34" t="str">
        <f>IF(AND('ENTRY DATA'!B126=""),"",('ENTRY DATA'!B126))</f>
        <v/>
      </c>
      <c r="F126" s="12"/>
      <c r="G126" s="12"/>
      <c r="H126" s="72"/>
      <c r="I126" s="71"/>
      <c r="J126" s="72"/>
      <c r="K126" s="12"/>
      <c r="L126" s="20">
        <f t="shared" si="6"/>
        <v>0</v>
      </c>
      <c r="M126" s="19" t="str">
        <f t="shared" si="7"/>
        <v/>
      </c>
      <c r="N126" s="12"/>
      <c r="O126" s="119"/>
      <c r="P126" s="95" t="str">
        <f t="shared" si="8"/>
        <v/>
      </c>
      <c r="Q126" s="12"/>
      <c r="S126" s="128"/>
      <c r="T126" s="66"/>
      <c r="U126" s="128"/>
      <c r="W126" s="128"/>
      <c r="X126" s="12"/>
      <c r="Y126" t="str">
        <f t="shared" si="9"/>
        <v/>
      </c>
      <c r="Z126" t="str">
        <f t="shared" si="9"/>
        <v/>
      </c>
      <c r="AA126" s="12"/>
      <c r="AB126" s="95" t="e">
        <f t="shared" si="10"/>
        <v>#VALUE!</v>
      </c>
      <c r="AC126" s="95" t="e">
        <f t="shared" si="11"/>
        <v>#VALUE!</v>
      </c>
      <c r="AD126" s="12"/>
    </row>
    <row r="127" spans="1:30" ht="15.75" thickBot="1" x14ac:dyDescent="0.3">
      <c r="A127" s="12"/>
      <c r="B127" s="22"/>
      <c r="C127" t="str">
        <f>IF(AND('ENTRY DATA'!D127=""),"",('ENTRY DATA'!D127))</f>
        <v/>
      </c>
      <c r="D127" t="str">
        <f>IF(AND('ENTRY DATA'!F127=""),"",('ENTRY DATA'!F127))</f>
        <v/>
      </c>
      <c r="E127" s="34" t="str">
        <f>IF(AND('ENTRY DATA'!B127=""),"",('ENTRY DATA'!B127))</f>
        <v/>
      </c>
      <c r="F127" s="12"/>
      <c r="G127" s="12"/>
      <c r="H127" s="72"/>
      <c r="I127" s="71"/>
      <c r="J127" s="72"/>
      <c r="K127" s="12"/>
      <c r="L127" s="20">
        <f t="shared" si="6"/>
        <v>0</v>
      </c>
      <c r="M127" s="19" t="str">
        <f t="shared" si="7"/>
        <v/>
      </c>
      <c r="N127" s="12"/>
      <c r="O127" s="119"/>
      <c r="P127" s="95" t="str">
        <f t="shared" si="8"/>
        <v/>
      </c>
      <c r="Q127" s="12"/>
      <c r="S127" s="128"/>
      <c r="T127" s="66"/>
      <c r="U127" s="128"/>
      <c r="W127" s="128"/>
      <c r="X127" s="12"/>
      <c r="Y127" t="str">
        <f t="shared" si="9"/>
        <v/>
      </c>
      <c r="Z127" t="str">
        <f t="shared" si="9"/>
        <v/>
      </c>
      <c r="AA127" s="12"/>
      <c r="AB127" s="95" t="e">
        <f t="shared" si="10"/>
        <v>#VALUE!</v>
      </c>
      <c r="AC127" s="95" t="e">
        <f t="shared" si="11"/>
        <v>#VALUE!</v>
      </c>
      <c r="AD127" s="12"/>
    </row>
    <row r="128" spans="1:30" ht="15.75" thickBot="1" x14ac:dyDescent="0.3">
      <c r="A128" s="12"/>
      <c r="B128" s="22"/>
      <c r="C128" t="str">
        <f>IF(AND('ENTRY DATA'!D128=""),"",('ENTRY DATA'!D128))</f>
        <v/>
      </c>
      <c r="D128" t="str">
        <f>IF(AND('ENTRY DATA'!F128=""),"",('ENTRY DATA'!F128))</f>
        <v/>
      </c>
      <c r="E128" s="34" t="str">
        <f>IF(AND('ENTRY DATA'!B128=""),"",('ENTRY DATA'!B128))</f>
        <v/>
      </c>
      <c r="F128" s="12"/>
      <c r="G128" s="12"/>
      <c r="H128" s="72"/>
      <c r="I128" s="71"/>
      <c r="J128" s="72"/>
      <c r="K128" s="12"/>
      <c r="L128" s="20">
        <f t="shared" si="6"/>
        <v>0</v>
      </c>
      <c r="M128" s="19" t="str">
        <f t="shared" si="7"/>
        <v/>
      </c>
      <c r="N128" s="12"/>
      <c r="O128" s="119"/>
      <c r="P128" s="95" t="str">
        <f t="shared" si="8"/>
        <v/>
      </c>
      <c r="Q128" s="12"/>
      <c r="S128" s="128"/>
      <c r="T128" s="66"/>
      <c r="U128" s="128"/>
      <c r="W128" s="128"/>
      <c r="X128" s="12"/>
      <c r="Y128" t="str">
        <f t="shared" si="9"/>
        <v/>
      </c>
      <c r="Z128" t="str">
        <f t="shared" si="9"/>
        <v/>
      </c>
      <c r="AA128" s="12"/>
      <c r="AB128" s="95" t="e">
        <f t="shared" si="10"/>
        <v>#VALUE!</v>
      </c>
      <c r="AC128" s="95" t="e">
        <f t="shared" si="11"/>
        <v>#VALUE!</v>
      </c>
      <c r="AD128" s="12"/>
    </row>
    <row r="129" spans="1:30" ht="15.75" thickBot="1" x14ac:dyDescent="0.3">
      <c r="A129" s="12"/>
      <c r="B129" s="22"/>
      <c r="C129" t="str">
        <f>IF(AND('ENTRY DATA'!D129=""),"",('ENTRY DATA'!D129))</f>
        <v/>
      </c>
      <c r="D129" t="str">
        <f>IF(AND('ENTRY DATA'!F129=""),"",('ENTRY DATA'!F129))</f>
        <v/>
      </c>
      <c r="E129" s="34" t="str">
        <f>IF(AND('ENTRY DATA'!B129=""),"",('ENTRY DATA'!B129))</f>
        <v/>
      </c>
      <c r="F129" s="12"/>
      <c r="G129" s="12"/>
      <c r="H129" s="72"/>
      <c r="I129" s="71"/>
      <c r="J129" s="72"/>
      <c r="K129" s="12"/>
      <c r="L129" s="20">
        <f t="shared" si="6"/>
        <v>0</v>
      </c>
      <c r="M129" s="19" t="str">
        <f t="shared" si="7"/>
        <v/>
      </c>
      <c r="N129" s="12"/>
      <c r="O129" s="119"/>
      <c r="P129" s="95" t="str">
        <f t="shared" si="8"/>
        <v/>
      </c>
      <c r="Q129" s="12"/>
      <c r="S129" s="128"/>
      <c r="T129" s="66"/>
      <c r="U129" s="128"/>
      <c r="W129" s="128"/>
      <c r="X129" s="12"/>
      <c r="Y129" t="str">
        <f t="shared" si="9"/>
        <v/>
      </c>
      <c r="Z129" t="str">
        <f t="shared" si="9"/>
        <v/>
      </c>
      <c r="AA129" s="12"/>
      <c r="AB129" s="95" t="e">
        <f t="shared" si="10"/>
        <v>#VALUE!</v>
      </c>
      <c r="AC129" s="95" t="e">
        <f t="shared" si="11"/>
        <v>#VALUE!</v>
      </c>
      <c r="AD129" s="12"/>
    </row>
    <row r="130" spans="1:30" ht="15.75" thickBot="1" x14ac:dyDescent="0.3">
      <c r="A130" s="12"/>
      <c r="B130" s="22"/>
      <c r="C130" t="str">
        <f>IF(AND('ENTRY DATA'!D130=""),"",('ENTRY DATA'!D130))</f>
        <v/>
      </c>
      <c r="D130" t="str">
        <f>IF(AND('ENTRY DATA'!F130=""),"",('ENTRY DATA'!F130))</f>
        <v/>
      </c>
      <c r="E130" s="34" t="str">
        <f>IF(AND('ENTRY DATA'!B130=""),"",('ENTRY DATA'!B130))</f>
        <v/>
      </c>
      <c r="F130" s="12"/>
      <c r="G130" s="12"/>
      <c r="H130" s="72"/>
      <c r="I130" s="71"/>
      <c r="J130" s="72"/>
      <c r="K130" s="12"/>
      <c r="L130" s="20">
        <f t="shared" si="6"/>
        <v>0</v>
      </c>
      <c r="M130" s="19" t="str">
        <f t="shared" si="7"/>
        <v/>
      </c>
      <c r="N130" s="12"/>
      <c r="O130" s="119"/>
      <c r="P130" s="95" t="str">
        <f t="shared" si="8"/>
        <v/>
      </c>
      <c r="Q130" s="12"/>
      <c r="S130" s="128"/>
      <c r="T130" s="66"/>
      <c r="U130" s="128"/>
      <c r="W130" s="128"/>
      <c r="X130" s="12"/>
      <c r="Y130" t="str">
        <f t="shared" si="9"/>
        <v/>
      </c>
      <c r="Z130" t="str">
        <f t="shared" si="9"/>
        <v/>
      </c>
      <c r="AA130" s="12"/>
      <c r="AB130" s="95" t="e">
        <f t="shared" si="10"/>
        <v>#VALUE!</v>
      </c>
      <c r="AC130" s="95" t="e">
        <f t="shared" si="11"/>
        <v>#VALUE!</v>
      </c>
      <c r="AD130" s="12"/>
    </row>
    <row r="131" spans="1:30" ht="15.75" thickBot="1" x14ac:dyDescent="0.3">
      <c r="A131" s="12"/>
      <c r="B131" s="22"/>
      <c r="C131" t="str">
        <f>IF(AND('ENTRY DATA'!D131=""),"",('ENTRY DATA'!D131))</f>
        <v/>
      </c>
      <c r="D131" t="str">
        <f>IF(AND('ENTRY DATA'!F131=""),"",('ENTRY DATA'!F131))</f>
        <v/>
      </c>
      <c r="E131" s="34" t="str">
        <f>IF(AND('ENTRY DATA'!B131=""),"",('ENTRY DATA'!B131))</f>
        <v/>
      </c>
      <c r="F131" s="12"/>
      <c r="G131" s="12"/>
      <c r="H131" s="72"/>
      <c r="I131" s="71"/>
      <c r="J131" s="72"/>
      <c r="K131" s="12"/>
      <c r="L131" s="20">
        <f t="shared" si="6"/>
        <v>0</v>
      </c>
      <c r="M131" s="19" t="str">
        <f t="shared" si="7"/>
        <v/>
      </c>
      <c r="N131" s="12"/>
      <c r="O131" s="119"/>
      <c r="P131" s="95" t="str">
        <f t="shared" si="8"/>
        <v/>
      </c>
      <c r="Q131" s="12"/>
      <c r="S131" s="128"/>
      <c r="T131" s="66"/>
      <c r="U131" s="128"/>
      <c r="W131" s="128"/>
      <c r="X131" s="12"/>
      <c r="Y131" t="str">
        <f t="shared" si="9"/>
        <v/>
      </c>
      <c r="Z131" t="str">
        <f t="shared" si="9"/>
        <v/>
      </c>
      <c r="AA131" s="12"/>
      <c r="AB131" s="95" t="e">
        <f t="shared" si="10"/>
        <v>#VALUE!</v>
      </c>
      <c r="AC131" s="95" t="e">
        <f t="shared" si="11"/>
        <v>#VALUE!</v>
      </c>
      <c r="AD131" s="12"/>
    </row>
    <row r="132" spans="1:30" ht="15.75" thickBot="1" x14ac:dyDescent="0.3">
      <c r="A132" s="12"/>
      <c r="B132" s="22"/>
      <c r="C132" t="str">
        <f>IF(AND('ENTRY DATA'!D132=""),"",('ENTRY DATA'!D132))</f>
        <v/>
      </c>
      <c r="D132" t="str">
        <f>IF(AND('ENTRY DATA'!F132=""),"",('ENTRY DATA'!F132))</f>
        <v/>
      </c>
      <c r="E132" s="34" t="str">
        <f>IF(AND('ENTRY DATA'!B132=""),"",('ENTRY DATA'!B132))</f>
        <v/>
      </c>
      <c r="F132" s="12"/>
      <c r="G132" s="12"/>
      <c r="H132" s="72"/>
      <c r="I132" s="71"/>
      <c r="J132" s="72"/>
      <c r="K132" s="12"/>
      <c r="L132" s="20">
        <f t="shared" si="6"/>
        <v>0</v>
      </c>
      <c r="M132" s="19" t="str">
        <f t="shared" si="7"/>
        <v/>
      </c>
      <c r="N132" s="12"/>
      <c r="O132" s="119"/>
      <c r="P132" s="95" t="str">
        <f t="shared" si="8"/>
        <v/>
      </c>
      <c r="Q132" s="12"/>
      <c r="S132" s="128"/>
      <c r="T132" s="66"/>
      <c r="U132" s="128"/>
      <c r="W132" s="128"/>
      <c r="X132" s="12"/>
      <c r="Y132" t="str">
        <f t="shared" si="9"/>
        <v/>
      </c>
      <c r="Z132" t="str">
        <f t="shared" si="9"/>
        <v/>
      </c>
      <c r="AA132" s="12"/>
      <c r="AB132" s="95" t="e">
        <f t="shared" si="10"/>
        <v>#VALUE!</v>
      </c>
      <c r="AC132" s="95" t="e">
        <f t="shared" si="11"/>
        <v>#VALUE!</v>
      </c>
      <c r="AD132" s="12"/>
    </row>
    <row r="133" spans="1:30" ht="15.75" thickBot="1" x14ac:dyDescent="0.3">
      <c r="A133" s="12"/>
      <c r="B133" s="22"/>
      <c r="C133" t="str">
        <f>IF(AND('ENTRY DATA'!D133=""),"",('ENTRY DATA'!D133))</f>
        <v/>
      </c>
      <c r="D133" t="str">
        <f>IF(AND('ENTRY DATA'!F133=""),"",('ENTRY DATA'!F133))</f>
        <v/>
      </c>
      <c r="E133" s="34" t="str">
        <f>IF(AND('ENTRY DATA'!B133=""),"",('ENTRY DATA'!B133))</f>
        <v/>
      </c>
      <c r="F133" s="12"/>
      <c r="G133" s="12"/>
      <c r="H133" s="72"/>
      <c r="I133" s="71"/>
      <c r="J133" s="72"/>
      <c r="K133" s="12"/>
      <c r="L133" s="20">
        <f t="shared" si="6"/>
        <v>0</v>
      </c>
      <c r="M133" s="19" t="str">
        <f t="shared" si="7"/>
        <v/>
      </c>
      <c r="N133" s="12"/>
      <c r="O133" s="119"/>
      <c r="P133" s="95" t="str">
        <f t="shared" si="8"/>
        <v/>
      </c>
      <c r="Q133" s="12"/>
      <c r="S133" s="128"/>
      <c r="T133" s="66"/>
      <c r="U133" s="128"/>
      <c r="W133" s="128"/>
      <c r="X133" s="12"/>
      <c r="Y133" t="str">
        <f t="shared" si="9"/>
        <v/>
      </c>
      <c r="Z133" t="str">
        <f t="shared" si="9"/>
        <v/>
      </c>
      <c r="AA133" s="12"/>
      <c r="AB133" s="95" t="e">
        <f t="shared" si="10"/>
        <v>#VALUE!</v>
      </c>
      <c r="AC133" s="95" t="e">
        <f t="shared" si="11"/>
        <v>#VALUE!</v>
      </c>
      <c r="AD133" s="12"/>
    </row>
    <row r="134" spans="1:30" ht="15.75" thickBot="1" x14ac:dyDescent="0.3">
      <c r="A134" s="12"/>
      <c r="B134" s="22"/>
      <c r="C134" t="str">
        <f>IF(AND('ENTRY DATA'!D134=""),"",('ENTRY DATA'!D134))</f>
        <v/>
      </c>
      <c r="D134" t="str">
        <f>IF(AND('ENTRY DATA'!F134=""),"",('ENTRY DATA'!F134))</f>
        <v/>
      </c>
      <c r="E134" s="34" t="str">
        <f>IF(AND('ENTRY DATA'!B134=""),"",('ENTRY DATA'!B134))</f>
        <v/>
      </c>
      <c r="F134" s="12"/>
      <c r="G134" s="12"/>
      <c r="H134" s="72"/>
      <c r="I134" s="71"/>
      <c r="J134" s="72"/>
      <c r="K134" s="12"/>
      <c r="L134" s="20">
        <f t="shared" ref="L134:L197" si="12">COUNT(H134:J134)</f>
        <v>0</v>
      </c>
      <c r="M134" s="19" t="str">
        <f t="shared" ref="M134:M197" si="13">IF(AND(H134="",I134="",J134=""),"",(H134+I134+J134))</f>
        <v/>
      </c>
      <c r="N134" s="12"/>
      <c r="O134" s="119"/>
      <c r="P134" s="95" t="str">
        <f t="shared" ref="P134:P197" si="14">C134</f>
        <v/>
      </c>
      <c r="Q134" s="12"/>
      <c r="S134" s="128"/>
      <c r="T134" s="66"/>
      <c r="U134" s="128"/>
      <c r="W134" s="128"/>
      <c r="X134" s="12"/>
      <c r="Y134" t="str">
        <f t="shared" ref="Y134:Z197" si="15">IF(AND(R134="",T134="",V134=""),"",SUM(R134,T134,V134))</f>
        <v/>
      </c>
      <c r="Z134" t="str">
        <f t="shared" si="15"/>
        <v/>
      </c>
      <c r="AA134" s="12"/>
      <c r="AB134" s="95" t="e">
        <f t="shared" ref="AB134:AB197" si="16">Y134/L134</f>
        <v>#VALUE!</v>
      </c>
      <c r="AC134" s="95" t="e">
        <f t="shared" ref="AC134:AC197" si="17">Z134/L134</f>
        <v>#VALUE!</v>
      </c>
      <c r="AD134" s="12"/>
    </row>
    <row r="135" spans="1:30" ht="15.75" thickBot="1" x14ac:dyDescent="0.3">
      <c r="A135" s="12"/>
      <c r="B135" s="22"/>
      <c r="C135" t="str">
        <f>IF(AND('ENTRY DATA'!D135=""),"",('ENTRY DATA'!D135))</f>
        <v/>
      </c>
      <c r="D135" t="str">
        <f>IF(AND('ENTRY DATA'!F135=""),"",('ENTRY DATA'!F135))</f>
        <v/>
      </c>
      <c r="E135" s="34" t="str">
        <f>IF(AND('ENTRY DATA'!B135=""),"",('ENTRY DATA'!B135))</f>
        <v/>
      </c>
      <c r="F135" s="12"/>
      <c r="G135" s="12"/>
      <c r="H135" s="72"/>
      <c r="I135" s="71"/>
      <c r="J135" s="72"/>
      <c r="K135" s="12"/>
      <c r="L135" s="20">
        <f t="shared" si="12"/>
        <v>0</v>
      </c>
      <c r="M135" s="19" t="str">
        <f t="shared" si="13"/>
        <v/>
      </c>
      <c r="N135" s="12"/>
      <c r="O135" s="119"/>
      <c r="P135" s="95" t="str">
        <f t="shared" si="14"/>
        <v/>
      </c>
      <c r="Q135" s="12"/>
      <c r="S135" s="128"/>
      <c r="T135" s="66"/>
      <c r="U135" s="128"/>
      <c r="W135" s="128"/>
      <c r="X135" s="12"/>
      <c r="Y135" t="str">
        <f t="shared" si="15"/>
        <v/>
      </c>
      <c r="Z135" t="str">
        <f t="shared" si="15"/>
        <v/>
      </c>
      <c r="AA135" s="12"/>
      <c r="AB135" s="95" t="e">
        <f t="shared" si="16"/>
        <v>#VALUE!</v>
      </c>
      <c r="AC135" s="95" t="e">
        <f t="shared" si="17"/>
        <v>#VALUE!</v>
      </c>
      <c r="AD135" s="12"/>
    </row>
    <row r="136" spans="1:30" ht="15.75" thickBot="1" x14ac:dyDescent="0.3">
      <c r="A136" s="12"/>
      <c r="B136" s="22"/>
      <c r="C136" t="str">
        <f>IF(AND('ENTRY DATA'!D136=""),"",('ENTRY DATA'!D136))</f>
        <v/>
      </c>
      <c r="D136" t="str">
        <f>IF(AND('ENTRY DATA'!F136=""),"",('ENTRY DATA'!F136))</f>
        <v/>
      </c>
      <c r="E136" s="34" t="str">
        <f>IF(AND('ENTRY DATA'!B136=""),"",('ENTRY DATA'!B136))</f>
        <v/>
      </c>
      <c r="F136" s="12"/>
      <c r="G136" s="12"/>
      <c r="H136" s="72"/>
      <c r="I136" s="71"/>
      <c r="J136" s="72"/>
      <c r="K136" s="12"/>
      <c r="L136" s="20">
        <f t="shared" si="12"/>
        <v>0</v>
      </c>
      <c r="M136" s="19" t="str">
        <f t="shared" si="13"/>
        <v/>
      </c>
      <c r="N136" s="12"/>
      <c r="O136" s="119"/>
      <c r="P136" s="95" t="str">
        <f t="shared" si="14"/>
        <v/>
      </c>
      <c r="Q136" s="12"/>
      <c r="S136" s="128"/>
      <c r="T136" s="66"/>
      <c r="U136" s="128"/>
      <c r="W136" s="128"/>
      <c r="X136" s="12"/>
      <c r="Y136" t="str">
        <f t="shared" si="15"/>
        <v/>
      </c>
      <c r="Z136" t="str">
        <f t="shared" si="15"/>
        <v/>
      </c>
      <c r="AA136" s="12"/>
      <c r="AB136" s="95" t="e">
        <f t="shared" si="16"/>
        <v>#VALUE!</v>
      </c>
      <c r="AC136" s="95" t="e">
        <f t="shared" si="17"/>
        <v>#VALUE!</v>
      </c>
      <c r="AD136" s="12"/>
    </row>
    <row r="137" spans="1:30" ht="15.75" thickBot="1" x14ac:dyDescent="0.3">
      <c r="A137" s="12"/>
      <c r="B137" s="22"/>
      <c r="C137" t="str">
        <f>IF(AND('ENTRY DATA'!D137=""),"",('ENTRY DATA'!D137))</f>
        <v/>
      </c>
      <c r="D137" t="str">
        <f>IF(AND('ENTRY DATA'!F137=""),"",('ENTRY DATA'!F137))</f>
        <v/>
      </c>
      <c r="E137" s="34" t="str">
        <f>IF(AND('ENTRY DATA'!B137=""),"",('ENTRY DATA'!B137))</f>
        <v/>
      </c>
      <c r="F137" s="12"/>
      <c r="G137" s="12"/>
      <c r="H137" s="72"/>
      <c r="I137" s="71"/>
      <c r="J137" s="72"/>
      <c r="K137" s="12"/>
      <c r="L137" s="20">
        <f t="shared" si="12"/>
        <v>0</v>
      </c>
      <c r="M137" s="19" t="str">
        <f t="shared" si="13"/>
        <v/>
      </c>
      <c r="N137" s="12"/>
      <c r="O137" s="119"/>
      <c r="P137" s="95" t="str">
        <f t="shared" si="14"/>
        <v/>
      </c>
      <c r="Q137" s="12"/>
      <c r="S137" s="128"/>
      <c r="T137" s="66"/>
      <c r="U137" s="128"/>
      <c r="W137" s="128"/>
      <c r="X137" s="12"/>
      <c r="Y137" t="str">
        <f t="shared" si="15"/>
        <v/>
      </c>
      <c r="Z137" t="str">
        <f t="shared" si="15"/>
        <v/>
      </c>
      <c r="AA137" s="12"/>
      <c r="AB137" s="95" t="e">
        <f t="shared" si="16"/>
        <v>#VALUE!</v>
      </c>
      <c r="AC137" s="95" t="e">
        <f t="shared" si="17"/>
        <v>#VALUE!</v>
      </c>
      <c r="AD137" s="12"/>
    </row>
    <row r="138" spans="1:30" ht="15.75" thickBot="1" x14ac:dyDescent="0.3">
      <c r="A138" s="12"/>
      <c r="B138" s="22"/>
      <c r="C138" t="str">
        <f>IF(AND('ENTRY DATA'!D138=""),"",('ENTRY DATA'!D138))</f>
        <v/>
      </c>
      <c r="D138" t="str">
        <f>IF(AND('ENTRY DATA'!F138=""),"",('ENTRY DATA'!F138))</f>
        <v/>
      </c>
      <c r="E138" s="34" t="str">
        <f>IF(AND('ENTRY DATA'!B138=""),"",('ENTRY DATA'!B138))</f>
        <v/>
      </c>
      <c r="F138" s="12"/>
      <c r="G138" s="12"/>
      <c r="H138" s="72"/>
      <c r="I138" s="71"/>
      <c r="J138" s="72"/>
      <c r="K138" s="12"/>
      <c r="L138" s="20">
        <f t="shared" si="12"/>
        <v>0</v>
      </c>
      <c r="M138" s="19" t="str">
        <f t="shared" si="13"/>
        <v/>
      </c>
      <c r="N138" s="12"/>
      <c r="O138" s="119"/>
      <c r="P138" s="95" t="str">
        <f t="shared" si="14"/>
        <v/>
      </c>
      <c r="Q138" s="12"/>
      <c r="S138" s="128"/>
      <c r="T138" s="66"/>
      <c r="U138" s="128"/>
      <c r="W138" s="128"/>
      <c r="X138" s="12"/>
      <c r="Y138" t="str">
        <f t="shared" si="15"/>
        <v/>
      </c>
      <c r="Z138" t="str">
        <f t="shared" si="15"/>
        <v/>
      </c>
      <c r="AA138" s="12"/>
      <c r="AB138" s="95" t="e">
        <f t="shared" si="16"/>
        <v>#VALUE!</v>
      </c>
      <c r="AC138" s="95" t="e">
        <f t="shared" si="17"/>
        <v>#VALUE!</v>
      </c>
      <c r="AD138" s="12"/>
    </row>
    <row r="139" spans="1:30" ht="15.75" thickBot="1" x14ac:dyDescent="0.3">
      <c r="A139" s="12"/>
      <c r="B139" s="22"/>
      <c r="C139" t="str">
        <f>IF(AND('ENTRY DATA'!D139=""),"",('ENTRY DATA'!D139))</f>
        <v/>
      </c>
      <c r="D139" t="str">
        <f>IF(AND('ENTRY DATA'!F139=""),"",('ENTRY DATA'!F139))</f>
        <v/>
      </c>
      <c r="E139" s="34" t="str">
        <f>IF(AND('ENTRY DATA'!B139=""),"",('ENTRY DATA'!B139))</f>
        <v/>
      </c>
      <c r="F139" s="12"/>
      <c r="G139" s="12"/>
      <c r="H139" s="72"/>
      <c r="I139" s="71"/>
      <c r="J139" s="72"/>
      <c r="K139" s="12"/>
      <c r="L139" s="20">
        <f t="shared" si="12"/>
        <v>0</v>
      </c>
      <c r="M139" s="19" t="str">
        <f t="shared" si="13"/>
        <v/>
      </c>
      <c r="N139" s="12"/>
      <c r="O139" s="119"/>
      <c r="P139" s="95" t="str">
        <f t="shared" si="14"/>
        <v/>
      </c>
      <c r="Q139" s="12"/>
      <c r="S139" s="128"/>
      <c r="T139" s="66"/>
      <c r="U139" s="128"/>
      <c r="W139" s="128"/>
      <c r="X139" s="12"/>
      <c r="Y139" t="str">
        <f t="shared" si="15"/>
        <v/>
      </c>
      <c r="Z139" t="str">
        <f t="shared" si="15"/>
        <v/>
      </c>
      <c r="AA139" s="12"/>
      <c r="AB139" s="95" t="e">
        <f t="shared" si="16"/>
        <v>#VALUE!</v>
      </c>
      <c r="AC139" s="95" t="e">
        <f t="shared" si="17"/>
        <v>#VALUE!</v>
      </c>
      <c r="AD139" s="12"/>
    </row>
    <row r="140" spans="1:30" ht="15.75" thickBot="1" x14ac:dyDescent="0.3">
      <c r="A140" s="12"/>
      <c r="B140" s="22"/>
      <c r="C140" t="str">
        <f>IF(AND('ENTRY DATA'!D140=""),"",('ENTRY DATA'!D140))</f>
        <v/>
      </c>
      <c r="D140" t="str">
        <f>IF(AND('ENTRY DATA'!F140=""),"",('ENTRY DATA'!F140))</f>
        <v/>
      </c>
      <c r="E140" s="34" t="str">
        <f>IF(AND('ENTRY DATA'!B140=""),"",('ENTRY DATA'!B140))</f>
        <v/>
      </c>
      <c r="F140" s="12"/>
      <c r="G140" s="12"/>
      <c r="H140" s="72"/>
      <c r="I140" s="71"/>
      <c r="J140" s="72"/>
      <c r="K140" s="12"/>
      <c r="L140" s="20">
        <f t="shared" si="12"/>
        <v>0</v>
      </c>
      <c r="M140" s="19" t="str">
        <f t="shared" si="13"/>
        <v/>
      </c>
      <c r="N140" s="12"/>
      <c r="O140" s="119"/>
      <c r="P140" s="95" t="str">
        <f t="shared" si="14"/>
        <v/>
      </c>
      <c r="Q140" s="12"/>
      <c r="S140" s="128"/>
      <c r="T140" s="66"/>
      <c r="U140" s="128"/>
      <c r="W140" s="128"/>
      <c r="X140" s="12"/>
      <c r="Y140" t="str">
        <f t="shared" si="15"/>
        <v/>
      </c>
      <c r="Z140" t="str">
        <f t="shared" si="15"/>
        <v/>
      </c>
      <c r="AA140" s="12"/>
      <c r="AB140" s="95" t="e">
        <f t="shared" si="16"/>
        <v>#VALUE!</v>
      </c>
      <c r="AC140" s="95" t="e">
        <f t="shared" si="17"/>
        <v>#VALUE!</v>
      </c>
      <c r="AD140" s="12"/>
    </row>
    <row r="141" spans="1:30" ht="15.75" thickBot="1" x14ac:dyDescent="0.3">
      <c r="A141" s="12"/>
      <c r="B141" s="22"/>
      <c r="C141" t="str">
        <f>IF(AND('ENTRY DATA'!D141=""),"",('ENTRY DATA'!D141))</f>
        <v/>
      </c>
      <c r="D141" t="str">
        <f>IF(AND('ENTRY DATA'!F141=""),"",('ENTRY DATA'!F141))</f>
        <v/>
      </c>
      <c r="E141" s="34" t="str">
        <f>IF(AND('ENTRY DATA'!B141=""),"",('ENTRY DATA'!B141))</f>
        <v/>
      </c>
      <c r="F141" s="12"/>
      <c r="G141" s="12"/>
      <c r="H141" s="72"/>
      <c r="I141" s="71"/>
      <c r="J141" s="72"/>
      <c r="K141" s="12"/>
      <c r="L141" s="20">
        <f t="shared" si="12"/>
        <v>0</v>
      </c>
      <c r="M141" s="19" t="str">
        <f t="shared" si="13"/>
        <v/>
      </c>
      <c r="N141" s="12"/>
      <c r="O141" s="119"/>
      <c r="P141" s="95" t="str">
        <f t="shared" si="14"/>
        <v/>
      </c>
      <c r="Q141" s="12"/>
      <c r="S141" s="128"/>
      <c r="T141" s="66"/>
      <c r="U141" s="128"/>
      <c r="W141" s="128"/>
      <c r="X141" s="12"/>
      <c r="Y141" t="str">
        <f t="shared" si="15"/>
        <v/>
      </c>
      <c r="Z141" t="str">
        <f t="shared" si="15"/>
        <v/>
      </c>
      <c r="AA141" s="12"/>
      <c r="AB141" s="95" t="e">
        <f t="shared" si="16"/>
        <v>#VALUE!</v>
      </c>
      <c r="AC141" s="95" t="e">
        <f t="shared" si="17"/>
        <v>#VALUE!</v>
      </c>
      <c r="AD141" s="12"/>
    </row>
    <row r="142" spans="1:30" ht="15.75" thickBot="1" x14ac:dyDescent="0.3">
      <c r="A142" s="12"/>
      <c r="B142" s="22"/>
      <c r="C142" t="str">
        <f>IF(AND('ENTRY DATA'!D142=""),"",('ENTRY DATA'!D142))</f>
        <v/>
      </c>
      <c r="D142" t="str">
        <f>IF(AND('ENTRY DATA'!F142=""),"",('ENTRY DATA'!F142))</f>
        <v/>
      </c>
      <c r="E142" s="34" t="str">
        <f>IF(AND('ENTRY DATA'!B142=""),"",('ENTRY DATA'!B142))</f>
        <v/>
      </c>
      <c r="F142" s="12"/>
      <c r="G142" s="12"/>
      <c r="H142" s="72"/>
      <c r="I142" s="71"/>
      <c r="J142" s="72"/>
      <c r="K142" s="12"/>
      <c r="L142" s="20">
        <f t="shared" si="12"/>
        <v>0</v>
      </c>
      <c r="M142" s="19" t="str">
        <f t="shared" si="13"/>
        <v/>
      </c>
      <c r="N142" s="12"/>
      <c r="O142" s="119"/>
      <c r="P142" s="95" t="str">
        <f t="shared" si="14"/>
        <v/>
      </c>
      <c r="Q142" s="12"/>
      <c r="S142" s="128"/>
      <c r="T142" s="66"/>
      <c r="U142" s="128"/>
      <c r="W142" s="128"/>
      <c r="X142" s="12"/>
      <c r="Y142" t="str">
        <f t="shared" si="15"/>
        <v/>
      </c>
      <c r="Z142" t="str">
        <f t="shared" si="15"/>
        <v/>
      </c>
      <c r="AA142" s="12"/>
      <c r="AB142" s="95" t="e">
        <f t="shared" si="16"/>
        <v>#VALUE!</v>
      </c>
      <c r="AC142" s="95" t="e">
        <f t="shared" si="17"/>
        <v>#VALUE!</v>
      </c>
      <c r="AD142" s="12"/>
    </row>
    <row r="143" spans="1:30" ht="15.75" thickBot="1" x14ac:dyDescent="0.3">
      <c r="A143" s="12"/>
      <c r="B143" s="22"/>
      <c r="C143" t="str">
        <f>IF(AND('ENTRY DATA'!D143=""),"",('ENTRY DATA'!D143))</f>
        <v/>
      </c>
      <c r="D143" t="str">
        <f>IF(AND('ENTRY DATA'!F143=""),"",('ENTRY DATA'!F143))</f>
        <v/>
      </c>
      <c r="E143" s="34" t="str">
        <f>IF(AND('ENTRY DATA'!B143=""),"",('ENTRY DATA'!B143))</f>
        <v/>
      </c>
      <c r="F143" s="12"/>
      <c r="G143" s="12"/>
      <c r="H143" s="72"/>
      <c r="I143" s="71"/>
      <c r="J143" s="72"/>
      <c r="K143" s="12"/>
      <c r="L143" s="20">
        <f t="shared" si="12"/>
        <v>0</v>
      </c>
      <c r="M143" s="19" t="str">
        <f t="shared" si="13"/>
        <v/>
      </c>
      <c r="N143" s="12"/>
      <c r="O143" s="119"/>
      <c r="P143" s="95" t="str">
        <f t="shared" si="14"/>
        <v/>
      </c>
      <c r="Q143" s="12"/>
      <c r="S143" s="128"/>
      <c r="T143" s="66"/>
      <c r="U143" s="128"/>
      <c r="W143" s="128"/>
      <c r="X143" s="12"/>
      <c r="Y143" t="str">
        <f t="shared" si="15"/>
        <v/>
      </c>
      <c r="Z143" t="str">
        <f t="shared" si="15"/>
        <v/>
      </c>
      <c r="AA143" s="12"/>
      <c r="AB143" s="95" t="e">
        <f t="shared" si="16"/>
        <v>#VALUE!</v>
      </c>
      <c r="AC143" s="95" t="e">
        <f t="shared" si="17"/>
        <v>#VALUE!</v>
      </c>
      <c r="AD143" s="12"/>
    </row>
    <row r="144" spans="1:30" ht="15.75" thickBot="1" x14ac:dyDescent="0.3">
      <c r="A144" s="12"/>
      <c r="B144" s="22"/>
      <c r="C144" t="str">
        <f>IF(AND('ENTRY DATA'!D144=""),"",('ENTRY DATA'!D144))</f>
        <v/>
      </c>
      <c r="D144" t="str">
        <f>IF(AND('ENTRY DATA'!F144=""),"",('ENTRY DATA'!F144))</f>
        <v/>
      </c>
      <c r="E144" s="34" t="str">
        <f>IF(AND('ENTRY DATA'!B144=""),"",('ENTRY DATA'!B144))</f>
        <v/>
      </c>
      <c r="F144" s="12"/>
      <c r="G144" s="12"/>
      <c r="H144" s="72"/>
      <c r="I144" s="71"/>
      <c r="J144" s="72"/>
      <c r="K144" s="12"/>
      <c r="L144" s="20">
        <f t="shared" si="12"/>
        <v>0</v>
      </c>
      <c r="M144" s="19" t="str">
        <f t="shared" si="13"/>
        <v/>
      </c>
      <c r="N144" s="12"/>
      <c r="O144" s="119"/>
      <c r="P144" s="95" t="str">
        <f t="shared" si="14"/>
        <v/>
      </c>
      <c r="Q144" s="12"/>
      <c r="S144" s="128"/>
      <c r="T144" s="66"/>
      <c r="U144" s="128"/>
      <c r="W144" s="128"/>
      <c r="X144" s="12"/>
      <c r="Y144" t="str">
        <f t="shared" si="15"/>
        <v/>
      </c>
      <c r="Z144" t="str">
        <f t="shared" si="15"/>
        <v/>
      </c>
      <c r="AA144" s="12"/>
      <c r="AB144" s="95" t="e">
        <f t="shared" si="16"/>
        <v>#VALUE!</v>
      </c>
      <c r="AC144" s="95" t="e">
        <f t="shared" si="17"/>
        <v>#VALUE!</v>
      </c>
      <c r="AD144" s="12"/>
    </row>
    <row r="145" spans="1:30" ht="15.75" thickBot="1" x14ac:dyDescent="0.3">
      <c r="A145" s="12"/>
      <c r="B145" s="22"/>
      <c r="C145" t="str">
        <f>IF(AND('ENTRY DATA'!D145=""),"",('ENTRY DATA'!D145))</f>
        <v/>
      </c>
      <c r="D145" t="str">
        <f>IF(AND('ENTRY DATA'!F145=""),"",('ENTRY DATA'!F145))</f>
        <v/>
      </c>
      <c r="E145" s="34" t="str">
        <f>IF(AND('ENTRY DATA'!B145=""),"",('ENTRY DATA'!B145))</f>
        <v/>
      </c>
      <c r="F145" s="12"/>
      <c r="G145" s="12"/>
      <c r="H145" s="72"/>
      <c r="I145" s="71"/>
      <c r="J145" s="72"/>
      <c r="K145" s="12"/>
      <c r="L145" s="20">
        <f t="shared" si="12"/>
        <v>0</v>
      </c>
      <c r="M145" s="19" t="str">
        <f t="shared" si="13"/>
        <v/>
      </c>
      <c r="N145" s="12"/>
      <c r="O145" s="119"/>
      <c r="P145" s="95" t="str">
        <f t="shared" si="14"/>
        <v/>
      </c>
      <c r="Q145" s="12"/>
      <c r="S145" s="128"/>
      <c r="T145" s="66"/>
      <c r="U145" s="128"/>
      <c r="W145" s="128"/>
      <c r="X145" s="12"/>
      <c r="Y145" t="str">
        <f t="shared" si="15"/>
        <v/>
      </c>
      <c r="Z145" t="str">
        <f t="shared" si="15"/>
        <v/>
      </c>
      <c r="AA145" s="12"/>
      <c r="AB145" s="95" t="e">
        <f t="shared" si="16"/>
        <v>#VALUE!</v>
      </c>
      <c r="AC145" s="95" t="e">
        <f t="shared" si="17"/>
        <v>#VALUE!</v>
      </c>
      <c r="AD145" s="12"/>
    </row>
    <row r="146" spans="1:30" ht="15.75" thickBot="1" x14ac:dyDescent="0.3">
      <c r="A146" s="12"/>
      <c r="B146" s="22"/>
      <c r="C146" t="str">
        <f>IF(AND('ENTRY DATA'!D146=""),"",('ENTRY DATA'!D146))</f>
        <v/>
      </c>
      <c r="D146" t="str">
        <f>IF(AND('ENTRY DATA'!F146=""),"",('ENTRY DATA'!F146))</f>
        <v/>
      </c>
      <c r="E146" s="34" t="str">
        <f>IF(AND('ENTRY DATA'!B146=""),"",('ENTRY DATA'!B146))</f>
        <v/>
      </c>
      <c r="F146" s="12"/>
      <c r="G146" s="12"/>
      <c r="H146" s="72"/>
      <c r="I146" s="71"/>
      <c r="J146" s="72"/>
      <c r="K146" s="12"/>
      <c r="L146" s="20">
        <f t="shared" si="12"/>
        <v>0</v>
      </c>
      <c r="M146" s="19" t="str">
        <f t="shared" si="13"/>
        <v/>
      </c>
      <c r="N146" s="12"/>
      <c r="O146" s="119"/>
      <c r="P146" s="95" t="str">
        <f t="shared" si="14"/>
        <v/>
      </c>
      <c r="Q146" s="12"/>
      <c r="S146" s="128"/>
      <c r="T146" s="66"/>
      <c r="U146" s="128"/>
      <c r="W146" s="128"/>
      <c r="X146" s="12"/>
      <c r="Y146" t="str">
        <f t="shared" si="15"/>
        <v/>
      </c>
      <c r="Z146" t="str">
        <f t="shared" si="15"/>
        <v/>
      </c>
      <c r="AA146" s="12"/>
      <c r="AB146" s="95" t="e">
        <f t="shared" si="16"/>
        <v>#VALUE!</v>
      </c>
      <c r="AC146" s="95" t="e">
        <f t="shared" si="17"/>
        <v>#VALUE!</v>
      </c>
      <c r="AD146" s="12"/>
    </row>
    <row r="147" spans="1:30" ht="15.75" thickBot="1" x14ac:dyDescent="0.3">
      <c r="A147" s="12"/>
      <c r="B147" s="22"/>
      <c r="C147" t="str">
        <f>IF(AND('ENTRY DATA'!D147=""),"",('ENTRY DATA'!D147))</f>
        <v/>
      </c>
      <c r="D147" t="str">
        <f>IF(AND('ENTRY DATA'!F147=""),"",('ENTRY DATA'!F147))</f>
        <v/>
      </c>
      <c r="E147" s="34" t="str">
        <f>IF(AND('ENTRY DATA'!B147=""),"",('ENTRY DATA'!B147))</f>
        <v/>
      </c>
      <c r="F147" s="12"/>
      <c r="G147" s="12"/>
      <c r="H147" s="72"/>
      <c r="I147" s="71"/>
      <c r="J147" s="72"/>
      <c r="K147" s="12"/>
      <c r="L147" s="20">
        <f t="shared" si="12"/>
        <v>0</v>
      </c>
      <c r="M147" s="19" t="str">
        <f t="shared" si="13"/>
        <v/>
      </c>
      <c r="N147" s="12"/>
      <c r="O147" s="119"/>
      <c r="P147" s="95" t="str">
        <f t="shared" si="14"/>
        <v/>
      </c>
      <c r="Q147" s="12"/>
      <c r="S147" s="128"/>
      <c r="T147" s="66"/>
      <c r="U147" s="128"/>
      <c r="W147" s="128"/>
      <c r="X147" s="12"/>
      <c r="Y147" t="str">
        <f t="shared" si="15"/>
        <v/>
      </c>
      <c r="Z147" t="str">
        <f t="shared" si="15"/>
        <v/>
      </c>
      <c r="AA147" s="12"/>
      <c r="AB147" s="95" t="e">
        <f t="shared" si="16"/>
        <v>#VALUE!</v>
      </c>
      <c r="AC147" s="95" t="e">
        <f t="shared" si="17"/>
        <v>#VALUE!</v>
      </c>
      <c r="AD147" s="12"/>
    </row>
    <row r="148" spans="1:30" ht="15.75" thickBot="1" x14ac:dyDescent="0.3">
      <c r="A148" s="12"/>
      <c r="B148" s="22"/>
      <c r="C148" t="str">
        <f>IF(AND('ENTRY DATA'!D148=""),"",('ENTRY DATA'!D148))</f>
        <v/>
      </c>
      <c r="D148" t="str">
        <f>IF(AND('ENTRY DATA'!F148=""),"",('ENTRY DATA'!F148))</f>
        <v/>
      </c>
      <c r="E148" s="34" t="str">
        <f>IF(AND('ENTRY DATA'!B148=""),"",('ENTRY DATA'!B148))</f>
        <v/>
      </c>
      <c r="F148" s="12"/>
      <c r="G148" s="12"/>
      <c r="H148" s="72"/>
      <c r="I148" s="71"/>
      <c r="J148" s="72"/>
      <c r="K148" s="12"/>
      <c r="L148" s="20">
        <f t="shared" si="12"/>
        <v>0</v>
      </c>
      <c r="M148" s="19" t="str">
        <f t="shared" si="13"/>
        <v/>
      </c>
      <c r="N148" s="12"/>
      <c r="O148" s="119"/>
      <c r="P148" s="95" t="str">
        <f t="shared" si="14"/>
        <v/>
      </c>
      <c r="Q148" s="12"/>
      <c r="S148" s="128"/>
      <c r="T148" s="66"/>
      <c r="U148" s="128"/>
      <c r="W148" s="128"/>
      <c r="X148" s="12"/>
      <c r="Y148" t="str">
        <f t="shared" si="15"/>
        <v/>
      </c>
      <c r="Z148" t="str">
        <f t="shared" si="15"/>
        <v/>
      </c>
      <c r="AA148" s="12"/>
      <c r="AB148" s="95" t="e">
        <f t="shared" si="16"/>
        <v>#VALUE!</v>
      </c>
      <c r="AC148" s="95" t="e">
        <f t="shared" si="17"/>
        <v>#VALUE!</v>
      </c>
      <c r="AD148" s="12"/>
    </row>
    <row r="149" spans="1:30" ht="15.75" thickBot="1" x14ac:dyDescent="0.3">
      <c r="A149" s="12"/>
      <c r="B149" s="22"/>
      <c r="C149" t="str">
        <f>IF(AND('ENTRY DATA'!D149=""),"",('ENTRY DATA'!D149))</f>
        <v/>
      </c>
      <c r="D149" t="str">
        <f>IF(AND('ENTRY DATA'!F149=""),"",('ENTRY DATA'!F149))</f>
        <v/>
      </c>
      <c r="E149" s="34" t="str">
        <f>IF(AND('ENTRY DATA'!B149=""),"",('ENTRY DATA'!B149))</f>
        <v/>
      </c>
      <c r="F149" s="12"/>
      <c r="G149" s="12"/>
      <c r="H149" s="72"/>
      <c r="I149" s="71"/>
      <c r="J149" s="72"/>
      <c r="K149" s="12"/>
      <c r="L149" s="20">
        <f t="shared" si="12"/>
        <v>0</v>
      </c>
      <c r="M149" s="19" t="str">
        <f t="shared" si="13"/>
        <v/>
      </c>
      <c r="N149" s="12"/>
      <c r="O149" s="119"/>
      <c r="P149" s="95" t="str">
        <f t="shared" si="14"/>
        <v/>
      </c>
      <c r="Q149" s="12"/>
      <c r="S149" s="128"/>
      <c r="T149" s="66"/>
      <c r="U149" s="128"/>
      <c r="W149" s="128"/>
      <c r="X149" s="12"/>
      <c r="Y149" t="str">
        <f t="shared" si="15"/>
        <v/>
      </c>
      <c r="Z149" t="str">
        <f t="shared" si="15"/>
        <v/>
      </c>
      <c r="AA149" s="12"/>
      <c r="AB149" s="95" t="e">
        <f t="shared" si="16"/>
        <v>#VALUE!</v>
      </c>
      <c r="AC149" s="95" t="e">
        <f t="shared" si="17"/>
        <v>#VALUE!</v>
      </c>
      <c r="AD149" s="12"/>
    </row>
    <row r="150" spans="1:30" ht="15.75" thickBot="1" x14ac:dyDescent="0.3">
      <c r="A150" s="12"/>
      <c r="B150" s="22"/>
      <c r="C150" t="str">
        <f>IF(AND('ENTRY DATA'!D150=""),"",('ENTRY DATA'!D150))</f>
        <v/>
      </c>
      <c r="D150" t="str">
        <f>IF(AND('ENTRY DATA'!F150=""),"",('ENTRY DATA'!F150))</f>
        <v/>
      </c>
      <c r="E150" s="34" t="str">
        <f>IF(AND('ENTRY DATA'!B150=""),"",('ENTRY DATA'!B150))</f>
        <v/>
      </c>
      <c r="F150" s="12"/>
      <c r="G150" s="12"/>
      <c r="H150" s="72"/>
      <c r="I150" s="71"/>
      <c r="J150" s="72"/>
      <c r="K150" s="12"/>
      <c r="L150" s="20">
        <f t="shared" si="12"/>
        <v>0</v>
      </c>
      <c r="M150" s="19" t="str">
        <f t="shared" si="13"/>
        <v/>
      </c>
      <c r="N150" s="12"/>
      <c r="O150" s="119"/>
      <c r="P150" s="95" t="str">
        <f t="shared" si="14"/>
        <v/>
      </c>
      <c r="Q150" s="12"/>
      <c r="S150" s="128"/>
      <c r="T150" s="66"/>
      <c r="U150" s="128"/>
      <c r="W150" s="128"/>
      <c r="X150" s="12"/>
      <c r="Y150" t="str">
        <f t="shared" si="15"/>
        <v/>
      </c>
      <c r="Z150" t="str">
        <f t="shared" si="15"/>
        <v/>
      </c>
      <c r="AA150" s="12"/>
      <c r="AB150" s="95" t="e">
        <f t="shared" si="16"/>
        <v>#VALUE!</v>
      </c>
      <c r="AC150" s="95" t="e">
        <f t="shared" si="17"/>
        <v>#VALUE!</v>
      </c>
      <c r="AD150" s="12"/>
    </row>
    <row r="151" spans="1:30" ht="15.75" thickBot="1" x14ac:dyDescent="0.3">
      <c r="A151" s="12"/>
      <c r="B151" s="22"/>
      <c r="C151" t="str">
        <f>IF(AND('ENTRY DATA'!D151=""),"",('ENTRY DATA'!D151))</f>
        <v/>
      </c>
      <c r="D151" t="str">
        <f>IF(AND('ENTRY DATA'!F151=""),"",('ENTRY DATA'!F151))</f>
        <v/>
      </c>
      <c r="E151" s="34" t="str">
        <f>IF(AND('ENTRY DATA'!B151=""),"",('ENTRY DATA'!B151))</f>
        <v/>
      </c>
      <c r="F151" s="12"/>
      <c r="G151" s="12"/>
      <c r="H151" s="72"/>
      <c r="I151" s="71"/>
      <c r="J151" s="72"/>
      <c r="K151" s="12"/>
      <c r="L151" s="20">
        <f t="shared" si="12"/>
        <v>0</v>
      </c>
      <c r="M151" s="19" t="str">
        <f t="shared" si="13"/>
        <v/>
      </c>
      <c r="N151" s="12"/>
      <c r="O151" s="119"/>
      <c r="P151" s="95" t="str">
        <f t="shared" si="14"/>
        <v/>
      </c>
      <c r="Q151" s="12"/>
      <c r="S151" s="128"/>
      <c r="T151" s="66"/>
      <c r="U151" s="128"/>
      <c r="W151" s="128"/>
      <c r="X151" s="12"/>
      <c r="Y151" t="str">
        <f t="shared" si="15"/>
        <v/>
      </c>
      <c r="Z151" t="str">
        <f t="shared" si="15"/>
        <v/>
      </c>
      <c r="AA151" s="12"/>
      <c r="AB151" s="95" t="e">
        <f t="shared" si="16"/>
        <v>#VALUE!</v>
      </c>
      <c r="AC151" s="95" t="e">
        <f t="shared" si="17"/>
        <v>#VALUE!</v>
      </c>
      <c r="AD151" s="12"/>
    </row>
    <row r="152" spans="1:30" ht="15.75" thickBot="1" x14ac:dyDescent="0.3">
      <c r="A152" s="12"/>
      <c r="B152" s="22"/>
      <c r="C152" t="str">
        <f>IF(AND('ENTRY DATA'!D152=""),"",('ENTRY DATA'!D152))</f>
        <v/>
      </c>
      <c r="D152" t="str">
        <f>IF(AND('ENTRY DATA'!F152=""),"",('ENTRY DATA'!F152))</f>
        <v/>
      </c>
      <c r="E152" s="34" t="str">
        <f>IF(AND('ENTRY DATA'!B152=""),"",('ENTRY DATA'!B152))</f>
        <v/>
      </c>
      <c r="F152" s="12"/>
      <c r="G152" s="12"/>
      <c r="H152" s="72"/>
      <c r="I152" s="71"/>
      <c r="J152" s="72"/>
      <c r="K152" s="12"/>
      <c r="L152" s="20">
        <f t="shared" si="12"/>
        <v>0</v>
      </c>
      <c r="M152" s="19" t="str">
        <f t="shared" si="13"/>
        <v/>
      </c>
      <c r="N152" s="12"/>
      <c r="O152" s="119"/>
      <c r="P152" s="95" t="str">
        <f t="shared" si="14"/>
        <v/>
      </c>
      <c r="Q152" s="12"/>
      <c r="S152" s="128"/>
      <c r="T152" s="66"/>
      <c r="U152" s="128"/>
      <c r="W152" s="128"/>
      <c r="X152" s="12"/>
      <c r="Y152" t="str">
        <f t="shared" si="15"/>
        <v/>
      </c>
      <c r="Z152" t="str">
        <f t="shared" si="15"/>
        <v/>
      </c>
      <c r="AA152" s="12"/>
      <c r="AB152" s="95" t="e">
        <f t="shared" si="16"/>
        <v>#VALUE!</v>
      </c>
      <c r="AC152" s="95" t="e">
        <f t="shared" si="17"/>
        <v>#VALUE!</v>
      </c>
      <c r="AD152" s="12"/>
    </row>
    <row r="153" spans="1:30" ht="15.75" thickBot="1" x14ac:dyDescent="0.3">
      <c r="A153" s="12"/>
      <c r="B153" s="22"/>
      <c r="C153" t="str">
        <f>IF(AND('ENTRY DATA'!D153=""),"",('ENTRY DATA'!D153))</f>
        <v/>
      </c>
      <c r="D153" t="str">
        <f>IF(AND('ENTRY DATA'!F153=""),"",('ENTRY DATA'!F153))</f>
        <v/>
      </c>
      <c r="E153" s="34" t="str">
        <f>IF(AND('ENTRY DATA'!B153=""),"",('ENTRY DATA'!B153))</f>
        <v/>
      </c>
      <c r="F153" s="12"/>
      <c r="G153" s="12"/>
      <c r="H153" s="72"/>
      <c r="I153" s="71"/>
      <c r="J153" s="72"/>
      <c r="K153" s="12"/>
      <c r="L153" s="20">
        <f t="shared" si="12"/>
        <v>0</v>
      </c>
      <c r="M153" s="19" t="str">
        <f t="shared" si="13"/>
        <v/>
      </c>
      <c r="N153" s="12"/>
      <c r="O153" s="119"/>
      <c r="P153" s="95" t="str">
        <f t="shared" si="14"/>
        <v/>
      </c>
      <c r="Q153" s="12"/>
      <c r="S153" s="128"/>
      <c r="T153" s="66"/>
      <c r="U153" s="128"/>
      <c r="W153" s="128"/>
      <c r="X153" s="12"/>
      <c r="Y153" t="str">
        <f t="shared" si="15"/>
        <v/>
      </c>
      <c r="Z153" t="str">
        <f t="shared" si="15"/>
        <v/>
      </c>
      <c r="AA153" s="12"/>
      <c r="AB153" s="95" t="e">
        <f t="shared" si="16"/>
        <v>#VALUE!</v>
      </c>
      <c r="AC153" s="95" t="e">
        <f t="shared" si="17"/>
        <v>#VALUE!</v>
      </c>
      <c r="AD153" s="12"/>
    </row>
    <row r="154" spans="1:30" ht="15.75" thickBot="1" x14ac:dyDescent="0.3">
      <c r="A154" s="12"/>
      <c r="B154" s="22"/>
      <c r="C154" t="str">
        <f>IF(AND('ENTRY DATA'!D154=""),"",('ENTRY DATA'!D154))</f>
        <v/>
      </c>
      <c r="D154" t="str">
        <f>IF(AND('ENTRY DATA'!F154=""),"",('ENTRY DATA'!F154))</f>
        <v/>
      </c>
      <c r="E154" s="34" t="str">
        <f>IF(AND('ENTRY DATA'!B154=""),"",('ENTRY DATA'!B154))</f>
        <v/>
      </c>
      <c r="F154" s="12"/>
      <c r="G154" s="12"/>
      <c r="H154" s="72"/>
      <c r="I154" s="71"/>
      <c r="J154" s="72"/>
      <c r="K154" s="12"/>
      <c r="L154" s="20">
        <f t="shared" si="12"/>
        <v>0</v>
      </c>
      <c r="M154" s="19" t="str">
        <f t="shared" si="13"/>
        <v/>
      </c>
      <c r="N154" s="12"/>
      <c r="O154" s="119"/>
      <c r="P154" s="95" t="str">
        <f t="shared" si="14"/>
        <v/>
      </c>
      <c r="Q154" s="12"/>
      <c r="S154" s="128"/>
      <c r="T154" s="66"/>
      <c r="U154" s="128"/>
      <c r="W154" s="128"/>
      <c r="X154" s="12"/>
      <c r="Y154" t="str">
        <f t="shared" si="15"/>
        <v/>
      </c>
      <c r="Z154" t="str">
        <f t="shared" si="15"/>
        <v/>
      </c>
      <c r="AA154" s="12"/>
      <c r="AB154" s="95" t="e">
        <f t="shared" si="16"/>
        <v>#VALUE!</v>
      </c>
      <c r="AC154" s="95" t="e">
        <f t="shared" si="17"/>
        <v>#VALUE!</v>
      </c>
      <c r="AD154" s="12"/>
    </row>
    <row r="155" spans="1:30" ht="15.75" thickBot="1" x14ac:dyDescent="0.3">
      <c r="A155" s="12"/>
      <c r="B155" s="22"/>
      <c r="C155" t="str">
        <f>IF(AND('ENTRY DATA'!D155=""),"",('ENTRY DATA'!D155))</f>
        <v/>
      </c>
      <c r="D155" t="str">
        <f>IF(AND('ENTRY DATA'!F155=""),"",('ENTRY DATA'!F155))</f>
        <v/>
      </c>
      <c r="E155" s="34" t="str">
        <f>IF(AND('ENTRY DATA'!B155=""),"",('ENTRY DATA'!B155))</f>
        <v/>
      </c>
      <c r="F155" s="12"/>
      <c r="G155" s="12"/>
      <c r="H155" s="72"/>
      <c r="I155" s="71"/>
      <c r="J155" s="72"/>
      <c r="K155" s="12"/>
      <c r="L155" s="20">
        <f t="shared" si="12"/>
        <v>0</v>
      </c>
      <c r="M155" s="19" t="str">
        <f t="shared" si="13"/>
        <v/>
      </c>
      <c r="N155" s="12"/>
      <c r="O155" s="119"/>
      <c r="P155" s="95" t="str">
        <f t="shared" si="14"/>
        <v/>
      </c>
      <c r="Q155" s="12"/>
      <c r="S155" s="128"/>
      <c r="T155" s="66"/>
      <c r="U155" s="128"/>
      <c r="W155" s="128"/>
      <c r="X155" s="12"/>
      <c r="Y155" t="str">
        <f t="shared" si="15"/>
        <v/>
      </c>
      <c r="Z155" t="str">
        <f t="shared" si="15"/>
        <v/>
      </c>
      <c r="AA155" s="12"/>
      <c r="AB155" s="95" t="e">
        <f t="shared" si="16"/>
        <v>#VALUE!</v>
      </c>
      <c r="AC155" s="95" t="e">
        <f t="shared" si="17"/>
        <v>#VALUE!</v>
      </c>
      <c r="AD155" s="12"/>
    </row>
    <row r="156" spans="1:30" ht="15.75" thickBot="1" x14ac:dyDescent="0.3">
      <c r="A156" s="12"/>
      <c r="B156" s="22"/>
      <c r="C156" t="str">
        <f>IF(AND('ENTRY DATA'!D156=""),"",('ENTRY DATA'!D156))</f>
        <v/>
      </c>
      <c r="D156" t="str">
        <f>IF(AND('ENTRY DATA'!F156=""),"",('ENTRY DATA'!F156))</f>
        <v/>
      </c>
      <c r="E156" s="34" t="str">
        <f>IF(AND('ENTRY DATA'!B156=""),"",('ENTRY DATA'!B156))</f>
        <v/>
      </c>
      <c r="F156" s="12"/>
      <c r="G156" s="12"/>
      <c r="H156" s="72"/>
      <c r="I156" s="71"/>
      <c r="J156" s="72"/>
      <c r="K156" s="12"/>
      <c r="L156" s="20">
        <f t="shared" si="12"/>
        <v>0</v>
      </c>
      <c r="M156" s="19" t="str">
        <f t="shared" si="13"/>
        <v/>
      </c>
      <c r="N156" s="12"/>
      <c r="O156" s="119"/>
      <c r="P156" s="95" t="str">
        <f t="shared" si="14"/>
        <v/>
      </c>
      <c r="Q156" s="12"/>
      <c r="S156" s="128"/>
      <c r="T156" s="66"/>
      <c r="U156" s="128"/>
      <c r="W156" s="128"/>
      <c r="X156" s="12"/>
      <c r="Y156" t="str">
        <f t="shared" si="15"/>
        <v/>
      </c>
      <c r="Z156" t="str">
        <f t="shared" si="15"/>
        <v/>
      </c>
      <c r="AA156" s="12"/>
      <c r="AB156" s="95" t="e">
        <f t="shared" si="16"/>
        <v>#VALUE!</v>
      </c>
      <c r="AC156" s="95" t="e">
        <f t="shared" si="17"/>
        <v>#VALUE!</v>
      </c>
      <c r="AD156" s="12"/>
    </row>
    <row r="157" spans="1:30" ht="15.75" thickBot="1" x14ac:dyDescent="0.3">
      <c r="A157" s="12"/>
      <c r="B157" s="22"/>
      <c r="C157" t="str">
        <f>IF(AND('ENTRY DATA'!D157=""),"",('ENTRY DATA'!D157))</f>
        <v/>
      </c>
      <c r="D157" t="str">
        <f>IF(AND('ENTRY DATA'!F157=""),"",('ENTRY DATA'!F157))</f>
        <v/>
      </c>
      <c r="E157" s="34" t="str">
        <f>IF(AND('ENTRY DATA'!B157=""),"",('ENTRY DATA'!B157))</f>
        <v/>
      </c>
      <c r="F157" s="12"/>
      <c r="G157" s="12"/>
      <c r="H157" s="72"/>
      <c r="I157" s="71"/>
      <c r="J157" s="72"/>
      <c r="K157" s="12"/>
      <c r="L157" s="20">
        <f t="shared" si="12"/>
        <v>0</v>
      </c>
      <c r="M157" s="19" t="str">
        <f t="shared" si="13"/>
        <v/>
      </c>
      <c r="N157" s="12"/>
      <c r="O157" s="119"/>
      <c r="P157" s="95" t="str">
        <f t="shared" si="14"/>
        <v/>
      </c>
      <c r="Q157" s="12"/>
      <c r="S157" s="128"/>
      <c r="T157" s="66"/>
      <c r="U157" s="128"/>
      <c r="W157" s="128"/>
      <c r="X157" s="12"/>
      <c r="Y157" t="str">
        <f t="shared" si="15"/>
        <v/>
      </c>
      <c r="Z157" t="str">
        <f t="shared" si="15"/>
        <v/>
      </c>
      <c r="AA157" s="12"/>
      <c r="AB157" s="95" t="e">
        <f t="shared" si="16"/>
        <v>#VALUE!</v>
      </c>
      <c r="AC157" s="95" t="e">
        <f t="shared" si="17"/>
        <v>#VALUE!</v>
      </c>
      <c r="AD157" s="12"/>
    </row>
    <row r="158" spans="1:30" ht="15.75" thickBot="1" x14ac:dyDescent="0.3">
      <c r="A158" s="12"/>
      <c r="B158" s="22"/>
      <c r="C158" t="str">
        <f>IF(AND('ENTRY DATA'!D158=""),"",('ENTRY DATA'!D158))</f>
        <v/>
      </c>
      <c r="D158" t="str">
        <f>IF(AND('ENTRY DATA'!F158=""),"",('ENTRY DATA'!F158))</f>
        <v/>
      </c>
      <c r="E158" s="34" t="str">
        <f>IF(AND('ENTRY DATA'!B158=""),"",('ENTRY DATA'!B158))</f>
        <v/>
      </c>
      <c r="F158" s="12"/>
      <c r="G158" s="12"/>
      <c r="H158" s="72"/>
      <c r="I158" s="71"/>
      <c r="J158" s="72"/>
      <c r="K158" s="12"/>
      <c r="L158" s="20">
        <f t="shared" si="12"/>
        <v>0</v>
      </c>
      <c r="M158" s="19" t="str">
        <f t="shared" si="13"/>
        <v/>
      </c>
      <c r="N158" s="12"/>
      <c r="O158" s="119"/>
      <c r="P158" s="95" t="str">
        <f t="shared" si="14"/>
        <v/>
      </c>
      <c r="Q158" s="12"/>
      <c r="S158" s="128"/>
      <c r="T158" s="66"/>
      <c r="U158" s="128"/>
      <c r="W158" s="128"/>
      <c r="X158" s="12"/>
      <c r="Y158" t="str">
        <f t="shared" si="15"/>
        <v/>
      </c>
      <c r="Z158" t="str">
        <f t="shared" si="15"/>
        <v/>
      </c>
      <c r="AA158" s="12"/>
      <c r="AB158" s="95" t="e">
        <f t="shared" si="16"/>
        <v>#VALUE!</v>
      </c>
      <c r="AC158" s="95" t="e">
        <f t="shared" si="17"/>
        <v>#VALUE!</v>
      </c>
      <c r="AD158" s="12"/>
    </row>
    <row r="159" spans="1:30" ht="15.75" thickBot="1" x14ac:dyDescent="0.3">
      <c r="A159" s="12"/>
      <c r="B159" s="22"/>
      <c r="C159" t="str">
        <f>IF(AND('ENTRY DATA'!D159=""),"",('ENTRY DATA'!D159))</f>
        <v/>
      </c>
      <c r="D159" t="str">
        <f>IF(AND('ENTRY DATA'!F159=""),"",('ENTRY DATA'!F159))</f>
        <v/>
      </c>
      <c r="E159" s="34" t="str">
        <f>IF(AND('ENTRY DATA'!B159=""),"",('ENTRY DATA'!B159))</f>
        <v/>
      </c>
      <c r="F159" s="12"/>
      <c r="G159" s="12"/>
      <c r="H159" s="72"/>
      <c r="I159" s="71"/>
      <c r="J159" s="72"/>
      <c r="K159" s="12"/>
      <c r="L159" s="20">
        <f t="shared" si="12"/>
        <v>0</v>
      </c>
      <c r="M159" s="19" t="str">
        <f t="shared" si="13"/>
        <v/>
      </c>
      <c r="N159" s="12"/>
      <c r="O159" s="119"/>
      <c r="P159" s="95" t="str">
        <f t="shared" si="14"/>
        <v/>
      </c>
      <c r="Q159" s="12"/>
      <c r="S159" s="128"/>
      <c r="T159" s="66"/>
      <c r="U159" s="128"/>
      <c r="W159" s="128"/>
      <c r="X159" s="12"/>
      <c r="Y159" t="str">
        <f t="shared" si="15"/>
        <v/>
      </c>
      <c r="Z159" t="str">
        <f t="shared" si="15"/>
        <v/>
      </c>
      <c r="AA159" s="12"/>
      <c r="AB159" s="95" t="e">
        <f t="shared" si="16"/>
        <v>#VALUE!</v>
      </c>
      <c r="AC159" s="95" t="e">
        <f t="shared" si="17"/>
        <v>#VALUE!</v>
      </c>
      <c r="AD159" s="12"/>
    </row>
    <row r="160" spans="1:30" ht="15.75" thickBot="1" x14ac:dyDescent="0.3">
      <c r="A160" s="12"/>
      <c r="B160" s="22"/>
      <c r="C160" t="str">
        <f>IF(AND('ENTRY DATA'!D160=""),"",('ENTRY DATA'!D160))</f>
        <v/>
      </c>
      <c r="D160" t="str">
        <f>IF(AND('ENTRY DATA'!F160=""),"",('ENTRY DATA'!F160))</f>
        <v/>
      </c>
      <c r="E160" s="34" t="str">
        <f>IF(AND('ENTRY DATA'!B160=""),"",('ENTRY DATA'!B160))</f>
        <v/>
      </c>
      <c r="F160" s="12"/>
      <c r="G160" s="12"/>
      <c r="H160" s="72"/>
      <c r="I160" s="71"/>
      <c r="J160" s="72"/>
      <c r="K160" s="12"/>
      <c r="L160" s="20">
        <f t="shared" si="12"/>
        <v>0</v>
      </c>
      <c r="M160" s="19" t="str">
        <f t="shared" si="13"/>
        <v/>
      </c>
      <c r="N160" s="12"/>
      <c r="O160" s="119"/>
      <c r="P160" s="95" t="str">
        <f t="shared" si="14"/>
        <v/>
      </c>
      <c r="Q160" s="12"/>
      <c r="S160" s="128"/>
      <c r="T160" s="66"/>
      <c r="U160" s="128"/>
      <c r="W160" s="128"/>
      <c r="X160" s="12"/>
      <c r="Y160" t="str">
        <f t="shared" si="15"/>
        <v/>
      </c>
      <c r="Z160" t="str">
        <f t="shared" si="15"/>
        <v/>
      </c>
      <c r="AA160" s="12"/>
      <c r="AB160" s="95" t="e">
        <f t="shared" si="16"/>
        <v>#VALUE!</v>
      </c>
      <c r="AC160" s="95" t="e">
        <f t="shared" si="17"/>
        <v>#VALUE!</v>
      </c>
      <c r="AD160" s="12"/>
    </row>
    <row r="161" spans="1:30" ht="15.75" thickBot="1" x14ac:dyDescent="0.3">
      <c r="A161" s="12"/>
      <c r="B161" s="22"/>
      <c r="C161" t="str">
        <f>IF(AND('ENTRY DATA'!D161=""),"",('ENTRY DATA'!D161))</f>
        <v/>
      </c>
      <c r="D161" t="str">
        <f>IF(AND('ENTRY DATA'!F161=""),"",('ENTRY DATA'!F161))</f>
        <v/>
      </c>
      <c r="E161" s="34" t="str">
        <f>IF(AND('ENTRY DATA'!B161=""),"",('ENTRY DATA'!B161))</f>
        <v/>
      </c>
      <c r="F161" s="12"/>
      <c r="G161" s="12"/>
      <c r="H161" s="72"/>
      <c r="I161" s="71"/>
      <c r="J161" s="72"/>
      <c r="K161" s="12"/>
      <c r="L161" s="20">
        <f t="shared" si="12"/>
        <v>0</v>
      </c>
      <c r="M161" s="19" t="str">
        <f t="shared" si="13"/>
        <v/>
      </c>
      <c r="N161" s="12"/>
      <c r="O161" s="119"/>
      <c r="P161" s="95" t="str">
        <f t="shared" si="14"/>
        <v/>
      </c>
      <c r="Q161" s="12"/>
      <c r="S161" s="128"/>
      <c r="T161" s="66"/>
      <c r="U161" s="128"/>
      <c r="W161" s="128"/>
      <c r="X161" s="12"/>
      <c r="Y161" t="str">
        <f t="shared" si="15"/>
        <v/>
      </c>
      <c r="Z161" t="str">
        <f t="shared" si="15"/>
        <v/>
      </c>
      <c r="AA161" s="12"/>
      <c r="AB161" s="95" t="e">
        <f t="shared" si="16"/>
        <v>#VALUE!</v>
      </c>
      <c r="AC161" s="95" t="e">
        <f t="shared" si="17"/>
        <v>#VALUE!</v>
      </c>
      <c r="AD161" s="12"/>
    </row>
    <row r="162" spans="1:30" ht="15.75" thickBot="1" x14ac:dyDescent="0.3">
      <c r="A162" s="12"/>
      <c r="B162" s="22"/>
      <c r="C162" t="str">
        <f>IF(AND('ENTRY DATA'!D162=""),"",('ENTRY DATA'!D162))</f>
        <v/>
      </c>
      <c r="D162" t="str">
        <f>IF(AND('ENTRY DATA'!F162=""),"",('ENTRY DATA'!F162))</f>
        <v/>
      </c>
      <c r="E162" s="34" t="str">
        <f>IF(AND('ENTRY DATA'!B162=""),"",('ENTRY DATA'!B162))</f>
        <v/>
      </c>
      <c r="F162" s="12"/>
      <c r="G162" s="12"/>
      <c r="H162" s="72"/>
      <c r="I162" s="71"/>
      <c r="J162" s="72"/>
      <c r="K162" s="12"/>
      <c r="L162" s="20">
        <f t="shared" si="12"/>
        <v>0</v>
      </c>
      <c r="M162" s="19" t="str">
        <f t="shared" si="13"/>
        <v/>
      </c>
      <c r="N162" s="12"/>
      <c r="O162" s="119"/>
      <c r="P162" s="95" t="str">
        <f t="shared" si="14"/>
        <v/>
      </c>
      <c r="Q162" s="12"/>
      <c r="S162" s="128"/>
      <c r="T162" s="66"/>
      <c r="U162" s="128"/>
      <c r="W162" s="128"/>
      <c r="X162" s="12"/>
      <c r="Y162" t="str">
        <f t="shared" si="15"/>
        <v/>
      </c>
      <c r="Z162" t="str">
        <f t="shared" si="15"/>
        <v/>
      </c>
      <c r="AA162" s="12"/>
      <c r="AB162" s="95" t="e">
        <f t="shared" si="16"/>
        <v>#VALUE!</v>
      </c>
      <c r="AC162" s="95" t="e">
        <f t="shared" si="17"/>
        <v>#VALUE!</v>
      </c>
      <c r="AD162" s="12"/>
    </row>
    <row r="163" spans="1:30" ht="15.75" thickBot="1" x14ac:dyDescent="0.3">
      <c r="A163" s="12"/>
      <c r="B163" s="22"/>
      <c r="C163" t="str">
        <f>IF(AND('ENTRY DATA'!D163=""),"",('ENTRY DATA'!D163))</f>
        <v/>
      </c>
      <c r="D163" t="str">
        <f>IF(AND('ENTRY DATA'!F163=""),"",('ENTRY DATA'!F163))</f>
        <v/>
      </c>
      <c r="E163" s="34" t="str">
        <f>IF(AND('ENTRY DATA'!B163=""),"",('ENTRY DATA'!B163))</f>
        <v/>
      </c>
      <c r="F163" s="12"/>
      <c r="G163" s="12"/>
      <c r="H163" s="72"/>
      <c r="I163" s="71"/>
      <c r="J163" s="72"/>
      <c r="K163" s="12"/>
      <c r="L163" s="20">
        <f t="shared" si="12"/>
        <v>0</v>
      </c>
      <c r="M163" s="19" t="str">
        <f t="shared" si="13"/>
        <v/>
      </c>
      <c r="N163" s="12"/>
      <c r="O163" s="119"/>
      <c r="P163" s="95" t="str">
        <f t="shared" si="14"/>
        <v/>
      </c>
      <c r="Q163" s="12"/>
      <c r="S163" s="128"/>
      <c r="T163" s="66"/>
      <c r="U163" s="128"/>
      <c r="W163" s="128"/>
      <c r="X163" s="12"/>
      <c r="Y163" t="str">
        <f t="shared" si="15"/>
        <v/>
      </c>
      <c r="Z163" t="str">
        <f t="shared" si="15"/>
        <v/>
      </c>
      <c r="AA163" s="12"/>
      <c r="AB163" s="95" t="e">
        <f t="shared" si="16"/>
        <v>#VALUE!</v>
      </c>
      <c r="AC163" s="95" t="e">
        <f t="shared" si="17"/>
        <v>#VALUE!</v>
      </c>
      <c r="AD163" s="12"/>
    </row>
    <row r="164" spans="1:30" ht="15.75" thickBot="1" x14ac:dyDescent="0.3">
      <c r="A164" s="12"/>
      <c r="B164" s="22"/>
      <c r="C164" t="str">
        <f>IF(AND('ENTRY DATA'!D164=""),"",('ENTRY DATA'!D164))</f>
        <v/>
      </c>
      <c r="D164" t="str">
        <f>IF(AND('ENTRY DATA'!F164=""),"",('ENTRY DATA'!F164))</f>
        <v/>
      </c>
      <c r="E164" s="34" t="str">
        <f>IF(AND('ENTRY DATA'!B164=""),"",('ENTRY DATA'!B164))</f>
        <v/>
      </c>
      <c r="F164" s="12"/>
      <c r="G164" s="12"/>
      <c r="H164" s="72"/>
      <c r="I164" s="71"/>
      <c r="J164" s="72"/>
      <c r="K164" s="12"/>
      <c r="L164" s="20">
        <f t="shared" si="12"/>
        <v>0</v>
      </c>
      <c r="M164" s="19" t="str">
        <f t="shared" si="13"/>
        <v/>
      </c>
      <c r="N164" s="12"/>
      <c r="O164" s="119"/>
      <c r="P164" s="95" t="str">
        <f t="shared" si="14"/>
        <v/>
      </c>
      <c r="Q164" s="12"/>
      <c r="S164" s="128"/>
      <c r="T164" s="66"/>
      <c r="U164" s="128"/>
      <c r="W164" s="128"/>
      <c r="X164" s="12"/>
      <c r="Y164" t="str">
        <f t="shared" si="15"/>
        <v/>
      </c>
      <c r="Z164" t="str">
        <f t="shared" si="15"/>
        <v/>
      </c>
      <c r="AA164" s="12"/>
      <c r="AB164" s="95" t="e">
        <f t="shared" si="16"/>
        <v>#VALUE!</v>
      </c>
      <c r="AC164" s="95" t="e">
        <f t="shared" si="17"/>
        <v>#VALUE!</v>
      </c>
      <c r="AD164" s="12"/>
    </row>
    <row r="165" spans="1:30" ht="15.75" thickBot="1" x14ac:dyDescent="0.3">
      <c r="A165" s="12"/>
      <c r="B165" s="22"/>
      <c r="C165" t="str">
        <f>IF(AND('ENTRY DATA'!D165=""),"",('ENTRY DATA'!D165))</f>
        <v/>
      </c>
      <c r="D165" t="str">
        <f>IF(AND('ENTRY DATA'!F165=""),"",('ENTRY DATA'!F165))</f>
        <v/>
      </c>
      <c r="E165" s="34" t="str">
        <f>IF(AND('ENTRY DATA'!B165=""),"",('ENTRY DATA'!B165))</f>
        <v/>
      </c>
      <c r="F165" s="12"/>
      <c r="G165" s="12"/>
      <c r="H165" s="72"/>
      <c r="I165" s="71"/>
      <c r="J165" s="72"/>
      <c r="K165" s="12"/>
      <c r="L165" s="20">
        <f t="shared" si="12"/>
        <v>0</v>
      </c>
      <c r="M165" s="19" t="str">
        <f t="shared" si="13"/>
        <v/>
      </c>
      <c r="N165" s="12"/>
      <c r="O165" s="119"/>
      <c r="P165" s="95" t="str">
        <f t="shared" si="14"/>
        <v/>
      </c>
      <c r="Q165" s="12"/>
      <c r="S165" s="128"/>
      <c r="T165" s="66"/>
      <c r="U165" s="128"/>
      <c r="W165" s="128"/>
      <c r="X165" s="12"/>
      <c r="Y165" t="str">
        <f t="shared" si="15"/>
        <v/>
      </c>
      <c r="Z165" t="str">
        <f t="shared" si="15"/>
        <v/>
      </c>
      <c r="AA165" s="12"/>
      <c r="AB165" s="95" t="e">
        <f t="shared" si="16"/>
        <v>#VALUE!</v>
      </c>
      <c r="AC165" s="95" t="e">
        <f t="shared" si="17"/>
        <v>#VALUE!</v>
      </c>
      <c r="AD165" s="12"/>
    </row>
    <row r="166" spans="1:30" ht="15.75" thickBot="1" x14ac:dyDescent="0.3">
      <c r="A166" s="12"/>
      <c r="B166" s="22"/>
      <c r="C166" t="str">
        <f>IF(AND('ENTRY DATA'!D166=""),"",('ENTRY DATA'!D166))</f>
        <v/>
      </c>
      <c r="D166" t="str">
        <f>IF(AND('ENTRY DATA'!F166=""),"",('ENTRY DATA'!F166))</f>
        <v/>
      </c>
      <c r="E166" s="34" t="str">
        <f>IF(AND('ENTRY DATA'!B166=""),"",('ENTRY DATA'!B166))</f>
        <v/>
      </c>
      <c r="F166" s="12"/>
      <c r="G166" s="12"/>
      <c r="H166" s="72"/>
      <c r="I166" s="71"/>
      <c r="J166" s="72"/>
      <c r="K166" s="12"/>
      <c r="L166" s="20">
        <f t="shared" si="12"/>
        <v>0</v>
      </c>
      <c r="M166" s="19" t="str">
        <f t="shared" si="13"/>
        <v/>
      </c>
      <c r="N166" s="12"/>
      <c r="O166" s="119"/>
      <c r="P166" s="95" t="str">
        <f t="shared" si="14"/>
        <v/>
      </c>
      <c r="Q166" s="12"/>
      <c r="S166" s="128"/>
      <c r="T166" s="66"/>
      <c r="U166" s="128"/>
      <c r="W166" s="128"/>
      <c r="X166" s="12"/>
      <c r="Y166" t="str">
        <f t="shared" si="15"/>
        <v/>
      </c>
      <c r="Z166" t="str">
        <f t="shared" si="15"/>
        <v/>
      </c>
      <c r="AA166" s="12"/>
      <c r="AB166" s="95" t="e">
        <f t="shared" si="16"/>
        <v>#VALUE!</v>
      </c>
      <c r="AC166" s="95" t="e">
        <f t="shared" si="17"/>
        <v>#VALUE!</v>
      </c>
      <c r="AD166" s="12"/>
    </row>
    <row r="167" spans="1:30" ht="15.75" thickBot="1" x14ac:dyDescent="0.3">
      <c r="A167" s="12"/>
      <c r="B167" s="22"/>
      <c r="C167" t="str">
        <f>IF(AND('ENTRY DATA'!D167=""),"",('ENTRY DATA'!D167))</f>
        <v/>
      </c>
      <c r="D167" t="str">
        <f>IF(AND('ENTRY DATA'!F167=""),"",('ENTRY DATA'!F167))</f>
        <v/>
      </c>
      <c r="E167" s="34" t="str">
        <f>IF(AND('ENTRY DATA'!B167=""),"",('ENTRY DATA'!B167))</f>
        <v/>
      </c>
      <c r="F167" s="12"/>
      <c r="G167" s="12"/>
      <c r="H167" s="72"/>
      <c r="I167" s="71"/>
      <c r="J167" s="72"/>
      <c r="K167" s="12"/>
      <c r="L167" s="20">
        <f t="shared" si="12"/>
        <v>0</v>
      </c>
      <c r="M167" s="19" t="str">
        <f t="shared" si="13"/>
        <v/>
      </c>
      <c r="N167" s="12"/>
      <c r="O167" s="119"/>
      <c r="P167" s="95" t="str">
        <f t="shared" si="14"/>
        <v/>
      </c>
      <c r="Q167" s="12"/>
      <c r="S167" s="128"/>
      <c r="T167" s="66"/>
      <c r="U167" s="128"/>
      <c r="W167" s="128"/>
      <c r="X167" s="12"/>
      <c r="Y167" t="str">
        <f t="shared" si="15"/>
        <v/>
      </c>
      <c r="Z167" t="str">
        <f t="shared" si="15"/>
        <v/>
      </c>
      <c r="AA167" s="12"/>
      <c r="AB167" s="95" t="e">
        <f t="shared" si="16"/>
        <v>#VALUE!</v>
      </c>
      <c r="AC167" s="95" t="e">
        <f t="shared" si="17"/>
        <v>#VALUE!</v>
      </c>
      <c r="AD167" s="12"/>
    </row>
    <row r="168" spans="1:30" ht="15.75" thickBot="1" x14ac:dyDescent="0.3">
      <c r="A168" s="12"/>
      <c r="B168" s="22"/>
      <c r="C168" t="str">
        <f>IF(AND('ENTRY DATA'!D168=""),"",('ENTRY DATA'!D168))</f>
        <v/>
      </c>
      <c r="D168" t="str">
        <f>IF(AND('ENTRY DATA'!F168=""),"",('ENTRY DATA'!F168))</f>
        <v/>
      </c>
      <c r="E168" s="34" t="str">
        <f>IF(AND('ENTRY DATA'!B168=""),"",('ENTRY DATA'!B168))</f>
        <v/>
      </c>
      <c r="F168" s="12"/>
      <c r="G168" s="12"/>
      <c r="H168" s="72"/>
      <c r="I168" s="71"/>
      <c r="J168" s="72"/>
      <c r="K168" s="12"/>
      <c r="L168" s="20">
        <f t="shared" si="12"/>
        <v>0</v>
      </c>
      <c r="M168" s="19" t="str">
        <f t="shared" si="13"/>
        <v/>
      </c>
      <c r="N168" s="12"/>
      <c r="O168" s="119"/>
      <c r="P168" s="95" t="str">
        <f t="shared" si="14"/>
        <v/>
      </c>
      <c r="Q168" s="12"/>
      <c r="S168" s="128"/>
      <c r="T168" s="66"/>
      <c r="U168" s="128"/>
      <c r="W168" s="128"/>
      <c r="X168" s="12"/>
      <c r="Y168" t="str">
        <f t="shared" si="15"/>
        <v/>
      </c>
      <c r="Z168" t="str">
        <f t="shared" si="15"/>
        <v/>
      </c>
      <c r="AA168" s="12"/>
      <c r="AB168" s="95" t="e">
        <f t="shared" si="16"/>
        <v>#VALUE!</v>
      </c>
      <c r="AC168" s="95" t="e">
        <f t="shared" si="17"/>
        <v>#VALUE!</v>
      </c>
      <c r="AD168" s="12"/>
    </row>
    <row r="169" spans="1:30" ht="15.75" thickBot="1" x14ac:dyDescent="0.3">
      <c r="A169" s="12"/>
      <c r="B169" s="22"/>
      <c r="C169" t="str">
        <f>IF(AND('ENTRY DATA'!D169=""),"",('ENTRY DATA'!D169))</f>
        <v/>
      </c>
      <c r="D169" t="str">
        <f>IF(AND('ENTRY DATA'!F169=""),"",('ENTRY DATA'!F169))</f>
        <v/>
      </c>
      <c r="E169" s="34" t="str">
        <f>IF(AND('ENTRY DATA'!B169=""),"",('ENTRY DATA'!B169))</f>
        <v/>
      </c>
      <c r="F169" s="12"/>
      <c r="G169" s="12"/>
      <c r="H169" s="72"/>
      <c r="I169" s="71"/>
      <c r="J169" s="72"/>
      <c r="K169" s="12"/>
      <c r="L169" s="20">
        <f t="shared" si="12"/>
        <v>0</v>
      </c>
      <c r="M169" s="19" t="str">
        <f t="shared" si="13"/>
        <v/>
      </c>
      <c r="N169" s="12"/>
      <c r="O169" s="119"/>
      <c r="P169" s="95" t="str">
        <f t="shared" si="14"/>
        <v/>
      </c>
      <c r="Q169" s="12"/>
      <c r="S169" s="128"/>
      <c r="T169" s="66"/>
      <c r="U169" s="128"/>
      <c r="W169" s="128"/>
      <c r="X169" s="12"/>
      <c r="Y169" t="str">
        <f t="shared" si="15"/>
        <v/>
      </c>
      <c r="Z169" t="str">
        <f t="shared" si="15"/>
        <v/>
      </c>
      <c r="AA169" s="12"/>
      <c r="AB169" s="95" t="e">
        <f t="shared" si="16"/>
        <v>#VALUE!</v>
      </c>
      <c r="AC169" s="95" t="e">
        <f t="shared" si="17"/>
        <v>#VALUE!</v>
      </c>
      <c r="AD169" s="12"/>
    </row>
    <row r="170" spans="1:30" ht="15.75" thickBot="1" x14ac:dyDescent="0.3">
      <c r="A170" s="12"/>
      <c r="B170" s="22"/>
      <c r="C170" t="str">
        <f>IF(AND('ENTRY DATA'!D170=""),"",('ENTRY DATA'!D170))</f>
        <v/>
      </c>
      <c r="D170" t="str">
        <f>IF(AND('ENTRY DATA'!F170=""),"",('ENTRY DATA'!F170))</f>
        <v/>
      </c>
      <c r="E170" s="34" t="str">
        <f>IF(AND('ENTRY DATA'!B170=""),"",('ENTRY DATA'!B170))</f>
        <v/>
      </c>
      <c r="F170" s="12"/>
      <c r="G170" s="12"/>
      <c r="H170" s="72"/>
      <c r="I170" s="71"/>
      <c r="J170" s="72"/>
      <c r="K170" s="12"/>
      <c r="L170" s="20">
        <f t="shared" si="12"/>
        <v>0</v>
      </c>
      <c r="M170" s="19" t="str">
        <f t="shared" si="13"/>
        <v/>
      </c>
      <c r="N170" s="12"/>
      <c r="O170" s="119"/>
      <c r="P170" s="95" t="str">
        <f t="shared" si="14"/>
        <v/>
      </c>
      <c r="Q170" s="12"/>
      <c r="S170" s="128"/>
      <c r="T170" s="66"/>
      <c r="U170" s="128"/>
      <c r="W170" s="128"/>
      <c r="X170" s="12"/>
      <c r="Y170" t="str">
        <f t="shared" si="15"/>
        <v/>
      </c>
      <c r="Z170" t="str">
        <f t="shared" si="15"/>
        <v/>
      </c>
      <c r="AA170" s="12"/>
      <c r="AB170" s="95" t="e">
        <f t="shared" si="16"/>
        <v>#VALUE!</v>
      </c>
      <c r="AC170" s="95" t="e">
        <f t="shared" si="17"/>
        <v>#VALUE!</v>
      </c>
      <c r="AD170" s="12"/>
    </row>
    <row r="171" spans="1:30" ht="15.75" thickBot="1" x14ac:dyDescent="0.3">
      <c r="A171" s="12"/>
      <c r="B171" s="22"/>
      <c r="C171" t="str">
        <f>IF(AND('ENTRY DATA'!D171=""),"",('ENTRY DATA'!D171))</f>
        <v/>
      </c>
      <c r="D171" t="str">
        <f>IF(AND('ENTRY DATA'!F171=""),"",('ENTRY DATA'!F171))</f>
        <v/>
      </c>
      <c r="E171" s="34" t="str">
        <f>IF(AND('ENTRY DATA'!B171=""),"",('ENTRY DATA'!B171))</f>
        <v/>
      </c>
      <c r="F171" s="12"/>
      <c r="G171" s="12"/>
      <c r="H171" s="72"/>
      <c r="I171" s="71"/>
      <c r="J171" s="72"/>
      <c r="K171" s="12"/>
      <c r="L171" s="20">
        <f t="shared" si="12"/>
        <v>0</v>
      </c>
      <c r="M171" s="19" t="str">
        <f t="shared" si="13"/>
        <v/>
      </c>
      <c r="N171" s="12"/>
      <c r="O171" s="119"/>
      <c r="P171" s="95" t="str">
        <f t="shared" si="14"/>
        <v/>
      </c>
      <c r="Q171" s="12"/>
      <c r="S171" s="128"/>
      <c r="T171" s="66"/>
      <c r="U171" s="128"/>
      <c r="W171" s="128"/>
      <c r="X171" s="12"/>
      <c r="Y171" t="str">
        <f t="shared" si="15"/>
        <v/>
      </c>
      <c r="Z171" t="str">
        <f t="shared" si="15"/>
        <v/>
      </c>
      <c r="AA171" s="12"/>
      <c r="AB171" s="95" t="e">
        <f t="shared" si="16"/>
        <v>#VALUE!</v>
      </c>
      <c r="AC171" s="95" t="e">
        <f t="shared" si="17"/>
        <v>#VALUE!</v>
      </c>
      <c r="AD171" s="12"/>
    </row>
    <row r="172" spans="1:30" ht="15.75" thickBot="1" x14ac:dyDescent="0.3">
      <c r="A172" s="12"/>
      <c r="B172" s="22"/>
      <c r="C172" t="str">
        <f>IF(AND('ENTRY DATA'!D172=""),"",('ENTRY DATA'!D172))</f>
        <v/>
      </c>
      <c r="D172" t="str">
        <f>IF(AND('ENTRY DATA'!F172=""),"",('ENTRY DATA'!F172))</f>
        <v/>
      </c>
      <c r="E172" s="34" t="str">
        <f>IF(AND('ENTRY DATA'!B172=""),"",('ENTRY DATA'!B172))</f>
        <v/>
      </c>
      <c r="F172" s="12"/>
      <c r="G172" s="12"/>
      <c r="H172" s="72"/>
      <c r="I172" s="71"/>
      <c r="J172" s="72"/>
      <c r="K172" s="12"/>
      <c r="L172" s="20">
        <f t="shared" si="12"/>
        <v>0</v>
      </c>
      <c r="M172" s="19" t="str">
        <f t="shared" si="13"/>
        <v/>
      </c>
      <c r="N172" s="12"/>
      <c r="O172" s="119"/>
      <c r="P172" s="95" t="str">
        <f t="shared" si="14"/>
        <v/>
      </c>
      <c r="Q172" s="12"/>
      <c r="S172" s="128"/>
      <c r="T172" s="66"/>
      <c r="U172" s="128"/>
      <c r="W172" s="128"/>
      <c r="X172" s="12"/>
      <c r="Y172" t="str">
        <f t="shared" si="15"/>
        <v/>
      </c>
      <c r="Z172" t="str">
        <f t="shared" si="15"/>
        <v/>
      </c>
      <c r="AA172" s="12"/>
      <c r="AB172" s="95" t="e">
        <f t="shared" si="16"/>
        <v>#VALUE!</v>
      </c>
      <c r="AC172" s="95" t="e">
        <f t="shared" si="17"/>
        <v>#VALUE!</v>
      </c>
      <c r="AD172" s="12"/>
    </row>
    <row r="173" spans="1:30" ht="15.75" thickBot="1" x14ac:dyDescent="0.3">
      <c r="A173" s="12"/>
      <c r="B173" s="22"/>
      <c r="C173" t="str">
        <f>IF(AND('ENTRY DATA'!D173=""),"",('ENTRY DATA'!D173))</f>
        <v/>
      </c>
      <c r="D173" t="str">
        <f>IF(AND('ENTRY DATA'!F173=""),"",('ENTRY DATA'!F173))</f>
        <v/>
      </c>
      <c r="E173" s="34" t="str">
        <f>IF(AND('ENTRY DATA'!B173=""),"",('ENTRY DATA'!B173))</f>
        <v/>
      </c>
      <c r="F173" s="12"/>
      <c r="G173" s="12"/>
      <c r="H173" s="72"/>
      <c r="I173" s="71"/>
      <c r="J173" s="72"/>
      <c r="K173" s="12"/>
      <c r="L173" s="20">
        <f t="shared" si="12"/>
        <v>0</v>
      </c>
      <c r="M173" s="19" t="str">
        <f t="shared" si="13"/>
        <v/>
      </c>
      <c r="N173" s="12"/>
      <c r="O173" s="119"/>
      <c r="P173" s="95" t="str">
        <f t="shared" si="14"/>
        <v/>
      </c>
      <c r="Q173" s="12"/>
      <c r="S173" s="128"/>
      <c r="T173" s="66"/>
      <c r="U173" s="128"/>
      <c r="W173" s="128"/>
      <c r="X173" s="12"/>
      <c r="Y173" t="str">
        <f t="shared" si="15"/>
        <v/>
      </c>
      <c r="Z173" t="str">
        <f t="shared" si="15"/>
        <v/>
      </c>
      <c r="AA173" s="12"/>
      <c r="AB173" s="95" t="e">
        <f t="shared" si="16"/>
        <v>#VALUE!</v>
      </c>
      <c r="AC173" s="95" t="e">
        <f t="shared" si="17"/>
        <v>#VALUE!</v>
      </c>
      <c r="AD173" s="12"/>
    </row>
    <row r="174" spans="1:30" ht="15.75" thickBot="1" x14ac:dyDescent="0.3">
      <c r="A174" s="12"/>
      <c r="B174" s="22"/>
      <c r="C174" t="str">
        <f>IF(AND('ENTRY DATA'!D174=""),"",('ENTRY DATA'!D174))</f>
        <v/>
      </c>
      <c r="D174" t="str">
        <f>IF(AND('ENTRY DATA'!F174=""),"",('ENTRY DATA'!F174))</f>
        <v/>
      </c>
      <c r="E174" s="34" t="str">
        <f>IF(AND('ENTRY DATA'!B174=""),"",('ENTRY DATA'!B174))</f>
        <v/>
      </c>
      <c r="F174" s="12"/>
      <c r="G174" s="12"/>
      <c r="H174" s="72"/>
      <c r="I174" s="71"/>
      <c r="J174" s="72"/>
      <c r="K174" s="12"/>
      <c r="L174" s="20">
        <f t="shared" si="12"/>
        <v>0</v>
      </c>
      <c r="M174" s="19" t="str">
        <f t="shared" si="13"/>
        <v/>
      </c>
      <c r="N174" s="12"/>
      <c r="O174" s="119"/>
      <c r="P174" s="95" t="str">
        <f t="shared" si="14"/>
        <v/>
      </c>
      <c r="Q174" s="12"/>
      <c r="S174" s="128"/>
      <c r="T174" s="66"/>
      <c r="U174" s="128"/>
      <c r="W174" s="128"/>
      <c r="X174" s="12"/>
      <c r="Y174" t="str">
        <f t="shared" si="15"/>
        <v/>
      </c>
      <c r="Z174" t="str">
        <f t="shared" si="15"/>
        <v/>
      </c>
      <c r="AA174" s="12"/>
      <c r="AB174" s="95" t="e">
        <f t="shared" si="16"/>
        <v>#VALUE!</v>
      </c>
      <c r="AC174" s="95" t="e">
        <f t="shared" si="17"/>
        <v>#VALUE!</v>
      </c>
      <c r="AD174" s="12"/>
    </row>
    <row r="175" spans="1:30" ht="15.75" thickBot="1" x14ac:dyDescent="0.3">
      <c r="A175" s="12"/>
      <c r="B175" s="22"/>
      <c r="C175" t="str">
        <f>IF(AND('ENTRY DATA'!D175=""),"",('ENTRY DATA'!D175))</f>
        <v/>
      </c>
      <c r="D175" t="str">
        <f>IF(AND('ENTRY DATA'!F175=""),"",('ENTRY DATA'!F175))</f>
        <v/>
      </c>
      <c r="E175" s="34" t="str">
        <f>IF(AND('ENTRY DATA'!B175=""),"",('ENTRY DATA'!B175))</f>
        <v/>
      </c>
      <c r="F175" s="12"/>
      <c r="G175" s="12"/>
      <c r="H175" s="72"/>
      <c r="I175" s="71"/>
      <c r="J175" s="72"/>
      <c r="K175" s="12"/>
      <c r="L175" s="20">
        <f t="shared" si="12"/>
        <v>0</v>
      </c>
      <c r="M175" s="19" t="str">
        <f t="shared" si="13"/>
        <v/>
      </c>
      <c r="N175" s="12"/>
      <c r="O175" s="119"/>
      <c r="P175" s="95" t="str">
        <f t="shared" si="14"/>
        <v/>
      </c>
      <c r="Q175" s="12"/>
      <c r="S175" s="128"/>
      <c r="T175" s="66"/>
      <c r="U175" s="128"/>
      <c r="W175" s="128"/>
      <c r="X175" s="12"/>
      <c r="Y175" t="str">
        <f t="shared" si="15"/>
        <v/>
      </c>
      <c r="Z175" t="str">
        <f t="shared" si="15"/>
        <v/>
      </c>
      <c r="AA175" s="12"/>
      <c r="AB175" s="95" t="e">
        <f t="shared" si="16"/>
        <v>#VALUE!</v>
      </c>
      <c r="AC175" s="95" t="e">
        <f t="shared" si="17"/>
        <v>#VALUE!</v>
      </c>
      <c r="AD175" s="12"/>
    </row>
    <row r="176" spans="1:30" ht="15.75" thickBot="1" x14ac:dyDescent="0.3">
      <c r="A176" s="12"/>
      <c r="B176" s="22"/>
      <c r="C176" t="str">
        <f>IF(AND('ENTRY DATA'!D176=""),"",('ENTRY DATA'!D176))</f>
        <v/>
      </c>
      <c r="D176" t="str">
        <f>IF(AND('ENTRY DATA'!F176=""),"",('ENTRY DATA'!F176))</f>
        <v/>
      </c>
      <c r="E176" s="34" t="str">
        <f>IF(AND('ENTRY DATA'!B176=""),"",('ENTRY DATA'!B176))</f>
        <v/>
      </c>
      <c r="F176" s="12"/>
      <c r="G176" s="12"/>
      <c r="H176" s="72"/>
      <c r="I176" s="71"/>
      <c r="J176" s="72"/>
      <c r="K176" s="12"/>
      <c r="L176" s="20">
        <f t="shared" si="12"/>
        <v>0</v>
      </c>
      <c r="M176" s="19" t="str">
        <f t="shared" si="13"/>
        <v/>
      </c>
      <c r="N176" s="12"/>
      <c r="O176" s="119"/>
      <c r="P176" s="95" t="str">
        <f t="shared" si="14"/>
        <v/>
      </c>
      <c r="Q176" s="12"/>
      <c r="S176" s="128"/>
      <c r="T176" s="66"/>
      <c r="U176" s="128"/>
      <c r="W176" s="128"/>
      <c r="X176" s="12"/>
      <c r="Y176" t="str">
        <f t="shared" si="15"/>
        <v/>
      </c>
      <c r="Z176" t="str">
        <f t="shared" si="15"/>
        <v/>
      </c>
      <c r="AA176" s="12"/>
      <c r="AB176" s="95" t="e">
        <f t="shared" si="16"/>
        <v>#VALUE!</v>
      </c>
      <c r="AC176" s="95" t="e">
        <f t="shared" si="17"/>
        <v>#VALUE!</v>
      </c>
      <c r="AD176" s="12"/>
    </row>
    <row r="177" spans="1:30" ht="15.75" thickBot="1" x14ac:dyDescent="0.3">
      <c r="A177" s="12"/>
      <c r="B177" s="22"/>
      <c r="C177" t="str">
        <f>IF(AND('ENTRY DATA'!D177=""),"",('ENTRY DATA'!D177))</f>
        <v/>
      </c>
      <c r="D177" t="str">
        <f>IF(AND('ENTRY DATA'!F177=""),"",('ENTRY DATA'!F177))</f>
        <v/>
      </c>
      <c r="E177" s="34" t="str">
        <f>IF(AND('ENTRY DATA'!B177=""),"",('ENTRY DATA'!B177))</f>
        <v/>
      </c>
      <c r="F177" s="12"/>
      <c r="G177" s="12"/>
      <c r="H177" s="72"/>
      <c r="I177" s="71"/>
      <c r="J177" s="72"/>
      <c r="K177" s="12"/>
      <c r="L177" s="20">
        <f t="shared" si="12"/>
        <v>0</v>
      </c>
      <c r="M177" s="19" t="str">
        <f t="shared" si="13"/>
        <v/>
      </c>
      <c r="N177" s="12"/>
      <c r="O177" s="119"/>
      <c r="P177" s="95" t="str">
        <f t="shared" si="14"/>
        <v/>
      </c>
      <c r="Q177" s="12"/>
      <c r="S177" s="128"/>
      <c r="T177" s="66"/>
      <c r="U177" s="128"/>
      <c r="W177" s="128"/>
      <c r="X177" s="12"/>
      <c r="Y177" t="str">
        <f t="shared" si="15"/>
        <v/>
      </c>
      <c r="Z177" t="str">
        <f t="shared" si="15"/>
        <v/>
      </c>
      <c r="AA177" s="12"/>
      <c r="AB177" s="95" t="e">
        <f t="shared" si="16"/>
        <v>#VALUE!</v>
      </c>
      <c r="AC177" s="95" t="e">
        <f t="shared" si="17"/>
        <v>#VALUE!</v>
      </c>
      <c r="AD177" s="12"/>
    </row>
    <row r="178" spans="1:30" ht="15.75" thickBot="1" x14ac:dyDescent="0.3">
      <c r="A178" s="12"/>
      <c r="B178" s="22"/>
      <c r="C178" t="str">
        <f>IF(AND('ENTRY DATA'!D178=""),"",('ENTRY DATA'!D178))</f>
        <v/>
      </c>
      <c r="D178" t="str">
        <f>IF(AND('ENTRY DATA'!F178=""),"",('ENTRY DATA'!F178))</f>
        <v/>
      </c>
      <c r="E178" s="34" t="str">
        <f>IF(AND('ENTRY DATA'!B178=""),"",('ENTRY DATA'!B178))</f>
        <v/>
      </c>
      <c r="F178" s="12"/>
      <c r="G178" s="12"/>
      <c r="H178" s="72"/>
      <c r="I178" s="71"/>
      <c r="J178" s="72"/>
      <c r="K178" s="12"/>
      <c r="L178" s="20">
        <f t="shared" si="12"/>
        <v>0</v>
      </c>
      <c r="M178" s="19" t="str">
        <f t="shared" si="13"/>
        <v/>
      </c>
      <c r="N178" s="12"/>
      <c r="O178" s="119"/>
      <c r="P178" s="95" t="str">
        <f t="shared" si="14"/>
        <v/>
      </c>
      <c r="Q178" s="12"/>
      <c r="S178" s="128"/>
      <c r="T178" s="66"/>
      <c r="U178" s="128"/>
      <c r="W178" s="128"/>
      <c r="X178" s="12"/>
      <c r="Y178" t="str">
        <f t="shared" si="15"/>
        <v/>
      </c>
      <c r="Z178" t="str">
        <f t="shared" si="15"/>
        <v/>
      </c>
      <c r="AA178" s="12"/>
      <c r="AB178" s="95" t="e">
        <f t="shared" si="16"/>
        <v>#VALUE!</v>
      </c>
      <c r="AC178" s="95" t="e">
        <f t="shared" si="17"/>
        <v>#VALUE!</v>
      </c>
      <c r="AD178" s="12"/>
    </row>
    <row r="179" spans="1:30" ht="15.75" thickBot="1" x14ac:dyDescent="0.3">
      <c r="A179" s="12"/>
      <c r="B179" s="22"/>
      <c r="C179" t="str">
        <f>IF(AND('ENTRY DATA'!D179=""),"",('ENTRY DATA'!D179))</f>
        <v/>
      </c>
      <c r="D179" t="str">
        <f>IF(AND('ENTRY DATA'!F179=""),"",('ENTRY DATA'!F179))</f>
        <v/>
      </c>
      <c r="E179" s="34" t="str">
        <f>IF(AND('ENTRY DATA'!B179=""),"",('ENTRY DATA'!B179))</f>
        <v/>
      </c>
      <c r="F179" s="12"/>
      <c r="G179" s="12"/>
      <c r="H179" s="72"/>
      <c r="I179" s="71"/>
      <c r="J179" s="72"/>
      <c r="K179" s="12"/>
      <c r="L179" s="20">
        <f t="shared" si="12"/>
        <v>0</v>
      </c>
      <c r="M179" s="19" t="str">
        <f t="shared" si="13"/>
        <v/>
      </c>
      <c r="N179" s="12"/>
      <c r="O179" s="119"/>
      <c r="P179" s="95" t="str">
        <f t="shared" si="14"/>
        <v/>
      </c>
      <c r="Q179" s="12"/>
      <c r="S179" s="128"/>
      <c r="T179" s="66"/>
      <c r="U179" s="128"/>
      <c r="W179" s="128"/>
      <c r="X179" s="12"/>
      <c r="Y179" t="str">
        <f t="shared" si="15"/>
        <v/>
      </c>
      <c r="Z179" t="str">
        <f t="shared" si="15"/>
        <v/>
      </c>
      <c r="AA179" s="12"/>
      <c r="AB179" s="95" t="e">
        <f t="shared" si="16"/>
        <v>#VALUE!</v>
      </c>
      <c r="AC179" s="95" t="e">
        <f t="shared" si="17"/>
        <v>#VALUE!</v>
      </c>
      <c r="AD179" s="12"/>
    </row>
    <row r="180" spans="1:30" ht="15.75" thickBot="1" x14ac:dyDescent="0.3">
      <c r="A180" s="12"/>
      <c r="B180" s="22"/>
      <c r="C180" t="str">
        <f>IF(AND('ENTRY DATA'!D180=""),"",('ENTRY DATA'!D180))</f>
        <v/>
      </c>
      <c r="D180" t="str">
        <f>IF(AND('ENTRY DATA'!F180=""),"",('ENTRY DATA'!F180))</f>
        <v/>
      </c>
      <c r="E180" s="34" t="str">
        <f>IF(AND('ENTRY DATA'!B180=""),"",('ENTRY DATA'!B180))</f>
        <v/>
      </c>
      <c r="F180" s="12"/>
      <c r="G180" s="12"/>
      <c r="H180" s="72"/>
      <c r="I180" s="71"/>
      <c r="J180" s="72"/>
      <c r="K180" s="12"/>
      <c r="L180" s="20">
        <f t="shared" si="12"/>
        <v>0</v>
      </c>
      <c r="M180" s="19" t="str">
        <f t="shared" si="13"/>
        <v/>
      </c>
      <c r="N180" s="12"/>
      <c r="O180" s="119"/>
      <c r="P180" s="95" t="str">
        <f t="shared" si="14"/>
        <v/>
      </c>
      <c r="Q180" s="12"/>
      <c r="S180" s="128"/>
      <c r="T180" s="66"/>
      <c r="U180" s="128"/>
      <c r="W180" s="128"/>
      <c r="X180" s="12"/>
      <c r="Y180" t="str">
        <f t="shared" si="15"/>
        <v/>
      </c>
      <c r="Z180" t="str">
        <f t="shared" si="15"/>
        <v/>
      </c>
      <c r="AA180" s="12"/>
      <c r="AB180" s="95" t="e">
        <f t="shared" si="16"/>
        <v>#VALUE!</v>
      </c>
      <c r="AC180" s="95" t="e">
        <f t="shared" si="17"/>
        <v>#VALUE!</v>
      </c>
      <c r="AD180" s="12"/>
    </row>
    <row r="181" spans="1:30" ht="15.75" thickBot="1" x14ac:dyDescent="0.3">
      <c r="A181" s="12"/>
      <c r="B181" s="22"/>
      <c r="C181" t="str">
        <f>IF(AND('ENTRY DATA'!D181=""),"",('ENTRY DATA'!D181))</f>
        <v/>
      </c>
      <c r="D181" t="str">
        <f>IF(AND('ENTRY DATA'!F181=""),"",('ENTRY DATA'!F181))</f>
        <v/>
      </c>
      <c r="E181" s="34" t="str">
        <f>IF(AND('ENTRY DATA'!B181=""),"",('ENTRY DATA'!B181))</f>
        <v/>
      </c>
      <c r="F181" s="12"/>
      <c r="G181" s="12"/>
      <c r="H181" s="72"/>
      <c r="I181" s="71"/>
      <c r="J181" s="72"/>
      <c r="K181" s="12"/>
      <c r="L181" s="20">
        <f t="shared" si="12"/>
        <v>0</v>
      </c>
      <c r="M181" s="19" t="str">
        <f t="shared" si="13"/>
        <v/>
      </c>
      <c r="N181" s="12"/>
      <c r="O181" s="119"/>
      <c r="P181" s="95" t="str">
        <f t="shared" si="14"/>
        <v/>
      </c>
      <c r="Q181" s="12"/>
      <c r="S181" s="128"/>
      <c r="T181" s="66"/>
      <c r="U181" s="128"/>
      <c r="W181" s="128"/>
      <c r="X181" s="12"/>
      <c r="Y181" t="str">
        <f t="shared" si="15"/>
        <v/>
      </c>
      <c r="Z181" t="str">
        <f t="shared" si="15"/>
        <v/>
      </c>
      <c r="AA181" s="12"/>
      <c r="AB181" s="95" t="e">
        <f t="shared" si="16"/>
        <v>#VALUE!</v>
      </c>
      <c r="AC181" s="95" t="e">
        <f t="shared" si="17"/>
        <v>#VALUE!</v>
      </c>
      <c r="AD181" s="12"/>
    </row>
    <row r="182" spans="1:30" ht="15.75" thickBot="1" x14ac:dyDescent="0.3">
      <c r="A182" s="12"/>
      <c r="B182" s="22"/>
      <c r="C182" t="str">
        <f>IF(AND('ENTRY DATA'!D182=""),"",('ENTRY DATA'!D182))</f>
        <v/>
      </c>
      <c r="D182" t="str">
        <f>IF(AND('ENTRY DATA'!F182=""),"",('ENTRY DATA'!F182))</f>
        <v/>
      </c>
      <c r="E182" s="34" t="str">
        <f>IF(AND('ENTRY DATA'!B182=""),"",('ENTRY DATA'!B182))</f>
        <v/>
      </c>
      <c r="F182" s="12"/>
      <c r="G182" s="12"/>
      <c r="H182" s="72"/>
      <c r="I182" s="71"/>
      <c r="J182" s="72"/>
      <c r="K182" s="12"/>
      <c r="L182" s="20">
        <f t="shared" si="12"/>
        <v>0</v>
      </c>
      <c r="M182" s="19" t="str">
        <f t="shared" si="13"/>
        <v/>
      </c>
      <c r="N182" s="12"/>
      <c r="O182" s="119"/>
      <c r="P182" s="95" t="str">
        <f t="shared" si="14"/>
        <v/>
      </c>
      <c r="Q182" s="12"/>
      <c r="S182" s="128"/>
      <c r="T182" s="66"/>
      <c r="U182" s="128"/>
      <c r="W182" s="128"/>
      <c r="X182" s="12"/>
      <c r="Y182" t="str">
        <f t="shared" si="15"/>
        <v/>
      </c>
      <c r="Z182" t="str">
        <f t="shared" si="15"/>
        <v/>
      </c>
      <c r="AA182" s="12"/>
      <c r="AB182" s="95" t="e">
        <f t="shared" si="16"/>
        <v>#VALUE!</v>
      </c>
      <c r="AC182" s="95" t="e">
        <f t="shared" si="17"/>
        <v>#VALUE!</v>
      </c>
      <c r="AD182" s="12"/>
    </row>
    <row r="183" spans="1:30" ht="15.75" thickBot="1" x14ac:dyDescent="0.3">
      <c r="A183" s="12"/>
      <c r="B183" s="22"/>
      <c r="C183" t="str">
        <f>IF(AND('ENTRY DATA'!D183=""),"",('ENTRY DATA'!D183))</f>
        <v/>
      </c>
      <c r="D183" t="str">
        <f>IF(AND('ENTRY DATA'!F183=""),"",('ENTRY DATA'!F183))</f>
        <v/>
      </c>
      <c r="E183" s="34" t="str">
        <f>IF(AND('ENTRY DATA'!B183=""),"",('ENTRY DATA'!B183))</f>
        <v/>
      </c>
      <c r="F183" s="12"/>
      <c r="G183" s="12"/>
      <c r="H183" s="72"/>
      <c r="I183" s="71"/>
      <c r="J183" s="72"/>
      <c r="K183" s="12"/>
      <c r="L183" s="20">
        <f t="shared" si="12"/>
        <v>0</v>
      </c>
      <c r="M183" s="19" t="str">
        <f t="shared" si="13"/>
        <v/>
      </c>
      <c r="N183" s="12"/>
      <c r="O183" s="119"/>
      <c r="P183" s="95" t="str">
        <f t="shared" si="14"/>
        <v/>
      </c>
      <c r="Q183" s="12"/>
      <c r="S183" s="128"/>
      <c r="T183" s="66"/>
      <c r="U183" s="128"/>
      <c r="W183" s="128"/>
      <c r="X183" s="12"/>
      <c r="Y183" t="str">
        <f t="shared" si="15"/>
        <v/>
      </c>
      <c r="Z183" t="str">
        <f t="shared" si="15"/>
        <v/>
      </c>
      <c r="AA183" s="12"/>
      <c r="AB183" s="95" t="e">
        <f t="shared" si="16"/>
        <v>#VALUE!</v>
      </c>
      <c r="AC183" s="95" t="e">
        <f t="shared" si="17"/>
        <v>#VALUE!</v>
      </c>
      <c r="AD183" s="12"/>
    </row>
    <row r="184" spans="1:30" ht="15.75" thickBot="1" x14ac:dyDescent="0.3">
      <c r="A184" s="12"/>
      <c r="B184" s="22"/>
      <c r="C184" t="str">
        <f>IF(AND('ENTRY DATA'!D184=""),"",('ENTRY DATA'!D184))</f>
        <v/>
      </c>
      <c r="D184" t="str">
        <f>IF(AND('ENTRY DATA'!F184=""),"",('ENTRY DATA'!F184))</f>
        <v/>
      </c>
      <c r="E184" s="34" t="str">
        <f>IF(AND('ENTRY DATA'!B184=""),"",('ENTRY DATA'!B184))</f>
        <v/>
      </c>
      <c r="F184" s="12"/>
      <c r="G184" s="12"/>
      <c r="H184" s="72"/>
      <c r="I184" s="71"/>
      <c r="J184" s="72"/>
      <c r="K184" s="12"/>
      <c r="L184" s="20">
        <f t="shared" si="12"/>
        <v>0</v>
      </c>
      <c r="M184" s="19" t="str">
        <f t="shared" si="13"/>
        <v/>
      </c>
      <c r="N184" s="12"/>
      <c r="O184" s="119"/>
      <c r="P184" s="95" t="str">
        <f t="shared" si="14"/>
        <v/>
      </c>
      <c r="Q184" s="12"/>
      <c r="S184" s="128"/>
      <c r="T184" s="66"/>
      <c r="U184" s="128"/>
      <c r="W184" s="128"/>
      <c r="X184" s="12"/>
      <c r="Y184" t="str">
        <f t="shared" si="15"/>
        <v/>
      </c>
      <c r="Z184" t="str">
        <f t="shared" si="15"/>
        <v/>
      </c>
      <c r="AA184" s="12"/>
      <c r="AB184" s="95" t="e">
        <f t="shared" si="16"/>
        <v>#VALUE!</v>
      </c>
      <c r="AC184" s="95" t="e">
        <f t="shared" si="17"/>
        <v>#VALUE!</v>
      </c>
      <c r="AD184" s="12"/>
    </row>
    <row r="185" spans="1:30" ht="15.75" thickBot="1" x14ac:dyDescent="0.3">
      <c r="A185" s="12"/>
      <c r="B185" s="22"/>
      <c r="C185" t="str">
        <f>IF(AND('ENTRY DATA'!D185=""),"",('ENTRY DATA'!D185))</f>
        <v/>
      </c>
      <c r="D185" t="str">
        <f>IF(AND('ENTRY DATA'!F185=""),"",('ENTRY DATA'!F185))</f>
        <v/>
      </c>
      <c r="E185" s="34" t="str">
        <f>IF(AND('ENTRY DATA'!B185=""),"",('ENTRY DATA'!B185))</f>
        <v/>
      </c>
      <c r="F185" s="12"/>
      <c r="G185" s="12"/>
      <c r="H185" s="72"/>
      <c r="I185" s="71"/>
      <c r="J185" s="72"/>
      <c r="K185" s="12"/>
      <c r="L185" s="20">
        <f t="shared" si="12"/>
        <v>0</v>
      </c>
      <c r="M185" s="19" t="str">
        <f t="shared" si="13"/>
        <v/>
      </c>
      <c r="N185" s="12"/>
      <c r="O185" s="119"/>
      <c r="P185" s="95" t="str">
        <f t="shared" si="14"/>
        <v/>
      </c>
      <c r="Q185" s="12"/>
      <c r="S185" s="128"/>
      <c r="T185" s="66"/>
      <c r="U185" s="128"/>
      <c r="W185" s="128"/>
      <c r="X185" s="12"/>
      <c r="Y185" t="str">
        <f t="shared" si="15"/>
        <v/>
      </c>
      <c r="Z185" t="str">
        <f t="shared" si="15"/>
        <v/>
      </c>
      <c r="AA185" s="12"/>
      <c r="AB185" s="95" t="e">
        <f t="shared" si="16"/>
        <v>#VALUE!</v>
      </c>
      <c r="AC185" s="95" t="e">
        <f t="shared" si="17"/>
        <v>#VALUE!</v>
      </c>
      <c r="AD185" s="12"/>
    </row>
    <row r="186" spans="1:30" ht="15.75" thickBot="1" x14ac:dyDescent="0.3">
      <c r="A186" s="12"/>
      <c r="B186" s="22"/>
      <c r="C186" t="str">
        <f>IF(AND('ENTRY DATA'!D186=""),"",('ENTRY DATA'!D186))</f>
        <v/>
      </c>
      <c r="D186" t="str">
        <f>IF(AND('ENTRY DATA'!F186=""),"",('ENTRY DATA'!F186))</f>
        <v/>
      </c>
      <c r="E186" s="34" t="str">
        <f>IF(AND('ENTRY DATA'!B186=""),"",('ENTRY DATA'!B186))</f>
        <v/>
      </c>
      <c r="F186" s="12"/>
      <c r="G186" s="12"/>
      <c r="H186" s="72"/>
      <c r="I186" s="71"/>
      <c r="J186" s="72"/>
      <c r="K186" s="12"/>
      <c r="L186" s="20">
        <f t="shared" si="12"/>
        <v>0</v>
      </c>
      <c r="M186" s="19" t="str">
        <f t="shared" si="13"/>
        <v/>
      </c>
      <c r="N186" s="12"/>
      <c r="O186" s="119"/>
      <c r="P186" s="95" t="str">
        <f t="shared" si="14"/>
        <v/>
      </c>
      <c r="Q186" s="12"/>
      <c r="S186" s="128"/>
      <c r="T186" s="66"/>
      <c r="U186" s="128"/>
      <c r="W186" s="128"/>
      <c r="X186" s="12"/>
      <c r="Y186" t="str">
        <f t="shared" si="15"/>
        <v/>
      </c>
      <c r="Z186" t="str">
        <f t="shared" si="15"/>
        <v/>
      </c>
      <c r="AA186" s="12"/>
      <c r="AB186" s="95" t="e">
        <f t="shared" si="16"/>
        <v>#VALUE!</v>
      </c>
      <c r="AC186" s="95" t="e">
        <f t="shared" si="17"/>
        <v>#VALUE!</v>
      </c>
      <c r="AD186" s="12"/>
    </row>
    <row r="187" spans="1:30" ht="15.75" thickBot="1" x14ac:dyDescent="0.3">
      <c r="A187" s="12"/>
      <c r="B187" s="22"/>
      <c r="C187" t="str">
        <f>IF(AND('ENTRY DATA'!D187=""),"",('ENTRY DATA'!D187))</f>
        <v/>
      </c>
      <c r="D187" t="str">
        <f>IF(AND('ENTRY DATA'!F187=""),"",('ENTRY DATA'!F187))</f>
        <v/>
      </c>
      <c r="E187" s="34" t="str">
        <f>IF(AND('ENTRY DATA'!B187=""),"",('ENTRY DATA'!B187))</f>
        <v/>
      </c>
      <c r="F187" s="12"/>
      <c r="G187" s="12"/>
      <c r="H187" s="72"/>
      <c r="I187" s="71"/>
      <c r="J187" s="72"/>
      <c r="K187" s="12"/>
      <c r="L187" s="20">
        <f t="shared" si="12"/>
        <v>0</v>
      </c>
      <c r="M187" s="19" t="str">
        <f t="shared" si="13"/>
        <v/>
      </c>
      <c r="N187" s="12"/>
      <c r="O187" s="119"/>
      <c r="P187" s="95" t="str">
        <f t="shared" si="14"/>
        <v/>
      </c>
      <c r="Q187" s="12"/>
      <c r="S187" s="128"/>
      <c r="T187" s="66"/>
      <c r="U187" s="128"/>
      <c r="W187" s="128"/>
      <c r="X187" s="12"/>
      <c r="Y187" t="str">
        <f t="shared" si="15"/>
        <v/>
      </c>
      <c r="Z187" t="str">
        <f t="shared" si="15"/>
        <v/>
      </c>
      <c r="AA187" s="12"/>
      <c r="AB187" s="95" t="e">
        <f t="shared" si="16"/>
        <v>#VALUE!</v>
      </c>
      <c r="AC187" s="95" t="e">
        <f t="shared" si="17"/>
        <v>#VALUE!</v>
      </c>
      <c r="AD187" s="12"/>
    </row>
    <row r="188" spans="1:30" ht="15.75" thickBot="1" x14ac:dyDescent="0.3">
      <c r="A188" s="12"/>
      <c r="B188" s="22"/>
      <c r="C188" t="str">
        <f>IF(AND('ENTRY DATA'!D188=""),"",('ENTRY DATA'!D188))</f>
        <v/>
      </c>
      <c r="D188" t="str">
        <f>IF(AND('ENTRY DATA'!F188=""),"",('ENTRY DATA'!F188))</f>
        <v/>
      </c>
      <c r="E188" s="34" t="str">
        <f>IF(AND('ENTRY DATA'!B188=""),"",('ENTRY DATA'!B188))</f>
        <v/>
      </c>
      <c r="F188" s="12"/>
      <c r="G188" s="12"/>
      <c r="H188" s="72"/>
      <c r="I188" s="71"/>
      <c r="J188" s="72"/>
      <c r="K188" s="12"/>
      <c r="L188" s="20">
        <f t="shared" si="12"/>
        <v>0</v>
      </c>
      <c r="M188" s="19" t="str">
        <f t="shared" si="13"/>
        <v/>
      </c>
      <c r="N188" s="12"/>
      <c r="O188" s="119"/>
      <c r="P188" s="95" t="str">
        <f t="shared" si="14"/>
        <v/>
      </c>
      <c r="Q188" s="12"/>
      <c r="S188" s="128"/>
      <c r="T188" s="66"/>
      <c r="U188" s="128"/>
      <c r="W188" s="128"/>
      <c r="X188" s="12"/>
      <c r="Y188" t="str">
        <f t="shared" si="15"/>
        <v/>
      </c>
      <c r="Z188" t="str">
        <f t="shared" si="15"/>
        <v/>
      </c>
      <c r="AA188" s="12"/>
      <c r="AB188" s="95" t="e">
        <f t="shared" si="16"/>
        <v>#VALUE!</v>
      </c>
      <c r="AC188" s="95" t="e">
        <f t="shared" si="17"/>
        <v>#VALUE!</v>
      </c>
      <c r="AD188" s="12"/>
    </row>
    <row r="189" spans="1:30" ht="15.75" thickBot="1" x14ac:dyDescent="0.3">
      <c r="A189" s="12"/>
      <c r="B189" s="22"/>
      <c r="C189" t="str">
        <f>IF(AND('ENTRY DATA'!D189=""),"",('ENTRY DATA'!D189))</f>
        <v/>
      </c>
      <c r="D189" t="str">
        <f>IF(AND('ENTRY DATA'!F189=""),"",('ENTRY DATA'!F189))</f>
        <v/>
      </c>
      <c r="E189" s="34" t="str">
        <f>IF(AND('ENTRY DATA'!B189=""),"",('ENTRY DATA'!B189))</f>
        <v/>
      </c>
      <c r="F189" s="12"/>
      <c r="G189" s="12"/>
      <c r="H189" s="72"/>
      <c r="I189" s="71"/>
      <c r="J189" s="72"/>
      <c r="K189" s="12"/>
      <c r="L189" s="20">
        <f t="shared" si="12"/>
        <v>0</v>
      </c>
      <c r="M189" s="19" t="str">
        <f t="shared" si="13"/>
        <v/>
      </c>
      <c r="N189" s="12"/>
      <c r="O189" s="119"/>
      <c r="P189" s="95" t="str">
        <f t="shared" si="14"/>
        <v/>
      </c>
      <c r="Q189" s="12"/>
      <c r="S189" s="128"/>
      <c r="T189" s="66"/>
      <c r="U189" s="128"/>
      <c r="W189" s="128"/>
      <c r="X189" s="12"/>
      <c r="Y189" t="str">
        <f t="shared" si="15"/>
        <v/>
      </c>
      <c r="Z189" t="str">
        <f t="shared" si="15"/>
        <v/>
      </c>
      <c r="AA189" s="12"/>
      <c r="AB189" s="95" t="e">
        <f t="shared" si="16"/>
        <v>#VALUE!</v>
      </c>
      <c r="AC189" s="95" t="e">
        <f t="shared" si="17"/>
        <v>#VALUE!</v>
      </c>
      <c r="AD189" s="12"/>
    </row>
    <row r="190" spans="1:30" ht="15.75" thickBot="1" x14ac:dyDescent="0.3">
      <c r="A190" s="12"/>
      <c r="B190" s="22"/>
      <c r="C190" t="str">
        <f>IF(AND('ENTRY DATA'!D190=""),"",('ENTRY DATA'!D190))</f>
        <v/>
      </c>
      <c r="D190" t="str">
        <f>IF(AND('ENTRY DATA'!F190=""),"",('ENTRY DATA'!F190))</f>
        <v/>
      </c>
      <c r="E190" s="34" t="str">
        <f>IF(AND('ENTRY DATA'!B190=""),"",('ENTRY DATA'!B190))</f>
        <v/>
      </c>
      <c r="F190" s="12"/>
      <c r="G190" s="12"/>
      <c r="H190" s="72"/>
      <c r="I190" s="71"/>
      <c r="J190" s="72"/>
      <c r="K190" s="12"/>
      <c r="L190" s="20">
        <f t="shared" si="12"/>
        <v>0</v>
      </c>
      <c r="M190" s="19" t="str">
        <f t="shared" si="13"/>
        <v/>
      </c>
      <c r="N190" s="12"/>
      <c r="O190" s="119"/>
      <c r="P190" s="95" t="str">
        <f t="shared" si="14"/>
        <v/>
      </c>
      <c r="Q190" s="12"/>
      <c r="S190" s="128"/>
      <c r="T190" s="66"/>
      <c r="U190" s="128"/>
      <c r="W190" s="128"/>
      <c r="X190" s="12"/>
      <c r="Y190" t="str">
        <f t="shared" si="15"/>
        <v/>
      </c>
      <c r="Z190" t="str">
        <f t="shared" si="15"/>
        <v/>
      </c>
      <c r="AA190" s="12"/>
      <c r="AB190" s="95" t="e">
        <f t="shared" si="16"/>
        <v>#VALUE!</v>
      </c>
      <c r="AC190" s="95" t="e">
        <f t="shared" si="17"/>
        <v>#VALUE!</v>
      </c>
      <c r="AD190" s="12"/>
    </row>
    <row r="191" spans="1:30" ht="15.75" thickBot="1" x14ac:dyDescent="0.3">
      <c r="A191" s="12"/>
      <c r="B191" s="22"/>
      <c r="C191" t="str">
        <f>IF(AND('ENTRY DATA'!D191=""),"",('ENTRY DATA'!D191))</f>
        <v/>
      </c>
      <c r="D191" t="str">
        <f>IF(AND('ENTRY DATA'!F191=""),"",('ENTRY DATA'!F191))</f>
        <v/>
      </c>
      <c r="E191" s="34" t="str">
        <f>IF(AND('ENTRY DATA'!B191=""),"",('ENTRY DATA'!B191))</f>
        <v/>
      </c>
      <c r="F191" s="12"/>
      <c r="G191" s="12"/>
      <c r="H191" s="72"/>
      <c r="I191" s="71"/>
      <c r="J191" s="72"/>
      <c r="K191" s="12"/>
      <c r="L191" s="20">
        <f t="shared" si="12"/>
        <v>0</v>
      </c>
      <c r="M191" s="19" t="str">
        <f t="shared" si="13"/>
        <v/>
      </c>
      <c r="N191" s="12"/>
      <c r="O191" s="119"/>
      <c r="P191" s="95" t="str">
        <f t="shared" si="14"/>
        <v/>
      </c>
      <c r="Q191" s="12"/>
      <c r="S191" s="128"/>
      <c r="T191" s="66"/>
      <c r="U191" s="128"/>
      <c r="W191" s="128"/>
      <c r="X191" s="12"/>
      <c r="Y191" t="str">
        <f t="shared" si="15"/>
        <v/>
      </c>
      <c r="Z191" t="str">
        <f t="shared" si="15"/>
        <v/>
      </c>
      <c r="AA191" s="12"/>
      <c r="AB191" s="95" t="e">
        <f t="shared" si="16"/>
        <v>#VALUE!</v>
      </c>
      <c r="AC191" s="95" t="e">
        <f t="shared" si="17"/>
        <v>#VALUE!</v>
      </c>
      <c r="AD191" s="12"/>
    </row>
    <row r="192" spans="1:30" ht="15.75" thickBot="1" x14ac:dyDescent="0.3">
      <c r="A192" s="12"/>
      <c r="B192" s="22"/>
      <c r="C192" t="str">
        <f>IF(AND('ENTRY DATA'!D192=""),"",('ENTRY DATA'!D192))</f>
        <v/>
      </c>
      <c r="D192" t="str">
        <f>IF(AND('ENTRY DATA'!F192=""),"",('ENTRY DATA'!F192))</f>
        <v/>
      </c>
      <c r="E192" s="34" t="str">
        <f>IF(AND('ENTRY DATA'!B192=""),"",('ENTRY DATA'!B192))</f>
        <v/>
      </c>
      <c r="F192" s="12"/>
      <c r="G192" s="12"/>
      <c r="H192" s="72"/>
      <c r="I192" s="71"/>
      <c r="J192" s="72"/>
      <c r="K192" s="12"/>
      <c r="L192" s="20">
        <f t="shared" si="12"/>
        <v>0</v>
      </c>
      <c r="M192" s="19" t="str">
        <f t="shared" si="13"/>
        <v/>
      </c>
      <c r="N192" s="12"/>
      <c r="O192" s="119"/>
      <c r="P192" s="95" t="str">
        <f t="shared" si="14"/>
        <v/>
      </c>
      <c r="Q192" s="12"/>
      <c r="S192" s="128"/>
      <c r="T192" s="66"/>
      <c r="U192" s="128"/>
      <c r="W192" s="128"/>
      <c r="X192" s="12"/>
      <c r="Y192" t="str">
        <f t="shared" si="15"/>
        <v/>
      </c>
      <c r="Z192" t="str">
        <f t="shared" si="15"/>
        <v/>
      </c>
      <c r="AA192" s="12"/>
      <c r="AB192" s="95" t="e">
        <f t="shared" si="16"/>
        <v>#VALUE!</v>
      </c>
      <c r="AC192" s="95" t="e">
        <f t="shared" si="17"/>
        <v>#VALUE!</v>
      </c>
      <c r="AD192" s="12"/>
    </row>
    <row r="193" spans="1:30" ht="15.75" thickBot="1" x14ac:dyDescent="0.3">
      <c r="A193" s="12"/>
      <c r="B193" s="22"/>
      <c r="C193" t="str">
        <f>IF(AND('ENTRY DATA'!D193=""),"",('ENTRY DATA'!D193))</f>
        <v/>
      </c>
      <c r="D193" t="str">
        <f>IF(AND('ENTRY DATA'!F193=""),"",('ENTRY DATA'!F193))</f>
        <v/>
      </c>
      <c r="E193" s="34" t="str">
        <f>IF(AND('ENTRY DATA'!B193=""),"",('ENTRY DATA'!B193))</f>
        <v/>
      </c>
      <c r="F193" s="12"/>
      <c r="G193" s="12"/>
      <c r="H193" s="72"/>
      <c r="I193" s="71"/>
      <c r="J193" s="72"/>
      <c r="K193" s="12"/>
      <c r="L193" s="20">
        <f t="shared" si="12"/>
        <v>0</v>
      </c>
      <c r="M193" s="19" t="str">
        <f t="shared" si="13"/>
        <v/>
      </c>
      <c r="N193" s="12"/>
      <c r="O193" s="119"/>
      <c r="P193" s="95" t="str">
        <f t="shared" si="14"/>
        <v/>
      </c>
      <c r="Q193" s="12"/>
      <c r="S193" s="128"/>
      <c r="T193" s="66"/>
      <c r="U193" s="128"/>
      <c r="W193" s="128"/>
      <c r="X193" s="12"/>
      <c r="Y193" t="str">
        <f t="shared" si="15"/>
        <v/>
      </c>
      <c r="Z193" t="str">
        <f t="shared" si="15"/>
        <v/>
      </c>
      <c r="AA193" s="12"/>
      <c r="AB193" s="95" t="e">
        <f t="shared" si="16"/>
        <v>#VALUE!</v>
      </c>
      <c r="AC193" s="95" t="e">
        <f t="shared" si="17"/>
        <v>#VALUE!</v>
      </c>
      <c r="AD193" s="12"/>
    </row>
    <row r="194" spans="1:30" ht="15.75" thickBot="1" x14ac:dyDescent="0.3">
      <c r="A194" s="12"/>
      <c r="B194" s="22"/>
      <c r="C194" t="str">
        <f>IF(AND('ENTRY DATA'!D194=""),"",('ENTRY DATA'!D194))</f>
        <v/>
      </c>
      <c r="D194" t="str">
        <f>IF(AND('ENTRY DATA'!F194=""),"",('ENTRY DATA'!F194))</f>
        <v/>
      </c>
      <c r="E194" s="34" t="str">
        <f>IF(AND('ENTRY DATA'!B194=""),"",('ENTRY DATA'!B194))</f>
        <v/>
      </c>
      <c r="F194" s="12"/>
      <c r="G194" s="12"/>
      <c r="H194" s="72"/>
      <c r="I194" s="71"/>
      <c r="J194" s="72"/>
      <c r="K194" s="12"/>
      <c r="L194" s="20">
        <f t="shared" si="12"/>
        <v>0</v>
      </c>
      <c r="M194" s="19" t="str">
        <f t="shared" si="13"/>
        <v/>
      </c>
      <c r="N194" s="12"/>
      <c r="O194" s="119"/>
      <c r="P194" s="95" t="str">
        <f t="shared" si="14"/>
        <v/>
      </c>
      <c r="Q194" s="12"/>
      <c r="S194" s="128"/>
      <c r="T194" s="66"/>
      <c r="U194" s="128"/>
      <c r="W194" s="128"/>
      <c r="X194" s="12"/>
      <c r="Y194" t="str">
        <f t="shared" si="15"/>
        <v/>
      </c>
      <c r="Z194" t="str">
        <f t="shared" si="15"/>
        <v/>
      </c>
      <c r="AA194" s="12"/>
      <c r="AB194" s="95" t="e">
        <f t="shared" si="16"/>
        <v>#VALUE!</v>
      </c>
      <c r="AC194" s="95" t="e">
        <f t="shared" si="17"/>
        <v>#VALUE!</v>
      </c>
      <c r="AD194" s="12"/>
    </row>
    <row r="195" spans="1:30" ht="15.75" thickBot="1" x14ac:dyDescent="0.3">
      <c r="A195" s="12"/>
      <c r="B195" s="22"/>
      <c r="C195" t="str">
        <f>IF(AND('ENTRY DATA'!D195=""),"",('ENTRY DATA'!D195))</f>
        <v/>
      </c>
      <c r="D195" t="str">
        <f>IF(AND('ENTRY DATA'!F195=""),"",('ENTRY DATA'!F195))</f>
        <v/>
      </c>
      <c r="E195" s="34" t="str">
        <f>IF(AND('ENTRY DATA'!B195=""),"",('ENTRY DATA'!B195))</f>
        <v/>
      </c>
      <c r="F195" s="12"/>
      <c r="G195" s="12"/>
      <c r="H195" s="72"/>
      <c r="I195" s="71"/>
      <c r="J195" s="72"/>
      <c r="K195" s="12"/>
      <c r="L195" s="20">
        <f t="shared" si="12"/>
        <v>0</v>
      </c>
      <c r="M195" s="19" t="str">
        <f t="shared" si="13"/>
        <v/>
      </c>
      <c r="N195" s="12"/>
      <c r="O195" s="119"/>
      <c r="P195" s="95" t="str">
        <f t="shared" si="14"/>
        <v/>
      </c>
      <c r="Q195" s="12"/>
      <c r="S195" s="128"/>
      <c r="T195" s="66"/>
      <c r="U195" s="128"/>
      <c r="W195" s="128"/>
      <c r="X195" s="12"/>
      <c r="Y195" t="str">
        <f t="shared" si="15"/>
        <v/>
      </c>
      <c r="Z195" t="str">
        <f t="shared" si="15"/>
        <v/>
      </c>
      <c r="AA195" s="12"/>
      <c r="AB195" s="95" t="e">
        <f t="shared" si="16"/>
        <v>#VALUE!</v>
      </c>
      <c r="AC195" s="95" t="e">
        <f t="shared" si="17"/>
        <v>#VALUE!</v>
      </c>
      <c r="AD195" s="12"/>
    </row>
    <row r="196" spans="1:30" ht="15.75" thickBot="1" x14ac:dyDescent="0.3">
      <c r="A196" s="12"/>
      <c r="B196" s="22"/>
      <c r="C196" t="str">
        <f>IF(AND('ENTRY DATA'!D196=""),"",('ENTRY DATA'!D196))</f>
        <v/>
      </c>
      <c r="D196" t="str">
        <f>IF(AND('ENTRY DATA'!F196=""),"",('ENTRY DATA'!F196))</f>
        <v/>
      </c>
      <c r="E196" s="34" t="str">
        <f>IF(AND('ENTRY DATA'!B196=""),"",('ENTRY DATA'!B196))</f>
        <v/>
      </c>
      <c r="F196" s="12"/>
      <c r="G196" s="12"/>
      <c r="H196" s="72"/>
      <c r="I196" s="71"/>
      <c r="J196" s="72"/>
      <c r="K196" s="12"/>
      <c r="L196" s="20">
        <f t="shared" si="12"/>
        <v>0</v>
      </c>
      <c r="M196" s="19" t="str">
        <f t="shared" si="13"/>
        <v/>
      </c>
      <c r="N196" s="12"/>
      <c r="O196" s="119"/>
      <c r="P196" s="95" t="str">
        <f t="shared" si="14"/>
        <v/>
      </c>
      <c r="Q196" s="12"/>
      <c r="S196" s="128"/>
      <c r="T196" s="66"/>
      <c r="U196" s="128"/>
      <c r="W196" s="128"/>
      <c r="X196" s="12"/>
      <c r="Y196" t="str">
        <f t="shared" si="15"/>
        <v/>
      </c>
      <c r="Z196" t="str">
        <f t="shared" si="15"/>
        <v/>
      </c>
      <c r="AA196" s="12"/>
      <c r="AB196" s="95" t="e">
        <f t="shared" si="16"/>
        <v>#VALUE!</v>
      </c>
      <c r="AC196" s="95" t="e">
        <f t="shared" si="17"/>
        <v>#VALUE!</v>
      </c>
      <c r="AD196" s="12"/>
    </row>
    <row r="197" spans="1:30" ht="15.75" thickBot="1" x14ac:dyDescent="0.3">
      <c r="A197" s="12"/>
      <c r="B197" s="22"/>
      <c r="C197" t="str">
        <f>IF(AND('ENTRY DATA'!D197=""),"",('ENTRY DATA'!D197))</f>
        <v/>
      </c>
      <c r="D197" t="str">
        <f>IF(AND('ENTRY DATA'!F197=""),"",('ENTRY DATA'!F197))</f>
        <v/>
      </c>
      <c r="E197" s="34" t="str">
        <f>IF(AND('ENTRY DATA'!B197=""),"",('ENTRY DATA'!B197))</f>
        <v/>
      </c>
      <c r="F197" s="12"/>
      <c r="G197" s="12"/>
      <c r="H197" s="72"/>
      <c r="I197" s="71"/>
      <c r="J197" s="72"/>
      <c r="K197" s="12"/>
      <c r="L197" s="20">
        <f t="shared" si="12"/>
        <v>0</v>
      </c>
      <c r="M197" s="19" t="str">
        <f t="shared" si="13"/>
        <v/>
      </c>
      <c r="N197" s="12"/>
      <c r="O197" s="119"/>
      <c r="P197" s="95" t="str">
        <f t="shared" si="14"/>
        <v/>
      </c>
      <c r="Q197" s="12"/>
      <c r="S197" s="128"/>
      <c r="T197" s="66"/>
      <c r="U197" s="128"/>
      <c r="W197" s="128"/>
      <c r="X197" s="12"/>
      <c r="Y197" t="str">
        <f t="shared" si="15"/>
        <v/>
      </c>
      <c r="Z197" t="str">
        <f t="shared" si="15"/>
        <v/>
      </c>
      <c r="AA197" s="12"/>
      <c r="AB197" s="95" t="e">
        <f t="shared" si="16"/>
        <v>#VALUE!</v>
      </c>
      <c r="AC197" s="95" t="e">
        <f t="shared" si="17"/>
        <v>#VALUE!</v>
      </c>
      <c r="AD197" s="12"/>
    </row>
    <row r="198" spans="1:30" ht="15.75" thickBot="1" x14ac:dyDescent="0.3">
      <c r="A198" s="12"/>
      <c r="B198" s="22"/>
      <c r="C198" t="str">
        <f>IF(AND('ENTRY DATA'!D198=""),"",('ENTRY DATA'!D198))</f>
        <v/>
      </c>
      <c r="D198" t="str">
        <f>IF(AND('ENTRY DATA'!F198=""),"",('ENTRY DATA'!F198))</f>
        <v/>
      </c>
      <c r="E198" s="34" t="str">
        <f>IF(AND('ENTRY DATA'!B198=""),"",('ENTRY DATA'!B198))</f>
        <v/>
      </c>
      <c r="F198" s="12"/>
      <c r="G198" s="12"/>
      <c r="H198" s="72"/>
      <c r="I198" s="71"/>
      <c r="J198" s="72"/>
      <c r="K198" s="12"/>
      <c r="L198" s="20">
        <f t="shared" ref="L198:L261" si="18">COUNT(H198:J198)</f>
        <v>0</v>
      </c>
      <c r="M198" s="19" t="str">
        <f t="shared" ref="M198:M261" si="19">IF(AND(H198="",I198="",J198=""),"",(H198+I198+J198))</f>
        <v/>
      </c>
      <c r="N198" s="12"/>
      <c r="O198" s="119"/>
      <c r="P198" s="95" t="str">
        <f t="shared" ref="P198:P261" si="20">C198</f>
        <v/>
      </c>
      <c r="Q198" s="12"/>
      <c r="S198" s="128"/>
      <c r="T198" s="66"/>
      <c r="U198" s="128"/>
      <c r="W198" s="128"/>
      <c r="X198" s="12"/>
      <c r="Y198" t="str">
        <f t="shared" ref="Y198:Z261" si="21">IF(AND(R198="",T198="",V198=""),"",SUM(R198,T198,V198))</f>
        <v/>
      </c>
      <c r="Z198" t="str">
        <f t="shared" si="21"/>
        <v/>
      </c>
      <c r="AA198" s="12"/>
      <c r="AB198" s="95" t="e">
        <f t="shared" ref="AB198:AB261" si="22">Y198/L198</f>
        <v>#VALUE!</v>
      </c>
      <c r="AC198" s="95" t="e">
        <f t="shared" ref="AC198:AC261" si="23">Z198/L198</f>
        <v>#VALUE!</v>
      </c>
      <c r="AD198" s="12"/>
    </row>
    <row r="199" spans="1:30" ht="15.75" thickBot="1" x14ac:dyDescent="0.3">
      <c r="A199" s="12"/>
      <c r="B199" s="22"/>
      <c r="C199" t="str">
        <f>IF(AND('ENTRY DATA'!D199=""),"",('ENTRY DATA'!D199))</f>
        <v/>
      </c>
      <c r="D199" t="str">
        <f>IF(AND('ENTRY DATA'!F199=""),"",('ENTRY DATA'!F199))</f>
        <v/>
      </c>
      <c r="E199" s="34" t="str">
        <f>IF(AND('ENTRY DATA'!B199=""),"",('ENTRY DATA'!B199))</f>
        <v/>
      </c>
      <c r="F199" s="12"/>
      <c r="G199" s="12"/>
      <c r="H199" s="72"/>
      <c r="I199" s="71"/>
      <c r="J199" s="72"/>
      <c r="K199" s="12"/>
      <c r="L199" s="20">
        <f t="shared" si="18"/>
        <v>0</v>
      </c>
      <c r="M199" s="19" t="str">
        <f t="shared" si="19"/>
        <v/>
      </c>
      <c r="N199" s="12"/>
      <c r="O199" s="119"/>
      <c r="P199" s="95" t="str">
        <f t="shared" si="20"/>
        <v/>
      </c>
      <c r="Q199" s="12"/>
      <c r="S199" s="128"/>
      <c r="T199" s="66"/>
      <c r="U199" s="128"/>
      <c r="W199" s="128"/>
      <c r="X199" s="12"/>
      <c r="Y199" t="str">
        <f t="shared" si="21"/>
        <v/>
      </c>
      <c r="Z199" t="str">
        <f t="shared" si="21"/>
        <v/>
      </c>
      <c r="AA199" s="12"/>
      <c r="AB199" s="95" t="e">
        <f t="shared" si="22"/>
        <v>#VALUE!</v>
      </c>
      <c r="AC199" s="95" t="e">
        <f t="shared" si="23"/>
        <v>#VALUE!</v>
      </c>
      <c r="AD199" s="12"/>
    </row>
    <row r="200" spans="1:30" ht="15.75" thickBot="1" x14ac:dyDescent="0.3">
      <c r="A200" s="12"/>
      <c r="B200" s="22"/>
      <c r="C200" t="str">
        <f>IF(AND('ENTRY DATA'!D200=""),"",('ENTRY DATA'!D200))</f>
        <v/>
      </c>
      <c r="D200" t="str">
        <f>IF(AND('ENTRY DATA'!F200=""),"",('ENTRY DATA'!F200))</f>
        <v/>
      </c>
      <c r="E200" s="34" t="str">
        <f>IF(AND('ENTRY DATA'!B200=""),"",('ENTRY DATA'!B200))</f>
        <v/>
      </c>
      <c r="F200" s="12"/>
      <c r="G200" s="12"/>
      <c r="H200" s="73"/>
      <c r="I200" s="71"/>
      <c r="J200" s="73"/>
      <c r="K200" s="12"/>
      <c r="L200" s="20">
        <f t="shared" si="18"/>
        <v>0</v>
      </c>
      <c r="M200" s="19" t="str">
        <f t="shared" si="19"/>
        <v/>
      </c>
      <c r="N200" s="12"/>
      <c r="O200" s="119"/>
      <c r="P200" s="95" t="str">
        <f t="shared" si="20"/>
        <v/>
      </c>
      <c r="Q200" s="12"/>
      <c r="S200" s="128"/>
      <c r="T200" s="66"/>
      <c r="U200" s="128"/>
      <c r="W200" s="128"/>
      <c r="X200" s="12"/>
      <c r="Y200" t="str">
        <f t="shared" si="21"/>
        <v/>
      </c>
      <c r="Z200" t="str">
        <f t="shared" si="21"/>
        <v/>
      </c>
      <c r="AA200" s="12"/>
      <c r="AB200" s="95" t="e">
        <f t="shared" si="22"/>
        <v>#VALUE!</v>
      </c>
      <c r="AC200" s="95" t="e">
        <f t="shared" si="23"/>
        <v>#VALUE!</v>
      </c>
      <c r="AD200" s="12"/>
    </row>
    <row r="201" spans="1:30" ht="15.75" thickBot="1" x14ac:dyDescent="0.3">
      <c r="A201" s="12"/>
      <c r="B201" s="22"/>
      <c r="C201" t="str">
        <f>IF(AND('ENTRY DATA'!D201=""),"",('ENTRY DATA'!D201))</f>
        <v/>
      </c>
      <c r="D201" t="str">
        <f>IF(AND('ENTRY DATA'!F201=""),"",('ENTRY DATA'!F201))</f>
        <v/>
      </c>
      <c r="E201" s="34" t="str">
        <f>IF(AND('ENTRY DATA'!B201=""),"",('ENTRY DATA'!B201))</f>
        <v/>
      </c>
      <c r="F201" s="12"/>
      <c r="G201" s="12"/>
      <c r="H201" s="73"/>
      <c r="I201" s="71"/>
      <c r="J201" s="73"/>
      <c r="K201" s="12"/>
      <c r="L201" s="20">
        <f t="shared" si="18"/>
        <v>0</v>
      </c>
      <c r="M201" s="19" t="str">
        <f t="shared" si="19"/>
        <v/>
      </c>
      <c r="N201" s="12"/>
      <c r="O201" s="119"/>
      <c r="P201" s="95" t="str">
        <f t="shared" si="20"/>
        <v/>
      </c>
      <c r="Q201" s="12"/>
      <c r="S201" s="128"/>
      <c r="T201" s="66"/>
      <c r="U201" s="128"/>
      <c r="W201" s="128"/>
      <c r="X201" s="12"/>
      <c r="Y201" t="str">
        <f t="shared" si="21"/>
        <v/>
      </c>
      <c r="Z201" t="str">
        <f t="shared" si="21"/>
        <v/>
      </c>
      <c r="AA201" s="12"/>
      <c r="AB201" s="95" t="e">
        <f t="shared" si="22"/>
        <v>#VALUE!</v>
      </c>
      <c r="AC201" s="95" t="e">
        <f t="shared" si="23"/>
        <v>#VALUE!</v>
      </c>
      <c r="AD201" s="12"/>
    </row>
    <row r="202" spans="1:30" ht="15.75" thickBot="1" x14ac:dyDescent="0.3">
      <c r="A202" s="12"/>
      <c r="B202" s="22"/>
      <c r="C202" t="str">
        <f>IF(AND('ENTRY DATA'!D202=""),"",('ENTRY DATA'!D202))</f>
        <v/>
      </c>
      <c r="D202" t="str">
        <f>IF(AND('ENTRY DATA'!F202=""),"",('ENTRY DATA'!F202))</f>
        <v/>
      </c>
      <c r="E202" s="34" t="str">
        <f>IF(AND('ENTRY DATA'!B202=""),"",('ENTRY DATA'!B202))</f>
        <v/>
      </c>
      <c r="F202" s="12"/>
      <c r="G202" s="12"/>
      <c r="H202" s="73"/>
      <c r="I202" s="71"/>
      <c r="J202" s="73"/>
      <c r="K202" s="12"/>
      <c r="L202" s="20">
        <f t="shared" si="18"/>
        <v>0</v>
      </c>
      <c r="M202" s="19" t="str">
        <f t="shared" si="19"/>
        <v/>
      </c>
      <c r="N202" s="12"/>
      <c r="O202" s="119"/>
      <c r="P202" s="95" t="str">
        <f t="shared" si="20"/>
        <v/>
      </c>
      <c r="Q202" s="12"/>
      <c r="S202" s="128"/>
      <c r="T202" s="66"/>
      <c r="U202" s="128"/>
      <c r="W202" s="128"/>
      <c r="X202" s="12"/>
      <c r="Y202" t="str">
        <f t="shared" si="21"/>
        <v/>
      </c>
      <c r="Z202" t="str">
        <f t="shared" si="21"/>
        <v/>
      </c>
      <c r="AA202" s="12"/>
      <c r="AB202" s="95" t="e">
        <f t="shared" si="22"/>
        <v>#VALUE!</v>
      </c>
      <c r="AC202" s="95" t="e">
        <f t="shared" si="23"/>
        <v>#VALUE!</v>
      </c>
      <c r="AD202" s="12"/>
    </row>
    <row r="203" spans="1:30" ht="15.75" thickBot="1" x14ac:dyDescent="0.3">
      <c r="A203" s="12"/>
      <c r="B203" s="22"/>
      <c r="C203" t="str">
        <f>IF(AND('ENTRY DATA'!D203=""),"",('ENTRY DATA'!D203))</f>
        <v/>
      </c>
      <c r="D203" t="str">
        <f>IF(AND('ENTRY DATA'!F203=""),"",('ENTRY DATA'!F203))</f>
        <v/>
      </c>
      <c r="E203" s="34" t="str">
        <f>IF(AND('ENTRY DATA'!B203=""),"",('ENTRY DATA'!B203))</f>
        <v/>
      </c>
      <c r="F203" s="12"/>
      <c r="G203" s="12"/>
      <c r="H203" s="73"/>
      <c r="I203" s="71"/>
      <c r="J203" s="73"/>
      <c r="K203" s="12"/>
      <c r="L203" s="20">
        <f t="shared" si="18"/>
        <v>0</v>
      </c>
      <c r="M203" s="19" t="str">
        <f t="shared" si="19"/>
        <v/>
      </c>
      <c r="N203" s="12"/>
      <c r="O203" s="119"/>
      <c r="P203" s="95" t="str">
        <f t="shared" si="20"/>
        <v/>
      </c>
      <c r="Q203" s="12"/>
      <c r="S203" s="128"/>
      <c r="T203" s="66"/>
      <c r="U203" s="128"/>
      <c r="W203" s="128"/>
      <c r="X203" s="12"/>
      <c r="Y203" t="str">
        <f t="shared" si="21"/>
        <v/>
      </c>
      <c r="Z203" t="str">
        <f t="shared" si="21"/>
        <v/>
      </c>
      <c r="AA203" s="12"/>
      <c r="AB203" s="95" t="e">
        <f t="shared" si="22"/>
        <v>#VALUE!</v>
      </c>
      <c r="AC203" s="95" t="e">
        <f t="shared" si="23"/>
        <v>#VALUE!</v>
      </c>
      <c r="AD203" s="12"/>
    </row>
    <row r="204" spans="1:30" ht="15.75" thickBot="1" x14ac:dyDescent="0.3">
      <c r="A204" s="12"/>
      <c r="B204" s="22"/>
      <c r="C204" t="str">
        <f>IF(AND('ENTRY DATA'!D204=""),"",('ENTRY DATA'!D204))</f>
        <v/>
      </c>
      <c r="D204" t="str">
        <f>IF(AND('ENTRY DATA'!F204=""),"",('ENTRY DATA'!F204))</f>
        <v/>
      </c>
      <c r="E204" s="34" t="str">
        <f>IF(AND('ENTRY DATA'!B204=""),"",('ENTRY DATA'!B204))</f>
        <v/>
      </c>
      <c r="F204" s="12"/>
      <c r="G204" s="12"/>
      <c r="H204" s="73"/>
      <c r="I204" s="71"/>
      <c r="J204" s="73"/>
      <c r="K204" s="12"/>
      <c r="L204" s="20">
        <f t="shared" si="18"/>
        <v>0</v>
      </c>
      <c r="M204" s="19" t="str">
        <f t="shared" si="19"/>
        <v/>
      </c>
      <c r="N204" s="12"/>
      <c r="O204" s="119"/>
      <c r="P204" s="95" t="str">
        <f t="shared" si="20"/>
        <v/>
      </c>
      <c r="Q204" s="12"/>
      <c r="S204" s="128"/>
      <c r="T204" s="66"/>
      <c r="U204" s="128"/>
      <c r="W204" s="128"/>
      <c r="X204" s="12"/>
      <c r="Y204" t="str">
        <f t="shared" si="21"/>
        <v/>
      </c>
      <c r="Z204" t="str">
        <f t="shared" si="21"/>
        <v/>
      </c>
      <c r="AA204" s="12"/>
      <c r="AB204" s="95" t="e">
        <f t="shared" si="22"/>
        <v>#VALUE!</v>
      </c>
      <c r="AC204" s="95" t="e">
        <f t="shared" si="23"/>
        <v>#VALUE!</v>
      </c>
      <c r="AD204" s="12"/>
    </row>
    <row r="205" spans="1:30" ht="15.75" thickBot="1" x14ac:dyDescent="0.3">
      <c r="A205" s="12"/>
      <c r="B205" s="22"/>
      <c r="C205" t="str">
        <f>IF(AND('ENTRY DATA'!D205=""),"",('ENTRY DATA'!D205))</f>
        <v/>
      </c>
      <c r="D205" t="str">
        <f>IF(AND('ENTRY DATA'!F205=""),"",('ENTRY DATA'!F205))</f>
        <v/>
      </c>
      <c r="E205" s="34" t="str">
        <f>IF(AND('ENTRY DATA'!B205=""),"",('ENTRY DATA'!B205))</f>
        <v/>
      </c>
      <c r="F205" s="12"/>
      <c r="G205" s="12"/>
      <c r="H205" s="73"/>
      <c r="I205" s="71"/>
      <c r="J205" s="73"/>
      <c r="K205" s="12"/>
      <c r="L205" s="20">
        <f t="shared" si="18"/>
        <v>0</v>
      </c>
      <c r="M205" s="19" t="str">
        <f t="shared" si="19"/>
        <v/>
      </c>
      <c r="N205" s="12"/>
      <c r="O205" s="119"/>
      <c r="P205" s="95" t="str">
        <f t="shared" si="20"/>
        <v/>
      </c>
      <c r="Q205" s="12"/>
      <c r="S205" s="128"/>
      <c r="T205" s="66"/>
      <c r="U205" s="128"/>
      <c r="W205" s="128"/>
      <c r="X205" s="12"/>
      <c r="Y205" t="str">
        <f t="shared" si="21"/>
        <v/>
      </c>
      <c r="Z205" t="str">
        <f t="shared" si="21"/>
        <v/>
      </c>
      <c r="AA205" s="12"/>
      <c r="AB205" s="95" t="e">
        <f t="shared" si="22"/>
        <v>#VALUE!</v>
      </c>
      <c r="AC205" s="95" t="e">
        <f t="shared" si="23"/>
        <v>#VALUE!</v>
      </c>
      <c r="AD205" s="12"/>
    </row>
    <row r="206" spans="1:30" ht="15.75" thickBot="1" x14ac:dyDescent="0.3">
      <c r="A206" s="12"/>
      <c r="B206" s="22"/>
      <c r="C206" t="str">
        <f>IF(AND('ENTRY DATA'!D206=""),"",('ENTRY DATA'!D206))</f>
        <v/>
      </c>
      <c r="D206" t="str">
        <f>IF(AND('ENTRY DATA'!F206=""),"",('ENTRY DATA'!F206))</f>
        <v/>
      </c>
      <c r="E206" s="34" t="str">
        <f>IF(AND('ENTRY DATA'!B206=""),"",('ENTRY DATA'!B206))</f>
        <v/>
      </c>
      <c r="F206" s="12"/>
      <c r="G206" s="12"/>
      <c r="H206" s="73"/>
      <c r="I206" s="71"/>
      <c r="J206" s="73"/>
      <c r="K206" s="12"/>
      <c r="L206" s="20">
        <f t="shared" si="18"/>
        <v>0</v>
      </c>
      <c r="M206" s="19" t="str">
        <f t="shared" si="19"/>
        <v/>
      </c>
      <c r="N206" s="12"/>
      <c r="O206" s="119"/>
      <c r="P206" s="95" t="str">
        <f t="shared" si="20"/>
        <v/>
      </c>
      <c r="Q206" s="12"/>
      <c r="S206" s="128"/>
      <c r="T206" s="66"/>
      <c r="U206" s="128"/>
      <c r="W206" s="128"/>
      <c r="X206" s="12"/>
      <c r="Y206" t="str">
        <f t="shared" si="21"/>
        <v/>
      </c>
      <c r="Z206" t="str">
        <f t="shared" si="21"/>
        <v/>
      </c>
      <c r="AA206" s="12"/>
      <c r="AB206" s="95" t="e">
        <f t="shared" si="22"/>
        <v>#VALUE!</v>
      </c>
      <c r="AC206" s="95" t="e">
        <f t="shared" si="23"/>
        <v>#VALUE!</v>
      </c>
      <c r="AD206" s="12"/>
    </row>
    <row r="207" spans="1:30" ht="15.75" thickBot="1" x14ac:dyDescent="0.3">
      <c r="A207" s="12"/>
      <c r="B207" s="22"/>
      <c r="C207" t="str">
        <f>IF(AND('ENTRY DATA'!D207=""),"",('ENTRY DATA'!D207))</f>
        <v/>
      </c>
      <c r="D207" t="str">
        <f>IF(AND('ENTRY DATA'!F207=""),"",('ENTRY DATA'!F207))</f>
        <v/>
      </c>
      <c r="E207" s="34" t="str">
        <f>IF(AND('ENTRY DATA'!B207=""),"",('ENTRY DATA'!B207))</f>
        <v/>
      </c>
      <c r="F207" s="12"/>
      <c r="G207" s="12"/>
      <c r="H207" s="73"/>
      <c r="I207" s="71"/>
      <c r="J207" s="73"/>
      <c r="K207" s="12"/>
      <c r="L207" s="20">
        <f t="shared" si="18"/>
        <v>0</v>
      </c>
      <c r="M207" s="19" t="str">
        <f t="shared" si="19"/>
        <v/>
      </c>
      <c r="N207" s="12"/>
      <c r="O207" s="119"/>
      <c r="P207" s="95" t="str">
        <f t="shared" si="20"/>
        <v/>
      </c>
      <c r="Q207" s="12"/>
      <c r="S207" s="128"/>
      <c r="T207" s="66"/>
      <c r="U207" s="128"/>
      <c r="W207" s="128"/>
      <c r="X207" s="12"/>
      <c r="Y207" t="str">
        <f t="shared" si="21"/>
        <v/>
      </c>
      <c r="Z207" t="str">
        <f t="shared" si="21"/>
        <v/>
      </c>
      <c r="AA207" s="12"/>
      <c r="AB207" s="95" t="e">
        <f t="shared" si="22"/>
        <v>#VALUE!</v>
      </c>
      <c r="AC207" s="95" t="e">
        <f t="shared" si="23"/>
        <v>#VALUE!</v>
      </c>
      <c r="AD207" s="12"/>
    </row>
    <row r="208" spans="1:30" ht="15.75" thickBot="1" x14ac:dyDescent="0.3">
      <c r="A208" s="12"/>
      <c r="B208" s="22"/>
      <c r="C208" t="str">
        <f>IF(AND('ENTRY DATA'!D208=""),"",('ENTRY DATA'!D208))</f>
        <v/>
      </c>
      <c r="D208" t="str">
        <f>IF(AND('ENTRY DATA'!F208=""),"",('ENTRY DATA'!F208))</f>
        <v/>
      </c>
      <c r="E208" s="34" t="str">
        <f>IF(AND('ENTRY DATA'!B208=""),"",('ENTRY DATA'!B208))</f>
        <v/>
      </c>
      <c r="F208" s="12"/>
      <c r="G208" s="12"/>
      <c r="H208" s="73"/>
      <c r="I208" s="71"/>
      <c r="J208" s="73"/>
      <c r="K208" s="12"/>
      <c r="L208" s="20">
        <f t="shared" si="18"/>
        <v>0</v>
      </c>
      <c r="M208" s="19" t="str">
        <f t="shared" si="19"/>
        <v/>
      </c>
      <c r="N208" s="12"/>
      <c r="O208" s="119"/>
      <c r="P208" s="95" t="str">
        <f t="shared" si="20"/>
        <v/>
      </c>
      <c r="Q208" s="12"/>
      <c r="S208" s="128"/>
      <c r="T208" s="66"/>
      <c r="U208" s="128"/>
      <c r="W208" s="128"/>
      <c r="X208" s="12"/>
      <c r="Y208" t="str">
        <f t="shared" si="21"/>
        <v/>
      </c>
      <c r="Z208" t="str">
        <f t="shared" si="21"/>
        <v/>
      </c>
      <c r="AA208" s="12"/>
      <c r="AB208" s="95" t="e">
        <f t="shared" si="22"/>
        <v>#VALUE!</v>
      </c>
      <c r="AC208" s="95" t="e">
        <f t="shared" si="23"/>
        <v>#VALUE!</v>
      </c>
      <c r="AD208" s="12"/>
    </row>
    <row r="209" spans="1:30" ht="15.75" thickBot="1" x14ac:dyDescent="0.3">
      <c r="A209" s="12"/>
      <c r="B209" s="22"/>
      <c r="C209" t="str">
        <f>IF(AND('ENTRY DATA'!D209=""),"",('ENTRY DATA'!D209))</f>
        <v/>
      </c>
      <c r="D209" t="str">
        <f>IF(AND('ENTRY DATA'!F209=""),"",('ENTRY DATA'!F209))</f>
        <v/>
      </c>
      <c r="E209" s="34" t="str">
        <f>IF(AND('ENTRY DATA'!B209=""),"",('ENTRY DATA'!B209))</f>
        <v/>
      </c>
      <c r="F209" s="12"/>
      <c r="G209" s="12"/>
      <c r="H209" s="73"/>
      <c r="I209" s="71"/>
      <c r="J209" s="73"/>
      <c r="K209" s="12"/>
      <c r="L209" s="20">
        <f t="shared" si="18"/>
        <v>0</v>
      </c>
      <c r="M209" s="19" t="str">
        <f t="shared" si="19"/>
        <v/>
      </c>
      <c r="N209" s="12"/>
      <c r="O209" s="119"/>
      <c r="P209" s="95" t="str">
        <f t="shared" si="20"/>
        <v/>
      </c>
      <c r="Q209" s="12"/>
      <c r="S209" s="128"/>
      <c r="T209" s="66"/>
      <c r="U209" s="128"/>
      <c r="W209" s="128"/>
      <c r="X209" s="12"/>
      <c r="Y209" t="str">
        <f t="shared" si="21"/>
        <v/>
      </c>
      <c r="Z209" t="str">
        <f t="shared" si="21"/>
        <v/>
      </c>
      <c r="AA209" s="12"/>
      <c r="AB209" s="95" t="e">
        <f t="shared" si="22"/>
        <v>#VALUE!</v>
      </c>
      <c r="AC209" s="95" t="e">
        <f t="shared" si="23"/>
        <v>#VALUE!</v>
      </c>
      <c r="AD209" s="12"/>
    </row>
    <row r="210" spans="1:30" ht="15.75" thickBot="1" x14ac:dyDescent="0.3">
      <c r="A210" s="12"/>
      <c r="B210" s="22"/>
      <c r="C210" t="str">
        <f>IF(AND('ENTRY DATA'!D210=""),"",('ENTRY DATA'!D210))</f>
        <v/>
      </c>
      <c r="D210" t="str">
        <f>IF(AND('ENTRY DATA'!F210=""),"",('ENTRY DATA'!F210))</f>
        <v/>
      </c>
      <c r="E210" s="34" t="str">
        <f>IF(AND('ENTRY DATA'!B210=""),"",('ENTRY DATA'!B210))</f>
        <v/>
      </c>
      <c r="F210" s="12"/>
      <c r="G210" s="12"/>
      <c r="H210" s="73"/>
      <c r="I210" s="71"/>
      <c r="J210" s="73"/>
      <c r="K210" s="12"/>
      <c r="L210" s="20">
        <f t="shared" si="18"/>
        <v>0</v>
      </c>
      <c r="M210" s="19" t="str">
        <f t="shared" si="19"/>
        <v/>
      </c>
      <c r="N210" s="12"/>
      <c r="O210" s="119"/>
      <c r="P210" s="95" t="str">
        <f t="shared" si="20"/>
        <v/>
      </c>
      <c r="Q210" s="12"/>
      <c r="S210" s="128"/>
      <c r="T210" s="66"/>
      <c r="U210" s="128"/>
      <c r="W210" s="128"/>
      <c r="X210" s="12"/>
      <c r="Y210" t="str">
        <f t="shared" si="21"/>
        <v/>
      </c>
      <c r="Z210" t="str">
        <f t="shared" si="21"/>
        <v/>
      </c>
      <c r="AA210" s="12"/>
      <c r="AB210" s="95" t="e">
        <f t="shared" si="22"/>
        <v>#VALUE!</v>
      </c>
      <c r="AC210" s="95" t="e">
        <f t="shared" si="23"/>
        <v>#VALUE!</v>
      </c>
      <c r="AD210" s="12"/>
    </row>
    <row r="211" spans="1:30" ht="15.75" thickBot="1" x14ac:dyDescent="0.3">
      <c r="A211" s="12"/>
      <c r="B211" s="22"/>
      <c r="C211" t="str">
        <f>IF(AND('ENTRY DATA'!D211=""),"",('ENTRY DATA'!D211))</f>
        <v/>
      </c>
      <c r="D211" t="str">
        <f>IF(AND('ENTRY DATA'!F211=""),"",('ENTRY DATA'!F211))</f>
        <v/>
      </c>
      <c r="E211" s="34" t="str">
        <f>IF(AND('ENTRY DATA'!B211=""),"",('ENTRY DATA'!B211))</f>
        <v/>
      </c>
      <c r="F211" s="12"/>
      <c r="G211" s="12"/>
      <c r="H211" s="73"/>
      <c r="I211" s="71"/>
      <c r="J211" s="73"/>
      <c r="K211" s="12"/>
      <c r="L211" s="20">
        <f t="shared" si="18"/>
        <v>0</v>
      </c>
      <c r="M211" s="19" t="str">
        <f t="shared" si="19"/>
        <v/>
      </c>
      <c r="N211" s="12"/>
      <c r="O211" s="119"/>
      <c r="P211" s="95" t="str">
        <f t="shared" si="20"/>
        <v/>
      </c>
      <c r="Q211" s="12"/>
      <c r="S211" s="128"/>
      <c r="T211" s="66"/>
      <c r="U211" s="128"/>
      <c r="W211" s="128"/>
      <c r="X211" s="12"/>
      <c r="Y211" t="str">
        <f t="shared" si="21"/>
        <v/>
      </c>
      <c r="Z211" t="str">
        <f t="shared" si="21"/>
        <v/>
      </c>
      <c r="AA211" s="12"/>
      <c r="AB211" s="95" t="e">
        <f t="shared" si="22"/>
        <v>#VALUE!</v>
      </c>
      <c r="AC211" s="95" t="e">
        <f t="shared" si="23"/>
        <v>#VALUE!</v>
      </c>
      <c r="AD211" s="12"/>
    </row>
    <row r="212" spans="1:30" ht="15.75" thickBot="1" x14ac:dyDescent="0.3">
      <c r="A212" s="12"/>
      <c r="B212" s="22"/>
      <c r="C212" t="str">
        <f>IF(AND('ENTRY DATA'!D212=""),"",('ENTRY DATA'!D212))</f>
        <v/>
      </c>
      <c r="D212" t="str">
        <f>IF(AND('ENTRY DATA'!F212=""),"",('ENTRY DATA'!F212))</f>
        <v/>
      </c>
      <c r="E212" s="34" t="str">
        <f>IF(AND('ENTRY DATA'!B212=""),"",('ENTRY DATA'!B212))</f>
        <v/>
      </c>
      <c r="F212" s="12"/>
      <c r="G212" s="12"/>
      <c r="H212" s="73"/>
      <c r="I212" s="71"/>
      <c r="J212" s="73"/>
      <c r="K212" s="12"/>
      <c r="L212" s="20">
        <f t="shared" si="18"/>
        <v>0</v>
      </c>
      <c r="M212" s="19" t="str">
        <f t="shared" si="19"/>
        <v/>
      </c>
      <c r="N212" s="12"/>
      <c r="O212" s="119"/>
      <c r="P212" s="95" t="str">
        <f t="shared" si="20"/>
        <v/>
      </c>
      <c r="Q212" s="12"/>
      <c r="S212" s="128"/>
      <c r="T212" s="66"/>
      <c r="U212" s="128"/>
      <c r="W212" s="128"/>
      <c r="X212" s="12"/>
      <c r="Y212" t="str">
        <f t="shared" si="21"/>
        <v/>
      </c>
      <c r="Z212" t="str">
        <f t="shared" si="21"/>
        <v/>
      </c>
      <c r="AA212" s="12"/>
      <c r="AB212" s="95" t="e">
        <f t="shared" si="22"/>
        <v>#VALUE!</v>
      </c>
      <c r="AC212" s="95" t="e">
        <f t="shared" si="23"/>
        <v>#VALUE!</v>
      </c>
      <c r="AD212" s="12"/>
    </row>
    <row r="213" spans="1:30" ht="15.75" thickBot="1" x14ac:dyDescent="0.3">
      <c r="A213" s="12"/>
      <c r="B213" s="22"/>
      <c r="C213" t="str">
        <f>IF(AND('ENTRY DATA'!D213=""),"",('ENTRY DATA'!D213))</f>
        <v/>
      </c>
      <c r="D213" t="str">
        <f>IF(AND('ENTRY DATA'!F213=""),"",('ENTRY DATA'!F213))</f>
        <v/>
      </c>
      <c r="E213" s="34" t="str">
        <f>IF(AND('ENTRY DATA'!B213=""),"",('ENTRY DATA'!B213))</f>
        <v/>
      </c>
      <c r="F213" s="12"/>
      <c r="G213" s="12"/>
      <c r="H213" s="73"/>
      <c r="I213" s="71"/>
      <c r="J213" s="73"/>
      <c r="K213" s="12"/>
      <c r="L213" s="20">
        <f t="shared" si="18"/>
        <v>0</v>
      </c>
      <c r="M213" s="19" t="str">
        <f t="shared" si="19"/>
        <v/>
      </c>
      <c r="N213" s="12"/>
      <c r="O213" s="119"/>
      <c r="P213" s="95" t="str">
        <f t="shared" si="20"/>
        <v/>
      </c>
      <c r="Q213" s="12"/>
      <c r="S213" s="128"/>
      <c r="T213" s="66"/>
      <c r="U213" s="128"/>
      <c r="W213" s="128"/>
      <c r="X213" s="12"/>
      <c r="Y213" t="str">
        <f t="shared" si="21"/>
        <v/>
      </c>
      <c r="Z213" t="str">
        <f t="shared" si="21"/>
        <v/>
      </c>
      <c r="AA213" s="12"/>
      <c r="AB213" s="95" t="e">
        <f t="shared" si="22"/>
        <v>#VALUE!</v>
      </c>
      <c r="AC213" s="95" t="e">
        <f t="shared" si="23"/>
        <v>#VALUE!</v>
      </c>
      <c r="AD213" s="12"/>
    </row>
    <row r="214" spans="1:30" ht="15.75" thickBot="1" x14ac:dyDescent="0.3">
      <c r="A214" s="12"/>
      <c r="B214" s="22"/>
      <c r="C214" t="str">
        <f>IF(AND('ENTRY DATA'!D214=""),"",('ENTRY DATA'!D214))</f>
        <v/>
      </c>
      <c r="D214" t="str">
        <f>IF(AND('ENTRY DATA'!F214=""),"",('ENTRY DATA'!F214))</f>
        <v/>
      </c>
      <c r="E214" s="34" t="str">
        <f>IF(AND('ENTRY DATA'!B214=""),"",('ENTRY DATA'!B214))</f>
        <v/>
      </c>
      <c r="F214" s="12"/>
      <c r="G214" s="12"/>
      <c r="H214" s="73"/>
      <c r="I214" s="71"/>
      <c r="J214" s="73"/>
      <c r="K214" s="12"/>
      <c r="L214" s="20">
        <f t="shared" si="18"/>
        <v>0</v>
      </c>
      <c r="M214" s="19" t="str">
        <f t="shared" si="19"/>
        <v/>
      </c>
      <c r="N214" s="12"/>
      <c r="O214" s="119"/>
      <c r="P214" s="95" t="str">
        <f t="shared" si="20"/>
        <v/>
      </c>
      <c r="Q214" s="12"/>
      <c r="S214" s="128"/>
      <c r="T214" s="66"/>
      <c r="U214" s="128"/>
      <c r="W214" s="128"/>
      <c r="X214" s="12"/>
      <c r="Y214" t="str">
        <f t="shared" si="21"/>
        <v/>
      </c>
      <c r="Z214" t="str">
        <f t="shared" si="21"/>
        <v/>
      </c>
      <c r="AA214" s="12"/>
      <c r="AB214" s="95" t="e">
        <f t="shared" si="22"/>
        <v>#VALUE!</v>
      </c>
      <c r="AC214" s="95" t="e">
        <f t="shared" si="23"/>
        <v>#VALUE!</v>
      </c>
      <c r="AD214" s="12"/>
    </row>
    <row r="215" spans="1:30" ht="15.75" thickBot="1" x14ac:dyDescent="0.3">
      <c r="A215" s="12"/>
      <c r="B215" s="22"/>
      <c r="C215" t="str">
        <f>IF(AND('ENTRY DATA'!D215=""),"",('ENTRY DATA'!D215))</f>
        <v/>
      </c>
      <c r="D215" t="str">
        <f>IF(AND('ENTRY DATA'!F215=""),"",('ENTRY DATA'!F215))</f>
        <v/>
      </c>
      <c r="E215" s="34" t="str">
        <f>IF(AND('ENTRY DATA'!B215=""),"",('ENTRY DATA'!B215))</f>
        <v/>
      </c>
      <c r="F215" s="12"/>
      <c r="G215" s="12"/>
      <c r="H215" s="73"/>
      <c r="I215" s="71"/>
      <c r="J215" s="73"/>
      <c r="K215" s="12"/>
      <c r="L215" s="20">
        <f t="shared" si="18"/>
        <v>0</v>
      </c>
      <c r="M215" s="19" t="str">
        <f t="shared" si="19"/>
        <v/>
      </c>
      <c r="N215" s="12"/>
      <c r="O215" s="119"/>
      <c r="P215" s="95" t="str">
        <f t="shared" si="20"/>
        <v/>
      </c>
      <c r="Q215" s="12"/>
      <c r="S215" s="128"/>
      <c r="T215" s="66"/>
      <c r="U215" s="128"/>
      <c r="W215" s="128"/>
      <c r="X215" s="12"/>
      <c r="Y215" t="str">
        <f t="shared" si="21"/>
        <v/>
      </c>
      <c r="Z215" t="str">
        <f t="shared" si="21"/>
        <v/>
      </c>
      <c r="AA215" s="12"/>
      <c r="AB215" s="95" t="e">
        <f t="shared" si="22"/>
        <v>#VALUE!</v>
      </c>
      <c r="AC215" s="95" t="e">
        <f t="shared" si="23"/>
        <v>#VALUE!</v>
      </c>
      <c r="AD215" s="12"/>
    </row>
    <row r="216" spans="1:30" ht="15.75" thickBot="1" x14ac:dyDescent="0.3">
      <c r="A216" s="12"/>
      <c r="B216" s="22"/>
      <c r="C216" t="str">
        <f>IF(AND('ENTRY DATA'!D216=""),"",('ENTRY DATA'!D216))</f>
        <v/>
      </c>
      <c r="D216" t="str">
        <f>IF(AND('ENTRY DATA'!F216=""),"",('ENTRY DATA'!F216))</f>
        <v/>
      </c>
      <c r="E216" s="34" t="str">
        <f>IF(AND('ENTRY DATA'!B216=""),"",('ENTRY DATA'!B216))</f>
        <v/>
      </c>
      <c r="F216" s="12"/>
      <c r="G216" s="12"/>
      <c r="H216" s="73"/>
      <c r="I216" s="71"/>
      <c r="J216" s="73"/>
      <c r="K216" s="12"/>
      <c r="L216" s="20">
        <f t="shared" si="18"/>
        <v>0</v>
      </c>
      <c r="M216" s="19" t="str">
        <f t="shared" si="19"/>
        <v/>
      </c>
      <c r="N216" s="12"/>
      <c r="O216" s="119"/>
      <c r="P216" s="95" t="str">
        <f t="shared" si="20"/>
        <v/>
      </c>
      <c r="Q216" s="12"/>
      <c r="S216" s="128"/>
      <c r="T216" s="66"/>
      <c r="U216" s="128"/>
      <c r="W216" s="128"/>
      <c r="X216" s="12"/>
      <c r="Y216" t="str">
        <f t="shared" si="21"/>
        <v/>
      </c>
      <c r="Z216" t="str">
        <f t="shared" si="21"/>
        <v/>
      </c>
      <c r="AA216" s="12"/>
      <c r="AB216" s="95" t="e">
        <f t="shared" si="22"/>
        <v>#VALUE!</v>
      </c>
      <c r="AC216" s="95" t="e">
        <f t="shared" si="23"/>
        <v>#VALUE!</v>
      </c>
      <c r="AD216" s="12"/>
    </row>
    <row r="217" spans="1:30" ht="15.75" thickBot="1" x14ac:dyDescent="0.3">
      <c r="A217" s="12"/>
      <c r="B217" s="22"/>
      <c r="C217" t="str">
        <f>IF(AND('ENTRY DATA'!D217=""),"",('ENTRY DATA'!D217))</f>
        <v/>
      </c>
      <c r="D217" t="str">
        <f>IF(AND('ENTRY DATA'!F217=""),"",('ENTRY DATA'!F217))</f>
        <v/>
      </c>
      <c r="E217" s="34" t="str">
        <f>IF(AND('ENTRY DATA'!B217=""),"",('ENTRY DATA'!B217))</f>
        <v/>
      </c>
      <c r="F217" s="12"/>
      <c r="G217" s="12"/>
      <c r="H217" s="73"/>
      <c r="I217" s="71"/>
      <c r="J217" s="73"/>
      <c r="K217" s="12"/>
      <c r="L217" s="20">
        <f t="shared" si="18"/>
        <v>0</v>
      </c>
      <c r="M217" s="19" t="str">
        <f t="shared" si="19"/>
        <v/>
      </c>
      <c r="N217" s="12"/>
      <c r="O217" s="119"/>
      <c r="P217" s="95" t="str">
        <f t="shared" si="20"/>
        <v/>
      </c>
      <c r="Q217" s="12"/>
      <c r="S217" s="128"/>
      <c r="T217" s="66"/>
      <c r="U217" s="128"/>
      <c r="W217" s="128"/>
      <c r="X217" s="12"/>
      <c r="Y217" t="str">
        <f t="shared" si="21"/>
        <v/>
      </c>
      <c r="Z217" t="str">
        <f t="shared" si="21"/>
        <v/>
      </c>
      <c r="AA217" s="12"/>
      <c r="AB217" s="95" t="e">
        <f t="shared" si="22"/>
        <v>#VALUE!</v>
      </c>
      <c r="AC217" s="95" t="e">
        <f t="shared" si="23"/>
        <v>#VALUE!</v>
      </c>
      <c r="AD217" s="12"/>
    </row>
    <row r="218" spans="1:30" ht="15.75" thickBot="1" x14ac:dyDescent="0.3">
      <c r="A218" s="12"/>
      <c r="B218" s="22"/>
      <c r="C218" t="str">
        <f>IF(AND('ENTRY DATA'!D218=""),"",('ENTRY DATA'!D218))</f>
        <v/>
      </c>
      <c r="D218" t="str">
        <f>IF(AND('ENTRY DATA'!F218=""),"",('ENTRY DATA'!F218))</f>
        <v/>
      </c>
      <c r="E218" s="34" t="str">
        <f>IF(AND('ENTRY DATA'!B218=""),"",('ENTRY DATA'!B218))</f>
        <v/>
      </c>
      <c r="F218" s="12"/>
      <c r="G218" s="12"/>
      <c r="H218" s="73"/>
      <c r="I218" s="71"/>
      <c r="J218" s="73"/>
      <c r="K218" s="12"/>
      <c r="L218" s="20">
        <f t="shared" si="18"/>
        <v>0</v>
      </c>
      <c r="M218" s="19" t="str">
        <f t="shared" si="19"/>
        <v/>
      </c>
      <c r="N218" s="12"/>
      <c r="O218" s="119"/>
      <c r="P218" s="95" t="str">
        <f t="shared" si="20"/>
        <v/>
      </c>
      <c r="Q218" s="12"/>
      <c r="S218" s="128"/>
      <c r="T218" s="66"/>
      <c r="U218" s="128"/>
      <c r="W218" s="128"/>
      <c r="X218" s="12"/>
      <c r="Y218" t="str">
        <f t="shared" si="21"/>
        <v/>
      </c>
      <c r="Z218" t="str">
        <f t="shared" si="21"/>
        <v/>
      </c>
      <c r="AA218" s="12"/>
      <c r="AB218" s="95" t="e">
        <f t="shared" si="22"/>
        <v>#VALUE!</v>
      </c>
      <c r="AC218" s="95" t="e">
        <f t="shared" si="23"/>
        <v>#VALUE!</v>
      </c>
      <c r="AD218" s="12"/>
    </row>
    <row r="219" spans="1:30" ht="15.75" thickBot="1" x14ac:dyDescent="0.3">
      <c r="A219" s="12"/>
      <c r="B219" s="22"/>
      <c r="C219" t="str">
        <f>IF(AND('ENTRY DATA'!D219=""),"",('ENTRY DATA'!D219))</f>
        <v/>
      </c>
      <c r="D219" t="str">
        <f>IF(AND('ENTRY DATA'!F219=""),"",('ENTRY DATA'!F219))</f>
        <v/>
      </c>
      <c r="E219" s="34" t="str">
        <f>IF(AND('ENTRY DATA'!B219=""),"",('ENTRY DATA'!B219))</f>
        <v/>
      </c>
      <c r="F219" s="12"/>
      <c r="G219" s="12"/>
      <c r="H219" s="73"/>
      <c r="I219" s="71"/>
      <c r="J219" s="73"/>
      <c r="K219" s="12"/>
      <c r="L219" s="20">
        <f t="shared" si="18"/>
        <v>0</v>
      </c>
      <c r="M219" s="19" t="str">
        <f t="shared" si="19"/>
        <v/>
      </c>
      <c r="N219" s="12"/>
      <c r="O219" s="119"/>
      <c r="P219" s="95" t="str">
        <f t="shared" si="20"/>
        <v/>
      </c>
      <c r="Q219" s="12"/>
      <c r="S219" s="128"/>
      <c r="T219" s="66"/>
      <c r="U219" s="128"/>
      <c r="W219" s="128"/>
      <c r="X219" s="12"/>
      <c r="Y219" t="str">
        <f t="shared" si="21"/>
        <v/>
      </c>
      <c r="Z219" t="str">
        <f t="shared" si="21"/>
        <v/>
      </c>
      <c r="AA219" s="12"/>
      <c r="AB219" s="95" t="e">
        <f t="shared" si="22"/>
        <v>#VALUE!</v>
      </c>
      <c r="AC219" s="95" t="e">
        <f t="shared" si="23"/>
        <v>#VALUE!</v>
      </c>
      <c r="AD219" s="12"/>
    </row>
    <row r="220" spans="1:30" ht="15.75" thickBot="1" x14ac:dyDescent="0.3">
      <c r="A220" s="12"/>
      <c r="B220" s="22"/>
      <c r="C220" t="str">
        <f>IF(AND('ENTRY DATA'!D220=""),"",('ENTRY DATA'!D220))</f>
        <v/>
      </c>
      <c r="D220" t="str">
        <f>IF(AND('ENTRY DATA'!F220=""),"",('ENTRY DATA'!F220))</f>
        <v/>
      </c>
      <c r="E220" s="34" t="str">
        <f>IF(AND('ENTRY DATA'!B220=""),"",('ENTRY DATA'!B220))</f>
        <v/>
      </c>
      <c r="F220" s="12"/>
      <c r="G220" s="12"/>
      <c r="H220" s="73"/>
      <c r="I220" s="71"/>
      <c r="J220" s="73"/>
      <c r="K220" s="12"/>
      <c r="L220" s="20">
        <f t="shared" si="18"/>
        <v>0</v>
      </c>
      <c r="M220" s="19" t="str">
        <f t="shared" si="19"/>
        <v/>
      </c>
      <c r="N220" s="12"/>
      <c r="O220" s="119"/>
      <c r="P220" s="95" t="str">
        <f t="shared" si="20"/>
        <v/>
      </c>
      <c r="Q220" s="12"/>
      <c r="S220" s="128"/>
      <c r="T220" s="66"/>
      <c r="U220" s="128"/>
      <c r="W220" s="128"/>
      <c r="X220" s="12"/>
      <c r="Y220" t="str">
        <f t="shared" si="21"/>
        <v/>
      </c>
      <c r="Z220" t="str">
        <f t="shared" si="21"/>
        <v/>
      </c>
      <c r="AA220" s="12"/>
      <c r="AB220" s="95" t="e">
        <f t="shared" si="22"/>
        <v>#VALUE!</v>
      </c>
      <c r="AC220" s="95" t="e">
        <f t="shared" si="23"/>
        <v>#VALUE!</v>
      </c>
      <c r="AD220" s="12"/>
    </row>
    <row r="221" spans="1:30" ht="15.75" thickBot="1" x14ac:dyDescent="0.3">
      <c r="A221" s="12"/>
      <c r="B221" s="22"/>
      <c r="C221" t="str">
        <f>IF(AND('ENTRY DATA'!D221=""),"",('ENTRY DATA'!D221))</f>
        <v/>
      </c>
      <c r="D221" t="str">
        <f>IF(AND('ENTRY DATA'!F221=""),"",('ENTRY DATA'!F221))</f>
        <v/>
      </c>
      <c r="E221" s="34" t="str">
        <f>IF(AND('ENTRY DATA'!B221=""),"",('ENTRY DATA'!B221))</f>
        <v/>
      </c>
      <c r="F221" s="12"/>
      <c r="G221" s="12"/>
      <c r="H221" s="73"/>
      <c r="I221" s="71"/>
      <c r="J221" s="73"/>
      <c r="K221" s="12"/>
      <c r="L221" s="20">
        <f t="shared" si="18"/>
        <v>0</v>
      </c>
      <c r="M221" s="19" t="str">
        <f t="shared" si="19"/>
        <v/>
      </c>
      <c r="N221" s="12"/>
      <c r="O221" s="119"/>
      <c r="P221" s="95" t="str">
        <f t="shared" si="20"/>
        <v/>
      </c>
      <c r="Q221" s="12"/>
      <c r="S221" s="128"/>
      <c r="T221" s="66"/>
      <c r="U221" s="128"/>
      <c r="W221" s="128"/>
      <c r="X221" s="12"/>
      <c r="Y221" t="str">
        <f t="shared" si="21"/>
        <v/>
      </c>
      <c r="Z221" t="str">
        <f t="shared" si="21"/>
        <v/>
      </c>
      <c r="AA221" s="12"/>
      <c r="AB221" s="95" t="e">
        <f t="shared" si="22"/>
        <v>#VALUE!</v>
      </c>
      <c r="AC221" s="95" t="e">
        <f t="shared" si="23"/>
        <v>#VALUE!</v>
      </c>
      <c r="AD221" s="12"/>
    </row>
    <row r="222" spans="1:30" ht="15.75" thickBot="1" x14ac:dyDescent="0.3">
      <c r="A222" s="12"/>
      <c r="B222" s="22"/>
      <c r="C222" t="str">
        <f>IF(AND('ENTRY DATA'!D222=""),"",('ENTRY DATA'!D222))</f>
        <v/>
      </c>
      <c r="D222" t="str">
        <f>IF(AND('ENTRY DATA'!F222=""),"",('ENTRY DATA'!F222))</f>
        <v/>
      </c>
      <c r="E222" s="34" t="str">
        <f>IF(AND('ENTRY DATA'!B222=""),"",('ENTRY DATA'!B222))</f>
        <v/>
      </c>
      <c r="F222" s="12"/>
      <c r="G222" s="12"/>
      <c r="H222" s="73"/>
      <c r="I222" s="71"/>
      <c r="J222" s="73"/>
      <c r="K222" s="12"/>
      <c r="L222" s="20">
        <f t="shared" si="18"/>
        <v>0</v>
      </c>
      <c r="M222" s="19" t="str">
        <f t="shared" si="19"/>
        <v/>
      </c>
      <c r="N222" s="12"/>
      <c r="O222" s="119"/>
      <c r="P222" s="95" t="str">
        <f t="shared" si="20"/>
        <v/>
      </c>
      <c r="Q222" s="12"/>
      <c r="S222" s="128"/>
      <c r="T222" s="66"/>
      <c r="U222" s="128"/>
      <c r="W222" s="128"/>
      <c r="X222" s="12"/>
      <c r="Y222" t="str">
        <f t="shared" si="21"/>
        <v/>
      </c>
      <c r="Z222" t="str">
        <f t="shared" si="21"/>
        <v/>
      </c>
      <c r="AA222" s="12"/>
      <c r="AB222" s="95" t="e">
        <f t="shared" si="22"/>
        <v>#VALUE!</v>
      </c>
      <c r="AC222" s="95" t="e">
        <f t="shared" si="23"/>
        <v>#VALUE!</v>
      </c>
      <c r="AD222" s="12"/>
    </row>
    <row r="223" spans="1:30" ht="15.75" thickBot="1" x14ac:dyDescent="0.3">
      <c r="A223" s="12"/>
      <c r="B223" s="22"/>
      <c r="C223" t="str">
        <f>IF(AND('ENTRY DATA'!D223=""),"",('ENTRY DATA'!D223))</f>
        <v/>
      </c>
      <c r="D223" t="str">
        <f>IF(AND('ENTRY DATA'!F223=""),"",('ENTRY DATA'!F223))</f>
        <v/>
      </c>
      <c r="E223" s="34" t="str">
        <f>IF(AND('ENTRY DATA'!B223=""),"",('ENTRY DATA'!B223))</f>
        <v/>
      </c>
      <c r="F223" s="12"/>
      <c r="G223" s="12"/>
      <c r="H223" s="73"/>
      <c r="I223" s="71"/>
      <c r="J223" s="73"/>
      <c r="K223" s="12"/>
      <c r="L223" s="20">
        <f t="shared" si="18"/>
        <v>0</v>
      </c>
      <c r="M223" s="19" t="str">
        <f t="shared" si="19"/>
        <v/>
      </c>
      <c r="N223" s="12"/>
      <c r="O223" s="119"/>
      <c r="P223" s="95" t="str">
        <f t="shared" si="20"/>
        <v/>
      </c>
      <c r="Q223" s="12"/>
      <c r="S223" s="128"/>
      <c r="T223" s="66"/>
      <c r="U223" s="128"/>
      <c r="W223" s="128"/>
      <c r="X223" s="12"/>
      <c r="Y223" t="str">
        <f t="shared" si="21"/>
        <v/>
      </c>
      <c r="Z223" t="str">
        <f t="shared" si="21"/>
        <v/>
      </c>
      <c r="AA223" s="12"/>
      <c r="AB223" s="95" t="e">
        <f t="shared" si="22"/>
        <v>#VALUE!</v>
      </c>
      <c r="AC223" s="95" t="e">
        <f t="shared" si="23"/>
        <v>#VALUE!</v>
      </c>
      <c r="AD223" s="12"/>
    </row>
    <row r="224" spans="1:30" ht="15.75" thickBot="1" x14ac:dyDescent="0.3">
      <c r="A224" s="12"/>
      <c r="B224" s="22"/>
      <c r="C224" t="str">
        <f>IF(AND('ENTRY DATA'!D224=""),"",('ENTRY DATA'!D224))</f>
        <v/>
      </c>
      <c r="D224" t="str">
        <f>IF(AND('ENTRY DATA'!F224=""),"",('ENTRY DATA'!F224))</f>
        <v/>
      </c>
      <c r="E224" s="34" t="str">
        <f>IF(AND('ENTRY DATA'!B224=""),"",('ENTRY DATA'!B224))</f>
        <v/>
      </c>
      <c r="F224" s="12"/>
      <c r="G224" s="12"/>
      <c r="H224" s="73"/>
      <c r="I224" s="71"/>
      <c r="J224" s="73"/>
      <c r="K224" s="12"/>
      <c r="L224" s="20">
        <f t="shared" si="18"/>
        <v>0</v>
      </c>
      <c r="M224" s="19" t="str">
        <f t="shared" si="19"/>
        <v/>
      </c>
      <c r="N224" s="12"/>
      <c r="O224" s="119"/>
      <c r="P224" s="95" t="str">
        <f t="shared" si="20"/>
        <v/>
      </c>
      <c r="Q224" s="12"/>
      <c r="S224" s="128"/>
      <c r="T224" s="66"/>
      <c r="U224" s="128"/>
      <c r="W224" s="128"/>
      <c r="X224" s="12"/>
      <c r="Y224" t="str">
        <f t="shared" si="21"/>
        <v/>
      </c>
      <c r="Z224" t="str">
        <f t="shared" si="21"/>
        <v/>
      </c>
      <c r="AA224" s="12"/>
      <c r="AB224" s="95" t="e">
        <f t="shared" si="22"/>
        <v>#VALUE!</v>
      </c>
      <c r="AC224" s="95" t="e">
        <f t="shared" si="23"/>
        <v>#VALUE!</v>
      </c>
      <c r="AD224" s="12"/>
    </row>
    <row r="225" spans="1:30" ht="15.75" thickBot="1" x14ac:dyDescent="0.3">
      <c r="A225" s="12"/>
      <c r="B225" s="22"/>
      <c r="C225" t="str">
        <f>IF(AND('ENTRY DATA'!D225=""),"",('ENTRY DATA'!D225))</f>
        <v/>
      </c>
      <c r="D225" t="str">
        <f>IF(AND('ENTRY DATA'!F225=""),"",('ENTRY DATA'!F225))</f>
        <v/>
      </c>
      <c r="E225" s="34" t="str">
        <f>IF(AND('ENTRY DATA'!B225=""),"",('ENTRY DATA'!B225))</f>
        <v/>
      </c>
      <c r="F225" s="12"/>
      <c r="G225" s="12"/>
      <c r="H225" s="73"/>
      <c r="I225" s="71"/>
      <c r="J225" s="73"/>
      <c r="K225" s="12"/>
      <c r="L225" s="20">
        <f t="shared" si="18"/>
        <v>0</v>
      </c>
      <c r="M225" s="19" t="str">
        <f t="shared" si="19"/>
        <v/>
      </c>
      <c r="N225" s="12"/>
      <c r="O225" s="119"/>
      <c r="P225" s="95" t="str">
        <f t="shared" si="20"/>
        <v/>
      </c>
      <c r="Q225" s="12"/>
      <c r="S225" s="128"/>
      <c r="T225" s="66"/>
      <c r="U225" s="128"/>
      <c r="W225" s="128"/>
      <c r="X225" s="12"/>
      <c r="Y225" t="str">
        <f t="shared" si="21"/>
        <v/>
      </c>
      <c r="Z225" t="str">
        <f t="shared" si="21"/>
        <v/>
      </c>
      <c r="AA225" s="12"/>
      <c r="AB225" s="95" t="e">
        <f t="shared" si="22"/>
        <v>#VALUE!</v>
      </c>
      <c r="AC225" s="95" t="e">
        <f t="shared" si="23"/>
        <v>#VALUE!</v>
      </c>
      <c r="AD225" s="12"/>
    </row>
    <row r="226" spans="1:30" ht="15.75" thickBot="1" x14ac:dyDescent="0.3">
      <c r="A226" s="12"/>
      <c r="B226" s="22"/>
      <c r="C226" t="str">
        <f>IF(AND('ENTRY DATA'!D226=""),"",('ENTRY DATA'!D226))</f>
        <v/>
      </c>
      <c r="D226" t="str">
        <f>IF(AND('ENTRY DATA'!F226=""),"",('ENTRY DATA'!F226))</f>
        <v/>
      </c>
      <c r="E226" s="34" t="str">
        <f>IF(AND('ENTRY DATA'!B226=""),"",('ENTRY DATA'!B226))</f>
        <v/>
      </c>
      <c r="F226" s="12"/>
      <c r="G226" s="12"/>
      <c r="H226" s="73"/>
      <c r="I226" s="71"/>
      <c r="J226" s="73"/>
      <c r="K226" s="12"/>
      <c r="L226" s="20">
        <f t="shared" si="18"/>
        <v>0</v>
      </c>
      <c r="M226" s="19" t="str">
        <f t="shared" si="19"/>
        <v/>
      </c>
      <c r="N226" s="12"/>
      <c r="O226" s="119"/>
      <c r="P226" s="95" t="str">
        <f t="shared" si="20"/>
        <v/>
      </c>
      <c r="Q226" s="12"/>
      <c r="S226" s="128"/>
      <c r="T226" s="66"/>
      <c r="U226" s="128"/>
      <c r="W226" s="128"/>
      <c r="X226" s="12"/>
      <c r="Y226" t="str">
        <f t="shared" si="21"/>
        <v/>
      </c>
      <c r="Z226" t="str">
        <f t="shared" si="21"/>
        <v/>
      </c>
      <c r="AA226" s="12"/>
      <c r="AB226" s="95" t="e">
        <f t="shared" si="22"/>
        <v>#VALUE!</v>
      </c>
      <c r="AC226" s="95" t="e">
        <f t="shared" si="23"/>
        <v>#VALUE!</v>
      </c>
      <c r="AD226" s="12"/>
    </row>
    <row r="227" spans="1:30" ht="15.75" thickBot="1" x14ac:dyDescent="0.3">
      <c r="A227" s="12"/>
      <c r="B227" s="22"/>
      <c r="C227" t="str">
        <f>IF(AND('ENTRY DATA'!D227=""),"",('ENTRY DATA'!D227))</f>
        <v/>
      </c>
      <c r="D227" t="str">
        <f>IF(AND('ENTRY DATA'!F227=""),"",('ENTRY DATA'!F227))</f>
        <v/>
      </c>
      <c r="E227" s="34" t="str">
        <f>IF(AND('ENTRY DATA'!B227=""),"",('ENTRY DATA'!B227))</f>
        <v/>
      </c>
      <c r="F227" s="12"/>
      <c r="G227" s="12"/>
      <c r="H227" s="73"/>
      <c r="I227" s="71"/>
      <c r="J227" s="73"/>
      <c r="K227" s="12"/>
      <c r="L227" s="20">
        <f t="shared" si="18"/>
        <v>0</v>
      </c>
      <c r="M227" s="19" t="str">
        <f t="shared" si="19"/>
        <v/>
      </c>
      <c r="N227" s="12"/>
      <c r="O227" s="119"/>
      <c r="P227" s="95" t="str">
        <f t="shared" si="20"/>
        <v/>
      </c>
      <c r="Q227" s="12"/>
      <c r="S227" s="128"/>
      <c r="T227" s="66"/>
      <c r="U227" s="128"/>
      <c r="W227" s="128"/>
      <c r="X227" s="12"/>
      <c r="Y227" t="str">
        <f t="shared" si="21"/>
        <v/>
      </c>
      <c r="Z227" t="str">
        <f t="shared" si="21"/>
        <v/>
      </c>
      <c r="AA227" s="12"/>
      <c r="AB227" s="95" t="e">
        <f t="shared" si="22"/>
        <v>#VALUE!</v>
      </c>
      <c r="AC227" s="95" t="e">
        <f t="shared" si="23"/>
        <v>#VALUE!</v>
      </c>
      <c r="AD227" s="12"/>
    </row>
    <row r="228" spans="1:30" ht="15.75" thickBot="1" x14ac:dyDescent="0.3">
      <c r="A228" s="12"/>
      <c r="B228" s="22"/>
      <c r="C228" t="str">
        <f>IF(AND('ENTRY DATA'!D228=""),"",('ENTRY DATA'!D228))</f>
        <v/>
      </c>
      <c r="D228" t="str">
        <f>IF(AND('ENTRY DATA'!F228=""),"",('ENTRY DATA'!F228))</f>
        <v/>
      </c>
      <c r="E228" s="34" t="str">
        <f>IF(AND('ENTRY DATA'!B228=""),"",('ENTRY DATA'!B228))</f>
        <v/>
      </c>
      <c r="F228" s="12"/>
      <c r="G228" s="12"/>
      <c r="H228" s="73"/>
      <c r="I228" s="71"/>
      <c r="J228" s="73"/>
      <c r="K228" s="12"/>
      <c r="L228" s="20">
        <f t="shared" si="18"/>
        <v>0</v>
      </c>
      <c r="M228" s="19" t="str">
        <f t="shared" si="19"/>
        <v/>
      </c>
      <c r="N228" s="12"/>
      <c r="O228" s="119"/>
      <c r="P228" s="95" t="str">
        <f t="shared" si="20"/>
        <v/>
      </c>
      <c r="Q228" s="12"/>
      <c r="S228" s="128"/>
      <c r="T228" s="66"/>
      <c r="U228" s="128"/>
      <c r="W228" s="128"/>
      <c r="X228" s="12"/>
      <c r="Y228" t="str">
        <f t="shared" si="21"/>
        <v/>
      </c>
      <c r="Z228" t="str">
        <f t="shared" si="21"/>
        <v/>
      </c>
      <c r="AA228" s="12"/>
      <c r="AB228" s="95" t="e">
        <f t="shared" si="22"/>
        <v>#VALUE!</v>
      </c>
      <c r="AC228" s="95" t="e">
        <f t="shared" si="23"/>
        <v>#VALUE!</v>
      </c>
      <c r="AD228" s="12"/>
    </row>
    <row r="229" spans="1:30" ht="15.75" thickBot="1" x14ac:dyDescent="0.3">
      <c r="A229" s="12"/>
      <c r="B229" s="22"/>
      <c r="C229" t="str">
        <f>IF(AND('ENTRY DATA'!D229=""),"",('ENTRY DATA'!D229))</f>
        <v/>
      </c>
      <c r="D229" t="str">
        <f>IF(AND('ENTRY DATA'!F229=""),"",('ENTRY DATA'!F229))</f>
        <v/>
      </c>
      <c r="E229" s="34" t="str">
        <f>IF(AND('ENTRY DATA'!B229=""),"",('ENTRY DATA'!B229))</f>
        <v/>
      </c>
      <c r="F229" s="12"/>
      <c r="G229" s="12"/>
      <c r="H229" s="73"/>
      <c r="I229" s="71"/>
      <c r="J229" s="73"/>
      <c r="K229" s="12"/>
      <c r="L229" s="20">
        <f t="shared" si="18"/>
        <v>0</v>
      </c>
      <c r="M229" s="19" t="str">
        <f t="shared" si="19"/>
        <v/>
      </c>
      <c r="N229" s="12"/>
      <c r="O229" s="119"/>
      <c r="P229" s="95" t="str">
        <f t="shared" si="20"/>
        <v/>
      </c>
      <c r="Q229" s="12"/>
      <c r="S229" s="128"/>
      <c r="T229" s="66"/>
      <c r="U229" s="128"/>
      <c r="W229" s="128"/>
      <c r="X229" s="12"/>
      <c r="Y229" t="str">
        <f t="shared" si="21"/>
        <v/>
      </c>
      <c r="Z229" t="str">
        <f t="shared" si="21"/>
        <v/>
      </c>
      <c r="AA229" s="12"/>
      <c r="AB229" s="95" t="e">
        <f t="shared" si="22"/>
        <v>#VALUE!</v>
      </c>
      <c r="AC229" s="95" t="e">
        <f t="shared" si="23"/>
        <v>#VALUE!</v>
      </c>
      <c r="AD229" s="12"/>
    </row>
    <row r="230" spans="1:30" ht="15.75" thickBot="1" x14ac:dyDescent="0.3">
      <c r="A230" s="12"/>
      <c r="B230" s="22"/>
      <c r="C230" t="str">
        <f>IF(AND('ENTRY DATA'!D230=""),"",('ENTRY DATA'!D230))</f>
        <v/>
      </c>
      <c r="D230" t="str">
        <f>IF(AND('ENTRY DATA'!F230=""),"",('ENTRY DATA'!F230))</f>
        <v/>
      </c>
      <c r="E230" s="34" t="str">
        <f>IF(AND('ENTRY DATA'!B230=""),"",('ENTRY DATA'!B230))</f>
        <v/>
      </c>
      <c r="F230" s="12"/>
      <c r="G230" s="12"/>
      <c r="H230" s="73"/>
      <c r="I230" s="71"/>
      <c r="J230" s="73"/>
      <c r="K230" s="12"/>
      <c r="L230" s="20">
        <f t="shared" si="18"/>
        <v>0</v>
      </c>
      <c r="M230" s="19" t="str">
        <f t="shared" si="19"/>
        <v/>
      </c>
      <c r="N230" s="12"/>
      <c r="O230" s="119"/>
      <c r="P230" s="95" t="str">
        <f t="shared" si="20"/>
        <v/>
      </c>
      <c r="Q230" s="12"/>
      <c r="S230" s="128"/>
      <c r="T230" s="66"/>
      <c r="U230" s="128"/>
      <c r="W230" s="128"/>
      <c r="X230" s="12"/>
      <c r="Y230" t="str">
        <f t="shared" si="21"/>
        <v/>
      </c>
      <c r="Z230" t="str">
        <f t="shared" si="21"/>
        <v/>
      </c>
      <c r="AA230" s="12"/>
      <c r="AB230" s="95" t="e">
        <f t="shared" si="22"/>
        <v>#VALUE!</v>
      </c>
      <c r="AC230" s="95" t="e">
        <f t="shared" si="23"/>
        <v>#VALUE!</v>
      </c>
      <c r="AD230" s="12"/>
    </row>
    <row r="231" spans="1:30" ht="15.75" thickBot="1" x14ac:dyDescent="0.3">
      <c r="A231" s="12"/>
      <c r="B231" s="22"/>
      <c r="C231" t="str">
        <f>IF(AND('ENTRY DATA'!D231=""),"",('ENTRY DATA'!D231))</f>
        <v/>
      </c>
      <c r="D231" t="str">
        <f>IF(AND('ENTRY DATA'!F231=""),"",('ENTRY DATA'!F231))</f>
        <v/>
      </c>
      <c r="E231" s="34" t="str">
        <f>IF(AND('ENTRY DATA'!B231=""),"",('ENTRY DATA'!B231))</f>
        <v/>
      </c>
      <c r="F231" s="12"/>
      <c r="G231" s="12"/>
      <c r="H231" s="73"/>
      <c r="I231" s="71"/>
      <c r="J231" s="73"/>
      <c r="K231" s="12"/>
      <c r="L231" s="20">
        <f t="shared" si="18"/>
        <v>0</v>
      </c>
      <c r="M231" s="19" t="str">
        <f t="shared" si="19"/>
        <v/>
      </c>
      <c r="N231" s="12"/>
      <c r="O231" s="119"/>
      <c r="P231" s="95" t="str">
        <f t="shared" si="20"/>
        <v/>
      </c>
      <c r="Q231" s="12"/>
      <c r="S231" s="128"/>
      <c r="T231" s="66"/>
      <c r="U231" s="128"/>
      <c r="W231" s="128"/>
      <c r="X231" s="12"/>
      <c r="Y231" t="str">
        <f t="shared" si="21"/>
        <v/>
      </c>
      <c r="Z231" t="str">
        <f t="shared" si="21"/>
        <v/>
      </c>
      <c r="AA231" s="12"/>
      <c r="AB231" s="95" t="e">
        <f t="shared" si="22"/>
        <v>#VALUE!</v>
      </c>
      <c r="AC231" s="95" t="e">
        <f t="shared" si="23"/>
        <v>#VALUE!</v>
      </c>
      <c r="AD231" s="12"/>
    </row>
    <row r="232" spans="1:30" ht="15.75" thickBot="1" x14ac:dyDescent="0.3">
      <c r="A232" s="12"/>
      <c r="B232" s="22"/>
      <c r="C232" t="str">
        <f>IF(AND('ENTRY DATA'!D232=""),"",('ENTRY DATA'!D232))</f>
        <v/>
      </c>
      <c r="D232" t="str">
        <f>IF(AND('ENTRY DATA'!F232=""),"",('ENTRY DATA'!F232))</f>
        <v/>
      </c>
      <c r="E232" s="34" t="str">
        <f>IF(AND('ENTRY DATA'!B232=""),"",('ENTRY DATA'!B232))</f>
        <v/>
      </c>
      <c r="F232" s="12"/>
      <c r="G232" s="12"/>
      <c r="H232" s="73"/>
      <c r="I232" s="71"/>
      <c r="J232" s="73"/>
      <c r="K232" s="12"/>
      <c r="L232" s="20">
        <f t="shared" si="18"/>
        <v>0</v>
      </c>
      <c r="M232" s="19" t="str">
        <f t="shared" si="19"/>
        <v/>
      </c>
      <c r="N232" s="12"/>
      <c r="O232" s="119"/>
      <c r="P232" s="95" t="str">
        <f t="shared" si="20"/>
        <v/>
      </c>
      <c r="Q232" s="12"/>
      <c r="S232" s="128"/>
      <c r="T232" s="66"/>
      <c r="U232" s="128"/>
      <c r="W232" s="128"/>
      <c r="X232" s="12"/>
      <c r="Y232" t="str">
        <f t="shared" si="21"/>
        <v/>
      </c>
      <c r="Z232" t="str">
        <f t="shared" si="21"/>
        <v/>
      </c>
      <c r="AA232" s="12"/>
      <c r="AB232" s="95" t="e">
        <f t="shared" si="22"/>
        <v>#VALUE!</v>
      </c>
      <c r="AC232" s="95" t="e">
        <f t="shared" si="23"/>
        <v>#VALUE!</v>
      </c>
      <c r="AD232" s="12"/>
    </row>
    <row r="233" spans="1:30" ht="15.75" thickBot="1" x14ac:dyDescent="0.3">
      <c r="A233" s="12"/>
      <c r="B233" s="22"/>
      <c r="C233" t="str">
        <f>IF(AND('ENTRY DATA'!D233=""),"",('ENTRY DATA'!D233))</f>
        <v/>
      </c>
      <c r="D233" t="str">
        <f>IF(AND('ENTRY DATA'!F233=""),"",('ENTRY DATA'!F233))</f>
        <v/>
      </c>
      <c r="E233" s="34" t="str">
        <f>IF(AND('ENTRY DATA'!B233=""),"",('ENTRY DATA'!B233))</f>
        <v/>
      </c>
      <c r="F233" s="12"/>
      <c r="G233" s="12"/>
      <c r="H233" s="73"/>
      <c r="I233" s="71"/>
      <c r="J233" s="73"/>
      <c r="K233" s="12"/>
      <c r="L233" s="20">
        <f t="shared" si="18"/>
        <v>0</v>
      </c>
      <c r="M233" s="19" t="str">
        <f t="shared" si="19"/>
        <v/>
      </c>
      <c r="N233" s="12"/>
      <c r="O233" s="119"/>
      <c r="P233" s="95" t="str">
        <f t="shared" si="20"/>
        <v/>
      </c>
      <c r="Q233" s="12"/>
      <c r="S233" s="128"/>
      <c r="T233" s="66"/>
      <c r="U233" s="128"/>
      <c r="W233" s="128"/>
      <c r="X233" s="12"/>
      <c r="Y233" t="str">
        <f t="shared" si="21"/>
        <v/>
      </c>
      <c r="Z233" t="str">
        <f t="shared" si="21"/>
        <v/>
      </c>
      <c r="AA233" s="12"/>
      <c r="AB233" s="95" t="e">
        <f t="shared" si="22"/>
        <v>#VALUE!</v>
      </c>
      <c r="AC233" s="95" t="e">
        <f t="shared" si="23"/>
        <v>#VALUE!</v>
      </c>
      <c r="AD233" s="12"/>
    </row>
    <row r="234" spans="1:30" ht="15.75" thickBot="1" x14ac:dyDescent="0.3">
      <c r="A234" s="12"/>
      <c r="B234" s="22"/>
      <c r="C234" t="str">
        <f>IF(AND('ENTRY DATA'!D234=""),"",('ENTRY DATA'!D234))</f>
        <v/>
      </c>
      <c r="D234" t="str">
        <f>IF(AND('ENTRY DATA'!F234=""),"",('ENTRY DATA'!F234))</f>
        <v/>
      </c>
      <c r="E234" s="34" t="str">
        <f>IF(AND('ENTRY DATA'!B234=""),"",('ENTRY DATA'!B234))</f>
        <v/>
      </c>
      <c r="F234" s="12"/>
      <c r="G234" s="12"/>
      <c r="H234" s="73"/>
      <c r="I234" s="71"/>
      <c r="J234" s="73"/>
      <c r="K234" s="12"/>
      <c r="L234" s="20">
        <f t="shared" si="18"/>
        <v>0</v>
      </c>
      <c r="M234" s="19" t="str">
        <f t="shared" si="19"/>
        <v/>
      </c>
      <c r="N234" s="12"/>
      <c r="O234" s="119"/>
      <c r="P234" s="95" t="str">
        <f t="shared" si="20"/>
        <v/>
      </c>
      <c r="Q234" s="12"/>
      <c r="S234" s="128"/>
      <c r="T234" s="66"/>
      <c r="U234" s="128"/>
      <c r="W234" s="128"/>
      <c r="X234" s="12"/>
      <c r="Y234" t="str">
        <f t="shared" si="21"/>
        <v/>
      </c>
      <c r="Z234" t="str">
        <f t="shared" si="21"/>
        <v/>
      </c>
      <c r="AA234" s="12"/>
      <c r="AB234" s="95" t="e">
        <f t="shared" si="22"/>
        <v>#VALUE!</v>
      </c>
      <c r="AC234" s="95" t="e">
        <f t="shared" si="23"/>
        <v>#VALUE!</v>
      </c>
      <c r="AD234" s="12"/>
    </row>
    <row r="235" spans="1:30" ht="15.75" thickBot="1" x14ac:dyDescent="0.3">
      <c r="A235" s="12"/>
      <c r="B235" s="22"/>
      <c r="C235" t="str">
        <f>IF(AND('ENTRY DATA'!D235=""),"",('ENTRY DATA'!D235))</f>
        <v/>
      </c>
      <c r="D235" t="str">
        <f>IF(AND('ENTRY DATA'!F235=""),"",('ENTRY DATA'!F235))</f>
        <v/>
      </c>
      <c r="E235" s="34" t="str">
        <f>IF(AND('ENTRY DATA'!B235=""),"",('ENTRY DATA'!B235))</f>
        <v/>
      </c>
      <c r="F235" s="12"/>
      <c r="G235" s="12"/>
      <c r="H235" s="73"/>
      <c r="I235" s="71"/>
      <c r="J235" s="73"/>
      <c r="K235" s="12"/>
      <c r="L235" s="20">
        <f t="shared" si="18"/>
        <v>0</v>
      </c>
      <c r="M235" s="19" t="str">
        <f t="shared" si="19"/>
        <v/>
      </c>
      <c r="N235" s="12"/>
      <c r="O235" s="119"/>
      <c r="P235" s="95" t="str">
        <f t="shared" si="20"/>
        <v/>
      </c>
      <c r="Q235" s="12"/>
      <c r="S235" s="128"/>
      <c r="T235" s="66"/>
      <c r="U235" s="128"/>
      <c r="W235" s="128"/>
      <c r="X235" s="12"/>
      <c r="Y235" t="str">
        <f t="shared" si="21"/>
        <v/>
      </c>
      <c r="Z235" t="str">
        <f t="shared" si="21"/>
        <v/>
      </c>
      <c r="AA235" s="12"/>
      <c r="AB235" s="95" t="e">
        <f t="shared" si="22"/>
        <v>#VALUE!</v>
      </c>
      <c r="AC235" s="95" t="e">
        <f t="shared" si="23"/>
        <v>#VALUE!</v>
      </c>
      <c r="AD235" s="12"/>
    </row>
    <row r="236" spans="1:30" ht="15.75" thickBot="1" x14ac:dyDescent="0.3">
      <c r="A236" s="12"/>
      <c r="B236" s="22"/>
      <c r="C236" t="str">
        <f>IF(AND('ENTRY DATA'!D236=""),"",('ENTRY DATA'!D236))</f>
        <v/>
      </c>
      <c r="D236" t="str">
        <f>IF(AND('ENTRY DATA'!F236=""),"",('ENTRY DATA'!F236))</f>
        <v/>
      </c>
      <c r="E236" s="34" t="str">
        <f>IF(AND('ENTRY DATA'!B236=""),"",('ENTRY DATA'!B236))</f>
        <v/>
      </c>
      <c r="F236" s="12"/>
      <c r="G236" s="12"/>
      <c r="H236" s="73"/>
      <c r="I236" s="71"/>
      <c r="J236" s="73"/>
      <c r="K236" s="12"/>
      <c r="L236" s="20">
        <f t="shared" si="18"/>
        <v>0</v>
      </c>
      <c r="M236" s="19" t="str">
        <f t="shared" si="19"/>
        <v/>
      </c>
      <c r="N236" s="12"/>
      <c r="O236" s="119"/>
      <c r="P236" s="95" t="str">
        <f t="shared" si="20"/>
        <v/>
      </c>
      <c r="Q236" s="12"/>
      <c r="S236" s="128"/>
      <c r="T236" s="66"/>
      <c r="U236" s="128"/>
      <c r="W236" s="128"/>
      <c r="X236" s="12"/>
      <c r="Y236" t="str">
        <f t="shared" si="21"/>
        <v/>
      </c>
      <c r="Z236" t="str">
        <f t="shared" si="21"/>
        <v/>
      </c>
      <c r="AA236" s="12"/>
      <c r="AB236" s="95" t="e">
        <f t="shared" si="22"/>
        <v>#VALUE!</v>
      </c>
      <c r="AC236" s="95" t="e">
        <f t="shared" si="23"/>
        <v>#VALUE!</v>
      </c>
      <c r="AD236" s="12"/>
    </row>
    <row r="237" spans="1:30" ht="15.75" thickBot="1" x14ac:dyDescent="0.3">
      <c r="A237" s="12"/>
      <c r="B237" s="22"/>
      <c r="C237" t="str">
        <f>IF(AND('ENTRY DATA'!D237=""),"",('ENTRY DATA'!D237))</f>
        <v/>
      </c>
      <c r="D237" t="str">
        <f>IF(AND('ENTRY DATA'!F237=""),"",('ENTRY DATA'!F237))</f>
        <v/>
      </c>
      <c r="E237" s="34" t="str">
        <f>IF(AND('ENTRY DATA'!B237=""),"",('ENTRY DATA'!B237))</f>
        <v/>
      </c>
      <c r="F237" s="12"/>
      <c r="G237" s="12"/>
      <c r="H237" s="73"/>
      <c r="I237" s="71"/>
      <c r="J237" s="73"/>
      <c r="K237" s="12"/>
      <c r="L237" s="20">
        <f t="shared" si="18"/>
        <v>0</v>
      </c>
      <c r="M237" s="19" t="str">
        <f t="shared" si="19"/>
        <v/>
      </c>
      <c r="N237" s="12"/>
      <c r="O237" s="119"/>
      <c r="P237" s="95" t="str">
        <f t="shared" si="20"/>
        <v/>
      </c>
      <c r="Q237" s="12"/>
      <c r="S237" s="128"/>
      <c r="T237" s="66"/>
      <c r="U237" s="128"/>
      <c r="W237" s="128"/>
      <c r="X237" s="12"/>
      <c r="Y237" t="str">
        <f t="shared" si="21"/>
        <v/>
      </c>
      <c r="Z237" t="str">
        <f t="shared" si="21"/>
        <v/>
      </c>
      <c r="AA237" s="12"/>
      <c r="AB237" s="95" t="e">
        <f t="shared" si="22"/>
        <v>#VALUE!</v>
      </c>
      <c r="AC237" s="95" t="e">
        <f t="shared" si="23"/>
        <v>#VALUE!</v>
      </c>
      <c r="AD237" s="12"/>
    </row>
    <row r="238" spans="1:30" ht="15.75" thickBot="1" x14ac:dyDescent="0.3">
      <c r="A238" s="12"/>
      <c r="B238" s="22"/>
      <c r="C238" t="str">
        <f>IF(AND('ENTRY DATA'!D238=""),"",('ENTRY DATA'!D238))</f>
        <v/>
      </c>
      <c r="D238" t="str">
        <f>IF(AND('ENTRY DATA'!F238=""),"",('ENTRY DATA'!F238))</f>
        <v/>
      </c>
      <c r="E238" s="34" t="str">
        <f>IF(AND('ENTRY DATA'!B238=""),"",('ENTRY DATA'!B238))</f>
        <v/>
      </c>
      <c r="F238" s="12"/>
      <c r="G238" s="12"/>
      <c r="H238" s="73"/>
      <c r="I238" s="71"/>
      <c r="J238" s="73"/>
      <c r="K238" s="12"/>
      <c r="L238" s="20">
        <f t="shared" si="18"/>
        <v>0</v>
      </c>
      <c r="M238" s="19" t="str">
        <f t="shared" si="19"/>
        <v/>
      </c>
      <c r="N238" s="12"/>
      <c r="O238" s="119"/>
      <c r="P238" s="95" t="str">
        <f t="shared" si="20"/>
        <v/>
      </c>
      <c r="Q238" s="12"/>
      <c r="S238" s="128"/>
      <c r="T238" s="66"/>
      <c r="U238" s="128"/>
      <c r="W238" s="128"/>
      <c r="X238" s="12"/>
      <c r="Y238" t="str">
        <f t="shared" si="21"/>
        <v/>
      </c>
      <c r="Z238" t="str">
        <f t="shared" si="21"/>
        <v/>
      </c>
      <c r="AA238" s="12"/>
      <c r="AB238" s="95" t="e">
        <f t="shared" si="22"/>
        <v>#VALUE!</v>
      </c>
      <c r="AC238" s="95" t="e">
        <f t="shared" si="23"/>
        <v>#VALUE!</v>
      </c>
      <c r="AD238" s="12"/>
    </row>
    <row r="239" spans="1:30" ht="15.75" thickBot="1" x14ac:dyDescent="0.3">
      <c r="A239" s="12"/>
      <c r="B239" s="22"/>
      <c r="C239" t="str">
        <f>IF(AND('ENTRY DATA'!D239=""),"",('ENTRY DATA'!D239))</f>
        <v/>
      </c>
      <c r="D239" t="str">
        <f>IF(AND('ENTRY DATA'!F239=""),"",('ENTRY DATA'!F239))</f>
        <v/>
      </c>
      <c r="E239" s="34" t="str">
        <f>IF(AND('ENTRY DATA'!B239=""),"",('ENTRY DATA'!B239))</f>
        <v/>
      </c>
      <c r="F239" s="12"/>
      <c r="G239" s="12"/>
      <c r="H239" s="73"/>
      <c r="I239" s="71"/>
      <c r="J239" s="73"/>
      <c r="K239" s="12"/>
      <c r="L239" s="20">
        <f t="shared" si="18"/>
        <v>0</v>
      </c>
      <c r="M239" s="19" t="str">
        <f t="shared" si="19"/>
        <v/>
      </c>
      <c r="N239" s="12"/>
      <c r="O239" s="119"/>
      <c r="P239" s="95" t="str">
        <f t="shared" si="20"/>
        <v/>
      </c>
      <c r="Q239" s="12"/>
      <c r="S239" s="128"/>
      <c r="T239" s="66"/>
      <c r="U239" s="128"/>
      <c r="W239" s="128"/>
      <c r="X239" s="12"/>
      <c r="Y239" t="str">
        <f t="shared" si="21"/>
        <v/>
      </c>
      <c r="Z239" t="str">
        <f t="shared" si="21"/>
        <v/>
      </c>
      <c r="AA239" s="12"/>
      <c r="AB239" s="95" t="e">
        <f t="shared" si="22"/>
        <v>#VALUE!</v>
      </c>
      <c r="AC239" s="95" t="e">
        <f t="shared" si="23"/>
        <v>#VALUE!</v>
      </c>
      <c r="AD239" s="12"/>
    </row>
    <row r="240" spans="1:30" ht="15.75" thickBot="1" x14ac:dyDescent="0.3">
      <c r="A240" s="12"/>
      <c r="B240" s="22"/>
      <c r="C240" t="str">
        <f>IF(AND('ENTRY DATA'!D240=""),"",('ENTRY DATA'!D240))</f>
        <v/>
      </c>
      <c r="D240" t="str">
        <f>IF(AND('ENTRY DATA'!F240=""),"",('ENTRY DATA'!F240))</f>
        <v/>
      </c>
      <c r="E240" s="34" t="str">
        <f>IF(AND('ENTRY DATA'!B240=""),"",('ENTRY DATA'!B240))</f>
        <v/>
      </c>
      <c r="F240" s="12"/>
      <c r="G240" s="12"/>
      <c r="H240" s="73"/>
      <c r="I240" s="71"/>
      <c r="J240" s="73"/>
      <c r="K240" s="12"/>
      <c r="L240" s="20">
        <f t="shared" si="18"/>
        <v>0</v>
      </c>
      <c r="M240" s="19" t="str">
        <f t="shared" si="19"/>
        <v/>
      </c>
      <c r="N240" s="12"/>
      <c r="O240" s="119"/>
      <c r="P240" s="95" t="str">
        <f t="shared" si="20"/>
        <v/>
      </c>
      <c r="Q240" s="12"/>
      <c r="S240" s="128"/>
      <c r="T240" s="66"/>
      <c r="U240" s="128"/>
      <c r="W240" s="128"/>
      <c r="X240" s="12"/>
      <c r="Y240" t="str">
        <f t="shared" si="21"/>
        <v/>
      </c>
      <c r="Z240" t="str">
        <f t="shared" si="21"/>
        <v/>
      </c>
      <c r="AA240" s="12"/>
      <c r="AB240" s="95" t="e">
        <f t="shared" si="22"/>
        <v>#VALUE!</v>
      </c>
      <c r="AC240" s="95" t="e">
        <f t="shared" si="23"/>
        <v>#VALUE!</v>
      </c>
      <c r="AD240" s="12"/>
    </row>
    <row r="241" spans="1:30" ht="15.75" thickBot="1" x14ac:dyDescent="0.3">
      <c r="A241" s="12"/>
      <c r="B241" s="22"/>
      <c r="C241" t="str">
        <f>IF(AND('ENTRY DATA'!D241=""),"",('ENTRY DATA'!D241))</f>
        <v/>
      </c>
      <c r="D241" t="str">
        <f>IF(AND('ENTRY DATA'!F241=""),"",('ENTRY DATA'!F241))</f>
        <v/>
      </c>
      <c r="E241" s="34" t="str">
        <f>IF(AND('ENTRY DATA'!B241=""),"",('ENTRY DATA'!B241))</f>
        <v/>
      </c>
      <c r="F241" s="12"/>
      <c r="G241" s="12"/>
      <c r="H241" s="73"/>
      <c r="I241" s="71"/>
      <c r="J241" s="73"/>
      <c r="K241" s="12"/>
      <c r="L241" s="20">
        <f t="shared" si="18"/>
        <v>0</v>
      </c>
      <c r="M241" s="19" t="str">
        <f t="shared" si="19"/>
        <v/>
      </c>
      <c r="N241" s="12"/>
      <c r="O241" s="119"/>
      <c r="P241" s="95" t="str">
        <f t="shared" si="20"/>
        <v/>
      </c>
      <c r="Q241" s="12"/>
      <c r="S241" s="128"/>
      <c r="T241" s="66"/>
      <c r="U241" s="128"/>
      <c r="W241" s="128"/>
      <c r="X241" s="12"/>
      <c r="Y241" t="str">
        <f t="shared" si="21"/>
        <v/>
      </c>
      <c r="Z241" t="str">
        <f t="shared" si="21"/>
        <v/>
      </c>
      <c r="AA241" s="12"/>
      <c r="AB241" s="95" t="e">
        <f t="shared" si="22"/>
        <v>#VALUE!</v>
      </c>
      <c r="AC241" s="95" t="e">
        <f t="shared" si="23"/>
        <v>#VALUE!</v>
      </c>
      <c r="AD241" s="12"/>
    </row>
    <row r="242" spans="1:30" ht="15.75" thickBot="1" x14ac:dyDescent="0.3">
      <c r="A242" s="12"/>
      <c r="B242" s="22"/>
      <c r="C242" t="str">
        <f>IF(AND('ENTRY DATA'!D242=""),"",('ENTRY DATA'!D242))</f>
        <v/>
      </c>
      <c r="D242" t="str">
        <f>IF(AND('ENTRY DATA'!F242=""),"",('ENTRY DATA'!F242))</f>
        <v/>
      </c>
      <c r="E242" s="34" t="str">
        <f>IF(AND('ENTRY DATA'!B242=""),"",('ENTRY DATA'!B242))</f>
        <v/>
      </c>
      <c r="F242" s="12"/>
      <c r="G242" s="12"/>
      <c r="H242" s="73"/>
      <c r="I242" s="71"/>
      <c r="J242" s="73"/>
      <c r="K242" s="12"/>
      <c r="L242" s="20">
        <f t="shared" si="18"/>
        <v>0</v>
      </c>
      <c r="M242" s="19" t="str">
        <f t="shared" si="19"/>
        <v/>
      </c>
      <c r="N242" s="12"/>
      <c r="O242" s="119"/>
      <c r="P242" s="95" t="str">
        <f t="shared" si="20"/>
        <v/>
      </c>
      <c r="Q242" s="12"/>
      <c r="S242" s="128"/>
      <c r="T242" s="66"/>
      <c r="U242" s="128"/>
      <c r="W242" s="128"/>
      <c r="X242" s="12"/>
      <c r="Y242" t="str">
        <f t="shared" si="21"/>
        <v/>
      </c>
      <c r="Z242" t="str">
        <f t="shared" si="21"/>
        <v/>
      </c>
      <c r="AA242" s="12"/>
      <c r="AB242" s="95" t="e">
        <f t="shared" si="22"/>
        <v>#VALUE!</v>
      </c>
      <c r="AC242" s="95" t="e">
        <f t="shared" si="23"/>
        <v>#VALUE!</v>
      </c>
      <c r="AD242" s="12"/>
    </row>
    <row r="243" spans="1:30" ht="15.75" thickBot="1" x14ac:dyDescent="0.3">
      <c r="A243" s="12"/>
      <c r="B243" s="22"/>
      <c r="C243" t="str">
        <f>IF(AND('ENTRY DATA'!D243=""),"",('ENTRY DATA'!D243))</f>
        <v/>
      </c>
      <c r="D243" t="str">
        <f>IF(AND('ENTRY DATA'!F243=""),"",('ENTRY DATA'!F243))</f>
        <v/>
      </c>
      <c r="E243" s="34" t="str">
        <f>IF(AND('ENTRY DATA'!B243=""),"",('ENTRY DATA'!B243))</f>
        <v/>
      </c>
      <c r="F243" s="12"/>
      <c r="G243" s="12"/>
      <c r="H243" s="73"/>
      <c r="I243" s="71"/>
      <c r="J243" s="73"/>
      <c r="K243" s="12"/>
      <c r="L243" s="20">
        <f t="shared" si="18"/>
        <v>0</v>
      </c>
      <c r="M243" s="19" t="str">
        <f t="shared" si="19"/>
        <v/>
      </c>
      <c r="N243" s="12"/>
      <c r="O243" s="119"/>
      <c r="P243" s="95" t="str">
        <f t="shared" si="20"/>
        <v/>
      </c>
      <c r="Q243" s="12"/>
      <c r="S243" s="128"/>
      <c r="T243" s="66"/>
      <c r="U243" s="128"/>
      <c r="W243" s="128"/>
      <c r="X243" s="12"/>
      <c r="Y243" t="str">
        <f t="shared" si="21"/>
        <v/>
      </c>
      <c r="Z243" t="str">
        <f t="shared" si="21"/>
        <v/>
      </c>
      <c r="AA243" s="12"/>
      <c r="AB243" s="95" t="e">
        <f t="shared" si="22"/>
        <v>#VALUE!</v>
      </c>
      <c r="AC243" s="95" t="e">
        <f t="shared" si="23"/>
        <v>#VALUE!</v>
      </c>
      <c r="AD243" s="12"/>
    </row>
    <row r="244" spans="1:30" ht="15.75" thickBot="1" x14ac:dyDescent="0.3">
      <c r="A244" s="12"/>
      <c r="B244" s="22"/>
      <c r="C244" t="str">
        <f>IF(AND('ENTRY DATA'!D244=""),"",('ENTRY DATA'!D244))</f>
        <v/>
      </c>
      <c r="D244" t="str">
        <f>IF(AND('ENTRY DATA'!F244=""),"",('ENTRY DATA'!F244))</f>
        <v/>
      </c>
      <c r="E244" s="34" t="str">
        <f>IF(AND('ENTRY DATA'!B244=""),"",('ENTRY DATA'!B244))</f>
        <v/>
      </c>
      <c r="F244" s="12"/>
      <c r="G244" s="12"/>
      <c r="H244" s="73"/>
      <c r="I244" s="71"/>
      <c r="J244" s="73"/>
      <c r="K244" s="12"/>
      <c r="L244" s="20">
        <f t="shared" si="18"/>
        <v>0</v>
      </c>
      <c r="M244" s="19" t="str">
        <f t="shared" si="19"/>
        <v/>
      </c>
      <c r="N244" s="12"/>
      <c r="O244" s="119"/>
      <c r="P244" s="95" t="str">
        <f t="shared" si="20"/>
        <v/>
      </c>
      <c r="Q244" s="12"/>
      <c r="S244" s="128"/>
      <c r="T244" s="66"/>
      <c r="U244" s="128"/>
      <c r="W244" s="128"/>
      <c r="X244" s="12"/>
      <c r="Y244" t="str">
        <f t="shared" si="21"/>
        <v/>
      </c>
      <c r="Z244" t="str">
        <f t="shared" si="21"/>
        <v/>
      </c>
      <c r="AA244" s="12"/>
      <c r="AB244" s="95" t="e">
        <f t="shared" si="22"/>
        <v>#VALUE!</v>
      </c>
      <c r="AC244" s="95" t="e">
        <f t="shared" si="23"/>
        <v>#VALUE!</v>
      </c>
      <c r="AD244" s="12"/>
    </row>
    <row r="245" spans="1:30" ht="15.75" thickBot="1" x14ac:dyDescent="0.3">
      <c r="A245" s="12"/>
      <c r="B245" s="22"/>
      <c r="C245" t="str">
        <f>IF(AND('ENTRY DATA'!D245=""),"",('ENTRY DATA'!D245))</f>
        <v/>
      </c>
      <c r="D245" t="str">
        <f>IF(AND('ENTRY DATA'!F245=""),"",('ENTRY DATA'!F245))</f>
        <v/>
      </c>
      <c r="E245" s="34" t="str">
        <f>IF(AND('ENTRY DATA'!B245=""),"",('ENTRY DATA'!B245))</f>
        <v/>
      </c>
      <c r="F245" s="12"/>
      <c r="G245" s="12"/>
      <c r="H245" s="73"/>
      <c r="I245" s="71"/>
      <c r="J245" s="73"/>
      <c r="K245" s="12"/>
      <c r="L245" s="20">
        <f t="shared" si="18"/>
        <v>0</v>
      </c>
      <c r="M245" s="19" t="str">
        <f t="shared" si="19"/>
        <v/>
      </c>
      <c r="N245" s="12"/>
      <c r="O245" s="119"/>
      <c r="P245" s="95" t="str">
        <f t="shared" si="20"/>
        <v/>
      </c>
      <c r="Q245" s="12"/>
      <c r="S245" s="128"/>
      <c r="T245" s="66"/>
      <c r="U245" s="128"/>
      <c r="W245" s="128"/>
      <c r="X245" s="12"/>
      <c r="Y245" t="str">
        <f t="shared" si="21"/>
        <v/>
      </c>
      <c r="Z245" t="str">
        <f t="shared" si="21"/>
        <v/>
      </c>
      <c r="AA245" s="12"/>
      <c r="AB245" s="95" t="e">
        <f t="shared" si="22"/>
        <v>#VALUE!</v>
      </c>
      <c r="AC245" s="95" t="e">
        <f t="shared" si="23"/>
        <v>#VALUE!</v>
      </c>
      <c r="AD245" s="12"/>
    </row>
    <row r="246" spans="1:30" ht="15.75" thickBot="1" x14ac:dyDescent="0.3">
      <c r="A246" s="12"/>
      <c r="B246" s="22"/>
      <c r="C246" t="str">
        <f>IF(AND('ENTRY DATA'!D246=""),"",('ENTRY DATA'!D246))</f>
        <v/>
      </c>
      <c r="D246" t="str">
        <f>IF(AND('ENTRY DATA'!F246=""),"",('ENTRY DATA'!F246))</f>
        <v/>
      </c>
      <c r="E246" s="34" t="str">
        <f>IF(AND('ENTRY DATA'!B246=""),"",('ENTRY DATA'!B246))</f>
        <v/>
      </c>
      <c r="F246" s="12"/>
      <c r="G246" s="12"/>
      <c r="H246" s="73"/>
      <c r="I246" s="71"/>
      <c r="J246" s="73"/>
      <c r="K246" s="12"/>
      <c r="L246" s="20">
        <f t="shared" si="18"/>
        <v>0</v>
      </c>
      <c r="M246" s="19" t="str">
        <f t="shared" si="19"/>
        <v/>
      </c>
      <c r="N246" s="12"/>
      <c r="O246" s="119"/>
      <c r="P246" s="95" t="str">
        <f t="shared" si="20"/>
        <v/>
      </c>
      <c r="Q246" s="12"/>
      <c r="S246" s="128"/>
      <c r="T246" s="66"/>
      <c r="U246" s="128"/>
      <c r="W246" s="128"/>
      <c r="X246" s="12"/>
      <c r="Y246" t="str">
        <f t="shared" si="21"/>
        <v/>
      </c>
      <c r="Z246" t="str">
        <f t="shared" si="21"/>
        <v/>
      </c>
      <c r="AA246" s="12"/>
      <c r="AB246" s="95" t="e">
        <f t="shared" si="22"/>
        <v>#VALUE!</v>
      </c>
      <c r="AC246" s="95" t="e">
        <f t="shared" si="23"/>
        <v>#VALUE!</v>
      </c>
      <c r="AD246" s="12"/>
    </row>
    <row r="247" spans="1:30" ht="15.75" thickBot="1" x14ac:dyDescent="0.3">
      <c r="A247" s="12"/>
      <c r="B247" s="22"/>
      <c r="C247" t="str">
        <f>IF(AND('ENTRY DATA'!D247=""),"",('ENTRY DATA'!D247))</f>
        <v/>
      </c>
      <c r="D247" t="str">
        <f>IF(AND('ENTRY DATA'!F247=""),"",('ENTRY DATA'!F247))</f>
        <v/>
      </c>
      <c r="E247" s="34" t="str">
        <f>IF(AND('ENTRY DATA'!B247=""),"",('ENTRY DATA'!B247))</f>
        <v/>
      </c>
      <c r="F247" s="12"/>
      <c r="G247" s="12"/>
      <c r="H247" s="73"/>
      <c r="I247" s="71"/>
      <c r="J247" s="73"/>
      <c r="K247" s="12"/>
      <c r="L247" s="20">
        <f t="shared" si="18"/>
        <v>0</v>
      </c>
      <c r="M247" s="19" t="str">
        <f t="shared" si="19"/>
        <v/>
      </c>
      <c r="N247" s="12"/>
      <c r="O247" s="119"/>
      <c r="P247" s="95" t="str">
        <f t="shared" si="20"/>
        <v/>
      </c>
      <c r="Q247" s="12"/>
      <c r="S247" s="128"/>
      <c r="T247" s="66"/>
      <c r="U247" s="128"/>
      <c r="W247" s="128"/>
      <c r="X247" s="12"/>
      <c r="Y247" t="str">
        <f t="shared" si="21"/>
        <v/>
      </c>
      <c r="Z247" t="str">
        <f t="shared" si="21"/>
        <v/>
      </c>
      <c r="AA247" s="12"/>
      <c r="AB247" s="95" t="e">
        <f t="shared" si="22"/>
        <v>#VALUE!</v>
      </c>
      <c r="AC247" s="95" t="e">
        <f t="shared" si="23"/>
        <v>#VALUE!</v>
      </c>
      <c r="AD247" s="12"/>
    </row>
    <row r="248" spans="1:30" ht="15.75" thickBot="1" x14ac:dyDescent="0.3">
      <c r="A248" s="12"/>
      <c r="B248" s="22"/>
      <c r="C248" t="str">
        <f>IF(AND('ENTRY DATA'!D248=""),"",('ENTRY DATA'!D248))</f>
        <v/>
      </c>
      <c r="D248" t="str">
        <f>IF(AND('ENTRY DATA'!F248=""),"",('ENTRY DATA'!F248))</f>
        <v/>
      </c>
      <c r="E248" s="34" t="str">
        <f>IF(AND('ENTRY DATA'!B248=""),"",('ENTRY DATA'!B248))</f>
        <v/>
      </c>
      <c r="F248" s="12"/>
      <c r="G248" s="12"/>
      <c r="H248" s="73"/>
      <c r="I248" s="71"/>
      <c r="J248" s="73"/>
      <c r="K248" s="12"/>
      <c r="L248" s="20">
        <f t="shared" si="18"/>
        <v>0</v>
      </c>
      <c r="M248" s="19" t="str">
        <f t="shared" si="19"/>
        <v/>
      </c>
      <c r="N248" s="12"/>
      <c r="O248" s="119"/>
      <c r="P248" s="95" t="str">
        <f t="shared" si="20"/>
        <v/>
      </c>
      <c r="Q248" s="12"/>
      <c r="S248" s="128"/>
      <c r="T248" s="66"/>
      <c r="U248" s="128"/>
      <c r="W248" s="128"/>
      <c r="X248" s="12"/>
      <c r="Y248" t="str">
        <f t="shared" si="21"/>
        <v/>
      </c>
      <c r="Z248" t="str">
        <f t="shared" si="21"/>
        <v/>
      </c>
      <c r="AA248" s="12"/>
      <c r="AB248" s="95" t="e">
        <f t="shared" si="22"/>
        <v>#VALUE!</v>
      </c>
      <c r="AC248" s="95" t="e">
        <f t="shared" si="23"/>
        <v>#VALUE!</v>
      </c>
      <c r="AD248" s="12"/>
    </row>
    <row r="249" spans="1:30" ht="15.75" thickBot="1" x14ac:dyDescent="0.3">
      <c r="A249" s="12"/>
      <c r="B249" s="22"/>
      <c r="C249" t="str">
        <f>IF(AND('ENTRY DATA'!D249=""),"",('ENTRY DATA'!D249))</f>
        <v/>
      </c>
      <c r="D249" t="str">
        <f>IF(AND('ENTRY DATA'!F249=""),"",('ENTRY DATA'!F249))</f>
        <v/>
      </c>
      <c r="E249" s="34" t="str">
        <f>IF(AND('ENTRY DATA'!B249=""),"",('ENTRY DATA'!B249))</f>
        <v/>
      </c>
      <c r="F249" s="12"/>
      <c r="G249" s="12"/>
      <c r="H249" s="73"/>
      <c r="I249" s="71"/>
      <c r="J249" s="73"/>
      <c r="K249" s="12"/>
      <c r="L249" s="20">
        <f t="shared" si="18"/>
        <v>0</v>
      </c>
      <c r="M249" s="19" t="str">
        <f t="shared" si="19"/>
        <v/>
      </c>
      <c r="N249" s="12"/>
      <c r="O249" s="119"/>
      <c r="P249" s="95" t="str">
        <f t="shared" si="20"/>
        <v/>
      </c>
      <c r="Q249" s="12"/>
      <c r="S249" s="128"/>
      <c r="T249" s="66"/>
      <c r="U249" s="128"/>
      <c r="W249" s="128"/>
      <c r="X249" s="12"/>
      <c r="Y249" t="str">
        <f t="shared" si="21"/>
        <v/>
      </c>
      <c r="Z249" t="str">
        <f t="shared" si="21"/>
        <v/>
      </c>
      <c r="AA249" s="12"/>
      <c r="AB249" s="95" t="e">
        <f t="shared" si="22"/>
        <v>#VALUE!</v>
      </c>
      <c r="AC249" s="95" t="e">
        <f t="shared" si="23"/>
        <v>#VALUE!</v>
      </c>
      <c r="AD249" s="12"/>
    </row>
    <row r="250" spans="1:30" ht="15.75" thickBot="1" x14ac:dyDescent="0.3">
      <c r="A250" s="12"/>
      <c r="B250" s="22"/>
      <c r="C250" t="str">
        <f>IF(AND('ENTRY DATA'!D250=""),"",('ENTRY DATA'!D250))</f>
        <v/>
      </c>
      <c r="D250" t="str">
        <f>IF(AND('ENTRY DATA'!F250=""),"",('ENTRY DATA'!F250))</f>
        <v/>
      </c>
      <c r="E250" s="34" t="str">
        <f>IF(AND('ENTRY DATA'!B250=""),"",('ENTRY DATA'!B250))</f>
        <v/>
      </c>
      <c r="F250" s="12"/>
      <c r="G250" s="12"/>
      <c r="H250" s="73"/>
      <c r="I250" s="71"/>
      <c r="J250" s="73"/>
      <c r="K250" s="12"/>
      <c r="L250" s="20">
        <f t="shared" si="18"/>
        <v>0</v>
      </c>
      <c r="M250" s="19" t="str">
        <f t="shared" si="19"/>
        <v/>
      </c>
      <c r="N250" s="12"/>
      <c r="O250" s="119"/>
      <c r="P250" s="95" t="str">
        <f t="shared" si="20"/>
        <v/>
      </c>
      <c r="Q250" s="12"/>
      <c r="S250" s="128"/>
      <c r="T250" s="66"/>
      <c r="U250" s="128"/>
      <c r="W250" s="128"/>
      <c r="X250" s="12"/>
      <c r="Y250" t="str">
        <f t="shared" si="21"/>
        <v/>
      </c>
      <c r="Z250" t="str">
        <f t="shared" si="21"/>
        <v/>
      </c>
      <c r="AA250" s="12"/>
      <c r="AB250" s="95" t="e">
        <f t="shared" si="22"/>
        <v>#VALUE!</v>
      </c>
      <c r="AC250" s="95" t="e">
        <f t="shared" si="23"/>
        <v>#VALUE!</v>
      </c>
      <c r="AD250" s="12"/>
    </row>
    <row r="251" spans="1:30" ht="15.75" thickBot="1" x14ac:dyDescent="0.3">
      <c r="A251" s="12"/>
      <c r="B251" s="22"/>
      <c r="C251" t="str">
        <f>IF(AND('ENTRY DATA'!D251=""),"",('ENTRY DATA'!D251))</f>
        <v/>
      </c>
      <c r="D251" t="str">
        <f>IF(AND('ENTRY DATA'!F251=""),"",('ENTRY DATA'!F251))</f>
        <v/>
      </c>
      <c r="E251" s="34" t="str">
        <f>IF(AND('ENTRY DATA'!B251=""),"",('ENTRY DATA'!B251))</f>
        <v/>
      </c>
      <c r="F251" s="12"/>
      <c r="G251" s="12"/>
      <c r="H251" s="73"/>
      <c r="I251" s="71"/>
      <c r="J251" s="73"/>
      <c r="K251" s="12"/>
      <c r="L251" s="20">
        <f t="shared" si="18"/>
        <v>0</v>
      </c>
      <c r="M251" s="19" t="str">
        <f t="shared" si="19"/>
        <v/>
      </c>
      <c r="N251" s="12"/>
      <c r="O251" s="119"/>
      <c r="P251" s="95" t="str">
        <f t="shared" si="20"/>
        <v/>
      </c>
      <c r="Q251" s="12"/>
      <c r="S251" s="128"/>
      <c r="T251" s="66"/>
      <c r="U251" s="128"/>
      <c r="W251" s="128"/>
      <c r="X251" s="12"/>
      <c r="Y251" t="str">
        <f t="shared" si="21"/>
        <v/>
      </c>
      <c r="Z251" t="str">
        <f t="shared" si="21"/>
        <v/>
      </c>
      <c r="AA251" s="12"/>
      <c r="AB251" s="95" t="e">
        <f t="shared" si="22"/>
        <v>#VALUE!</v>
      </c>
      <c r="AC251" s="95" t="e">
        <f t="shared" si="23"/>
        <v>#VALUE!</v>
      </c>
      <c r="AD251" s="12"/>
    </row>
    <row r="252" spans="1:30" ht="15.75" thickBot="1" x14ac:dyDescent="0.3">
      <c r="A252" s="12"/>
      <c r="B252" s="22"/>
      <c r="C252" t="str">
        <f>IF(AND('ENTRY DATA'!D252=""),"",('ENTRY DATA'!D252))</f>
        <v/>
      </c>
      <c r="D252" t="str">
        <f>IF(AND('ENTRY DATA'!F252=""),"",('ENTRY DATA'!F252))</f>
        <v/>
      </c>
      <c r="E252" s="34" t="str">
        <f>IF(AND('ENTRY DATA'!B252=""),"",('ENTRY DATA'!B252))</f>
        <v/>
      </c>
      <c r="F252" s="12"/>
      <c r="G252" s="12"/>
      <c r="H252" s="73"/>
      <c r="I252" s="71"/>
      <c r="J252" s="73"/>
      <c r="K252" s="12"/>
      <c r="L252" s="20">
        <f t="shared" si="18"/>
        <v>0</v>
      </c>
      <c r="M252" s="19" t="str">
        <f t="shared" si="19"/>
        <v/>
      </c>
      <c r="N252" s="12"/>
      <c r="O252" s="119"/>
      <c r="P252" s="95" t="str">
        <f t="shared" si="20"/>
        <v/>
      </c>
      <c r="Q252" s="12"/>
      <c r="S252" s="128"/>
      <c r="T252" s="66"/>
      <c r="U252" s="128"/>
      <c r="W252" s="128"/>
      <c r="X252" s="12"/>
      <c r="Y252" t="str">
        <f t="shared" si="21"/>
        <v/>
      </c>
      <c r="Z252" t="str">
        <f t="shared" si="21"/>
        <v/>
      </c>
      <c r="AA252" s="12"/>
      <c r="AB252" s="95" t="e">
        <f t="shared" si="22"/>
        <v>#VALUE!</v>
      </c>
      <c r="AC252" s="95" t="e">
        <f t="shared" si="23"/>
        <v>#VALUE!</v>
      </c>
      <c r="AD252" s="12"/>
    </row>
    <row r="253" spans="1:30" ht="15.75" thickBot="1" x14ac:dyDescent="0.3">
      <c r="A253" s="12"/>
      <c r="B253" s="22"/>
      <c r="C253" t="str">
        <f>IF(AND('ENTRY DATA'!D253=""),"",('ENTRY DATA'!D253))</f>
        <v/>
      </c>
      <c r="D253" t="str">
        <f>IF(AND('ENTRY DATA'!F253=""),"",('ENTRY DATA'!F253))</f>
        <v/>
      </c>
      <c r="E253" s="34" t="str">
        <f>IF(AND('ENTRY DATA'!B253=""),"",('ENTRY DATA'!B253))</f>
        <v/>
      </c>
      <c r="F253" s="12"/>
      <c r="G253" s="12"/>
      <c r="H253" s="73"/>
      <c r="I253" s="71"/>
      <c r="J253" s="73"/>
      <c r="K253" s="12"/>
      <c r="L253" s="20">
        <f t="shared" si="18"/>
        <v>0</v>
      </c>
      <c r="M253" s="19" t="str">
        <f t="shared" si="19"/>
        <v/>
      </c>
      <c r="N253" s="12"/>
      <c r="O253" s="119"/>
      <c r="P253" s="95" t="str">
        <f t="shared" si="20"/>
        <v/>
      </c>
      <c r="Q253" s="12"/>
      <c r="S253" s="128"/>
      <c r="T253" s="66"/>
      <c r="U253" s="128"/>
      <c r="W253" s="128"/>
      <c r="X253" s="12"/>
      <c r="Y253" t="str">
        <f t="shared" si="21"/>
        <v/>
      </c>
      <c r="Z253" t="str">
        <f t="shared" si="21"/>
        <v/>
      </c>
      <c r="AA253" s="12"/>
      <c r="AB253" s="95" t="e">
        <f t="shared" si="22"/>
        <v>#VALUE!</v>
      </c>
      <c r="AC253" s="95" t="e">
        <f t="shared" si="23"/>
        <v>#VALUE!</v>
      </c>
      <c r="AD253" s="12"/>
    </row>
    <row r="254" spans="1:30" ht="15.75" thickBot="1" x14ac:dyDescent="0.3">
      <c r="A254" s="12"/>
      <c r="B254" s="22"/>
      <c r="C254" t="str">
        <f>IF(AND('ENTRY DATA'!D254=""),"",('ENTRY DATA'!D254))</f>
        <v/>
      </c>
      <c r="D254" t="str">
        <f>IF(AND('ENTRY DATA'!F254=""),"",('ENTRY DATA'!F254))</f>
        <v/>
      </c>
      <c r="E254" s="34" t="str">
        <f>IF(AND('ENTRY DATA'!B254=""),"",('ENTRY DATA'!B254))</f>
        <v/>
      </c>
      <c r="F254" s="12"/>
      <c r="G254" s="12"/>
      <c r="H254" s="73"/>
      <c r="I254" s="71"/>
      <c r="J254" s="73"/>
      <c r="K254" s="12"/>
      <c r="L254" s="20">
        <f t="shared" si="18"/>
        <v>0</v>
      </c>
      <c r="M254" s="19" t="str">
        <f t="shared" si="19"/>
        <v/>
      </c>
      <c r="N254" s="12"/>
      <c r="O254" s="119"/>
      <c r="P254" s="95" t="str">
        <f t="shared" si="20"/>
        <v/>
      </c>
      <c r="Q254" s="12"/>
      <c r="S254" s="128"/>
      <c r="T254" s="66"/>
      <c r="U254" s="128"/>
      <c r="W254" s="128"/>
      <c r="X254" s="12"/>
      <c r="Y254" t="str">
        <f t="shared" si="21"/>
        <v/>
      </c>
      <c r="Z254" t="str">
        <f t="shared" si="21"/>
        <v/>
      </c>
      <c r="AA254" s="12"/>
      <c r="AB254" s="95" t="e">
        <f t="shared" si="22"/>
        <v>#VALUE!</v>
      </c>
      <c r="AC254" s="95" t="e">
        <f t="shared" si="23"/>
        <v>#VALUE!</v>
      </c>
      <c r="AD254" s="12"/>
    </row>
    <row r="255" spans="1:30" ht="15.75" thickBot="1" x14ac:dyDescent="0.3">
      <c r="A255" s="12"/>
      <c r="B255" s="22"/>
      <c r="C255" t="str">
        <f>IF(AND('ENTRY DATA'!D255=""),"",('ENTRY DATA'!D255))</f>
        <v/>
      </c>
      <c r="D255" t="str">
        <f>IF(AND('ENTRY DATA'!F255=""),"",('ENTRY DATA'!F255))</f>
        <v/>
      </c>
      <c r="E255" s="34" t="str">
        <f>IF(AND('ENTRY DATA'!B255=""),"",('ENTRY DATA'!B255))</f>
        <v/>
      </c>
      <c r="F255" s="12"/>
      <c r="G255" s="12"/>
      <c r="H255" s="73"/>
      <c r="I255" s="71"/>
      <c r="J255" s="73"/>
      <c r="K255" s="12"/>
      <c r="L255" s="20">
        <f t="shared" si="18"/>
        <v>0</v>
      </c>
      <c r="M255" s="19" t="str">
        <f t="shared" si="19"/>
        <v/>
      </c>
      <c r="N255" s="12"/>
      <c r="O255" s="119"/>
      <c r="P255" s="95" t="str">
        <f t="shared" si="20"/>
        <v/>
      </c>
      <c r="Q255" s="12"/>
      <c r="S255" s="128"/>
      <c r="T255" s="66"/>
      <c r="U255" s="128"/>
      <c r="W255" s="128"/>
      <c r="X255" s="12"/>
      <c r="Y255" t="str">
        <f t="shared" si="21"/>
        <v/>
      </c>
      <c r="Z255" t="str">
        <f t="shared" si="21"/>
        <v/>
      </c>
      <c r="AA255" s="12"/>
      <c r="AB255" s="95" t="e">
        <f t="shared" si="22"/>
        <v>#VALUE!</v>
      </c>
      <c r="AC255" s="95" t="e">
        <f t="shared" si="23"/>
        <v>#VALUE!</v>
      </c>
      <c r="AD255" s="12"/>
    </row>
    <row r="256" spans="1:30" ht="15.75" thickBot="1" x14ac:dyDescent="0.3">
      <c r="A256" s="12"/>
      <c r="B256" s="22"/>
      <c r="C256" t="str">
        <f>IF(AND('ENTRY DATA'!D256=""),"",('ENTRY DATA'!D256))</f>
        <v/>
      </c>
      <c r="D256" t="str">
        <f>IF(AND('ENTRY DATA'!F256=""),"",('ENTRY DATA'!F256))</f>
        <v/>
      </c>
      <c r="E256" s="34" t="str">
        <f>IF(AND('ENTRY DATA'!B256=""),"",('ENTRY DATA'!B256))</f>
        <v/>
      </c>
      <c r="F256" s="12"/>
      <c r="G256" s="12"/>
      <c r="H256" s="73"/>
      <c r="I256" s="71"/>
      <c r="J256" s="73"/>
      <c r="K256" s="12"/>
      <c r="L256" s="20">
        <f t="shared" si="18"/>
        <v>0</v>
      </c>
      <c r="M256" s="19" t="str">
        <f t="shared" si="19"/>
        <v/>
      </c>
      <c r="N256" s="12"/>
      <c r="O256" s="119"/>
      <c r="P256" s="95" t="str">
        <f t="shared" si="20"/>
        <v/>
      </c>
      <c r="Q256" s="12"/>
      <c r="S256" s="128"/>
      <c r="T256" s="66"/>
      <c r="U256" s="128"/>
      <c r="W256" s="128"/>
      <c r="X256" s="12"/>
      <c r="Y256" t="str">
        <f t="shared" si="21"/>
        <v/>
      </c>
      <c r="Z256" t="str">
        <f t="shared" si="21"/>
        <v/>
      </c>
      <c r="AA256" s="12"/>
      <c r="AB256" s="95" t="e">
        <f t="shared" si="22"/>
        <v>#VALUE!</v>
      </c>
      <c r="AC256" s="95" t="e">
        <f t="shared" si="23"/>
        <v>#VALUE!</v>
      </c>
      <c r="AD256" s="12"/>
    </row>
    <row r="257" spans="1:30" ht="15.75" thickBot="1" x14ac:dyDescent="0.3">
      <c r="A257" s="12"/>
      <c r="B257" s="22"/>
      <c r="C257" t="str">
        <f>IF(AND('ENTRY DATA'!D257=""),"",('ENTRY DATA'!D257))</f>
        <v/>
      </c>
      <c r="D257" t="str">
        <f>IF(AND('ENTRY DATA'!F257=""),"",('ENTRY DATA'!F257))</f>
        <v/>
      </c>
      <c r="E257" s="34" t="str">
        <f>IF(AND('ENTRY DATA'!B257=""),"",('ENTRY DATA'!B257))</f>
        <v/>
      </c>
      <c r="F257" s="12"/>
      <c r="G257" s="12"/>
      <c r="H257" s="73"/>
      <c r="I257" s="71"/>
      <c r="J257" s="73"/>
      <c r="K257" s="12"/>
      <c r="L257" s="20">
        <f t="shared" si="18"/>
        <v>0</v>
      </c>
      <c r="M257" s="19" t="str">
        <f t="shared" si="19"/>
        <v/>
      </c>
      <c r="N257" s="12"/>
      <c r="O257" s="119"/>
      <c r="P257" s="95" t="str">
        <f t="shared" si="20"/>
        <v/>
      </c>
      <c r="Q257" s="12"/>
      <c r="S257" s="128"/>
      <c r="T257" s="66"/>
      <c r="U257" s="128"/>
      <c r="W257" s="128"/>
      <c r="X257" s="12"/>
      <c r="Y257" t="str">
        <f t="shared" si="21"/>
        <v/>
      </c>
      <c r="Z257" t="str">
        <f t="shared" si="21"/>
        <v/>
      </c>
      <c r="AA257" s="12"/>
      <c r="AB257" s="95" t="e">
        <f t="shared" si="22"/>
        <v>#VALUE!</v>
      </c>
      <c r="AC257" s="95" t="e">
        <f t="shared" si="23"/>
        <v>#VALUE!</v>
      </c>
      <c r="AD257" s="12"/>
    </row>
    <row r="258" spans="1:30" ht="15.75" thickBot="1" x14ac:dyDescent="0.3">
      <c r="A258" s="12"/>
      <c r="B258" s="22"/>
      <c r="C258" t="str">
        <f>IF(AND('ENTRY DATA'!D258=""),"",('ENTRY DATA'!D258))</f>
        <v/>
      </c>
      <c r="D258" t="str">
        <f>IF(AND('ENTRY DATA'!F258=""),"",('ENTRY DATA'!F258))</f>
        <v/>
      </c>
      <c r="E258" s="34" t="str">
        <f>IF(AND('ENTRY DATA'!B258=""),"",('ENTRY DATA'!B258))</f>
        <v/>
      </c>
      <c r="F258" s="12"/>
      <c r="G258" s="12"/>
      <c r="H258" s="73"/>
      <c r="I258" s="71"/>
      <c r="J258" s="73"/>
      <c r="K258" s="12"/>
      <c r="L258" s="20">
        <f t="shared" si="18"/>
        <v>0</v>
      </c>
      <c r="M258" s="19" t="str">
        <f t="shared" si="19"/>
        <v/>
      </c>
      <c r="N258" s="12"/>
      <c r="O258" s="119"/>
      <c r="P258" s="95" t="str">
        <f t="shared" si="20"/>
        <v/>
      </c>
      <c r="Q258" s="12"/>
      <c r="S258" s="128"/>
      <c r="T258" s="66"/>
      <c r="U258" s="128"/>
      <c r="W258" s="128"/>
      <c r="X258" s="12"/>
      <c r="Y258" t="str">
        <f t="shared" si="21"/>
        <v/>
      </c>
      <c r="Z258" t="str">
        <f t="shared" si="21"/>
        <v/>
      </c>
      <c r="AA258" s="12"/>
      <c r="AB258" s="95" t="e">
        <f t="shared" si="22"/>
        <v>#VALUE!</v>
      </c>
      <c r="AC258" s="95" t="e">
        <f t="shared" si="23"/>
        <v>#VALUE!</v>
      </c>
      <c r="AD258" s="12"/>
    </row>
    <row r="259" spans="1:30" ht="15.75" thickBot="1" x14ac:dyDescent="0.3">
      <c r="A259" s="12"/>
      <c r="B259" s="22"/>
      <c r="C259" t="str">
        <f>IF(AND('ENTRY DATA'!D259=""),"",('ENTRY DATA'!D259))</f>
        <v/>
      </c>
      <c r="D259" t="str">
        <f>IF(AND('ENTRY DATA'!F259=""),"",('ENTRY DATA'!F259))</f>
        <v/>
      </c>
      <c r="E259" s="34" t="str">
        <f>IF(AND('ENTRY DATA'!B259=""),"",('ENTRY DATA'!B259))</f>
        <v/>
      </c>
      <c r="F259" s="12"/>
      <c r="G259" s="12"/>
      <c r="H259" s="73"/>
      <c r="I259" s="71"/>
      <c r="J259" s="73"/>
      <c r="K259" s="12"/>
      <c r="L259" s="20">
        <f t="shared" si="18"/>
        <v>0</v>
      </c>
      <c r="M259" s="19" t="str">
        <f t="shared" si="19"/>
        <v/>
      </c>
      <c r="N259" s="12"/>
      <c r="O259" s="119"/>
      <c r="P259" s="95" t="str">
        <f t="shared" si="20"/>
        <v/>
      </c>
      <c r="Q259" s="12"/>
      <c r="S259" s="128"/>
      <c r="T259" s="66"/>
      <c r="U259" s="128"/>
      <c r="W259" s="128"/>
      <c r="X259" s="12"/>
      <c r="Y259" t="str">
        <f t="shared" si="21"/>
        <v/>
      </c>
      <c r="Z259" t="str">
        <f t="shared" si="21"/>
        <v/>
      </c>
      <c r="AA259" s="12"/>
      <c r="AB259" s="95" t="e">
        <f t="shared" si="22"/>
        <v>#VALUE!</v>
      </c>
      <c r="AC259" s="95" t="e">
        <f t="shared" si="23"/>
        <v>#VALUE!</v>
      </c>
      <c r="AD259" s="12"/>
    </row>
    <row r="260" spans="1:30" ht="15.75" thickBot="1" x14ac:dyDescent="0.3">
      <c r="A260" s="12"/>
      <c r="B260" s="22"/>
      <c r="C260" t="str">
        <f>IF(AND('ENTRY DATA'!D260=""),"",('ENTRY DATA'!D260))</f>
        <v/>
      </c>
      <c r="D260" t="str">
        <f>IF(AND('ENTRY DATA'!F260=""),"",('ENTRY DATA'!F260))</f>
        <v/>
      </c>
      <c r="E260" s="34" t="str">
        <f>IF(AND('ENTRY DATA'!B260=""),"",('ENTRY DATA'!B260))</f>
        <v/>
      </c>
      <c r="F260" s="12"/>
      <c r="G260" s="12"/>
      <c r="H260" s="73"/>
      <c r="I260" s="71"/>
      <c r="J260" s="73"/>
      <c r="K260" s="12"/>
      <c r="L260" s="20">
        <f t="shared" si="18"/>
        <v>0</v>
      </c>
      <c r="M260" s="19" t="str">
        <f t="shared" si="19"/>
        <v/>
      </c>
      <c r="N260" s="12"/>
      <c r="O260" s="119"/>
      <c r="P260" s="95" t="str">
        <f t="shared" si="20"/>
        <v/>
      </c>
      <c r="Q260" s="12"/>
      <c r="S260" s="128"/>
      <c r="T260" s="66"/>
      <c r="U260" s="128"/>
      <c r="W260" s="128"/>
      <c r="X260" s="12"/>
      <c r="Y260" t="str">
        <f t="shared" si="21"/>
        <v/>
      </c>
      <c r="Z260" t="str">
        <f t="shared" si="21"/>
        <v/>
      </c>
      <c r="AA260" s="12"/>
      <c r="AB260" s="95" t="e">
        <f t="shared" si="22"/>
        <v>#VALUE!</v>
      </c>
      <c r="AC260" s="95" t="e">
        <f t="shared" si="23"/>
        <v>#VALUE!</v>
      </c>
      <c r="AD260" s="12"/>
    </row>
    <row r="261" spans="1:30" ht="15.75" thickBot="1" x14ac:dyDescent="0.3">
      <c r="A261" s="12"/>
      <c r="B261" s="22"/>
      <c r="C261" t="str">
        <f>IF(AND('ENTRY DATA'!D261=""),"",('ENTRY DATA'!D261))</f>
        <v/>
      </c>
      <c r="D261" t="str">
        <f>IF(AND('ENTRY DATA'!F261=""),"",('ENTRY DATA'!F261))</f>
        <v/>
      </c>
      <c r="E261" s="34" t="str">
        <f>IF(AND('ENTRY DATA'!B261=""),"",('ENTRY DATA'!B261))</f>
        <v/>
      </c>
      <c r="F261" s="12"/>
      <c r="G261" s="12"/>
      <c r="H261" s="73"/>
      <c r="I261" s="71"/>
      <c r="J261" s="73"/>
      <c r="K261" s="12"/>
      <c r="L261" s="20">
        <f t="shared" si="18"/>
        <v>0</v>
      </c>
      <c r="M261" s="19" t="str">
        <f t="shared" si="19"/>
        <v/>
      </c>
      <c r="N261" s="12"/>
      <c r="O261" s="119"/>
      <c r="P261" s="95" t="str">
        <f t="shared" si="20"/>
        <v/>
      </c>
      <c r="Q261" s="12"/>
      <c r="S261" s="128"/>
      <c r="T261" s="66"/>
      <c r="U261" s="128"/>
      <c r="W261" s="128"/>
      <c r="X261" s="12"/>
      <c r="Y261" t="str">
        <f t="shared" si="21"/>
        <v/>
      </c>
      <c r="Z261" t="str">
        <f t="shared" si="21"/>
        <v/>
      </c>
      <c r="AA261" s="12"/>
      <c r="AB261" s="95" t="e">
        <f t="shared" si="22"/>
        <v>#VALUE!</v>
      </c>
      <c r="AC261" s="95" t="e">
        <f t="shared" si="23"/>
        <v>#VALUE!</v>
      </c>
      <c r="AD261" s="12"/>
    </row>
    <row r="262" spans="1:30" ht="15.75" thickBot="1" x14ac:dyDescent="0.3">
      <c r="A262" s="12"/>
      <c r="B262" s="22"/>
      <c r="C262" t="str">
        <f>IF(AND('ENTRY DATA'!D262=""),"",('ENTRY DATA'!D262))</f>
        <v/>
      </c>
      <c r="D262" t="str">
        <f>IF(AND('ENTRY DATA'!F262=""),"",('ENTRY DATA'!F262))</f>
        <v/>
      </c>
      <c r="E262" s="34" t="str">
        <f>IF(AND('ENTRY DATA'!B262=""),"",('ENTRY DATA'!B262))</f>
        <v/>
      </c>
      <c r="F262" s="12"/>
      <c r="G262" s="12"/>
      <c r="H262" s="73"/>
      <c r="I262" s="71"/>
      <c r="J262" s="73"/>
      <c r="K262" s="12"/>
      <c r="L262" s="20">
        <f t="shared" ref="L262:L300" si="24">COUNT(H262:J262)</f>
        <v>0</v>
      </c>
      <c r="M262" s="19" t="str">
        <f t="shared" ref="M262:M300" si="25">IF(AND(H262="",I262="",J262=""),"",(H262+I262+J262))</f>
        <v/>
      </c>
      <c r="N262" s="12"/>
      <c r="O262" s="119"/>
      <c r="P262" s="95" t="str">
        <f t="shared" ref="P262:P301" si="26">C262</f>
        <v/>
      </c>
      <c r="Q262" s="12"/>
      <c r="S262" s="128"/>
      <c r="T262" s="66"/>
      <c r="U262" s="128"/>
      <c r="W262" s="128"/>
      <c r="X262" s="12"/>
      <c r="Y262" t="str">
        <f t="shared" ref="Y262:Z302" si="27">IF(AND(R262="",T262="",V262=""),"",SUM(R262,T262,V262))</f>
        <v/>
      </c>
      <c r="Z262" t="str">
        <f t="shared" si="27"/>
        <v/>
      </c>
      <c r="AA262" s="12"/>
      <c r="AB262" s="95" t="e">
        <f t="shared" ref="AB262:AB301" si="28">Y262/L262</f>
        <v>#VALUE!</v>
      </c>
      <c r="AC262" s="95" t="e">
        <f t="shared" ref="AC262:AC301" si="29">Z262/L262</f>
        <v>#VALUE!</v>
      </c>
      <c r="AD262" s="12"/>
    </row>
    <row r="263" spans="1:30" ht="15.75" thickBot="1" x14ac:dyDescent="0.3">
      <c r="A263" s="12"/>
      <c r="B263" s="22"/>
      <c r="C263" t="str">
        <f>IF(AND('ENTRY DATA'!D263=""),"",('ENTRY DATA'!D263))</f>
        <v/>
      </c>
      <c r="D263" t="str">
        <f>IF(AND('ENTRY DATA'!F263=""),"",('ENTRY DATA'!F263))</f>
        <v/>
      </c>
      <c r="E263" s="34" t="str">
        <f>IF(AND('ENTRY DATA'!B263=""),"",('ENTRY DATA'!B263))</f>
        <v/>
      </c>
      <c r="F263" s="12"/>
      <c r="G263" s="12"/>
      <c r="H263" s="73"/>
      <c r="I263" s="71"/>
      <c r="J263" s="73"/>
      <c r="K263" s="12"/>
      <c r="L263" s="20">
        <f t="shared" si="24"/>
        <v>0</v>
      </c>
      <c r="M263" s="19" t="str">
        <f t="shared" si="25"/>
        <v/>
      </c>
      <c r="N263" s="12"/>
      <c r="O263" s="119"/>
      <c r="P263" s="95" t="str">
        <f t="shared" si="26"/>
        <v/>
      </c>
      <c r="Q263" s="12"/>
      <c r="S263" s="128"/>
      <c r="T263" s="66"/>
      <c r="U263" s="128"/>
      <c r="W263" s="128"/>
      <c r="X263" s="12"/>
      <c r="Y263" t="str">
        <f t="shared" si="27"/>
        <v/>
      </c>
      <c r="Z263" t="str">
        <f t="shared" si="27"/>
        <v/>
      </c>
      <c r="AA263" s="12"/>
      <c r="AB263" s="95" t="e">
        <f t="shared" si="28"/>
        <v>#VALUE!</v>
      </c>
      <c r="AC263" s="95" t="e">
        <f t="shared" si="29"/>
        <v>#VALUE!</v>
      </c>
      <c r="AD263" s="12"/>
    </row>
    <row r="264" spans="1:30" ht="15.75" thickBot="1" x14ac:dyDescent="0.3">
      <c r="A264" s="12"/>
      <c r="B264" s="22"/>
      <c r="C264" t="str">
        <f>IF(AND('ENTRY DATA'!D264=""),"",('ENTRY DATA'!D264))</f>
        <v/>
      </c>
      <c r="D264" t="str">
        <f>IF(AND('ENTRY DATA'!F264=""),"",('ENTRY DATA'!F264))</f>
        <v/>
      </c>
      <c r="E264" s="34" t="str">
        <f>IF(AND('ENTRY DATA'!B264=""),"",('ENTRY DATA'!B264))</f>
        <v/>
      </c>
      <c r="F264" s="12"/>
      <c r="G264" s="12"/>
      <c r="H264" s="73"/>
      <c r="I264" s="71"/>
      <c r="J264" s="73"/>
      <c r="K264" s="12"/>
      <c r="L264" s="20">
        <f t="shared" si="24"/>
        <v>0</v>
      </c>
      <c r="M264" s="19" t="str">
        <f t="shared" si="25"/>
        <v/>
      </c>
      <c r="N264" s="12"/>
      <c r="O264" s="119"/>
      <c r="P264" s="95" t="str">
        <f t="shared" si="26"/>
        <v/>
      </c>
      <c r="Q264" s="12"/>
      <c r="S264" s="128"/>
      <c r="T264" s="66"/>
      <c r="U264" s="128"/>
      <c r="W264" s="128"/>
      <c r="X264" s="12"/>
      <c r="Y264" t="str">
        <f t="shared" si="27"/>
        <v/>
      </c>
      <c r="Z264" t="str">
        <f t="shared" si="27"/>
        <v/>
      </c>
      <c r="AA264" s="12"/>
      <c r="AB264" s="95" t="e">
        <f t="shared" si="28"/>
        <v>#VALUE!</v>
      </c>
      <c r="AC264" s="95" t="e">
        <f t="shared" si="29"/>
        <v>#VALUE!</v>
      </c>
      <c r="AD264" s="12"/>
    </row>
    <row r="265" spans="1:30" ht="15.75" thickBot="1" x14ac:dyDescent="0.3">
      <c r="A265" s="12"/>
      <c r="B265" s="22"/>
      <c r="C265" t="str">
        <f>IF(AND('ENTRY DATA'!D265=""),"",('ENTRY DATA'!D265))</f>
        <v/>
      </c>
      <c r="D265" t="str">
        <f>IF(AND('ENTRY DATA'!F265=""),"",('ENTRY DATA'!F265))</f>
        <v/>
      </c>
      <c r="E265" s="34" t="str">
        <f>IF(AND('ENTRY DATA'!B265=""),"",('ENTRY DATA'!B265))</f>
        <v/>
      </c>
      <c r="F265" s="12"/>
      <c r="G265" s="12"/>
      <c r="H265" s="73"/>
      <c r="I265" s="71"/>
      <c r="J265" s="73"/>
      <c r="K265" s="12"/>
      <c r="L265" s="20">
        <f t="shared" si="24"/>
        <v>0</v>
      </c>
      <c r="M265" s="19" t="str">
        <f t="shared" si="25"/>
        <v/>
      </c>
      <c r="N265" s="12"/>
      <c r="O265" s="119"/>
      <c r="P265" s="95" t="str">
        <f t="shared" si="26"/>
        <v/>
      </c>
      <c r="Q265" s="12"/>
      <c r="S265" s="128"/>
      <c r="T265" s="66"/>
      <c r="U265" s="128"/>
      <c r="W265" s="128"/>
      <c r="X265" s="12"/>
      <c r="Y265" t="str">
        <f t="shared" si="27"/>
        <v/>
      </c>
      <c r="Z265" t="str">
        <f t="shared" si="27"/>
        <v/>
      </c>
      <c r="AA265" s="12"/>
      <c r="AB265" s="95" t="e">
        <f t="shared" si="28"/>
        <v>#VALUE!</v>
      </c>
      <c r="AC265" s="95" t="e">
        <f t="shared" si="29"/>
        <v>#VALUE!</v>
      </c>
      <c r="AD265" s="12"/>
    </row>
    <row r="266" spans="1:30" ht="15.75" thickBot="1" x14ac:dyDescent="0.3">
      <c r="A266" s="12"/>
      <c r="B266" s="22"/>
      <c r="C266" t="str">
        <f>IF(AND('ENTRY DATA'!D266=""),"",('ENTRY DATA'!D266))</f>
        <v/>
      </c>
      <c r="D266" t="str">
        <f>IF(AND('ENTRY DATA'!F266=""),"",('ENTRY DATA'!F266))</f>
        <v/>
      </c>
      <c r="E266" s="34" t="str">
        <f>IF(AND('ENTRY DATA'!B266=""),"",('ENTRY DATA'!B266))</f>
        <v/>
      </c>
      <c r="F266" s="12"/>
      <c r="G266" s="12"/>
      <c r="H266" s="73"/>
      <c r="I266" s="71"/>
      <c r="J266" s="73"/>
      <c r="K266" s="12"/>
      <c r="L266" s="20">
        <f t="shared" si="24"/>
        <v>0</v>
      </c>
      <c r="M266" s="19" t="str">
        <f t="shared" si="25"/>
        <v/>
      </c>
      <c r="N266" s="12"/>
      <c r="O266" s="119"/>
      <c r="P266" s="95" t="str">
        <f t="shared" si="26"/>
        <v/>
      </c>
      <c r="Q266" s="12"/>
      <c r="S266" s="128"/>
      <c r="T266" s="66"/>
      <c r="U266" s="128"/>
      <c r="W266" s="128"/>
      <c r="X266" s="12"/>
      <c r="Y266" t="str">
        <f t="shared" si="27"/>
        <v/>
      </c>
      <c r="Z266" t="str">
        <f t="shared" si="27"/>
        <v/>
      </c>
      <c r="AA266" s="12"/>
      <c r="AB266" s="95" t="e">
        <f t="shared" si="28"/>
        <v>#VALUE!</v>
      </c>
      <c r="AC266" s="95" t="e">
        <f t="shared" si="29"/>
        <v>#VALUE!</v>
      </c>
      <c r="AD266" s="12"/>
    </row>
    <row r="267" spans="1:30" ht="15.75" thickBot="1" x14ac:dyDescent="0.3">
      <c r="A267" s="12"/>
      <c r="B267" s="22"/>
      <c r="C267" t="str">
        <f>IF(AND('ENTRY DATA'!D267=""),"",('ENTRY DATA'!D267))</f>
        <v/>
      </c>
      <c r="D267" t="str">
        <f>IF(AND('ENTRY DATA'!F267=""),"",('ENTRY DATA'!F267))</f>
        <v/>
      </c>
      <c r="E267" s="34" t="str">
        <f>IF(AND('ENTRY DATA'!B267=""),"",('ENTRY DATA'!B267))</f>
        <v/>
      </c>
      <c r="F267" s="12"/>
      <c r="G267" s="12"/>
      <c r="H267" s="73"/>
      <c r="I267" s="71"/>
      <c r="J267" s="73"/>
      <c r="K267" s="12"/>
      <c r="L267" s="20">
        <f t="shared" si="24"/>
        <v>0</v>
      </c>
      <c r="M267" s="19" t="str">
        <f t="shared" si="25"/>
        <v/>
      </c>
      <c r="N267" s="12"/>
      <c r="O267" s="119"/>
      <c r="P267" s="95" t="str">
        <f t="shared" si="26"/>
        <v/>
      </c>
      <c r="Q267" s="12"/>
      <c r="S267" s="128"/>
      <c r="T267" s="66"/>
      <c r="U267" s="128"/>
      <c r="W267" s="128"/>
      <c r="X267" s="12"/>
      <c r="Y267" t="str">
        <f t="shared" si="27"/>
        <v/>
      </c>
      <c r="Z267" t="str">
        <f t="shared" si="27"/>
        <v/>
      </c>
      <c r="AA267" s="12"/>
      <c r="AB267" s="95" t="e">
        <f t="shared" si="28"/>
        <v>#VALUE!</v>
      </c>
      <c r="AC267" s="95" t="e">
        <f t="shared" si="29"/>
        <v>#VALUE!</v>
      </c>
      <c r="AD267" s="12"/>
    </row>
    <row r="268" spans="1:30" ht="15.75" thickBot="1" x14ac:dyDescent="0.3">
      <c r="A268" s="12"/>
      <c r="B268" s="22"/>
      <c r="C268" t="str">
        <f>IF(AND('ENTRY DATA'!D268=""),"",('ENTRY DATA'!D268))</f>
        <v/>
      </c>
      <c r="D268" t="str">
        <f>IF(AND('ENTRY DATA'!F268=""),"",('ENTRY DATA'!F268))</f>
        <v/>
      </c>
      <c r="E268" s="34" t="str">
        <f>IF(AND('ENTRY DATA'!B268=""),"",('ENTRY DATA'!B268))</f>
        <v/>
      </c>
      <c r="F268" s="12"/>
      <c r="G268" s="12"/>
      <c r="H268" s="73"/>
      <c r="I268" s="71"/>
      <c r="J268" s="73"/>
      <c r="K268" s="12"/>
      <c r="L268" s="20">
        <f t="shared" si="24"/>
        <v>0</v>
      </c>
      <c r="M268" s="19" t="str">
        <f t="shared" si="25"/>
        <v/>
      </c>
      <c r="N268" s="12"/>
      <c r="O268" s="119"/>
      <c r="P268" s="95" t="str">
        <f t="shared" si="26"/>
        <v/>
      </c>
      <c r="Q268" s="12"/>
      <c r="S268" s="128"/>
      <c r="T268" s="66"/>
      <c r="U268" s="128"/>
      <c r="W268" s="128"/>
      <c r="X268" s="12"/>
      <c r="Y268" t="str">
        <f t="shared" si="27"/>
        <v/>
      </c>
      <c r="Z268" t="str">
        <f t="shared" si="27"/>
        <v/>
      </c>
      <c r="AA268" s="12"/>
      <c r="AB268" s="95" t="e">
        <f t="shared" si="28"/>
        <v>#VALUE!</v>
      </c>
      <c r="AC268" s="95" t="e">
        <f t="shared" si="29"/>
        <v>#VALUE!</v>
      </c>
      <c r="AD268" s="12"/>
    </row>
    <row r="269" spans="1:30" ht="15.75" thickBot="1" x14ac:dyDescent="0.3">
      <c r="A269" s="12"/>
      <c r="B269" s="22"/>
      <c r="C269" t="str">
        <f>IF(AND('ENTRY DATA'!D269=""),"",('ENTRY DATA'!D269))</f>
        <v/>
      </c>
      <c r="D269" t="str">
        <f>IF(AND('ENTRY DATA'!F269=""),"",('ENTRY DATA'!F269))</f>
        <v/>
      </c>
      <c r="E269" s="34" t="str">
        <f>IF(AND('ENTRY DATA'!B269=""),"",('ENTRY DATA'!B269))</f>
        <v/>
      </c>
      <c r="F269" s="12"/>
      <c r="G269" s="12"/>
      <c r="H269" s="73"/>
      <c r="I269" s="71"/>
      <c r="J269" s="73"/>
      <c r="K269" s="12"/>
      <c r="L269" s="20">
        <f t="shared" si="24"/>
        <v>0</v>
      </c>
      <c r="M269" s="19" t="str">
        <f t="shared" si="25"/>
        <v/>
      </c>
      <c r="N269" s="12"/>
      <c r="O269" s="119"/>
      <c r="P269" s="95" t="str">
        <f t="shared" si="26"/>
        <v/>
      </c>
      <c r="Q269" s="12"/>
      <c r="S269" s="128"/>
      <c r="T269" s="66"/>
      <c r="U269" s="128"/>
      <c r="W269" s="128"/>
      <c r="X269" s="12"/>
      <c r="Y269" t="str">
        <f t="shared" si="27"/>
        <v/>
      </c>
      <c r="Z269" t="str">
        <f t="shared" si="27"/>
        <v/>
      </c>
      <c r="AA269" s="12"/>
      <c r="AB269" s="95" t="e">
        <f t="shared" si="28"/>
        <v>#VALUE!</v>
      </c>
      <c r="AC269" s="95" t="e">
        <f t="shared" si="29"/>
        <v>#VALUE!</v>
      </c>
      <c r="AD269" s="12"/>
    </row>
    <row r="270" spans="1:30" ht="15.75" thickBot="1" x14ac:dyDescent="0.3">
      <c r="A270" s="12"/>
      <c r="B270" s="22"/>
      <c r="C270" t="str">
        <f>IF(AND('ENTRY DATA'!D270=""),"",('ENTRY DATA'!D270))</f>
        <v/>
      </c>
      <c r="D270" t="str">
        <f>IF(AND('ENTRY DATA'!F270=""),"",('ENTRY DATA'!F270))</f>
        <v/>
      </c>
      <c r="E270" s="34" t="str">
        <f>IF(AND('ENTRY DATA'!B270=""),"",('ENTRY DATA'!B270))</f>
        <v/>
      </c>
      <c r="F270" s="12"/>
      <c r="G270" s="12"/>
      <c r="H270" s="73"/>
      <c r="I270" s="71"/>
      <c r="J270" s="73"/>
      <c r="K270" s="12"/>
      <c r="L270" s="20">
        <f t="shared" si="24"/>
        <v>0</v>
      </c>
      <c r="M270" s="19" t="str">
        <f t="shared" si="25"/>
        <v/>
      </c>
      <c r="N270" s="12"/>
      <c r="O270" s="119"/>
      <c r="P270" s="95" t="str">
        <f t="shared" si="26"/>
        <v/>
      </c>
      <c r="Q270" s="12"/>
      <c r="S270" s="128"/>
      <c r="T270" s="66"/>
      <c r="U270" s="128"/>
      <c r="W270" s="128"/>
      <c r="X270" s="12"/>
      <c r="Y270" t="str">
        <f t="shared" si="27"/>
        <v/>
      </c>
      <c r="Z270" t="str">
        <f t="shared" si="27"/>
        <v/>
      </c>
      <c r="AA270" s="12"/>
      <c r="AB270" s="95" t="e">
        <f t="shared" si="28"/>
        <v>#VALUE!</v>
      </c>
      <c r="AC270" s="95" t="e">
        <f t="shared" si="29"/>
        <v>#VALUE!</v>
      </c>
      <c r="AD270" s="12"/>
    </row>
    <row r="271" spans="1:30" ht="15.75" thickBot="1" x14ac:dyDescent="0.3">
      <c r="A271" s="12"/>
      <c r="B271" s="22"/>
      <c r="C271" t="str">
        <f>IF(AND('ENTRY DATA'!D271=""),"",('ENTRY DATA'!D271))</f>
        <v/>
      </c>
      <c r="D271" t="str">
        <f>IF(AND('ENTRY DATA'!F271=""),"",('ENTRY DATA'!F271))</f>
        <v/>
      </c>
      <c r="E271" s="34" t="str">
        <f>IF(AND('ENTRY DATA'!B271=""),"",('ENTRY DATA'!B271))</f>
        <v/>
      </c>
      <c r="F271" s="12"/>
      <c r="G271" s="12"/>
      <c r="H271" s="73"/>
      <c r="I271" s="71"/>
      <c r="J271" s="73"/>
      <c r="K271" s="12"/>
      <c r="L271" s="20">
        <f t="shared" si="24"/>
        <v>0</v>
      </c>
      <c r="M271" s="19" t="str">
        <f t="shared" si="25"/>
        <v/>
      </c>
      <c r="N271" s="12"/>
      <c r="O271" s="119"/>
      <c r="P271" s="95" t="str">
        <f t="shared" si="26"/>
        <v/>
      </c>
      <c r="Q271" s="12"/>
      <c r="S271" s="128"/>
      <c r="T271" s="66"/>
      <c r="U271" s="128"/>
      <c r="W271" s="128"/>
      <c r="X271" s="12"/>
      <c r="Y271" t="str">
        <f t="shared" si="27"/>
        <v/>
      </c>
      <c r="Z271" t="str">
        <f t="shared" si="27"/>
        <v/>
      </c>
      <c r="AA271" s="12"/>
      <c r="AB271" s="95" t="e">
        <f t="shared" si="28"/>
        <v>#VALUE!</v>
      </c>
      <c r="AC271" s="95" t="e">
        <f t="shared" si="29"/>
        <v>#VALUE!</v>
      </c>
      <c r="AD271" s="12"/>
    </row>
    <row r="272" spans="1:30" ht="15.75" thickBot="1" x14ac:dyDescent="0.3">
      <c r="A272" s="12"/>
      <c r="B272" s="22"/>
      <c r="C272" t="str">
        <f>IF(AND('ENTRY DATA'!D272=""),"",('ENTRY DATA'!D272))</f>
        <v/>
      </c>
      <c r="D272" t="str">
        <f>IF(AND('ENTRY DATA'!F272=""),"",('ENTRY DATA'!F272))</f>
        <v/>
      </c>
      <c r="E272" s="34" t="str">
        <f>IF(AND('ENTRY DATA'!B272=""),"",('ENTRY DATA'!B272))</f>
        <v/>
      </c>
      <c r="F272" s="12"/>
      <c r="G272" s="12"/>
      <c r="H272" s="73"/>
      <c r="I272" s="71"/>
      <c r="J272" s="73"/>
      <c r="K272" s="12"/>
      <c r="L272" s="20">
        <f t="shared" si="24"/>
        <v>0</v>
      </c>
      <c r="M272" s="19" t="str">
        <f t="shared" si="25"/>
        <v/>
      </c>
      <c r="N272" s="12"/>
      <c r="O272" s="119"/>
      <c r="P272" s="95" t="str">
        <f t="shared" si="26"/>
        <v/>
      </c>
      <c r="Q272" s="12"/>
      <c r="S272" s="128"/>
      <c r="T272" s="66"/>
      <c r="U272" s="128"/>
      <c r="W272" s="128"/>
      <c r="X272" s="12"/>
      <c r="Y272" t="str">
        <f t="shared" si="27"/>
        <v/>
      </c>
      <c r="Z272" t="str">
        <f t="shared" si="27"/>
        <v/>
      </c>
      <c r="AA272" s="12"/>
      <c r="AB272" s="95" t="e">
        <f t="shared" si="28"/>
        <v>#VALUE!</v>
      </c>
      <c r="AC272" s="95" t="e">
        <f t="shared" si="29"/>
        <v>#VALUE!</v>
      </c>
      <c r="AD272" s="12"/>
    </row>
    <row r="273" spans="1:30" ht="15.75" thickBot="1" x14ac:dyDescent="0.3">
      <c r="A273" s="12"/>
      <c r="B273" s="22"/>
      <c r="C273" t="str">
        <f>IF(AND('ENTRY DATA'!D273=""),"",('ENTRY DATA'!D273))</f>
        <v/>
      </c>
      <c r="D273" t="str">
        <f>IF(AND('ENTRY DATA'!F273=""),"",('ENTRY DATA'!F273))</f>
        <v/>
      </c>
      <c r="E273" s="34" t="str">
        <f>IF(AND('ENTRY DATA'!B273=""),"",('ENTRY DATA'!B273))</f>
        <v/>
      </c>
      <c r="F273" s="12"/>
      <c r="G273" s="12"/>
      <c r="H273" s="73"/>
      <c r="I273" s="71"/>
      <c r="J273" s="73"/>
      <c r="K273" s="12"/>
      <c r="L273" s="20">
        <f t="shared" si="24"/>
        <v>0</v>
      </c>
      <c r="M273" s="19" t="str">
        <f t="shared" si="25"/>
        <v/>
      </c>
      <c r="N273" s="12"/>
      <c r="O273" s="119"/>
      <c r="P273" s="95" t="str">
        <f t="shared" si="26"/>
        <v/>
      </c>
      <c r="Q273" s="12"/>
      <c r="S273" s="128"/>
      <c r="T273" s="66"/>
      <c r="U273" s="128"/>
      <c r="W273" s="128"/>
      <c r="X273" s="12"/>
      <c r="Y273" t="str">
        <f t="shared" si="27"/>
        <v/>
      </c>
      <c r="Z273" t="str">
        <f t="shared" si="27"/>
        <v/>
      </c>
      <c r="AA273" s="12"/>
      <c r="AB273" s="95" t="e">
        <f t="shared" si="28"/>
        <v>#VALUE!</v>
      </c>
      <c r="AC273" s="95" t="e">
        <f t="shared" si="29"/>
        <v>#VALUE!</v>
      </c>
      <c r="AD273" s="12"/>
    </row>
    <row r="274" spans="1:30" ht="15.75" thickBot="1" x14ac:dyDescent="0.3">
      <c r="A274" s="12"/>
      <c r="B274" s="22"/>
      <c r="C274" t="str">
        <f>IF(AND('ENTRY DATA'!D274=""),"",('ENTRY DATA'!D274))</f>
        <v/>
      </c>
      <c r="D274" t="str">
        <f>IF(AND('ENTRY DATA'!F274=""),"",('ENTRY DATA'!F274))</f>
        <v/>
      </c>
      <c r="E274" s="34" t="str">
        <f>IF(AND('ENTRY DATA'!B274=""),"",('ENTRY DATA'!B274))</f>
        <v/>
      </c>
      <c r="F274" s="12"/>
      <c r="G274" s="12"/>
      <c r="H274" s="73"/>
      <c r="I274" s="71"/>
      <c r="J274" s="73"/>
      <c r="K274" s="12"/>
      <c r="L274" s="20">
        <f t="shared" si="24"/>
        <v>0</v>
      </c>
      <c r="M274" s="19" t="str">
        <f t="shared" si="25"/>
        <v/>
      </c>
      <c r="N274" s="12"/>
      <c r="O274" s="119"/>
      <c r="P274" s="95" t="str">
        <f t="shared" si="26"/>
        <v/>
      </c>
      <c r="Q274" s="12"/>
      <c r="S274" s="128"/>
      <c r="T274" s="66"/>
      <c r="U274" s="128"/>
      <c r="W274" s="128"/>
      <c r="X274" s="12"/>
      <c r="Y274" t="str">
        <f t="shared" si="27"/>
        <v/>
      </c>
      <c r="Z274" t="str">
        <f t="shared" si="27"/>
        <v/>
      </c>
      <c r="AA274" s="12"/>
      <c r="AB274" s="95" t="e">
        <f t="shared" si="28"/>
        <v>#VALUE!</v>
      </c>
      <c r="AC274" s="95" t="e">
        <f t="shared" si="29"/>
        <v>#VALUE!</v>
      </c>
      <c r="AD274" s="12"/>
    </row>
    <row r="275" spans="1:30" ht="15.75" thickBot="1" x14ac:dyDescent="0.3">
      <c r="A275" s="12"/>
      <c r="B275" s="22"/>
      <c r="C275" t="str">
        <f>IF(AND('ENTRY DATA'!D275=""),"",('ENTRY DATA'!D275))</f>
        <v/>
      </c>
      <c r="D275" t="str">
        <f>IF(AND('ENTRY DATA'!F275=""),"",('ENTRY DATA'!F275))</f>
        <v/>
      </c>
      <c r="E275" s="34" t="str">
        <f>IF(AND('ENTRY DATA'!B275=""),"",('ENTRY DATA'!B275))</f>
        <v/>
      </c>
      <c r="F275" s="12"/>
      <c r="G275" s="12"/>
      <c r="H275" s="73"/>
      <c r="I275" s="71"/>
      <c r="J275" s="73"/>
      <c r="K275" s="12"/>
      <c r="L275" s="20">
        <f t="shared" si="24"/>
        <v>0</v>
      </c>
      <c r="M275" s="19" t="str">
        <f t="shared" si="25"/>
        <v/>
      </c>
      <c r="N275" s="12"/>
      <c r="O275" s="119"/>
      <c r="P275" s="95" t="str">
        <f t="shared" si="26"/>
        <v/>
      </c>
      <c r="Q275" s="12"/>
      <c r="S275" s="128"/>
      <c r="T275" s="66"/>
      <c r="U275" s="128"/>
      <c r="W275" s="128"/>
      <c r="X275" s="12"/>
      <c r="Y275" t="str">
        <f t="shared" si="27"/>
        <v/>
      </c>
      <c r="Z275" t="str">
        <f t="shared" si="27"/>
        <v/>
      </c>
      <c r="AA275" s="12"/>
      <c r="AB275" s="95" t="e">
        <f t="shared" si="28"/>
        <v>#VALUE!</v>
      </c>
      <c r="AC275" s="95" t="e">
        <f t="shared" si="29"/>
        <v>#VALUE!</v>
      </c>
      <c r="AD275" s="12"/>
    </row>
    <row r="276" spans="1:30" ht="15.75" thickBot="1" x14ac:dyDescent="0.3">
      <c r="A276" s="12"/>
      <c r="B276" s="22"/>
      <c r="C276" t="str">
        <f>IF(AND('ENTRY DATA'!D276=""),"",('ENTRY DATA'!D276))</f>
        <v/>
      </c>
      <c r="D276" t="str">
        <f>IF(AND('ENTRY DATA'!F276=""),"",('ENTRY DATA'!F276))</f>
        <v/>
      </c>
      <c r="E276" s="34" t="str">
        <f>IF(AND('ENTRY DATA'!B276=""),"",('ENTRY DATA'!B276))</f>
        <v/>
      </c>
      <c r="F276" s="12"/>
      <c r="G276" s="12"/>
      <c r="H276" s="73"/>
      <c r="I276" s="71"/>
      <c r="J276" s="73"/>
      <c r="K276" s="12"/>
      <c r="L276" s="20">
        <f t="shared" si="24"/>
        <v>0</v>
      </c>
      <c r="M276" s="19" t="str">
        <f t="shared" si="25"/>
        <v/>
      </c>
      <c r="N276" s="12"/>
      <c r="O276" s="119"/>
      <c r="P276" s="95" t="str">
        <f t="shared" si="26"/>
        <v/>
      </c>
      <c r="Q276" s="12"/>
      <c r="S276" s="128"/>
      <c r="T276" s="66"/>
      <c r="U276" s="128"/>
      <c r="W276" s="128"/>
      <c r="X276" s="12"/>
      <c r="Y276" t="str">
        <f t="shared" si="27"/>
        <v/>
      </c>
      <c r="Z276" t="str">
        <f t="shared" si="27"/>
        <v/>
      </c>
      <c r="AA276" s="12"/>
      <c r="AB276" s="95" t="e">
        <f t="shared" si="28"/>
        <v>#VALUE!</v>
      </c>
      <c r="AC276" s="95" t="e">
        <f t="shared" si="29"/>
        <v>#VALUE!</v>
      </c>
      <c r="AD276" s="12"/>
    </row>
    <row r="277" spans="1:30" ht="15.75" thickBot="1" x14ac:dyDescent="0.3">
      <c r="A277" s="12"/>
      <c r="B277" s="22"/>
      <c r="C277" t="str">
        <f>IF(AND('ENTRY DATA'!D277=""),"",('ENTRY DATA'!D277))</f>
        <v/>
      </c>
      <c r="D277" t="str">
        <f>IF(AND('ENTRY DATA'!F277=""),"",('ENTRY DATA'!F277))</f>
        <v/>
      </c>
      <c r="E277" s="34" t="str">
        <f>IF(AND('ENTRY DATA'!B277=""),"",('ENTRY DATA'!B277))</f>
        <v/>
      </c>
      <c r="F277" s="12"/>
      <c r="G277" s="12"/>
      <c r="H277" s="73"/>
      <c r="I277" s="71"/>
      <c r="J277" s="73"/>
      <c r="K277" s="12"/>
      <c r="L277" s="20">
        <f t="shared" si="24"/>
        <v>0</v>
      </c>
      <c r="M277" s="19" t="str">
        <f t="shared" si="25"/>
        <v/>
      </c>
      <c r="N277" s="12"/>
      <c r="O277" s="119"/>
      <c r="P277" s="95" t="str">
        <f t="shared" si="26"/>
        <v/>
      </c>
      <c r="Q277" s="12"/>
      <c r="S277" s="128"/>
      <c r="T277" s="66"/>
      <c r="U277" s="128"/>
      <c r="W277" s="128"/>
      <c r="X277" s="12"/>
      <c r="Y277" t="str">
        <f t="shared" si="27"/>
        <v/>
      </c>
      <c r="Z277" t="str">
        <f t="shared" si="27"/>
        <v/>
      </c>
      <c r="AA277" s="12"/>
      <c r="AB277" s="95" t="e">
        <f t="shared" si="28"/>
        <v>#VALUE!</v>
      </c>
      <c r="AC277" s="95" t="e">
        <f t="shared" si="29"/>
        <v>#VALUE!</v>
      </c>
      <c r="AD277" s="12"/>
    </row>
    <row r="278" spans="1:30" ht="15.75" thickBot="1" x14ac:dyDescent="0.3">
      <c r="A278" s="12"/>
      <c r="B278" s="22"/>
      <c r="C278" t="str">
        <f>IF(AND('ENTRY DATA'!D278=""),"",('ENTRY DATA'!D278))</f>
        <v/>
      </c>
      <c r="D278" t="str">
        <f>IF(AND('ENTRY DATA'!F278=""),"",('ENTRY DATA'!F278))</f>
        <v/>
      </c>
      <c r="E278" s="34" t="str">
        <f>IF(AND('ENTRY DATA'!B278=""),"",('ENTRY DATA'!B278))</f>
        <v/>
      </c>
      <c r="F278" s="12"/>
      <c r="G278" s="12"/>
      <c r="H278" s="73"/>
      <c r="I278" s="71"/>
      <c r="J278" s="73"/>
      <c r="K278" s="12"/>
      <c r="L278" s="20">
        <f t="shared" si="24"/>
        <v>0</v>
      </c>
      <c r="M278" s="19" t="str">
        <f t="shared" si="25"/>
        <v/>
      </c>
      <c r="N278" s="12"/>
      <c r="O278" s="119"/>
      <c r="P278" s="95" t="str">
        <f t="shared" si="26"/>
        <v/>
      </c>
      <c r="Q278" s="12"/>
      <c r="S278" s="128"/>
      <c r="T278" s="66"/>
      <c r="U278" s="128"/>
      <c r="W278" s="128"/>
      <c r="X278" s="12"/>
      <c r="Y278" t="str">
        <f t="shared" si="27"/>
        <v/>
      </c>
      <c r="Z278" t="str">
        <f t="shared" si="27"/>
        <v/>
      </c>
      <c r="AA278" s="12"/>
      <c r="AB278" s="95" t="e">
        <f t="shared" si="28"/>
        <v>#VALUE!</v>
      </c>
      <c r="AC278" s="95" t="e">
        <f t="shared" si="29"/>
        <v>#VALUE!</v>
      </c>
      <c r="AD278" s="12"/>
    </row>
    <row r="279" spans="1:30" ht="15.75" thickBot="1" x14ac:dyDescent="0.3">
      <c r="A279" s="12"/>
      <c r="B279" s="22"/>
      <c r="C279" t="str">
        <f>IF(AND('ENTRY DATA'!D279=""),"",('ENTRY DATA'!D279))</f>
        <v/>
      </c>
      <c r="D279" t="str">
        <f>IF(AND('ENTRY DATA'!F279=""),"",('ENTRY DATA'!F279))</f>
        <v/>
      </c>
      <c r="E279" s="34" t="str">
        <f>IF(AND('ENTRY DATA'!B279=""),"",('ENTRY DATA'!B279))</f>
        <v/>
      </c>
      <c r="F279" s="12"/>
      <c r="G279" s="12"/>
      <c r="H279" s="73"/>
      <c r="I279" s="71"/>
      <c r="J279" s="73"/>
      <c r="K279" s="12"/>
      <c r="L279" s="20">
        <f t="shared" si="24"/>
        <v>0</v>
      </c>
      <c r="M279" s="19" t="str">
        <f t="shared" si="25"/>
        <v/>
      </c>
      <c r="N279" s="12"/>
      <c r="O279" s="119"/>
      <c r="P279" s="95" t="str">
        <f t="shared" si="26"/>
        <v/>
      </c>
      <c r="Q279" s="12"/>
      <c r="S279" s="128"/>
      <c r="T279" s="66"/>
      <c r="U279" s="128"/>
      <c r="W279" s="128"/>
      <c r="X279" s="12"/>
      <c r="Y279" t="str">
        <f t="shared" si="27"/>
        <v/>
      </c>
      <c r="Z279" t="str">
        <f t="shared" si="27"/>
        <v/>
      </c>
      <c r="AA279" s="12"/>
      <c r="AB279" s="95" t="e">
        <f t="shared" si="28"/>
        <v>#VALUE!</v>
      </c>
      <c r="AC279" s="95" t="e">
        <f t="shared" si="29"/>
        <v>#VALUE!</v>
      </c>
      <c r="AD279" s="12"/>
    </row>
    <row r="280" spans="1:30" ht="15.75" thickBot="1" x14ac:dyDescent="0.3">
      <c r="A280" s="12"/>
      <c r="B280" s="22"/>
      <c r="C280" t="str">
        <f>IF(AND('ENTRY DATA'!D280=""),"",('ENTRY DATA'!D280))</f>
        <v/>
      </c>
      <c r="D280" t="str">
        <f>IF(AND('ENTRY DATA'!F280=""),"",('ENTRY DATA'!F280))</f>
        <v/>
      </c>
      <c r="E280" s="34" t="str">
        <f>IF(AND('ENTRY DATA'!B280=""),"",('ENTRY DATA'!B280))</f>
        <v/>
      </c>
      <c r="F280" s="12"/>
      <c r="G280" s="12"/>
      <c r="H280" s="73"/>
      <c r="I280" s="71"/>
      <c r="J280" s="73"/>
      <c r="K280" s="12"/>
      <c r="L280" s="20">
        <f t="shared" si="24"/>
        <v>0</v>
      </c>
      <c r="M280" s="19" t="str">
        <f t="shared" si="25"/>
        <v/>
      </c>
      <c r="N280" s="12"/>
      <c r="O280" s="119"/>
      <c r="P280" s="95" t="str">
        <f t="shared" si="26"/>
        <v/>
      </c>
      <c r="Q280" s="12"/>
      <c r="S280" s="128"/>
      <c r="T280" s="66"/>
      <c r="U280" s="128"/>
      <c r="W280" s="128"/>
      <c r="X280" s="12"/>
      <c r="Y280" t="str">
        <f t="shared" si="27"/>
        <v/>
      </c>
      <c r="Z280" t="str">
        <f t="shared" si="27"/>
        <v/>
      </c>
      <c r="AA280" s="12"/>
      <c r="AB280" s="95" t="e">
        <f t="shared" si="28"/>
        <v>#VALUE!</v>
      </c>
      <c r="AC280" s="95" t="e">
        <f t="shared" si="29"/>
        <v>#VALUE!</v>
      </c>
      <c r="AD280" s="12"/>
    </row>
    <row r="281" spans="1:30" ht="15.75" thickBot="1" x14ac:dyDescent="0.3">
      <c r="A281" s="12"/>
      <c r="B281" s="22"/>
      <c r="C281" t="str">
        <f>IF(AND('ENTRY DATA'!D281=""),"",('ENTRY DATA'!D281))</f>
        <v/>
      </c>
      <c r="D281" t="str">
        <f>IF(AND('ENTRY DATA'!F281=""),"",('ENTRY DATA'!F281))</f>
        <v/>
      </c>
      <c r="E281" s="34" t="str">
        <f>IF(AND('ENTRY DATA'!B281=""),"",('ENTRY DATA'!B281))</f>
        <v/>
      </c>
      <c r="F281" s="12"/>
      <c r="G281" s="12"/>
      <c r="H281" s="73"/>
      <c r="I281" s="71"/>
      <c r="J281" s="73"/>
      <c r="K281" s="12"/>
      <c r="L281" s="20">
        <f t="shared" si="24"/>
        <v>0</v>
      </c>
      <c r="M281" s="19" t="str">
        <f t="shared" si="25"/>
        <v/>
      </c>
      <c r="N281" s="12"/>
      <c r="O281" s="119"/>
      <c r="P281" s="95" t="str">
        <f t="shared" si="26"/>
        <v/>
      </c>
      <c r="Q281" s="12"/>
      <c r="S281" s="128"/>
      <c r="T281" s="66"/>
      <c r="U281" s="128"/>
      <c r="W281" s="128"/>
      <c r="X281" s="12"/>
      <c r="Y281" t="str">
        <f t="shared" si="27"/>
        <v/>
      </c>
      <c r="Z281" t="str">
        <f t="shared" si="27"/>
        <v/>
      </c>
      <c r="AA281" s="12"/>
      <c r="AB281" s="95" t="e">
        <f t="shared" si="28"/>
        <v>#VALUE!</v>
      </c>
      <c r="AC281" s="95" t="e">
        <f t="shared" si="29"/>
        <v>#VALUE!</v>
      </c>
      <c r="AD281" s="12"/>
    </row>
    <row r="282" spans="1:30" ht="15.75" thickBot="1" x14ac:dyDescent="0.3">
      <c r="A282" s="12"/>
      <c r="B282" s="22"/>
      <c r="C282" t="str">
        <f>IF(AND('ENTRY DATA'!D282=""),"",('ENTRY DATA'!D282))</f>
        <v/>
      </c>
      <c r="D282" t="str">
        <f>IF(AND('ENTRY DATA'!F282=""),"",('ENTRY DATA'!F282))</f>
        <v/>
      </c>
      <c r="E282" s="34" t="str">
        <f>IF(AND('ENTRY DATA'!B282=""),"",('ENTRY DATA'!B282))</f>
        <v/>
      </c>
      <c r="F282" s="12"/>
      <c r="G282" s="12"/>
      <c r="H282" s="73"/>
      <c r="I282" s="71"/>
      <c r="J282" s="73"/>
      <c r="K282" s="12"/>
      <c r="L282" s="20">
        <f t="shared" si="24"/>
        <v>0</v>
      </c>
      <c r="M282" s="19" t="str">
        <f t="shared" si="25"/>
        <v/>
      </c>
      <c r="N282" s="12"/>
      <c r="O282" s="119"/>
      <c r="P282" s="95" t="str">
        <f t="shared" si="26"/>
        <v/>
      </c>
      <c r="Q282" s="12"/>
      <c r="S282" s="128"/>
      <c r="T282" s="66"/>
      <c r="U282" s="128"/>
      <c r="W282" s="128"/>
      <c r="X282" s="12"/>
      <c r="Y282" t="str">
        <f t="shared" si="27"/>
        <v/>
      </c>
      <c r="Z282" t="str">
        <f t="shared" si="27"/>
        <v/>
      </c>
      <c r="AA282" s="12"/>
      <c r="AB282" s="95" t="e">
        <f t="shared" si="28"/>
        <v>#VALUE!</v>
      </c>
      <c r="AC282" s="95" t="e">
        <f t="shared" si="29"/>
        <v>#VALUE!</v>
      </c>
      <c r="AD282" s="12"/>
    </row>
    <row r="283" spans="1:30" ht="15.75" thickBot="1" x14ac:dyDescent="0.3">
      <c r="A283" s="12"/>
      <c r="B283" s="22"/>
      <c r="C283" t="str">
        <f>IF(AND('ENTRY DATA'!D283=""),"",('ENTRY DATA'!D283))</f>
        <v/>
      </c>
      <c r="D283" t="str">
        <f>IF(AND('ENTRY DATA'!F283=""),"",('ENTRY DATA'!F283))</f>
        <v/>
      </c>
      <c r="E283" s="34" t="str">
        <f>IF(AND('ENTRY DATA'!B283=""),"",('ENTRY DATA'!B283))</f>
        <v/>
      </c>
      <c r="F283" s="12"/>
      <c r="G283" s="12"/>
      <c r="H283" s="73"/>
      <c r="I283" s="71"/>
      <c r="J283" s="73"/>
      <c r="K283" s="12"/>
      <c r="L283" s="20">
        <f t="shared" si="24"/>
        <v>0</v>
      </c>
      <c r="M283" s="19" t="str">
        <f t="shared" si="25"/>
        <v/>
      </c>
      <c r="N283" s="12"/>
      <c r="O283" s="119"/>
      <c r="P283" s="95" t="str">
        <f t="shared" si="26"/>
        <v/>
      </c>
      <c r="Q283" s="12"/>
      <c r="S283" s="128"/>
      <c r="T283" s="66"/>
      <c r="U283" s="128"/>
      <c r="W283" s="128"/>
      <c r="X283" s="12"/>
      <c r="Y283" t="str">
        <f t="shared" si="27"/>
        <v/>
      </c>
      <c r="Z283" t="str">
        <f t="shared" si="27"/>
        <v/>
      </c>
      <c r="AA283" s="12"/>
      <c r="AB283" s="95" t="e">
        <f t="shared" si="28"/>
        <v>#VALUE!</v>
      </c>
      <c r="AC283" s="95" t="e">
        <f t="shared" si="29"/>
        <v>#VALUE!</v>
      </c>
      <c r="AD283" s="12"/>
    </row>
    <row r="284" spans="1:30" ht="15.75" thickBot="1" x14ac:dyDescent="0.3">
      <c r="A284" s="12"/>
      <c r="B284" s="22"/>
      <c r="C284" t="str">
        <f>IF(AND('ENTRY DATA'!D284=""),"",('ENTRY DATA'!D284))</f>
        <v/>
      </c>
      <c r="D284" t="str">
        <f>IF(AND('ENTRY DATA'!F284=""),"",('ENTRY DATA'!F284))</f>
        <v/>
      </c>
      <c r="E284" s="34" t="str">
        <f>IF(AND('ENTRY DATA'!B284=""),"",('ENTRY DATA'!B284))</f>
        <v/>
      </c>
      <c r="F284" s="12"/>
      <c r="G284" s="12"/>
      <c r="H284" s="73"/>
      <c r="I284" s="71"/>
      <c r="J284" s="73"/>
      <c r="K284" s="12"/>
      <c r="L284" s="20">
        <f t="shared" si="24"/>
        <v>0</v>
      </c>
      <c r="M284" s="19" t="str">
        <f t="shared" si="25"/>
        <v/>
      </c>
      <c r="N284" s="12"/>
      <c r="O284" s="119"/>
      <c r="P284" s="95" t="str">
        <f t="shared" si="26"/>
        <v/>
      </c>
      <c r="Q284" s="12"/>
      <c r="S284" s="128"/>
      <c r="T284" s="66"/>
      <c r="U284" s="128"/>
      <c r="W284" s="128"/>
      <c r="X284" s="12"/>
      <c r="Y284" t="str">
        <f t="shared" si="27"/>
        <v/>
      </c>
      <c r="Z284" t="str">
        <f t="shared" si="27"/>
        <v/>
      </c>
      <c r="AA284" s="12"/>
      <c r="AB284" s="95" t="e">
        <f t="shared" si="28"/>
        <v>#VALUE!</v>
      </c>
      <c r="AC284" s="95" t="e">
        <f t="shared" si="29"/>
        <v>#VALUE!</v>
      </c>
      <c r="AD284" s="12"/>
    </row>
    <row r="285" spans="1:30" ht="15.75" thickBot="1" x14ac:dyDescent="0.3">
      <c r="A285" s="12"/>
      <c r="B285" s="22"/>
      <c r="C285" t="str">
        <f>IF(AND('ENTRY DATA'!D285=""),"",('ENTRY DATA'!D285))</f>
        <v/>
      </c>
      <c r="D285" t="str">
        <f>IF(AND('ENTRY DATA'!F285=""),"",('ENTRY DATA'!F285))</f>
        <v/>
      </c>
      <c r="E285" s="34" t="str">
        <f>IF(AND('ENTRY DATA'!B285=""),"",('ENTRY DATA'!B285))</f>
        <v/>
      </c>
      <c r="F285" s="12"/>
      <c r="G285" s="12"/>
      <c r="H285" s="73"/>
      <c r="I285" s="71"/>
      <c r="J285" s="73"/>
      <c r="K285" s="12"/>
      <c r="L285" s="20">
        <f t="shared" si="24"/>
        <v>0</v>
      </c>
      <c r="M285" s="19" t="str">
        <f t="shared" si="25"/>
        <v/>
      </c>
      <c r="N285" s="12"/>
      <c r="O285" s="119"/>
      <c r="P285" s="95" t="str">
        <f t="shared" si="26"/>
        <v/>
      </c>
      <c r="Q285" s="12"/>
      <c r="S285" s="128"/>
      <c r="T285" s="66"/>
      <c r="U285" s="128"/>
      <c r="W285" s="128"/>
      <c r="X285" s="12"/>
      <c r="Y285" t="str">
        <f t="shared" si="27"/>
        <v/>
      </c>
      <c r="Z285" t="str">
        <f t="shared" si="27"/>
        <v/>
      </c>
      <c r="AA285" s="12"/>
      <c r="AB285" s="95" t="e">
        <f t="shared" si="28"/>
        <v>#VALUE!</v>
      </c>
      <c r="AC285" s="95" t="e">
        <f t="shared" si="29"/>
        <v>#VALUE!</v>
      </c>
      <c r="AD285" s="12"/>
    </row>
    <row r="286" spans="1:30" ht="15.75" thickBot="1" x14ac:dyDescent="0.3">
      <c r="A286" s="12"/>
      <c r="B286" s="22"/>
      <c r="C286" t="str">
        <f>IF(AND('ENTRY DATA'!D286=""),"",('ENTRY DATA'!D286))</f>
        <v/>
      </c>
      <c r="D286" t="str">
        <f>IF(AND('ENTRY DATA'!F286=""),"",('ENTRY DATA'!F286))</f>
        <v/>
      </c>
      <c r="E286" s="34" t="str">
        <f>IF(AND('ENTRY DATA'!B286=""),"",('ENTRY DATA'!B286))</f>
        <v/>
      </c>
      <c r="F286" s="12"/>
      <c r="G286" s="12"/>
      <c r="H286" s="73"/>
      <c r="I286" s="71"/>
      <c r="J286" s="73"/>
      <c r="K286" s="12"/>
      <c r="L286" s="20">
        <f t="shared" si="24"/>
        <v>0</v>
      </c>
      <c r="M286" s="19" t="str">
        <f t="shared" si="25"/>
        <v/>
      </c>
      <c r="N286" s="12"/>
      <c r="O286" s="119"/>
      <c r="P286" s="95" t="str">
        <f t="shared" si="26"/>
        <v/>
      </c>
      <c r="Q286" s="12"/>
      <c r="S286" s="128"/>
      <c r="T286" s="66"/>
      <c r="U286" s="128"/>
      <c r="W286" s="128"/>
      <c r="X286" s="12"/>
      <c r="Y286" t="str">
        <f t="shared" si="27"/>
        <v/>
      </c>
      <c r="Z286" t="str">
        <f t="shared" si="27"/>
        <v/>
      </c>
      <c r="AA286" s="12"/>
      <c r="AB286" s="95" t="e">
        <f t="shared" si="28"/>
        <v>#VALUE!</v>
      </c>
      <c r="AC286" s="95" t="e">
        <f t="shared" si="29"/>
        <v>#VALUE!</v>
      </c>
      <c r="AD286" s="12"/>
    </row>
    <row r="287" spans="1:30" ht="15.75" thickBot="1" x14ac:dyDescent="0.3">
      <c r="A287" s="12"/>
      <c r="B287" s="22"/>
      <c r="C287" t="str">
        <f>IF(AND('ENTRY DATA'!D287=""),"",('ENTRY DATA'!D287))</f>
        <v/>
      </c>
      <c r="D287" t="str">
        <f>IF(AND('ENTRY DATA'!F287=""),"",('ENTRY DATA'!F287))</f>
        <v/>
      </c>
      <c r="E287" s="34" t="str">
        <f>IF(AND('ENTRY DATA'!B287=""),"",('ENTRY DATA'!B287))</f>
        <v/>
      </c>
      <c r="F287" s="12"/>
      <c r="G287" s="12"/>
      <c r="H287" s="73"/>
      <c r="I287" s="71"/>
      <c r="J287" s="73"/>
      <c r="K287" s="12"/>
      <c r="L287" s="20">
        <f t="shared" si="24"/>
        <v>0</v>
      </c>
      <c r="M287" s="19" t="str">
        <f t="shared" si="25"/>
        <v/>
      </c>
      <c r="N287" s="12"/>
      <c r="O287" s="119"/>
      <c r="P287" s="95" t="str">
        <f t="shared" si="26"/>
        <v/>
      </c>
      <c r="Q287" s="12"/>
      <c r="S287" s="128"/>
      <c r="T287" s="66"/>
      <c r="U287" s="128"/>
      <c r="W287" s="128"/>
      <c r="X287" s="12"/>
      <c r="Y287" t="str">
        <f t="shared" si="27"/>
        <v/>
      </c>
      <c r="Z287" t="str">
        <f t="shared" si="27"/>
        <v/>
      </c>
      <c r="AA287" s="12"/>
      <c r="AB287" s="95" t="e">
        <f t="shared" si="28"/>
        <v>#VALUE!</v>
      </c>
      <c r="AC287" s="95" t="e">
        <f t="shared" si="29"/>
        <v>#VALUE!</v>
      </c>
      <c r="AD287" s="12"/>
    </row>
    <row r="288" spans="1:30" ht="15.75" thickBot="1" x14ac:dyDescent="0.3">
      <c r="A288" s="12"/>
      <c r="B288" s="22"/>
      <c r="C288" t="str">
        <f>IF(AND('ENTRY DATA'!D288=""),"",('ENTRY DATA'!D288))</f>
        <v/>
      </c>
      <c r="D288" t="str">
        <f>IF(AND('ENTRY DATA'!F288=""),"",('ENTRY DATA'!F288))</f>
        <v/>
      </c>
      <c r="E288" s="34" t="str">
        <f>IF(AND('ENTRY DATA'!B288=""),"",('ENTRY DATA'!B288))</f>
        <v/>
      </c>
      <c r="F288" s="12"/>
      <c r="G288" s="12"/>
      <c r="H288" s="73"/>
      <c r="I288" s="71"/>
      <c r="J288" s="73"/>
      <c r="K288" s="12"/>
      <c r="L288" s="20">
        <f t="shared" si="24"/>
        <v>0</v>
      </c>
      <c r="M288" s="19" t="str">
        <f t="shared" si="25"/>
        <v/>
      </c>
      <c r="N288" s="12"/>
      <c r="O288" s="119"/>
      <c r="P288" s="95" t="str">
        <f t="shared" si="26"/>
        <v/>
      </c>
      <c r="Q288" s="12"/>
      <c r="S288" s="128"/>
      <c r="T288" s="66"/>
      <c r="U288" s="128"/>
      <c r="W288" s="128"/>
      <c r="X288" s="12"/>
      <c r="Y288" t="str">
        <f t="shared" si="27"/>
        <v/>
      </c>
      <c r="Z288" t="str">
        <f t="shared" si="27"/>
        <v/>
      </c>
      <c r="AA288" s="12"/>
      <c r="AB288" s="95" t="e">
        <f t="shared" si="28"/>
        <v>#VALUE!</v>
      </c>
      <c r="AC288" s="95" t="e">
        <f t="shared" si="29"/>
        <v>#VALUE!</v>
      </c>
      <c r="AD288" s="12"/>
    </row>
    <row r="289" spans="1:30" ht="15.75" thickBot="1" x14ac:dyDescent="0.3">
      <c r="A289" s="12"/>
      <c r="B289" s="22"/>
      <c r="C289" t="str">
        <f>IF(AND('ENTRY DATA'!D289=""),"",('ENTRY DATA'!D289))</f>
        <v/>
      </c>
      <c r="D289" t="str">
        <f>IF(AND('ENTRY DATA'!F289=""),"",('ENTRY DATA'!F289))</f>
        <v/>
      </c>
      <c r="E289" s="34" t="str">
        <f>IF(AND('ENTRY DATA'!B289=""),"",('ENTRY DATA'!B289))</f>
        <v/>
      </c>
      <c r="F289" s="12"/>
      <c r="G289" s="12"/>
      <c r="H289" s="73"/>
      <c r="I289" s="71"/>
      <c r="J289" s="73"/>
      <c r="K289" s="12"/>
      <c r="L289" s="20">
        <f t="shared" si="24"/>
        <v>0</v>
      </c>
      <c r="M289" s="19" t="str">
        <f t="shared" si="25"/>
        <v/>
      </c>
      <c r="N289" s="12"/>
      <c r="O289" s="119"/>
      <c r="P289" s="95" t="str">
        <f t="shared" si="26"/>
        <v/>
      </c>
      <c r="Q289" s="12"/>
      <c r="S289" s="128"/>
      <c r="T289" s="66"/>
      <c r="U289" s="128"/>
      <c r="W289" s="128"/>
      <c r="X289" s="12"/>
      <c r="Y289" t="str">
        <f t="shared" si="27"/>
        <v/>
      </c>
      <c r="Z289" t="str">
        <f t="shared" si="27"/>
        <v/>
      </c>
      <c r="AA289" s="12"/>
      <c r="AB289" s="95" t="e">
        <f t="shared" si="28"/>
        <v>#VALUE!</v>
      </c>
      <c r="AC289" s="95" t="e">
        <f t="shared" si="29"/>
        <v>#VALUE!</v>
      </c>
      <c r="AD289" s="12"/>
    </row>
    <row r="290" spans="1:30" ht="15.75" thickBot="1" x14ac:dyDescent="0.3">
      <c r="A290" s="12"/>
      <c r="B290" s="22"/>
      <c r="C290" t="str">
        <f>IF(AND('ENTRY DATA'!D290=""),"",('ENTRY DATA'!D290))</f>
        <v/>
      </c>
      <c r="D290" t="str">
        <f>IF(AND('ENTRY DATA'!F290=""),"",('ENTRY DATA'!F290))</f>
        <v/>
      </c>
      <c r="E290" s="34" t="str">
        <f>IF(AND('ENTRY DATA'!B290=""),"",('ENTRY DATA'!B290))</f>
        <v/>
      </c>
      <c r="F290" s="12"/>
      <c r="G290" s="12"/>
      <c r="H290" s="73"/>
      <c r="I290" s="71"/>
      <c r="J290" s="73"/>
      <c r="K290" s="12"/>
      <c r="L290" s="20">
        <f t="shared" si="24"/>
        <v>0</v>
      </c>
      <c r="M290" s="19" t="str">
        <f t="shared" si="25"/>
        <v/>
      </c>
      <c r="N290" s="12"/>
      <c r="O290" s="119"/>
      <c r="P290" s="95" t="str">
        <f t="shared" si="26"/>
        <v/>
      </c>
      <c r="Q290" s="12"/>
      <c r="S290" s="128"/>
      <c r="T290" s="66"/>
      <c r="U290" s="128"/>
      <c r="W290" s="128"/>
      <c r="X290" s="12"/>
      <c r="Y290" t="str">
        <f t="shared" si="27"/>
        <v/>
      </c>
      <c r="Z290" t="str">
        <f t="shared" si="27"/>
        <v/>
      </c>
      <c r="AA290" s="12"/>
      <c r="AB290" s="95" t="e">
        <f t="shared" si="28"/>
        <v>#VALUE!</v>
      </c>
      <c r="AC290" s="95" t="e">
        <f t="shared" si="29"/>
        <v>#VALUE!</v>
      </c>
      <c r="AD290" s="12"/>
    </row>
    <row r="291" spans="1:30" ht="15.75" thickBot="1" x14ac:dyDescent="0.3">
      <c r="A291" s="12"/>
      <c r="B291" s="22"/>
      <c r="C291" t="str">
        <f>IF(AND('ENTRY DATA'!D291=""),"",('ENTRY DATA'!D291))</f>
        <v/>
      </c>
      <c r="D291" t="str">
        <f>IF(AND('ENTRY DATA'!F291=""),"",('ENTRY DATA'!F291))</f>
        <v/>
      </c>
      <c r="E291" s="34" t="str">
        <f>IF(AND('ENTRY DATA'!B291=""),"",('ENTRY DATA'!B291))</f>
        <v/>
      </c>
      <c r="F291" s="12"/>
      <c r="G291" s="12"/>
      <c r="H291" s="73"/>
      <c r="I291" s="71"/>
      <c r="J291" s="73"/>
      <c r="K291" s="12"/>
      <c r="L291" s="20">
        <f t="shared" si="24"/>
        <v>0</v>
      </c>
      <c r="M291" s="19" t="str">
        <f t="shared" si="25"/>
        <v/>
      </c>
      <c r="N291" s="12"/>
      <c r="O291" s="119"/>
      <c r="P291" s="95" t="str">
        <f t="shared" si="26"/>
        <v/>
      </c>
      <c r="Q291" s="12"/>
      <c r="S291" s="128"/>
      <c r="T291" s="66"/>
      <c r="U291" s="128"/>
      <c r="W291" s="128"/>
      <c r="X291" s="12"/>
      <c r="Y291" t="str">
        <f t="shared" si="27"/>
        <v/>
      </c>
      <c r="Z291" t="str">
        <f t="shared" si="27"/>
        <v/>
      </c>
      <c r="AA291" s="12"/>
      <c r="AB291" s="95" t="e">
        <f t="shared" si="28"/>
        <v>#VALUE!</v>
      </c>
      <c r="AC291" s="95" t="e">
        <f t="shared" si="29"/>
        <v>#VALUE!</v>
      </c>
      <c r="AD291" s="12"/>
    </row>
    <row r="292" spans="1:30" ht="15.75" thickBot="1" x14ac:dyDescent="0.3">
      <c r="A292" s="12"/>
      <c r="B292" s="22"/>
      <c r="C292" t="str">
        <f>IF(AND('ENTRY DATA'!D292=""),"",('ENTRY DATA'!D292))</f>
        <v/>
      </c>
      <c r="D292" t="str">
        <f>IF(AND('ENTRY DATA'!F292=""),"",('ENTRY DATA'!F292))</f>
        <v/>
      </c>
      <c r="E292" s="34" t="str">
        <f>IF(AND('ENTRY DATA'!B292=""),"",('ENTRY DATA'!B292))</f>
        <v/>
      </c>
      <c r="F292" s="12"/>
      <c r="G292" s="12"/>
      <c r="H292" s="73"/>
      <c r="I292" s="71"/>
      <c r="J292" s="73"/>
      <c r="K292" s="12"/>
      <c r="L292" s="20">
        <f t="shared" si="24"/>
        <v>0</v>
      </c>
      <c r="M292" s="19" t="str">
        <f t="shared" si="25"/>
        <v/>
      </c>
      <c r="N292" s="12"/>
      <c r="O292" s="119"/>
      <c r="P292" s="95" t="str">
        <f t="shared" si="26"/>
        <v/>
      </c>
      <c r="Q292" s="12"/>
      <c r="S292" s="128"/>
      <c r="T292" s="66"/>
      <c r="U292" s="128"/>
      <c r="W292" s="128"/>
      <c r="X292" s="12"/>
      <c r="Y292" t="str">
        <f t="shared" si="27"/>
        <v/>
      </c>
      <c r="Z292" t="str">
        <f t="shared" si="27"/>
        <v/>
      </c>
      <c r="AA292" s="12"/>
      <c r="AB292" s="95" t="e">
        <f t="shared" si="28"/>
        <v>#VALUE!</v>
      </c>
      <c r="AC292" s="95" t="e">
        <f t="shared" si="29"/>
        <v>#VALUE!</v>
      </c>
      <c r="AD292" s="12"/>
    </row>
    <row r="293" spans="1:30" ht="15.75" thickBot="1" x14ac:dyDescent="0.3">
      <c r="A293" s="12"/>
      <c r="B293" s="22"/>
      <c r="C293" t="str">
        <f>IF(AND('ENTRY DATA'!D293=""),"",('ENTRY DATA'!D293))</f>
        <v/>
      </c>
      <c r="D293" t="str">
        <f>IF(AND('ENTRY DATA'!F293=""),"",('ENTRY DATA'!F293))</f>
        <v/>
      </c>
      <c r="E293" s="34" t="str">
        <f>IF(AND('ENTRY DATA'!B293=""),"",('ENTRY DATA'!B293))</f>
        <v/>
      </c>
      <c r="F293" s="12"/>
      <c r="G293" s="12"/>
      <c r="H293" s="73"/>
      <c r="I293" s="71"/>
      <c r="J293" s="73"/>
      <c r="K293" s="12"/>
      <c r="L293" s="20">
        <f t="shared" si="24"/>
        <v>0</v>
      </c>
      <c r="M293" s="19" t="str">
        <f t="shared" si="25"/>
        <v/>
      </c>
      <c r="N293" s="12"/>
      <c r="O293" s="119"/>
      <c r="P293" s="95" t="str">
        <f t="shared" si="26"/>
        <v/>
      </c>
      <c r="Q293" s="12"/>
      <c r="S293" s="128"/>
      <c r="T293" s="66"/>
      <c r="U293" s="128"/>
      <c r="W293" s="128"/>
      <c r="X293" s="12"/>
      <c r="Y293" t="str">
        <f t="shared" si="27"/>
        <v/>
      </c>
      <c r="Z293" t="str">
        <f t="shared" si="27"/>
        <v/>
      </c>
      <c r="AA293" s="12"/>
      <c r="AB293" s="95" t="e">
        <f t="shared" si="28"/>
        <v>#VALUE!</v>
      </c>
      <c r="AC293" s="95" t="e">
        <f t="shared" si="29"/>
        <v>#VALUE!</v>
      </c>
      <c r="AD293" s="12"/>
    </row>
    <row r="294" spans="1:30" ht="15.75" thickBot="1" x14ac:dyDescent="0.3">
      <c r="A294" s="12"/>
      <c r="B294" s="22"/>
      <c r="C294" t="str">
        <f>IF(AND('ENTRY DATA'!D294=""),"",('ENTRY DATA'!D294))</f>
        <v/>
      </c>
      <c r="D294" t="str">
        <f>IF(AND('ENTRY DATA'!F294=""),"",('ENTRY DATA'!F294))</f>
        <v/>
      </c>
      <c r="E294" s="34" t="str">
        <f>IF(AND('ENTRY DATA'!B294=""),"",('ENTRY DATA'!B294))</f>
        <v/>
      </c>
      <c r="F294" s="12"/>
      <c r="G294" s="12"/>
      <c r="H294" s="73"/>
      <c r="I294" s="71"/>
      <c r="J294" s="73"/>
      <c r="K294" s="12"/>
      <c r="L294" s="20">
        <f t="shared" si="24"/>
        <v>0</v>
      </c>
      <c r="M294" s="19" t="str">
        <f t="shared" si="25"/>
        <v/>
      </c>
      <c r="N294" s="12"/>
      <c r="O294" s="119"/>
      <c r="P294" s="95" t="str">
        <f t="shared" si="26"/>
        <v/>
      </c>
      <c r="Q294" s="12"/>
      <c r="S294" s="128"/>
      <c r="T294" s="66"/>
      <c r="U294" s="128"/>
      <c r="W294" s="128"/>
      <c r="X294" s="12"/>
      <c r="Y294" t="str">
        <f t="shared" si="27"/>
        <v/>
      </c>
      <c r="Z294" t="str">
        <f t="shared" si="27"/>
        <v/>
      </c>
      <c r="AA294" s="12"/>
      <c r="AB294" s="95" t="e">
        <f t="shared" si="28"/>
        <v>#VALUE!</v>
      </c>
      <c r="AC294" s="95" t="e">
        <f t="shared" si="29"/>
        <v>#VALUE!</v>
      </c>
      <c r="AD294" s="12"/>
    </row>
    <row r="295" spans="1:30" ht="15.75" thickBot="1" x14ac:dyDescent="0.3">
      <c r="A295" s="12"/>
      <c r="B295" s="22"/>
      <c r="C295" t="str">
        <f>IF(AND('ENTRY DATA'!D295=""),"",('ENTRY DATA'!D295))</f>
        <v/>
      </c>
      <c r="D295" t="str">
        <f>IF(AND('ENTRY DATA'!F295=""),"",('ENTRY DATA'!F295))</f>
        <v/>
      </c>
      <c r="E295" s="34" t="str">
        <f>IF(AND('ENTRY DATA'!B295=""),"",('ENTRY DATA'!B295))</f>
        <v/>
      </c>
      <c r="F295" s="12"/>
      <c r="G295" s="12"/>
      <c r="H295" s="73"/>
      <c r="I295" s="71"/>
      <c r="J295" s="73"/>
      <c r="K295" s="12"/>
      <c r="L295" s="20">
        <f t="shared" si="24"/>
        <v>0</v>
      </c>
      <c r="M295" s="19" t="str">
        <f t="shared" si="25"/>
        <v/>
      </c>
      <c r="N295" s="12"/>
      <c r="O295" s="119"/>
      <c r="P295" s="95" t="str">
        <f t="shared" si="26"/>
        <v/>
      </c>
      <c r="Q295" s="12"/>
      <c r="S295" s="128"/>
      <c r="T295" s="66"/>
      <c r="U295" s="128"/>
      <c r="W295" s="128"/>
      <c r="X295" s="12"/>
      <c r="Y295" t="str">
        <f t="shared" si="27"/>
        <v/>
      </c>
      <c r="Z295" t="str">
        <f t="shared" si="27"/>
        <v/>
      </c>
      <c r="AA295" s="12"/>
      <c r="AB295" s="95" t="e">
        <f t="shared" si="28"/>
        <v>#VALUE!</v>
      </c>
      <c r="AC295" s="95" t="e">
        <f t="shared" si="29"/>
        <v>#VALUE!</v>
      </c>
      <c r="AD295" s="12"/>
    </row>
    <row r="296" spans="1:30" ht="15.75" thickBot="1" x14ac:dyDescent="0.3">
      <c r="A296" s="12"/>
      <c r="B296" s="22"/>
      <c r="C296" t="str">
        <f>IF(AND('ENTRY DATA'!D296=""),"",('ENTRY DATA'!D296))</f>
        <v/>
      </c>
      <c r="D296" t="str">
        <f>IF(AND('ENTRY DATA'!F296=""),"",('ENTRY DATA'!F296))</f>
        <v/>
      </c>
      <c r="E296" s="34" t="str">
        <f>IF(AND('ENTRY DATA'!B296=""),"",('ENTRY DATA'!B296))</f>
        <v/>
      </c>
      <c r="F296" s="12"/>
      <c r="G296" s="12"/>
      <c r="H296" s="73"/>
      <c r="I296" s="71"/>
      <c r="J296" s="73"/>
      <c r="K296" s="12"/>
      <c r="L296" s="20">
        <f t="shared" si="24"/>
        <v>0</v>
      </c>
      <c r="M296" s="19" t="str">
        <f t="shared" si="25"/>
        <v/>
      </c>
      <c r="N296" s="12"/>
      <c r="O296" s="119"/>
      <c r="P296" s="95" t="str">
        <f t="shared" si="26"/>
        <v/>
      </c>
      <c r="Q296" s="12"/>
      <c r="S296" s="128"/>
      <c r="T296" s="66"/>
      <c r="U296" s="128"/>
      <c r="W296" s="128"/>
      <c r="X296" s="12"/>
      <c r="Y296" t="str">
        <f t="shared" si="27"/>
        <v/>
      </c>
      <c r="Z296" t="str">
        <f t="shared" si="27"/>
        <v/>
      </c>
      <c r="AA296" s="12"/>
      <c r="AB296" s="95" t="e">
        <f t="shared" si="28"/>
        <v>#VALUE!</v>
      </c>
      <c r="AC296" s="95" t="e">
        <f t="shared" si="29"/>
        <v>#VALUE!</v>
      </c>
      <c r="AD296" s="12"/>
    </row>
    <row r="297" spans="1:30" ht="15.75" thickBot="1" x14ac:dyDescent="0.3">
      <c r="A297" s="12"/>
      <c r="B297" s="22"/>
      <c r="C297" t="str">
        <f>IF(AND('ENTRY DATA'!D297=""),"",('ENTRY DATA'!D297))</f>
        <v/>
      </c>
      <c r="D297" t="str">
        <f>IF(AND('ENTRY DATA'!F297=""),"",('ENTRY DATA'!F297))</f>
        <v/>
      </c>
      <c r="E297" s="34" t="str">
        <f>IF(AND('ENTRY DATA'!B297=""),"",('ENTRY DATA'!B297))</f>
        <v/>
      </c>
      <c r="F297" s="12"/>
      <c r="G297" s="12"/>
      <c r="H297" s="73"/>
      <c r="I297" s="71"/>
      <c r="J297" s="73"/>
      <c r="K297" s="12"/>
      <c r="L297" s="20">
        <f t="shared" si="24"/>
        <v>0</v>
      </c>
      <c r="M297" s="19" t="str">
        <f t="shared" si="25"/>
        <v/>
      </c>
      <c r="N297" s="12"/>
      <c r="O297" s="119"/>
      <c r="P297" s="95" t="str">
        <f t="shared" si="26"/>
        <v/>
      </c>
      <c r="Q297" s="12"/>
      <c r="S297" s="128"/>
      <c r="T297" s="66"/>
      <c r="U297" s="128"/>
      <c r="W297" s="128"/>
      <c r="X297" s="12"/>
      <c r="Y297" t="str">
        <f t="shared" si="27"/>
        <v/>
      </c>
      <c r="Z297" t="str">
        <f t="shared" si="27"/>
        <v/>
      </c>
      <c r="AA297" s="12"/>
      <c r="AB297" s="95" t="e">
        <f t="shared" si="28"/>
        <v>#VALUE!</v>
      </c>
      <c r="AC297" s="95" t="e">
        <f t="shared" si="29"/>
        <v>#VALUE!</v>
      </c>
      <c r="AD297" s="12"/>
    </row>
    <row r="298" spans="1:30" ht="15.75" thickBot="1" x14ac:dyDescent="0.3">
      <c r="A298" s="12"/>
      <c r="B298" s="22"/>
      <c r="C298" t="str">
        <f>IF(AND('ENTRY DATA'!D298=""),"",('ENTRY DATA'!D298))</f>
        <v/>
      </c>
      <c r="D298" t="str">
        <f>IF(AND('ENTRY DATA'!F298=""),"",('ENTRY DATA'!F298))</f>
        <v/>
      </c>
      <c r="E298" s="34" t="str">
        <f>IF(AND('ENTRY DATA'!B298=""),"",('ENTRY DATA'!B298))</f>
        <v/>
      </c>
      <c r="F298" s="12"/>
      <c r="G298" s="12"/>
      <c r="H298" s="73"/>
      <c r="I298" s="71"/>
      <c r="J298" s="73"/>
      <c r="K298" s="12"/>
      <c r="L298" s="20">
        <f t="shared" si="24"/>
        <v>0</v>
      </c>
      <c r="M298" s="19" t="str">
        <f t="shared" si="25"/>
        <v/>
      </c>
      <c r="N298" s="12"/>
      <c r="O298" s="119"/>
      <c r="P298" s="95" t="str">
        <f t="shared" si="26"/>
        <v/>
      </c>
      <c r="Q298" s="12"/>
      <c r="S298" s="128"/>
      <c r="T298" s="66"/>
      <c r="U298" s="128"/>
      <c r="W298" s="128"/>
      <c r="X298" s="12"/>
      <c r="Y298" t="str">
        <f t="shared" si="27"/>
        <v/>
      </c>
      <c r="Z298" t="str">
        <f t="shared" si="27"/>
        <v/>
      </c>
      <c r="AA298" s="12"/>
      <c r="AB298" s="95" t="e">
        <f t="shared" si="28"/>
        <v>#VALUE!</v>
      </c>
      <c r="AC298" s="95" t="e">
        <f t="shared" si="29"/>
        <v>#VALUE!</v>
      </c>
      <c r="AD298" s="12"/>
    </row>
    <row r="299" spans="1:30" ht="15.75" thickBot="1" x14ac:dyDescent="0.3">
      <c r="A299" s="12"/>
      <c r="B299" s="22"/>
      <c r="C299" t="str">
        <f>IF(AND('ENTRY DATA'!D299=""),"",('ENTRY DATA'!D299))</f>
        <v/>
      </c>
      <c r="D299" t="str">
        <f>IF(AND('ENTRY DATA'!F299=""),"",('ENTRY DATA'!F299))</f>
        <v/>
      </c>
      <c r="E299" s="34" t="str">
        <f>IF(AND('ENTRY DATA'!B299=""),"",('ENTRY DATA'!B299))</f>
        <v/>
      </c>
      <c r="F299" s="12"/>
      <c r="G299" s="12"/>
      <c r="H299" s="73"/>
      <c r="I299" s="71"/>
      <c r="J299" s="73"/>
      <c r="K299" s="12"/>
      <c r="L299" s="20">
        <f t="shared" si="24"/>
        <v>0</v>
      </c>
      <c r="M299" s="19" t="str">
        <f t="shared" si="25"/>
        <v/>
      </c>
      <c r="N299" s="12"/>
      <c r="O299" s="119"/>
      <c r="P299" s="95" t="str">
        <f t="shared" si="26"/>
        <v/>
      </c>
      <c r="Q299" s="12"/>
      <c r="S299" s="128"/>
      <c r="T299" s="66"/>
      <c r="U299" s="128"/>
      <c r="W299" s="128"/>
      <c r="X299" s="12"/>
      <c r="Y299" t="str">
        <f t="shared" si="27"/>
        <v/>
      </c>
      <c r="Z299" t="str">
        <f t="shared" si="27"/>
        <v/>
      </c>
      <c r="AA299" s="12"/>
      <c r="AB299" s="95" t="e">
        <f t="shared" si="28"/>
        <v>#VALUE!</v>
      </c>
      <c r="AC299" s="95" t="e">
        <f t="shared" si="29"/>
        <v>#VALUE!</v>
      </c>
      <c r="AD299" s="12"/>
    </row>
    <row r="300" spans="1:30" ht="15.75" thickBot="1" x14ac:dyDescent="0.3">
      <c r="A300" s="12"/>
      <c r="B300" s="22"/>
      <c r="C300" t="str">
        <f>IF(AND('ENTRY DATA'!D300=""),"",('ENTRY DATA'!D300))</f>
        <v/>
      </c>
      <c r="D300" t="str">
        <f>IF(AND('ENTRY DATA'!F300=""),"",('ENTRY DATA'!F300))</f>
        <v/>
      </c>
      <c r="E300" s="34" t="str">
        <f>IF(AND('ENTRY DATA'!B300=""),"",('ENTRY DATA'!B300))</f>
        <v/>
      </c>
      <c r="F300" s="12"/>
      <c r="G300" s="12"/>
      <c r="H300" s="73"/>
      <c r="I300" s="71"/>
      <c r="J300" s="73"/>
      <c r="K300" s="12"/>
      <c r="L300" s="20">
        <f t="shared" si="24"/>
        <v>0</v>
      </c>
      <c r="M300" s="19" t="str">
        <f t="shared" si="25"/>
        <v/>
      </c>
      <c r="N300" s="12"/>
      <c r="O300" s="119"/>
      <c r="P300" s="96" t="str">
        <f t="shared" si="26"/>
        <v/>
      </c>
      <c r="Q300" s="12"/>
      <c r="S300" s="128"/>
      <c r="T300" s="68"/>
      <c r="U300" s="128"/>
      <c r="W300" s="128"/>
      <c r="X300" s="12"/>
      <c r="Y300" t="str">
        <f t="shared" si="27"/>
        <v/>
      </c>
      <c r="Z300" t="str">
        <f t="shared" si="27"/>
        <v/>
      </c>
      <c r="AA300" s="12"/>
      <c r="AB300" s="96" t="e">
        <f t="shared" si="28"/>
        <v>#VALUE!</v>
      </c>
      <c r="AC300" s="96" t="e">
        <f t="shared" si="29"/>
        <v>#VALUE!</v>
      </c>
      <c r="AD300" s="12"/>
    </row>
    <row r="301" spans="1:30" x14ac:dyDescent="0.25">
      <c r="A301" s="12"/>
      <c r="B301" s="12"/>
      <c r="C301" s="12"/>
      <c r="D301" s="12"/>
      <c r="E301" s="33"/>
      <c r="F301" s="12"/>
      <c r="G301" s="12"/>
      <c r="H301" s="33"/>
      <c r="I301" s="33"/>
      <c r="J301" s="33"/>
      <c r="K301" s="12"/>
      <c r="L301" s="13"/>
      <c r="M301" s="13"/>
      <c r="N301" s="12"/>
      <c r="O301" s="119"/>
      <c r="P301" s="12">
        <f t="shared" si="26"/>
        <v>0</v>
      </c>
      <c r="Q301" s="12"/>
      <c r="R301" s="12"/>
      <c r="S301" s="12"/>
      <c r="T301" s="12"/>
      <c r="U301" s="12"/>
      <c r="V301" s="12"/>
      <c r="W301" s="12"/>
      <c r="X301" s="12"/>
      <c r="Y301" s="12" t="str">
        <f t="shared" si="27"/>
        <v/>
      </c>
      <c r="Z301" s="12" t="str">
        <f t="shared" si="27"/>
        <v/>
      </c>
      <c r="AA301" s="12"/>
      <c r="AB301" s="12" t="e">
        <f t="shared" si="28"/>
        <v>#VALUE!</v>
      </c>
      <c r="AC301" s="12" t="e">
        <f t="shared" si="29"/>
        <v>#VALUE!</v>
      </c>
      <c r="AD301" s="12"/>
    </row>
    <row r="302" spans="1:30" x14ac:dyDescent="0.25">
      <c r="A302" s="12"/>
      <c r="B302" s="12"/>
      <c r="C302" s="12"/>
      <c r="D302" s="12"/>
      <c r="E302" s="33"/>
      <c r="F302" s="12"/>
      <c r="G302" s="12"/>
      <c r="H302" s="33"/>
      <c r="I302" s="33"/>
      <c r="J302" s="33"/>
      <c r="K302" s="12"/>
      <c r="L302" s="13"/>
      <c r="M302" s="13"/>
      <c r="N302" s="12"/>
      <c r="O302" s="119"/>
      <c r="P302" s="12"/>
      <c r="Q302" s="12"/>
      <c r="R302" s="12"/>
      <c r="S302" s="12"/>
      <c r="T302" s="12"/>
      <c r="U302" s="12"/>
      <c r="V302" s="12"/>
      <c r="W302" s="12"/>
      <c r="X302" s="12"/>
      <c r="Y302" s="12" t="str">
        <f t="shared" si="27"/>
        <v/>
      </c>
      <c r="Z302" s="12" t="str">
        <f t="shared" si="27"/>
        <v/>
      </c>
      <c r="AA302" s="12"/>
      <c r="AB302" s="12"/>
      <c r="AC302" s="12"/>
      <c r="AD302" s="12"/>
    </row>
  </sheetData>
  <mergeCells count="9">
    <mergeCell ref="V3:W3"/>
    <mergeCell ref="Y3:Z3"/>
    <mergeCell ref="AB3:AC3"/>
    <mergeCell ref="R2:T2"/>
    <mergeCell ref="C3:D3"/>
    <mergeCell ref="H3:J3"/>
    <mergeCell ref="L3:M3"/>
    <mergeCell ref="R3:S3"/>
    <mergeCell ref="T3:U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2"/>
  <sheetViews>
    <sheetView topLeftCell="K1" workbookViewId="0">
      <selection activeCell="E289" sqref="E289"/>
    </sheetView>
  </sheetViews>
  <sheetFormatPr defaultRowHeight="15" x14ac:dyDescent="0.25"/>
  <cols>
    <col min="2" max="2" width="4.85546875" customWidth="1"/>
    <col min="3" max="3" width="26.28515625" customWidth="1"/>
    <col min="4" max="4" width="24.7109375" customWidth="1"/>
    <col min="5" max="5" width="10" style="1" customWidth="1"/>
    <col min="6" max="6" width="5.42578125" customWidth="1"/>
    <col min="7" max="7" width="5.28515625" customWidth="1"/>
    <col min="8" max="8" width="18.85546875" style="1" customWidth="1"/>
    <col min="9" max="9" width="18.5703125" style="1" customWidth="1"/>
    <col min="10" max="10" width="17.85546875" style="1" customWidth="1"/>
    <col min="11" max="11" width="13" customWidth="1"/>
    <col min="12" max="12" width="11.85546875" style="2" customWidth="1"/>
    <col min="13" max="13" width="11.7109375" style="2" customWidth="1"/>
    <col min="14" max="14" width="11.42578125" customWidth="1"/>
    <col min="15" max="15" width="3.7109375" style="122" customWidth="1"/>
    <col min="16" max="16" width="16.7109375" customWidth="1"/>
    <col min="17" max="17" width="3.28515625" customWidth="1"/>
    <col min="18" max="18" width="16.42578125" customWidth="1"/>
    <col min="20" max="20" width="13.28515625" customWidth="1"/>
    <col min="22" max="22" width="11.7109375" customWidth="1"/>
    <col min="25" max="25" width="13.140625" customWidth="1"/>
    <col min="26" max="26" width="13.42578125" customWidth="1"/>
    <col min="28" max="28" width="11" customWidth="1"/>
    <col min="29" max="29" width="10.85546875" customWidth="1"/>
  </cols>
  <sheetData>
    <row r="1" spans="1:30" ht="15.75" thickBot="1" x14ac:dyDescent="0.3">
      <c r="A1" s="12"/>
      <c r="B1" s="12"/>
      <c r="C1" s="12"/>
      <c r="D1" s="12"/>
      <c r="E1" s="33"/>
      <c r="F1" s="12"/>
      <c r="G1" s="12"/>
      <c r="H1" s="33"/>
      <c r="I1" s="33"/>
      <c r="J1" s="33"/>
      <c r="K1" s="12"/>
      <c r="L1" s="13"/>
      <c r="M1" s="13"/>
      <c r="N1" s="12"/>
      <c r="O1" s="11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thickBot="1" x14ac:dyDescent="0.3">
      <c r="A2" s="12"/>
      <c r="B2" s="12"/>
      <c r="C2" s="12"/>
      <c r="D2" s="12"/>
      <c r="E2" s="33"/>
      <c r="F2" s="12"/>
      <c r="G2" s="12"/>
      <c r="H2" s="33"/>
      <c r="I2" s="33"/>
      <c r="J2" s="33"/>
      <c r="K2" s="12"/>
      <c r="L2" s="13"/>
      <c r="M2" s="13"/>
      <c r="N2" s="12"/>
      <c r="O2" s="119"/>
      <c r="P2" s="12"/>
      <c r="Q2" s="12"/>
      <c r="R2" s="159" t="s">
        <v>53</v>
      </c>
      <c r="S2" s="160"/>
      <c r="T2" s="16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6.5" thickTop="1" thickBot="1" x14ac:dyDescent="0.3">
      <c r="A3" s="12"/>
      <c r="B3" s="30"/>
      <c r="C3" s="164"/>
      <c r="D3" s="165"/>
      <c r="E3" s="15"/>
      <c r="F3" s="16"/>
      <c r="G3" s="17"/>
      <c r="H3" s="166" t="s">
        <v>15</v>
      </c>
      <c r="I3" s="167"/>
      <c r="J3" s="168"/>
      <c r="K3" s="14"/>
      <c r="L3" s="169" t="s">
        <v>18</v>
      </c>
      <c r="M3" s="170"/>
      <c r="N3" s="14"/>
      <c r="O3" s="120"/>
      <c r="P3" s="12"/>
      <c r="Q3" s="12"/>
      <c r="R3" s="158" t="s">
        <v>12</v>
      </c>
      <c r="S3" s="156"/>
      <c r="T3" s="159" t="s">
        <v>13</v>
      </c>
      <c r="U3" s="161"/>
      <c r="V3" s="156" t="s">
        <v>14</v>
      </c>
      <c r="W3" s="157"/>
      <c r="X3" s="12"/>
      <c r="Y3" s="158" t="s">
        <v>56</v>
      </c>
      <c r="Z3" s="157"/>
      <c r="AA3" s="12"/>
      <c r="AB3" s="162" t="s">
        <v>58</v>
      </c>
      <c r="AC3" s="163"/>
      <c r="AD3" s="12"/>
    </row>
    <row r="4" spans="1:30" ht="15.75" thickBot="1" x14ac:dyDescent="0.3">
      <c r="A4" s="12"/>
      <c r="B4" s="29"/>
      <c r="C4" s="23" t="s">
        <v>9</v>
      </c>
      <c r="D4" s="23" t="s">
        <v>3</v>
      </c>
      <c r="E4" s="31" t="s">
        <v>0</v>
      </c>
      <c r="F4" s="18"/>
      <c r="G4" s="18"/>
      <c r="H4" s="24" t="s">
        <v>12</v>
      </c>
      <c r="I4" s="25" t="s">
        <v>13</v>
      </c>
      <c r="J4" s="26" t="s">
        <v>14</v>
      </c>
      <c r="K4" s="15"/>
      <c r="L4" s="27" t="s">
        <v>16</v>
      </c>
      <c r="M4" s="28" t="s">
        <v>17</v>
      </c>
      <c r="N4" s="15"/>
      <c r="O4" s="121"/>
      <c r="P4" s="123" t="s">
        <v>9</v>
      </c>
      <c r="Q4" s="12"/>
      <c r="R4" s="124" t="s">
        <v>54</v>
      </c>
      <c r="S4" s="125" t="s">
        <v>55</v>
      </c>
      <c r="T4" s="129" t="s">
        <v>54</v>
      </c>
      <c r="U4" s="130" t="s">
        <v>55</v>
      </c>
      <c r="V4" s="125" t="s">
        <v>54</v>
      </c>
      <c r="W4" s="126" t="s">
        <v>55</v>
      </c>
      <c r="X4" s="12"/>
      <c r="Y4" s="129" t="s">
        <v>54</v>
      </c>
      <c r="Z4" s="130" t="s">
        <v>57</v>
      </c>
      <c r="AA4" s="12"/>
      <c r="AB4" s="131" t="s">
        <v>54</v>
      </c>
      <c r="AC4" s="132" t="s">
        <v>57</v>
      </c>
      <c r="AD4" s="12"/>
    </row>
    <row r="5" spans="1:30" ht="15.75" thickBot="1" x14ac:dyDescent="0.3">
      <c r="A5" s="12"/>
      <c r="B5" s="22"/>
      <c r="C5" t="str">
        <f>IF(AND('ENTRY DATA'!D5=""),"",('ENTRY DATA'!D5))</f>
        <v/>
      </c>
      <c r="D5" t="str">
        <f>IF(AND('ENTRY DATA'!F5=""),"",('ENTRY DATA'!F5))</f>
        <v/>
      </c>
      <c r="E5" s="34">
        <f>IF(AND('ENTRY DATA'!B5=""),"",('ENTRY DATA'!B5))</f>
        <v>1</v>
      </c>
      <c r="F5" s="12"/>
      <c r="G5" s="12"/>
      <c r="H5" s="70"/>
      <c r="I5" s="71"/>
      <c r="J5" s="70"/>
      <c r="K5" s="12"/>
      <c r="L5" s="20">
        <f>COUNT(H5:J5)</f>
        <v>0</v>
      </c>
      <c r="M5" s="19" t="str">
        <f>IF(AND(H5="",I5="",J5=""),"",(H5+I5+J5))</f>
        <v/>
      </c>
      <c r="N5" s="12"/>
      <c r="O5" s="119"/>
      <c r="P5" s="95" t="str">
        <f>C5</f>
        <v/>
      </c>
      <c r="Q5" s="12"/>
      <c r="S5" s="128"/>
      <c r="T5" s="66"/>
      <c r="U5" s="128"/>
      <c r="W5" s="128"/>
      <c r="X5" s="12"/>
      <c r="Y5" t="str">
        <f>IF(AND(R5="",T5="",V5=""),"",SUM(R5,T5,V5))</f>
        <v/>
      </c>
      <c r="Z5" t="str">
        <f>IF(AND(S5="",U5="",W5=""),"",SUM(S5,U5,W5))</f>
        <v/>
      </c>
      <c r="AA5" s="12"/>
      <c r="AB5" s="94" t="e">
        <f>Y5/L5</f>
        <v>#VALUE!</v>
      </c>
      <c r="AC5" s="94" t="e">
        <f>Z5/L5</f>
        <v>#VALUE!</v>
      </c>
      <c r="AD5" s="12"/>
    </row>
    <row r="6" spans="1:30" ht="15.75" thickBot="1" x14ac:dyDescent="0.3">
      <c r="A6" s="12"/>
      <c r="B6" s="22"/>
      <c r="C6" t="str">
        <f>IF(AND('ENTRY DATA'!D6=""),"",('ENTRY DATA'!D6))</f>
        <v/>
      </c>
      <c r="D6" t="str">
        <f>IF(AND('ENTRY DATA'!F6=""),"",('ENTRY DATA'!F6))</f>
        <v/>
      </c>
      <c r="E6" s="34" t="str">
        <f>IF(AND('ENTRY DATA'!B6=""),"",('ENTRY DATA'!B6))</f>
        <v/>
      </c>
      <c r="F6" s="12"/>
      <c r="G6" s="12"/>
      <c r="H6" s="72"/>
      <c r="I6" s="71"/>
      <c r="J6" s="72"/>
      <c r="K6" s="12"/>
      <c r="L6" s="20">
        <f t="shared" ref="L6:L69" si="0">COUNT(H6:J6)</f>
        <v>0</v>
      </c>
      <c r="M6" s="19" t="str">
        <f t="shared" ref="M6:M69" si="1">IF(AND(H6="",I6="",J6=""),"",(H6+I6+J6))</f>
        <v/>
      </c>
      <c r="N6" s="12"/>
      <c r="O6" s="119"/>
      <c r="P6" s="95" t="str">
        <f t="shared" ref="P6:P69" si="2">C6</f>
        <v/>
      </c>
      <c r="Q6" s="12"/>
      <c r="S6" s="128"/>
      <c r="T6" s="66"/>
      <c r="U6" s="128"/>
      <c r="W6" s="128"/>
      <c r="X6" s="12"/>
      <c r="Y6" t="str">
        <f t="shared" ref="Y6:Z69" si="3">IF(AND(R6="",T6="",V6=""),"",SUM(R6,T6,V6))</f>
        <v/>
      </c>
      <c r="Z6" t="str">
        <f t="shared" si="3"/>
        <v/>
      </c>
      <c r="AA6" s="12"/>
      <c r="AB6" s="95" t="e">
        <f t="shared" ref="AB6:AB69" si="4">Y6/L6</f>
        <v>#VALUE!</v>
      </c>
      <c r="AC6" s="95" t="e">
        <f t="shared" ref="AC6:AC69" si="5">Z6/L6</f>
        <v>#VALUE!</v>
      </c>
      <c r="AD6" s="12"/>
    </row>
    <row r="7" spans="1:30" ht="15.75" thickBot="1" x14ac:dyDescent="0.3">
      <c r="A7" s="12"/>
      <c r="B7" s="22"/>
      <c r="C7" t="str">
        <f>IF(AND('ENTRY DATA'!D7=""),"",('ENTRY DATA'!D7))</f>
        <v/>
      </c>
      <c r="D7" t="str">
        <f>IF(AND('ENTRY DATA'!F7=""),"",('ENTRY DATA'!F7))</f>
        <v/>
      </c>
      <c r="E7" s="34" t="str">
        <f>IF(AND('ENTRY DATA'!B7=""),"",('ENTRY DATA'!B7))</f>
        <v/>
      </c>
      <c r="F7" s="12"/>
      <c r="G7" s="12"/>
      <c r="H7" s="72"/>
      <c r="I7" s="71"/>
      <c r="J7" s="72"/>
      <c r="K7" s="12"/>
      <c r="L7" s="20">
        <f t="shared" si="0"/>
        <v>0</v>
      </c>
      <c r="M7" s="19" t="str">
        <f t="shared" si="1"/>
        <v/>
      </c>
      <c r="N7" s="12"/>
      <c r="O7" s="119"/>
      <c r="P7" s="95" t="str">
        <f t="shared" si="2"/>
        <v/>
      </c>
      <c r="Q7" s="12"/>
      <c r="S7" s="128"/>
      <c r="T7" s="66"/>
      <c r="U7" s="128"/>
      <c r="W7" s="128"/>
      <c r="X7" s="12"/>
      <c r="Y7" t="str">
        <f t="shared" si="3"/>
        <v/>
      </c>
      <c r="Z7" t="str">
        <f t="shared" si="3"/>
        <v/>
      </c>
      <c r="AA7" s="12"/>
      <c r="AB7" s="95" t="e">
        <f t="shared" si="4"/>
        <v>#VALUE!</v>
      </c>
      <c r="AC7" s="95" t="e">
        <f t="shared" si="5"/>
        <v>#VALUE!</v>
      </c>
      <c r="AD7" s="12"/>
    </row>
    <row r="8" spans="1:30" ht="15.75" thickBot="1" x14ac:dyDescent="0.3">
      <c r="A8" s="12"/>
      <c r="B8" s="22"/>
      <c r="C8" t="str">
        <f>IF(AND('ENTRY DATA'!D8=""),"",('ENTRY DATA'!D8))</f>
        <v/>
      </c>
      <c r="D8" t="str">
        <f>IF(AND('ENTRY DATA'!F8=""),"",('ENTRY DATA'!F8))</f>
        <v/>
      </c>
      <c r="E8" s="34" t="str">
        <f>IF(AND('ENTRY DATA'!B8=""),"",('ENTRY DATA'!B8))</f>
        <v/>
      </c>
      <c r="F8" s="12"/>
      <c r="G8" s="12"/>
      <c r="H8" s="72"/>
      <c r="I8" s="71"/>
      <c r="J8" s="72"/>
      <c r="K8" s="12"/>
      <c r="L8" s="20">
        <f t="shared" si="0"/>
        <v>0</v>
      </c>
      <c r="M8" s="19" t="str">
        <f t="shared" si="1"/>
        <v/>
      </c>
      <c r="N8" s="12"/>
      <c r="O8" s="119"/>
      <c r="P8" s="95" t="str">
        <f t="shared" si="2"/>
        <v/>
      </c>
      <c r="Q8" s="12"/>
      <c r="S8" s="128"/>
      <c r="T8" s="66"/>
      <c r="U8" s="128"/>
      <c r="W8" s="128"/>
      <c r="X8" s="12"/>
      <c r="Y8" t="str">
        <f t="shared" si="3"/>
        <v/>
      </c>
      <c r="Z8" t="str">
        <f t="shared" si="3"/>
        <v/>
      </c>
      <c r="AA8" s="12"/>
      <c r="AB8" s="95" t="e">
        <f t="shared" si="4"/>
        <v>#VALUE!</v>
      </c>
      <c r="AC8" s="95" t="e">
        <f t="shared" si="5"/>
        <v>#VALUE!</v>
      </c>
      <c r="AD8" s="12"/>
    </row>
    <row r="9" spans="1:30" ht="15.75" thickBot="1" x14ac:dyDescent="0.3">
      <c r="A9" s="12"/>
      <c r="B9" s="22"/>
      <c r="C9" t="str">
        <f>IF(AND('ENTRY DATA'!D9=""),"",('ENTRY DATA'!D9))</f>
        <v/>
      </c>
      <c r="D9" t="str">
        <f>IF(AND('ENTRY DATA'!F9=""),"",('ENTRY DATA'!F9))</f>
        <v/>
      </c>
      <c r="E9" s="34" t="str">
        <f>IF(AND('ENTRY DATA'!B9=""),"",('ENTRY DATA'!B9))</f>
        <v/>
      </c>
      <c r="F9" s="12"/>
      <c r="G9" s="12"/>
      <c r="H9" s="72"/>
      <c r="I9" s="71"/>
      <c r="J9" s="72"/>
      <c r="K9" s="12"/>
      <c r="L9" s="20">
        <f t="shared" si="0"/>
        <v>0</v>
      </c>
      <c r="M9" s="19" t="str">
        <f t="shared" si="1"/>
        <v/>
      </c>
      <c r="N9" s="12"/>
      <c r="O9" s="119"/>
      <c r="P9" s="95" t="str">
        <f t="shared" si="2"/>
        <v/>
      </c>
      <c r="Q9" s="12"/>
      <c r="S9" s="128"/>
      <c r="T9" s="66"/>
      <c r="U9" s="128"/>
      <c r="W9" s="128"/>
      <c r="X9" s="12"/>
      <c r="Y9" t="str">
        <f t="shared" si="3"/>
        <v/>
      </c>
      <c r="Z9" t="str">
        <f t="shared" si="3"/>
        <v/>
      </c>
      <c r="AA9" s="12"/>
      <c r="AB9" s="95" t="e">
        <f t="shared" si="4"/>
        <v>#VALUE!</v>
      </c>
      <c r="AC9" s="95" t="e">
        <f t="shared" si="5"/>
        <v>#VALUE!</v>
      </c>
      <c r="AD9" s="12"/>
    </row>
    <row r="10" spans="1:30" ht="15.75" thickBot="1" x14ac:dyDescent="0.3">
      <c r="A10" s="12"/>
      <c r="B10" s="22"/>
      <c r="C10" t="str">
        <f>IF(AND('ENTRY DATA'!D10=""),"",('ENTRY DATA'!D10))</f>
        <v/>
      </c>
      <c r="D10" t="str">
        <f>IF(AND('ENTRY DATA'!F10=""),"",('ENTRY DATA'!F10))</f>
        <v/>
      </c>
      <c r="E10" s="34" t="str">
        <f>IF(AND('ENTRY DATA'!B10=""),"",('ENTRY DATA'!B10))</f>
        <v/>
      </c>
      <c r="F10" s="12"/>
      <c r="G10" s="12"/>
      <c r="H10" s="72"/>
      <c r="I10" s="71"/>
      <c r="J10" s="72"/>
      <c r="K10" s="12"/>
      <c r="L10" s="20">
        <f t="shared" si="0"/>
        <v>0</v>
      </c>
      <c r="M10" s="19" t="str">
        <f t="shared" si="1"/>
        <v/>
      </c>
      <c r="N10" s="12"/>
      <c r="O10" s="119"/>
      <c r="P10" s="95" t="str">
        <f t="shared" si="2"/>
        <v/>
      </c>
      <c r="Q10" s="12"/>
      <c r="S10" s="128"/>
      <c r="T10" s="66"/>
      <c r="U10" s="128"/>
      <c r="W10" s="128"/>
      <c r="X10" s="12"/>
      <c r="Y10" t="str">
        <f t="shared" si="3"/>
        <v/>
      </c>
      <c r="Z10" t="str">
        <f t="shared" si="3"/>
        <v/>
      </c>
      <c r="AA10" s="12"/>
      <c r="AB10" s="95" t="e">
        <f t="shared" si="4"/>
        <v>#VALUE!</v>
      </c>
      <c r="AC10" s="95" t="e">
        <f t="shared" si="5"/>
        <v>#VALUE!</v>
      </c>
      <c r="AD10" s="12"/>
    </row>
    <row r="11" spans="1:30" ht="15.75" thickBot="1" x14ac:dyDescent="0.3">
      <c r="A11" s="12"/>
      <c r="B11" s="22"/>
      <c r="C11" t="str">
        <f>IF(AND('ENTRY DATA'!D11=""),"",('ENTRY DATA'!D11))</f>
        <v/>
      </c>
      <c r="D11" t="str">
        <f>IF(AND('ENTRY DATA'!F11=""),"",('ENTRY DATA'!F11))</f>
        <v/>
      </c>
      <c r="E11" s="34" t="str">
        <f>IF(AND('ENTRY DATA'!B11=""),"",('ENTRY DATA'!B11))</f>
        <v/>
      </c>
      <c r="F11" s="12"/>
      <c r="G11" s="12"/>
      <c r="H11" s="72"/>
      <c r="I11" s="71"/>
      <c r="J11" s="72"/>
      <c r="K11" s="12"/>
      <c r="L11" s="20">
        <f t="shared" si="0"/>
        <v>0</v>
      </c>
      <c r="M11" s="19" t="str">
        <f t="shared" si="1"/>
        <v/>
      </c>
      <c r="N11" s="12"/>
      <c r="O11" s="119"/>
      <c r="P11" s="95" t="str">
        <f t="shared" si="2"/>
        <v/>
      </c>
      <c r="Q11" s="12"/>
      <c r="S11" s="128"/>
      <c r="T11" s="66"/>
      <c r="U11" s="128"/>
      <c r="W11" s="128"/>
      <c r="X11" s="12"/>
      <c r="Y11" t="str">
        <f t="shared" si="3"/>
        <v/>
      </c>
      <c r="Z11" t="str">
        <f t="shared" si="3"/>
        <v/>
      </c>
      <c r="AA11" s="12"/>
      <c r="AB11" s="95" t="e">
        <f t="shared" si="4"/>
        <v>#VALUE!</v>
      </c>
      <c r="AC11" s="95" t="e">
        <f t="shared" si="5"/>
        <v>#VALUE!</v>
      </c>
      <c r="AD11" s="12"/>
    </row>
    <row r="12" spans="1:30" ht="15.75" thickBot="1" x14ac:dyDescent="0.3">
      <c r="A12" s="12"/>
      <c r="B12" s="22"/>
      <c r="C12" t="str">
        <f>IF(AND('ENTRY DATA'!D12=""),"",('ENTRY DATA'!D12))</f>
        <v/>
      </c>
      <c r="D12" t="str">
        <f>IF(AND('ENTRY DATA'!F12=""),"",('ENTRY DATA'!F12))</f>
        <v/>
      </c>
      <c r="E12" s="34" t="str">
        <f>IF(AND('ENTRY DATA'!B12=""),"",('ENTRY DATA'!B12))</f>
        <v/>
      </c>
      <c r="F12" s="12"/>
      <c r="G12" s="12"/>
      <c r="H12" s="72"/>
      <c r="I12" s="71"/>
      <c r="J12" s="72"/>
      <c r="K12" s="12"/>
      <c r="L12" s="20">
        <f t="shared" si="0"/>
        <v>0</v>
      </c>
      <c r="M12" s="19" t="str">
        <f t="shared" si="1"/>
        <v/>
      </c>
      <c r="N12" s="12"/>
      <c r="O12" s="119"/>
      <c r="P12" s="95" t="str">
        <f t="shared" si="2"/>
        <v/>
      </c>
      <c r="Q12" s="12"/>
      <c r="S12" s="128"/>
      <c r="T12" s="66"/>
      <c r="U12" s="128"/>
      <c r="W12" s="128"/>
      <c r="X12" s="12"/>
      <c r="Y12" t="str">
        <f t="shared" si="3"/>
        <v/>
      </c>
      <c r="Z12" t="str">
        <f t="shared" si="3"/>
        <v/>
      </c>
      <c r="AA12" s="12"/>
      <c r="AB12" s="95" t="e">
        <f t="shared" si="4"/>
        <v>#VALUE!</v>
      </c>
      <c r="AC12" s="95" t="e">
        <f t="shared" si="5"/>
        <v>#VALUE!</v>
      </c>
      <c r="AD12" s="12"/>
    </row>
    <row r="13" spans="1:30" ht="15.75" thickBot="1" x14ac:dyDescent="0.3">
      <c r="A13" s="12"/>
      <c r="B13" s="22"/>
      <c r="C13" t="str">
        <f>IF(AND('ENTRY DATA'!D13=""),"",('ENTRY DATA'!D13))</f>
        <v/>
      </c>
      <c r="D13" t="str">
        <f>IF(AND('ENTRY DATA'!F13=""),"",('ENTRY DATA'!F13))</f>
        <v/>
      </c>
      <c r="E13" s="34">
        <f>IF(AND('ENTRY DATA'!B13=""),"",('ENTRY DATA'!B13))</f>
        <v>2</v>
      </c>
      <c r="F13" s="12"/>
      <c r="G13" s="12"/>
      <c r="H13" s="72"/>
      <c r="I13" s="71"/>
      <c r="J13" s="72"/>
      <c r="K13" s="12"/>
      <c r="L13" s="20">
        <f t="shared" si="0"/>
        <v>0</v>
      </c>
      <c r="M13" s="19" t="str">
        <f t="shared" si="1"/>
        <v/>
      </c>
      <c r="N13" s="12"/>
      <c r="O13" s="119"/>
      <c r="P13" s="95" t="str">
        <f t="shared" si="2"/>
        <v/>
      </c>
      <c r="Q13" s="12"/>
      <c r="S13" s="128"/>
      <c r="T13" s="66"/>
      <c r="U13" s="128"/>
      <c r="W13" s="128"/>
      <c r="X13" s="12"/>
      <c r="Y13" t="str">
        <f t="shared" si="3"/>
        <v/>
      </c>
      <c r="Z13" t="str">
        <f t="shared" si="3"/>
        <v/>
      </c>
      <c r="AA13" s="12"/>
      <c r="AB13" s="95" t="e">
        <f t="shared" si="4"/>
        <v>#VALUE!</v>
      </c>
      <c r="AC13" s="95" t="e">
        <f t="shared" si="5"/>
        <v>#VALUE!</v>
      </c>
      <c r="AD13" s="12"/>
    </row>
    <row r="14" spans="1:30" ht="15.75" thickBot="1" x14ac:dyDescent="0.3">
      <c r="A14" s="12"/>
      <c r="B14" s="22"/>
      <c r="C14" t="str">
        <f>IF(AND('ENTRY DATA'!D14=""),"",('ENTRY DATA'!D14))</f>
        <v/>
      </c>
      <c r="D14" t="str">
        <f>IF(AND('ENTRY DATA'!F14=""),"",('ENTRY DATA'!F14))</f>
        <v/>
      </c>
      <c r="E14" s="34" t="str">
        <f>IF(AND('ENTRY DATA'!B14=""),"",('ENTRY DATA'!B14))</f>
        <v/>
      </c>
      <c r="F14" s="12"/>
      <c r="G14" s="12"/>
      <c r="H14" s="72"/>
      <c r="I14" s="71"/>
      <c r="J14" s="72"/>
      <c r="K14" s="12"/>
      <c r="L14" s="20">
        <f t="shared" si="0"/>
        <v>0</v>
      </c>
      <c r="M14" s="19" t="str">
        <f t="shared" si="1"/>
        <v/>
      </c>
      <c r="N14" s="12"/>
      <c r="O14" s="119"/>
      <c r="P14" s="95" t="str">
        <f t="shared" si="2"/>
        <v/>
      </c>
      <c r="Q14" s="12"/>
      <c r="S14" s="128"/>
      <c r="T14" s="66"/>
      <c r="U14" s="128"/>
      <c r="W14" s="128"/>
      <c r="X14" s="12"/>
      <c r="Y14" t="str">
        <f t="shared" si="3"/>
        <v/>
      </c>
      <c r="Z14" t="str">
        <f t="shared" si="3"/>
        <v/>
      </c>
      <c r="AA14" s="12"/>
      <c r="AB14" s="95" t="e">
        <f t="shared" si="4"/>
        <v>#VALUE!</v>
      </c>
      <c r="AC14" s="95" t="e">
        <f t="shared" si="5"/>
        <v>#VALUE!</v>
      </c>
      <c r="AD14" s="12"/>
    </row>
    <row r="15" spans="1:30" ht="15.75" thickBot="1" x14ac:dyDescent="0.3">
      <c r="A15" s="12"/>
      <c r="B15" s="22"/>
      <c r="C15" t="str">
        <f>IF(AND('ENTRY DATA'!D15=""),"",('ENTRY DATA'!D15))</f>
        <v/>
      </c>
      <c r="D15" t="str">
        <f>IF(AND('ENTRY DATA'!F15=""),"",('ENTRY DATA'!F15))</f>
        <v/>
      </c>
      <c r="E15" s="34" t="str">
        <f>IF(AND('ENTRY DATA'!B15=""),"",('ENTRY DATA'!B15))</f>
        <v/>
      </c>
      <c r="F15" s="12"/>
      <c r="G15" s="12"/>
      <c r="H15" s="72"/>
      <c r="I15" s="71"/>
      <c r="J15" s="72"/>
      <c r="K15" s="12"/>
      <c r="L15" s="20">
        <f t="shared" si="0"/>
        <v>0</v>
      </c>
      <c r="M15" s="19" t="str">
        <f t="shared" si="1"/>
        <v/>
      </c>
      <c r="N15" s="12"/>
      <c r="O15" s="119"/>
      <c r="P15" s="95" t="str">
        <f t="shared" si="2"/>
        <v/>
      </c>
      <c r="Q15" s="12"/>
      <c r="S15" s="128"/>
      <c r="T15" s="66"/>
      <c r="U15" s="128"/>
      <c r="W15" s="128"/>
      <c r="X15" s="12"/>
      <c r="Y15" t="str">
        <f t="shared" si="3"/>
        <v/>
      </c>
      <c r="Z15" t="str">
        <f t="shared" si="3"/>
        <v/>
      </c>
      <c r="AA15" s="12"/>
      <c r="AB15" s="95" t="e">
        <f t="shared" si="4"/>
        <v>#VALUE!</v>
      </c>
      <c r="AC15" s="95" t="e">
        <f t="shared" si="5"/>
        <v>#VALUE!</v>
      </c>
      <c r="AD15" s="12"/>
    </row>
    <row r="16" spans="1:30" ht="15.75" thickBot="1" x14ac:dyDescent="0.3">
      <c r="A16" s="12"/>
      <c r="B16" s="22"/>
      <c r="C16" t="str">
        <f>IF(AND('ENTRY DATA'!D16=""),"",('ENTRY DATA'!D16))</f>
        <v/>
      </c>
      <c r="D16" t="str">
        <f>IF(AND('ENTRY DATA'!F16=""),"",('ENTRY DATA'!F16))</f>
        <v/>
      </c>
      <c r="E16" s="34" t="str">
        <f>IF(AND('ENTRY DATA'!B16=""),"",('ENTRY DATA'!B16))</f>
        <v/>
      </c>
      <c r="F16" s="12"/>
      <c r="G16" s="12"/>
      <c r="H16" s="72"/>
      <c r="I16" s="71"/>
      <c r="J16" s="72"/>
      <c r="K16" s="12"/>
      <c r="L16" s="20">
        <f t="shared" si="0"/>
        <v>0</v>
      </c>
      <c r="M16" s="19" t="str">
        <f t="shared" si="1"/>
        <v/>
      </c>
      <c r="N16" s="12"/>
      <c r="O16" s="119"/>
      <c r="P16" s="95" t="str">
        <f t="shared" si="2"/>
        <v/>
      </c>
      <c r="Q16" s="12"/>
      <c r="S16" s="128"/>
      <c r="T16" s="66"/>
      <c r="U16" s="128"/>
      <c r="W16" s="128"/>
      <c r="X16" s="12"/>
      <c r="Y16" t="str">
        <f t="shared" si="3"/>
        <v/>
      </c>
      <c r="Z16" t="str">
        <f t="shared" si="3"/>
        <v/>
      </c>
      <c r="AA16" s="12"/>
      <c r="AB16" s="95" t="e">
        <f t="shared" si="4"/>
        <v>#VALUE!</v>
      </c>
      <c r="AC16" s="95" t="e">
        <f t="shared" si="5"/>
        <v>#VALUE!</v>
      </c>
      <c r="AD16" s="12"/>
    </row>
    <row r="17" spans="1:30" ht="15.75" thickBot="1" x14ac:dyDescent="0.3">
      <c r="A17" s="12"/>
      <c r="B17" s="22"/>
      <c r="C17" t="str">
        <f>IF(AND('ENTRY DATA'!D17=""),"",('ENTRY DATA'!D17))</f>
        <v/>
      </c>
      <c r="D17" t="str">
        <f>IF(AND('ENTRY DATA'!F17=""),"",('ENTRY DATA'!F17))</f>
        <v/>
      </c>
      <c r="E17" s="34" t="str">
        <f>IF(AND('ENTRY DATA'!B17=""),"",('ENTRY DATA'!B17))</f>
        <v/>
      </c>
      <c r="F17" s="12"/>
      <c r="G17" s="12"/>
      <c r="H17" s="72"/>
      <c r="I17" s="71"/>
      <c r="J17" s="72"/>
      <c r="K17" s="12"/>
      <c r="L17" s="20">
        <f t="shared" si="0"/>
        <v>0</v>
      </c>
      <c r="M17" s="19" t="str">
        <f t="shared" si="1"/>
        <v/>
      </c>
      <c r="N17" s="12"/>
      <c r="O17" s="119"/>
      <c r="P17" s="95" t="str">
        <f t="shared" si="2"/>
        <v/>
      </c>
      <c r="Q17" s="12"/>
      <c r="S17" s="128"/>
      <c r="T17" s="66"/>
      <c r="U17" s="128"/>
      <c r="W17" s="128"/>
      <c r="X17" s="12"/>
      <c r="Y17" t="str">
        <f t="shared" si="3"/>
        <v/>
      </c>
      <c r="Z17" t="str">
        <f t="shared" si="3"/>
        <v/>
      </c>
      <c r="AA17" s="12"/>
      <c r="AB17" s="95" t="e">
        <f t="shared" si="4"/>
        <v>#VALUE!</v>
      </c>
      <c r="AC17" s="95" t="e">
        <f t="shared" si="5"/>
        <v>#VALUE!</v>
      </c>
      <c r="AD17" s="12"/>
    </row>
    <row r="18" spans="1:30" ht="15.75" thickBot="1" x14ac:dyDescent="0.3">
      <c r="A18" s="12"/>
      <c r="B18" s="22"/>
      <c r="C18" t="str">
        <f>IF(AND('ENTRY DATA'!D18=""),"",('ENTRY DATA'!D18))</f>
        <v/>
      </c>
      <c r="D18" t="str">
        <f>IF(AND('ENTRY DATA'!F18=""),"",('ENTRY DATA'!F18))</f>
        <v/>
      </c>
      <c r="E18" s="34" t="str">
        <f>IF(AND('ENTRY DATA'!B18=""),"",('ENTRY DATA'!B18))</f>
        <v/>
      </c>
      <c r="F18" s="12"/>
      <c r="G18" s="12"/>
      <c r="H18" s="72"/>
      <c r="I18" s="71"/>
      <c r="J18" s="72"/>
      <c r="K18" s="12"/>
      <c r="L18" s="20">
        <f t="shared" si="0"/>
        <v>0</v>
      </c>
      <c r="M18" s="19" t="str">
        <f t="shared" si="1"/>
        <v/>
      </c>
      <c r="N18" s="12"/>
      <c r="O18" s="119"/>
      <c r="P18" s="95" t="str">
        <f t="shared" si="2"/>
        <v/>
      </c>
      <c r="Q18" s="12"/>
      <c r="S18" s="128"/>
      <c r="T18" s="66"/>
      <c r="U18" s="128"/>
      <c r="W18" s="128"/>
      <c r="X18" s="12"/>
      <c r="Y18" t="str">
        <f t="shared" si="3"/>
        <v/>
      </c>
      <c r="Z18" t="str">
        <f t="shared" si="3"/>
        <v/>
      </c>
      <c r="AA18" s="12"/>
      <c r="AB18" s="95" t="e">
        <f t="shared" si="4"/>
        <v>#VALUE!</v>
      </c>
      <c r="AC18" s="95" t="e">
        <f t="shared" si="5"/>
        <v>#VALUE!</v>
      </c>
      <c r="AD18" s="12"/>
    </row>
    <row r="19" spans="1:30" ht="15.75" thickBot="1" x14ac:dyDescent="0.3">
      <c r="A19" s="12"/>
      <c r="B19" s="22"/>
      <c r="C19" t="str">
        <f>IF(AND('ENTRY DATA'!D19=""),"",('ENTRY DATA'!D19))</f>
        <v/>
      </c>
      <c r="D19" t="str">
        <f>IF(AND('ENTRY DATA'!F19=""),"",('ENTRY DATA'!F19))</f>
        <v/>
      </c>
      <c r="E19" s="34" t="str">
        <f>IF(AND('ENTRY DATA'!B19=""),"",('ENTRY DATA'!B19))</f>
        <v/>
      </c>
      <c r="F19" s="12"/>
      <c r="G19" s="12"/>
      <c r="H19" s="72"/>
      <c r="I19" s="71"/>
      <c r="J19" s="72"/>
      <c r="K19" s="12"/>
      <c r="L19" s="20">
        <f t="shared" si="0"/>
        <v>0</v>
      </c>
      <c r="M19" s="19" t="str">
        <f t="shared" si="1"/>
        <v/>
      </c>
      <c r="N19" s="12"/>
      <c r="O19" s="119"/>
      <c r="P19" s="95" t="str">
        <f t="shared" si="2"/>
        <v/>
      </c>
      <c r="Q19" s="12"/>
      <c r="S19" s="128"/>
      <c r="T19" s="66"/>
      <c r="U19" s="128"/>
      <c r="W19" s="128"/>
      <c r="X19" s="12"/>
      <c r="Y19" t="str">
        <f t="shared" si="3"/>
        <v/>
      </c>
      <c r="Z19" t="str">
        <f t="shared" si="3"/>
        <v/>
      </c>
      <c r="AA19" s="12"/>
      <c r="AB19" s="95" t="e">
        <f t="shared" si="4"/>
        <v>#VALUE!</v>
      </c>
      <c r="AC19" s="95" t="e">
        <f t="shared" si="5"/>
        <v>#VALUE!</v>
      </c>
      <c r="AD19" s="12"/>
    </row>
    <row r="20" spans="1:30" ht="15.75" thickBot="1" x14ac:dyDescent="0.3">
      <c r="A20" s="12"/>
      <c r="B20" s="22"/>
      <c r="C20" t="str">
        <f>IF(AND('ENTRY DATA'!D20=""),"",('ENTRY DATA'!D20))</f>
        <v/>
      </c>
      <c r="D20" t="str">
        <f>IF(AND('ENTRY DATA'!F20=""),"",('ENTRY DATA'!F20))</f>
        <v/>
      </c>
      <c r="E20" s="34" t="str">
        <f>IF(AND('ENTRY DATA'!B20=""),"",('ENTRY DATA'!B20))</f>
        <v/>
      </c>
      <c r="F20" s="12"/>
      <c r="G20" s="12"/>
      <c r="H20" s="72"/>
      <c r="I20" s="71"/>
      <c r="J20" s="72"/>
      <c r="K20" s="12"/>
      <c r="L20" s="20">
        <f t="shared" si="0"/>
        <v>0</v>
      </c>
      <c r="M20" s="19" t="str">
        <f t="shared" si="1"/>
        <v/>
      </c>
      <c r="N20" s="12"/>
      <c r="O20" s="119"/>
      <c r="P20" s="95" t="str">
        <f t="shared" si="2"/>
        <v/>
      </c>
      <c r="Q20" s="12"/>
      <c r="S20" s="128"/>
      <c r="T20" s="66"/>
      <c r="U20" s="128"/>
      <c r="W20" s="128"/>
      <c r="X20" s="12"/>
      <c r="Y20" t="str">
        <f t="shared" si="3"/>
        <v/>
      </c>
      <c r="Z20" t="str">
        <f t="shared" si="3"/>
        <v/>
      </c>
      <c r="AA20" s="12"/>
      <c r="AB20" s="95" t="e">
        <f t="shared" si="4"/>
        <v>#VALUE!</v>
      </c>
      <c r="AC20" s="95" t="e">
        <f t="shared" si="5"/>
        <v>#VALUE!</v>
      </c>
      <c r="AD20" s="12"/>
    </row>
    <row r="21" spans="1:30" ht="15.75" thickBot="1" x14ac:dyDescent="0.3">
      <c r="A21" s="12"/>
      <c r="B21" s="22"/>
      <c r="C21" t="str">
        <f>IF(AND('ENTRY DATA'!D21=""),"",('ENTRY DATA'!D21))</f>
        <v/>
      </c>
      <c r="D21" t="str">
        <f>IF(AND('ENTRY DATA'!F21=""),"",('ENTRY DATA'!F21))</f>
        <v/>
      </c>
      <c r="E21" s="34">
        <f>IF(AND('ENTRY DATA'!B21=""),"",('ENTRY DATA'!B21))</f>
        <v>3</v>
      </c>
      <c r="F21" s="12"/>
      <c r="G21" s="12"/>
      <c r="H21" s="72"/>
      <c r="I21" s="71"/>
      <c r="J21" s="72"/>
      <c r="K21" s="12"/>
      <c r="L21" s="20">
        <f t="shared" si="0"/>
        <v>0</v>
      </c>
      <c r="M21" s="19" t="str">
        <f t="shared" si="1"/>
        <v/>
      </c>
      <c r="N21" s="12"/>
      <c r="O21" s="119"/>
      <c r="P21" s="95" t="str">
        <f t="shared" si="2"/>
        <v/>
      </c>
      <c r="Q21" s="12"/>
      <c r="S21" s="128"/>
      <c r="T21" s="66"/>
      <c r="U21" s="128"/>
      <c r="W21" s="128"/>
      <c r="X21" s="12"/>
      <c r="Y21" t="str">
        <f t="shared" si="3"/>
        <v/>
      </c>
      <c r="Z21" t="str">
        <f t="shared" si="3"/>
        <v/>
      </c>
      <c r="AA21" s="12"/>
      <c r="AB21" s="95" t="e">
        <f t="shared" si="4"/>
        <v>#VALUE!</v>
      </c>
      <c r="AC21" s="95" t="e">
        <f t="shared" si="5"/>
        <v>#VALUE!</v>
      </c>
      <c r="AD21" s="12"/>
    </row>
    <row r="22" spans="1:30" ht="15.75" thickBot="1" x14ac:dyDescent="0.3">
      <c r="A22" s="12"/>
      <c r="B22" s="22"/>
      <c r="C22" t="str">
        <f>IF(AND('ENTRY DATA'!D22=""),"",('ENTRY DATA'!D22))</f>
        <v/>
      </c>
      <c r="D22" t="str">
        <f>IF(AND('ENTRY DATA'!F22=""),"",('ENTRY DATA'!F22))</f>
        <v/>
      </c>
      <c r="E22" s="34" t="str">
        <f>IF(AND('ENTRY DATA'!B22=""),"",('ENTRY DATA'!B22))</f>
        <v/>
      </c>
      <c r="F22" s="12"/>
      <c r="G22" s="12"/>
      <c r="H22" s="72"/>
      <c r="I22" s="71"/>
      <c r="J22" s="72"/>
      <c r="K22" s="12"/>
      <c r="L22" s="20">
        <f t="shared" si="0"/>
        <v>0</v>
      </c>
      <c r="M22" s="19" t="str">
        <f t="shared" si="1"/>
        <v/>
      </c>
      <c r="N22" s="12"/>
      <c r="O22" s="119"/>
      <c r="P22" s="95" t="str">
        <f t="shared" si="2"/>
        <v/>
      </c>
      <c r="Q22" s="12"/>
      <c r="S22" s="128"/>
      <c r="T22" s="66"/>
      <c r="U22" s="128"/>
      <c r="W22" s="128"/>
      <c r="X22" s="12"/>
      <c r="Y22" t="str">
        <f t="shared" si="3"/>
        <v/>
      </c>
      <c r="Z22" t="str">
        <f t="shared" si="3"/>
        <v/>
      </c>
      <c r="AA22" s="12"/>
      <c r="AB22" s="95" t="e">
        <f t="shared" si="4"/>
        <v>#VALUE!</v>
      </c>
      <c r="AC22" s="95" t="e">
        <f t="shared" si="5"/>
        <v>#VALUE!</v>
      </c>
      <c r="AD22" s="12"/>
    </row>
    <row r="23" spans="1:30" ht="15.75" thickBot="1" x14ac:dyDescent="0.3">
      <c r="A23" s="12"/>
      <c r="B23" s="22"/>
      <c r="C23" t="str">
        <f>IF(AND('ENTRY DATA'!D23=""),"",('ENTRY DATA'!D23))</f>
        <v/>
      </c>
      <c r="D23" t="str">
        <f>IF(AND('ENTRY DATA'!F23=""),"",('ENTRY DATA'!F23))</f>
        <v/>
      </c>
      <c r="E23" s="34" t="str">
        <f>IF(AND('ENTRY DATA'!B23=""),"",('ENTRY DATA'!B23))</f>
        <v/>
      </c>
      <c r="F23" s="12"/>
      <c r="G23" s="12"/>
      <c r="H23" s="72"/>
      <c r="I23" s="71"/>
      <c r="J23" s="72"/>
      <c r="K23" s="12"/>
      <c r="L23" s="20">
        <f t="shared" si="0"/>
        <v>0</v>
      </c>
      <c r="M23" s="19" t="str">
        <f t="shared" si="1"/>
        <v/>
      </c>
      <c r="N23" s="12"/>
      <c r="O23" s="119"/>
      <c r="P23" s="95" t="str">
        <f t="shared" si="2"/>
        <v/>
      </c>
      <c r="Q23" s="12"/>
      <c r="S23" s="128"/>
      <c r="T23" s="66"/>
      <c r="U23" s="128"/>
      <c r="W23" s="128"/>
      <c r="X23" s="12"/>
      <c r="Y23" t="str">
        <f t="shared" si="3"/>
        <v/>
      </c>
      <c r="Z23" t="str">
        <f t="shared" si="3"/>
        <v/>
      </c>
      <c r="AA23" s="12"/>
      <c r="AB23" s="95" t="e">
        <f t="shared" si="4"/>
        <v>#VALUE!</v>
      </c>
      <c r="AC23" s="95" t="e">
        <f t="shared" si="5"/>
        <v>#VALUE!</v>
      </c>
      <c r="AD23" s="12"/>
    </row>
    <row r="24" spans="1:30" ht="15.75" thickBot="1" x14ac:dyDescent="0.3">
      <c r="A24" s="12"/>
      <c r="B24" s="22"/>
      <c r="C24" t="str">
        <f>IF(AND('ENTRY DATA'!D24=""),"",('ENTRY DATA'!D24))</f>
        <v/>
      </c>
      <c r="D24" t="str">
        <f>IF(AND('ENTRY DATA'!F24=""),"",('ENTRY DATA'!F24))</f>
        <v/>
      </c>
      <c r="E24" s="34" t="str">
        <f>IF(AND('ENTRY DATA'!B24=""),"",('ENTRY DATA'!B24))</f>
        <v/>
      </c>
      <c r="F24" s="12"/>
      <c r="G24" s="12"/>
      <c r="H24" s="72"/>
      <c r="I24" s="71"/>
      <c r="J24" s="72"/>
      <c r="K24" s="12"/>
      <c r="L24" s="20">
        <f t="shared" si="0"/>
        <v>0</v>
      </c>
      <c r="M24" s="19" t="str">
        <f t="shared" si="1"/>
        <v/>
      </c>
      <c r="N24" s="12"/>
      <c r="O24" s="119"/>
      <c r="P24" s="95" t="str">
        <f t="shared" si="2"/>
        <v/>
      </c>
      <c r="Q24" s="12"/>
      <c r="S24" s="128"/>
      <c r="T24" s="66"/>
      <c r="U24" s="128"/>
      <c r="W24" s="128"/>
      <c r="X24" s="12"/>
      <c r="Y24" t="str">
        <f t="shared" si="3"/>
        <v/>
      </c>
      <c r="Z24" t="str">
        <f t="shared" si="3"/>
        <v/>
      </c>
      <c r="AA24" s="12"/>
      <c r="AB24" s="95" t="e">
        <f t="shared" si="4"/>
        <v>#VALUE!</v>
      </c>
      <c r="AC24" s="95" t="e">
        <f t="shared" si="5"/>
        <v>#VALUE!</v>
      </c>
      <c r="AD24" s="12"/>
    </row>
    <row r="25" spans="1:30" ht="15.75" thickBot="1" x14ac:dyDescent="0.3">
      <c r="A25" s="12"/>
      <c r="B25" s="22"/>
      <c r="C25" t="str">
        <f>IF(AND('ENTRY DATA'!D25=""),"",('ENTRY DATA'!D25))</f>
        <v/>
      </c>
      <c r="D25" t="str">
        <f>IF(AND('ENTRY DATA'!F25=""),"",('ENTRY DATA'!F25))</f>
        <v/>
      </c>
      <c r="E25" s="34" t="str">
        <f>IF(AND('ENTRY DATA'!B25=""),"",('ENTRY DATA'!B25))</f>
        <v/>
      </c>
      <c r="F25" s="12"/>
      <c r="G25" s="12"/>
      <c r="H25" s="72"/>
      <c r="I25" s="71"/>
      <c r="J25" s="72"/>
      <c r="K25" s="12"/>
      <c r="L25" s="20">
        <f t="shared" si="0"/>
        <v>0</v>
      </c>
      <c r="M25" s="19" t="str">
        <f t="shared" si="1"/>
        <v/>
      </c>
      <c r="N25" s="12"/>
      <c r="O25" s="119"/>
      <c r="P25" s="95" t="str">
        <f t="shared" si="2"/>
        <v/>
      </c>
      <c r="Q25" s="12"/>
      <c r="S25" s="128"/>
      <c r="T25" s="66"/>
      <c r="U25" s="128"/>
      <c r="W25" s="128"/>
      <c r="X25" s="12"/>
      <c r="Y25" t="str">
        <f t="shared" si="3"/>
        <v/>
      </c>
      <c r="Z25" t="str">
        <f t="shared" si="3"/>
        <v/>
      </c>
      <c r="AA25" s="12"/>
      <c r="AB25" s="95" t="e">
        <f t="shared" si="4"/>
        <v>#VALUE!</v>
      </c>
      <c r="AC25" s="95" t="e">
        <f t="shared" si="5"/>
        <v>#VALUE!</v>
      </c>
      <c r="AD25" s="12"/>
    </row>
    <row r="26" spans="1:30" ht="15.75" thickBot="1" x14ac:dyDescent="0.3">
      <c r="A26" s="12"/>
      <c r="B26" s="22"/>
      <c r="C26" t="str">
        <f>IF(AND('ENTRY DATA'!D26=""),"",('ENTRY DATA'!D26))</f>
        <v/>
      </c>
      <c r="D26" t="str">
        <f>IF(AND('ENTRY DATA'!F26=""),"",('ENTRY DATA'!F26))</f>
        <v/>
      </c>
      <c r="E26" s="34" t="str">
        <f>IF(AND('ENTRY DATA'!B26=""),"",('ENTRY DATA'!B26))</f>
        <v/>
      </c>
      <c r="F26" s="12"/>
      <c r="G26" s="12"/>
      <c r="H26" s="72"/>
      <c r="I26" s="71"/>
      <c r="J26" s="72"/>
      <c r="K26" s="12"/>
      <c r="L26" s="20">
        <f t="shared" si="0"/>
        <v>0</v>
      </c>
      <c r="M26" s="19" t="str">
        <f t="shared" si="1"/>
        <v/>
      </c>
      <c r="N26" s="12"/>
      <c r="O26" s="119"/>
      <c r="P26" s="95" t="str">
        <f t="shared" si="2"/>
        <v/>
      </c>
      <c r="Q26" s="12"/>
      <c r="S26" s="128"/>
      <c r="T26" s="66"/>
      <c r="U26" s="128"/>
      <c r="W26" s="128"/>
      <c r="X26" s="12"/>
      <c r="Y26" t="str">
        <f t="shared" si="3"/>
        <v/>
      </c>
      <c r="Z26" t="str">
        <f t="shared" si="3"/>
        <v/>
      </c>
      <c r="AA26" s="12"/>
      <c r="AB26" s="95" t="e">
        <f t="shared" si="4"/>
        <v>#VALUE!</v>
      </c>
      <c r="AC26" s="95" t="e">
        <f t="shared" si="5"/>
        <v>#VALUE!</v>
      </c>
      <c r="AD26" s="12"/>
    </row>
    <row r="27" spans="1:30" ht="15.75" thickBot="1" x14ac:dyDescent="0.3">
      <c r="A27" s="12"/>
      <c r="B27" s="22"/>
      <c r="C27" t="str">
        <f>IF(AND('ENTRY DATA'!D27=""),"",('ENTRY DATA'!D27))</f>
        <v/>
      </c>
      <c r="D27" t="str">
        <f>IF(AND('ENTRY DATA'!F27=""),"",('ENTRY DATA'!F27))</f>
        <v/>
      </c>
      <c r="E27" s="34" t="str">
        <f>IF(AND('ENTRY DATA'!B27=""),"",('ENTRY DATA'!B27))</f>
        <v/>
      </c>
      <c r="F27" s="12"/>
      <c r="G27" s="12"/>
      <c r="H27" s="72"/>
      <c r="I27" s="71"/>
      <c r="J27" s="72"/>
      <c r="K27" s="12"/>
      <c r="L27" s="20">
        <f t="shared" si="0"/>
        <v>0</v>
      </c>
      <c r="M27" s="19" t="str">
        <f t="shared" si="1"/>
        <v/>
      </c>
      <c r="N27" s="12"/>
      <c r="O27" s="119"/>
      <c r="P27" s="95" t="str">
        <f t="shared" si="2"/>
        <v/>
      </c>
      <c r="Q27" s="12"/>
      <c r="S27" s="128"/>
      <c r="T27" s="66"/>
      <c r="U27" s="128"/>
      <c r="W27" s="128"/>
      <c r="X27" s="12"/>
      <c r="Y27" t="str">
        <f t="shared" si="3"/>
        <v/>
      </c>
      <c r="Z27" t="str">
        <f t="shared" si="3"/>
        <v/>
      </c>
      <c r="AA27" s="12"/>
      <c r="AB27" s="95" t="e">
        <f t="shared" si="4"/>
        <v>#VALUE!</v>
      </c>
      <c r="AC27" s="95" t="e">
        <f t="shared" si="5"/>
        <v>#VALUE!</v>
      </c>
      <c r="AD27" s="12"/>
    </row>
    <row r="28" spans="1:30" ht="15.75" thickBot="1" x14ac:dyDescent="0.3">
      <c r="A28" s="12"/>
      <c r="B28" s="22"/>
      <c r="C28" t="str">
        <f>IF(AND('ENTRY DATA'!D28=""),"",('ENTRY DATA'!D28))</f>
        <v/>
      </c>
      <c r="D28" t="str">
        <f>IF(AND('ENTRY DATA'!F28=""),"",('ENTRY DATA'!F28))</f>
        <v/>
      </c>
      <c r="E28" s="34" t="str">
        <f>IF(AND('ENTRY DATA'!B28=""),"",('ENTRY DATA'!B28))</f>
        <v/>
      </c>
      <c r="F28" s="12"/>
      <c r="G28" s="12"/>
      <c r="H28" s="72"/>
      <c r="I28" s="71"/>
      <c r="J28" s="72"/>
      <c r="K28" s="12"/>
      <c r="L28" s="20">
        <f t="shared" si="0"/>
        <v>0</v>
      </c>
      <c r="M28" s="19" t="str">
        <f t="shared" si="1"/>
        <v/>
      </c>
      <c r="N28" s="12"/>
      <c r="O28" s="119"/>
      <c r="P28" s="95" t="str">
        <f t="shared" si="2"/>
        <v/>
      </c>
      <c r="Q28" s="12"/>
      <c r="S28" s="128"/>
      <c r="T28" s="66"/>
      <c r="U28" s="128"/>
      <c r="W28" s="128"/>
      <c r="X28" s="12"/>
      <c r="Y28" t="str">
        <f t="shared" si="3"/>
        <v/>
      </c>
      <c r="Z28" t="str">
        <f t="shared" si="3"/>
        <v/>
      </c>
      <c r="AA28" s="12"/>
      <c r="AB28" s="95" t="e">
        <f t="shared" si="4"/>
        <v>#VALUE!</v>
      </c>
      <c r="AC28" s="95" t="e">
        <f t="shared" si="5"/>
        <v>#VALUE!</v>
      </c>
      <c r="AD28" s="12"/>
    </row>
    <row r="29" spans="1:30" ht="15.75" thickBot="1" x14ac:dyDescent="0.3">
      <c r="A29" s="12"/>
      <c r="B29" s="22"/>
      <c r="C29" t="str">
        <f>IF(AND('ENTRY DATA'!D29=""),"",('ENTRY DATA'!D29))</f>
        <v/>
      </c>
      <c r="D29" t="str">
        <f>IF(AND('ENTRY DATA'!F29=""),"",('ENTRY DATA'!F29))</f>
        <v/>
      </c>
      <c r="E29" s="34">
        <f>IF(AND('ENTRY DATA'!B29=""),"",('ENTRY DATA'!B29))</f>
        <v>4</v>
      </c>
      <c r="F29" s="12"/>
      <c r="G29" s="12"/>
      <c r="H29" s="72"/>
      <c r="I29" s="71"/>
      <c r="J29" s="72"/>
      <c r="K29" s="12"/>
      <c r="L29" s="20">
        <f t="shared" si="0"/>
        <v>0</v>
      </c>
      <c r="M29" s="19" t="str">
        <f t="shared" si="1"/>
        <v/>
      </c>
      <c r="N29" s="12"/>
      <c r="O29" s="119"/>
      <c r="P29" s="95" t="str">
        <f t="shared" si="2"/>
        <v/>
      </c>
      <c r="Q29" s="12"/>
      <c r="S29" s="128"/>
      <c r="T29" s="66"/>
      <c r="U29" s="128"/>
      <c r="W29" s="128"/>
      <c r="X29" s="12"/>
      <c r="Y29" t="str">
        <f t="shared" si="3"/>
        <v/>
      </c>
      <c r="Z29" t="str">
        <f t="shared" si="3"/>
        <v/>
      </c>
      <c r="AA29" s="12"/>
      <c r="AB29" s="95" t="e">
        <f t="shared" si="4"/>
        <v>#VALUE!</v>
      </c>
      <c r="AC29" s="95" t="e">
        <f t="shared" si="5"/>
        <v>#VALUE!</v>
      </c>
      <c r="AD29" s="12"/>
    </row>
    <row r="30" spans="1:30" ht="15.75" thickBot="1" x14ac:dyDescent="0.3">
      <c r="A30" s="12"/>
      <c r="B30" s="22"/>
      <c r="C30" t="str">
        <f>IF(AND('ENTRY DATA'!D30=""),"",('ENTRY DATA'!D30))</f>
        <v/>
      </c>
      <c r="D30" t="str">
        <f>IF(AND('ENTRY DATA'!F30=""),"",('ENTRY DATA'!F30))</f>
        <v/>
      </c>
      <c r="E30" s="34" t="str">
        <f>IF(AND('ENTRY DATA'!B30=""),"",('ENTRY DATA'!B30))</f>
        <v/>
      </c>
      <c r="F30" s="12"/>
      <c r="G30" s="12"/>
      <c r="H30" s="72"/>
      <c r="I30" s="71"/>
      <c r="J30" s="72"/>
      <c r="K30" s="12"/>
      <c r="L30" s="20">
        <f t="shared" si="0"/>
        <v>0</v>
      </c>
      <c r="M30" s="19" t="str">
        <f t="shared" si="1"/>
        <v/>
      </c>
      <c r="N30" s="12"/>
      <c r="O30" s="119"/>
      <c r="P30" s="95" t="str">
        <f t="shared" si="2"/>
        <v/>
      </c>
      <c r="Q30" s="12"/>
      <c r="S30" s="128"/>
      <c r="T30" s="66"/>
      <c r="U30" s="128"/>
      <c r="W30" s="128"/>
      <c r="X30" s="12"/>
      <c r="Y30" t="str">
        <f t="shared" si="3"/>
        <v/>
      </c>
      <c r="Z30" t="str">
        <f t="shared" si="3"/>
        <v/>
      </c>
      <c r="AA30" s="12"/>
      <c r="AB30" s="95" t="e">
        <f t="shared" si="4"/>
        <v>#VALUE!</v>
      </c>
      <c r="AC30" s="95" t="e">
        <f t="shared" si="5"/>
        <v>#VALUE!</v>
      </c>
      <c r="AD30" s="12"/>
    </row>
    <row r="31" spans="1:30" ht="15.75" thickBot="1" x14ac:dyDescent="0.3">
      <c r="A31" s="12"/>
      <c r="B31" s="22"/>
      <c r="C31" t="str">
        <f>IF(AND('ENTRY DATA'!D31=""),"",('ENTRY DATA'!D31))</f>
        <v/>
      </c>
      <c r="D31" t="str">
        <f>IF(AND('ENTRY DATA'!F31=""),"",('ENTRY DATA'!F31))</f>
        <v/>
      </c>
      <c r="E31" s="34" t="str">
        <f>IF(AND('ENTRY DATA'!B31=""),"",('ENTRY DATA'!B31))</f>
        <v/>
      </c>
      <c r="F31" s="12"/>
      <c r="G31" s="12"/>
      <c r="H31" s="72"/>
      <c r="I31" s="71"/>
      <c r="J31" s="72"/>
      <c r="K31" s="12"/>
      <c r="L31" s="20">
        <f t="shared" si="0"/>
        <v>0</v>
      </c>
      <c r="M31" s="19" t="str">
        <f t="shared" si="1"/>
        <v/>
      </c>
      <c r="N31" s="12"/>
      <c r="O31" s="119"/>
      <c r="P31" s="95" t="str">
        <f t="shared" si="2"/>
        <v/>
      </c>
      <c r="Q31" s="12"/>
      <c r="S31" s="128"/>
      <c r="T31" s="66"/>
      <c r="U31" s="128"/>
      <c r="W31" s="128"/>
      <c r="X31" s="12"/>
      <c r="Y31" t="str">
        <f t="shared" si="3"/>
        <v/>
      </c>
      <c r="Z31" t="str">
        <f t="shared" si="3"/>
        <v/>
      </c>
      <c r="AA31" s="12"/>
      <c r="AB31" s="95" t="e">
        <f t="shared" si="4"/>
        <v>#VALUE!</v>
      </c>
      <c r="AC31" s="95" t="e">
        <f t="shared" si="5"/>
        <v>#VALUE!</v>
      </c>
      <c r="AD31" s="12"/>
    </row>
    <row r="32" spans="1:30" ht="15.75" thickBot="1" x14ac:dyDescent="0.3">
      <c r="A32" s="12"/>
      <c r="B32" s="22"/>
      <c r="C32" t="str">
        <f>IF(AND('ENTRY DATA'!D32=""),"",('ENTRY DATA'!D32))</f>
        <v/>
      </c>
      <c r="D32" t="str">
        <f>IF(AND('ENTRY DATA'!F32=""),"",('ENTRY DATA'!F32))</f>
        <v/>
      </c>
      <c r="E32" s="34" t="str">
        <f>IF(AND('ENTRY DATA'!B32=""),"",('ENTRY DATA'!B32))</f>
        <v/>
      </c>
      <c r="F32" s="12"/>
      <c r="G32" s="12"/>
      <c r="H32" s="72"/>
      <c r="I32" s="71"/>
      <c r="J32" s="72"/>
      <c r="K32" s="12"/>
      <c r="L32" s="20">
        <f t="shared" si="0"/>
        <v>0</v>
      </c>
      <c r="M32" s="19" t="str">
        <f t="shared" si="1"/>
        <v/>
      </c>
      <c r="N32" s="12"/>
      <c r="O32" s="119"/>
      <c r="P32" s="95" t="str">
        <f t="shared" si="2"/>
        <v/>
      </c>
      <c r="Q32" s="12"/>
      <c r="S32" s="128"/>
      <c r="T32" s="66"/>
      <c r="U32" s="128"/>
      <c r="W32" s="128"/>
      <c r="X32" s="12"/>
      <c r="Y32" t="str">
        <f t="shared" si="3"/>
        <v/>
      </c>
      <c r="Z32" t="str">
        <f t="shared" si="3"/>
        <v/>
      </c>
      <c r="AA32" s="12"/>
      <c r="AB32" s="95" t="e">
        <f t="shared" si="4"/>
        <v>#VALUE!</v>
      </c>
      <c r="AC32" s="95" t="e">
        <f t="shared" si="5"/>
        <v>#VALUE!</v>
      </c>
      <c r="AD32" s="12"/>
    </row>
    <row r="33" spans="1:30" ht="15.75" thickBot="1" x14ac:dyDescent="0.3">
      <c r="A33" s="12"/>
      <c r="B33" s="22"/>
      <c r="C33" t="str">
        <f>IF(AND('ENTRY DATA'!D33=""),"",('ENTRY DATA'!D33))</f>
        <v/>
      </c>
      <c r="D33" t="str">
        <f>IF(AND('ENTRY DATA'!F33=""),"",('ENTRY DATA'!F33))</f>
        <v/>
      </c>
      <c r="E33" s="34" t="str">
        <f>IF(AND('ENTRY DATA'!B33=""),"",('ENTRY DATA'!B33))</f>
        <v/>
      </c>
      <c r="F33" s="12"/>
      <c r="G33" s="12"/>
      <c r="H33" s="72"/>
      <c r="I33" s="71"/>
      <c r="J33" s="72"/>
      <c r="K33" s="12"/>
      <c r="L33" s="20">
        <f t="shared" si="0"/>
        <v>0</v>
      </c>
      <c r="M33" s="19" t="str">
        <f t="shared" si="1"/>
        <v/>
      </c>
      <c r="N33" s="12"/>
      <c r="O33" s="119"/>
      <c r="P33" s="95" t="str">
        <f t="shared" si="2"/>
        <v/>
      </c>
      <c r="Q33" s="12"/>
      <c r="S33" s="128"/>
      <c r="T33" s="66"/>
      <c r="U33" s="128"/>
      <c r="W33" s="128"/>
      <c r="X33" s="12"/>
      <c r="Y33" t="str">
        <f t="shared" si="3"/>
        <v/>
      </c>
      <c r="Z33" t="str">
        <f t="shared" si="3"/>
        <v/>
      </c>
      <c r="AA33" s="12"/>
      <c r="AB33" s="95" t="e">
        <f t="shared" si="4"/>
        <v>#VALUE!</v>
      </c>
      <c r="AC33" s="95" t="e">
        <f t="shared" si="5"/>
        <v>#VALUE!</v>
      </c>
      <c r="AD33" s="12"/>
    </row>
    <row r="34" spans="1:30" ht="15.75" thickBot="1" x14ac:dyDescent="0.3">
      <c r="A34" s="12"/>
      <c r="B34" s="22"/>
      <c r="C34" t="str">
        <f>IF(AND('ENTRY DATA'!D34=""),"",('ENTRY DATA'!D34))</f>
        <v/>
      </c>
      <c r="D34" t="str">
        <f>IF(AND('ENTRY DATA'!F34=""),"",('ENTRY DATA'!F34))</f>
        <v/>
      </c>
      <c r="E34" s="34" t="str">
        <f>IF(AND('ENTRY DATA'!B34=""),"",('ENTRY DATA'!B34))</f>
        <v/>
      </c>
      <c r="F34" s="12"/>
      <c r="G34" s="12"/>
      <c r="H34" s="72"/>
      <c r="I34" s="71"/>
      <c r="J34" s="72"/>
      <c r="K34" s="12"/>
      <c r="L34" s="20">
        <f t="shared" si="0"/>
        <v>0</v>
      </c>
      <c r="M34" s="19" t="str">
        <f t="shared" si="1"/>
        <v/>
      </c>
      <c r="N34" s="12"/>
      <c r="O34" s="119"/>
      <c r="P34" s="95" t="str">
        <f t="shared" si="2"/>
        <v/>
      </c>
      <c r="Q34" s="12"/>
      <c r="S34" s="128"/>
      <c r="T34" s="66"/>
      <c r="U34" s="128"/>
      <c r="W34" s="128"/>
      <c r="X34" s="12"/>
      <c r="Y34" t="str">
        <f t="shared" si="3"/>
        <v/>
      </c>
      <c r="Z34" t="str">
        <f t="shared" si="3"/>
        <v/>
      </c>
      <c r="AA34" s="12"/>
      <c r="AB34" s="95" t="e">
        <f t="shared" si="4"/>
        <v>#VALUE!</v>
      </c>
      <c r="AC34" s="95" t="e">
        <f t="shared" si="5"/>
        <v>#VALUE!</v>
      </c>
      <c r="AD34" s="12"/>
    </row>
    <row r="35" spans="1:30" ht="15.75" thickBot="1" x14ac:dyDescent="0.3">
      <c r="A35" s="12"/>
      <c r="B35" s="22"/>
      <c r="C35" t="str">
        <f>IF(AND('ENTRY DATA'!D35=""),"",('ENTRY DATA'!D35))</f>
        <v/>
      </c>
      <c r="D35" t="str">
        <f>IF(AND('ENTRY DATA'!F35=""),"",('ENTRY DATA'!F35))</f>
        <v/>
      </c>
      <c r="E35" s="34" t="str">
        <f>IF(AND('ENTRY DATA'!B35=""),"",('ENTRY DATA'!B35))</f>
        <v/>
      </c>
      <c r="F35" s="12"/>
      <c r="G35" s="12"/>
      <c r="H35" s="72"/>
      <c r="I35" s="71"/>
      <c r="J35" s="72"/>
      <c r="K35" s="12"/>
      <c r="L35" s="20">
        <f t="shared" si="0"/>
        <v>0</v>
      </c>
      <c r="M35" s="19" t="str">
        <f t="shared" si="1"/>
        <v/>
      </c>
      <c r="N35" s="12"/>
      <c r="O35" s="119"/>
      <c r="P35" s="95" t="str">
        <f t="shared" si="2"/>
        <v/>
      </c>
      <c r="Q35" s="12"/>
      <c r="S35" s="128"/>
      <c r="T35" s="66"/>
      <c r="U35" s="128"/>
      <c r="W35" s="128"/>
      <c r="X35" s="12"/>
      <c r="Y35" t="str">
        <f t="shared" si="3"/>
        <v/>
      </c>
      <c r="Z35" t="str">
        <f t="shared" si="3"/>
        <v/>
      </c>
      <c r="AA35" s="12"/>
      <c r="AB35" s="95" t="e">
        <f t="shared" si="4"/>
        <v>#VALUE!</v>
      </c>
      <c r="AC35" s="95" t="e">
        <f t="shared" si="5"/>
        <v>#VALUE!</v>
      </c>
      <c r="AD35" s="12"/>
    </row>
    <row r="36" spans="1:30" ht="15.75" thickBot="1" x14ac:dyDescent="0.3">
      <c r="A36" s="12"/>
      <c r="B36" s="22"/>
      <c r="C36" t="str">
        <f>IF(AND('ENTRY DATA'!D36=""),"",('ENTRY DATA'!D36))</f>
        <v/>
      </c>
      <c r="D36" t="str">
        <f>IF(AND('ENTRY DATA'!F36=""),"",('ENTRY DATA'!F36))</f>
        <v/>
      </c>
      <c r="E36" s="34" t="str">
        <f>IF(AND('ENTRY DATA'!B36=""),"",('ENTRY DATA'!B36))</f>
        <v/>
      </c>
      <c r="F36" s="12"/>
      <c r="G36" s="12"/>
      <c r="H36" s="72"/>
      <c r="I36" s="71"/>
      <c r="J36" s="72"/>
      <c r="K36" s="12"/>
      <c r="L36" s="20">
        <f t="shared" si="0"/>
        <v>0</v>
      </c>
      <c r="M36" s="19" t="str">
        <f t="shared" si="1"/>
        <v/>
      </c>
      <c r="N36" s="12"/>
      <c r="O36" s="119"/>
      <c r="P36" s="95" t="str">
        <f t="shared" si="2"/>
        <v/>
      </c>
      <c r="Q36" s="12"/>
      <c r="S36" s="128"/>
      <c r="T36" s="66"/>
      <c r="U36" s="128"/>
      <c r="W36" s="128"/>
      <c r="X36" s="12"/>
      <c r="Y36" t="str">
        <f t="shared" si="3"/>
        <v/>
      </c>
      <c r="Z36" t="str">
        <f t="shared" si="3"/>
        <v/>
      </c>
      <c r="AA36" s="12"/>
      <c r="AB36" s="95" t="e">
        <f t="shared" si="4"/>
        <v>#VALUE!</v>
      </c>
      <c r="AC36" s="95" t="e">
        <f t="shared" si="5"/>
        <v>#VALUE!</v>
      </c>
      <c r="AD36" s="12"/>
    </row>
    <row r="37" spans="1:30" ht="15.75" thickBot="1" x14ac:dyDescent="0.3">
      <c r="A37" s="12"/>
      <c r="B37" s="22"/>
      <c r="C37" t="str">
        <f>IF(AND('ENTRY DATA'!D37=""),"",('ENTRY DATA'!D37))</f>
        <v/>
      </c>
      <c r="D37" t="str">
        <f>IF(AND('ENTRY DATA'!F37=""),"",('ENTRY DATA'!F37))</f>
        <v/>
      </c>
      <c r="E37" s="34">
        <f>IF(AND('ENTRY DATA'!B37=""),"",('ENTRY DATA'!B37))</f>
        <v>5</v>
      </c>
      <c r="F37" s="12"/>
      <c r="G37" s="12"/>
      <c r="H37" s="72"/>
      <c r="I37" s="71"/>
      <c r="J37" s="72"/>
      <c r="K37" s="12"/>
      <c r="L37" s="20">
        <f t="shared" si="0"/>
        <v>0</v>
      </c>
      <c r="M37" s="19" t="str">
        <f t="shared" si="1"/>
        <v/>
      </c>
      <c r="N37" s="12"/>
      <c r="O37" s="119"/>
      <c r="P37" s="95" t="str">
        <f t="shared" si="2"/>
        <v/>
      </c>
      <c r="Q37" s="12"/>
      <c r="S37" s="128"/>
      <c r="T37" s="66"/>
      <c r="U37" s="128"/>
      <c r="W37" s="128"/>
      <c r="X37" s="12"/>
      <c r="Y37" t="str">
        <f t="shared" si="3"/>
        <v/>
      </c>
      <c r="Z37" t="str">
        <f t="shared" si="3"/>
        <v/>
      </c>
      <c r="AA37" s="12"/>
      <c r="AB37" s="95" t="e">
        <f t="shared" si="4"/>
        <v>#VALUE!</v>
      </c>
      <c r="AC37" s="95" t="e">
        <f t="shared" si="5"/>
        <v>#VALUE!</v>
      </c>
      <c r="AD37" s="12"/>
    </row>
    <row r="38" spans="1:30" ht="15.75" thickBot="1" x14ac:dyDescent="0.3">
      <c r="A38" s="12"/>
      <c r="B38" s="22"/>
      <c r="C38" t="str">
        <f>IF(AND('ENTRY DATA'!D38=""),"",('ENTRY DATA'!D38))</f>
        <v/>
      </c>
      <c r="D38" t="str">
        <f>IF(AND('ENTRY DATA'!F38=""),"",('ENTRY DATA'!F38))</f>
        <v/>
      </c>
      <c r="E38" s="34" t="str">
        <f>IF(AND('ENTRY DATA'!B38=""),"",('ENTRY DATA'!B38))</f>
        <v/>
      </c>
      <c r="F38" s="12"/>
      <c r="G38" s="12"/>
      <c r="H38" s="72"/>
      <c r="I38" s="71"/>
      <c r="J38" s="72"/>
      <c r="K38" s="12"/>
      <c r="L38" s="20">
        <f t="shared" si="0"/>
        <v>0</v>
      </c>
      <c r="M38" s="19" t="str">
        <f t="shared" si="1"/>
        <v/>
      </c>
      <c r="N38" s="12"/>
      <c r="O38" s="119"/>
      <c r="P38" s="95" t="str">
        <f t="shared" si="2"/>
        <v/>
      </c>
      <c r="Q38" s="12"/>
      <c r="S38" s="128"/>
      <c r="T38" s="66"/>
      <c r="U38" s="128"/>
      <c r="W38" s="128"/>
      <c r="X38" s="12"/>
      <c r="Y38" t="str">
        <f t="shared" si="3"/>
        <v/>
      </c>
      <c r="Z38" t="str">
        <f t="shared" si="3"/>
        <v/>
      </c>
      <c r="AA38" s="12"/>
      <c r="AB38" s="95" t="e">
        <f t="shared" si="4"/>
        <v>#VALUE!</v>
      </c>
      <c r="AC38" s="95" t="e">
        <f t="shared" si="5"/>
        <v>#VALUE!</v>
      </c>
      <c r="AD38" s="12"/>
    </row>
    <row r="39" spans="1:30" ht="15.75" thickBot="1" x14ac:dyDescent="0.3">
      <c r="A39" s="12"/>
      <c r="B39" s="22"/>
      <c r="C39" t="str">
        <f>IF(AND('ENTRY DATA'!D39=""),"",('ENTRY DATA'!D39))</f>
        <v/>
      </c>
      <c r="D39" t="str">
        <f>IF(AND('ENTRY DATA'!F39=""),"",('ENTRY DATA'!F39))</f>
        <v/>
      </c>
      <c r="E39" s="34" t="str">
        <f>IF(AND('ENTRY DATA'!B39=""),"",('ENTRY DATA'!B39))</f>
        <v/>
      </c>
      <c r="F39" s="12"/>
      <c r="G39" s="12"/>
      <c r="H39" s="72"/>
      <c r="I39" s="71"/>
      <c r="J39" s="72"/>
      <c r="K39" s="12"/>
      <c r="L39" s="20">
        <f t="shared" si="0"/>
        <v>0</v>
      </c>
      <c r="M39" s="19" t="str">
        <f t="shared" si="1"/>
        <v/>
      </c>
      <c r="N39" s="12"/>
      <c r="O39" s="119"/>
      <c r="P39" s="95" t="str">
        <f t="shared" si="2"/>
        <v/>
      </c>
      <c r="Q39" s="12"/>
      <c r="S39" s="128"/>
      <c r="T39" s="66"/>
      <c r="U39" s="128"/>
      <c r="W39" s="128"/>
      <c r="X39" s="12"/>
      <c r="Y39" t="str">
        <f t="shared" si="3"/>
        <v/>
      </c>
      <c r="Z39" t="str">
        <f t="shared" si="3"/>
        <v/>
      </c>
      <c r="AA39" s="12"/>
      <c r="AB39" s="95" t="e">
        <f t="shared" si="4"/>
        <v>#VALUE!</v>
      </c>
      <c r="AC39" s="95" t="e">
        <f t="shared" si="5"/>
        <v>#VALUE!</v>
      </c>
      <c r="AD39" s="12"/>
    </row>
    <row r="40" spans="1:30" ht="15.75" thickBot="1" x14ac:dyDescent="0.3">
      <c r="A40" s="12"/>
      <c r="B40" s="22"/>
      <c r="C40" t="str">
        <f>IF(AND('ENTRY DATA'!D40=""),"",('ENTRY DATA'!D40))</f>
        <v/>
      </c>
      <c r="D40" t="str">
        <f>IF(AND('ENTRY DATA'!F40=""),"",('ENTRY DATA'!F40))</f>
        <v/>
      </c>
      <c r="E40" s="34" t="str">
        <f>IF(AND('ENTRY DATA'!B40=""),"",('ENTRY DATA'!B40))</f>
        <v/>
      </c>
      <c r="F40" s="12"/>
      <c r="G40" s="12"/>
      <c r="H40" s="72"/>
      <c r="I40" s="71"/>
      <c r="J40" s="72"/>
      <c r="K40" s="12"/>
      <c r="L40" s="20">
        <f t="shared" si="0"/>
        <v>0</v>
      </c>
      <c r="M40" s="19" t="str">
        <f t="shared" si="1"/>
        <v/>
      </c>
      <c r="N40" s="12"/>
      <c r="O40" s="119"/>
      <c r="P40" s="95" t="str">
        <f t="shared" si="2"/>
        <v/>
      </c>
      <c r="Q40" s="12"/>
      <c r="S40" s="128"/>
      <c r="T40" s="66"/>
      <c r="U40" s="128"/>
      <c r="W40" s="128"/>
      <c r="X40" s="12"/>
      <c r="Y40" t="str">
        <f t="shared" si="3"/>
        <v/>
      </c>
      <c r="Z40" t="str">
        <f t="shared" si="3"/>
        <v/>
      </c>
      <c r="AA40" s="12"/>
      <c r="AB40" s="95" t="e">
        <f t="shared" si="4"/>
        <v>#VALUE!</v>
      </c>
      <c r="AC40" s="95" t="e">
        <f t="shared" si="5"/>
        <v>#VALUE!</v>
      </c>
      <c r="AD40" s="12"/>
    </row>
    <row r="41" spans="1:30" ht="15.75" thickBot="1" x14ac:dyDescent="0.3">
      <c r="A41" s="12"/>
      <c r="B41" s="22"/>
      <c r="C41" t="str">
        <f>IF(AND('ENTRY DATA'!D41=""),"",('ENTRY DATA'!D41))</f>
        <v/>
      </c>
      <c r="D41" t="str">
        <f>IF(AND('ENTRY DATA'!F41=""),"",('ENTRY DATA'!F41))</f>
        <v/>
      </c>
      <c r="E41" s="34" t="str">
        <f>IF(AND('ENTRY DATA'!B41=""),"",('ENTRY DATA'!B41))</f>
        <v/>
      </c>
      <c r="F41" s="12"/>
      <c r="G41" s="12"/>
      <c r="H41" s="72"/>
      <c r="I41" s="71"/>
      <c r="J41" s="72"/>
      <c r="K41" s="12"/>
      <c r="L41" s="20">
        <f t="shared" si="0"/>
        <v>0</v>
      </c>
      <c r="M41" s="19" t="str">
        <f t="shared" si="1"/>
        <v/>
      </c>
      <c r="N41" s="12"/>
      <c r="O41" s="119"/>
      <c r="P41" s="95" t="str">
        <f t="shared" si="2"/>
        <v/>
      </c>
      <c r="Q41" s="12"/>
      <c r="S41" s="128"/>
      <c r="T41" s="66"/>
      <c r="U41" s="128"/>
      <c r="W41" s="128"/>
      <c r="X41" s="12"/>
      <c r="Y41" t="str">
        <f t="shared" si="3"/>
        <v/>
      </c>
      <c r="Z41" t="str">
        <f t="shared" si="3"/>
        <v/>
      </c>
      <c r="AA41" s="12"/>
      <c r="AB41" s="95" t="e">
        <f t="shared" si="4"/>
        <v>#VALUE!</v>
      </c>
      <c r="AC41" s="95" t="e">
        <f t="shared" si="5"/>
        <v>#VALUE!</v>
      </c>
      <c r="AD41" s="12"/>
    </row>
    <row r="42" spans="1:30" ht="15.75" thickBot="1" x14ac:dyDescent="0.3">
      <c r="A42" s="12"/>
      <c r="B42" s="22"/>
      <c r="C42" t="str">
        <f>IF(AND('ENTRY DATA'!D42=""),"",('ENTRY DATA'!D42))</f>
        <v/>
      </c>
      <c r="D42" t="str">
        <f>IF(AND('ENTRY DATA'!F42=""),"",('ENTRY DATA'!F42))</f>
        <v/>
      </c>
      <c r="E42" s="34" t="str">
        <f>IF(AND('ENTRY DATA'!B42=""),"",('ENTRY DATA'!B42))</f>
        <v/>
      </c>
      <c r="F42" s="12"/>
      <c r="G42" s="12"/>
      <c r="H42" s="72"/>
      <c r="I42" s="71"/>
      <c r="J42" s="72"/>
      <c r="K42" s="12"/>
      <c r="L42" s="20">
        <f t="shared" si="0"/>
        <v>0</v>
      </c>
      <c r="M42" s="19" t="str">
        <f t="shared" si="1"/>
        <v/>
      </c>
      <c r="N42" s="12"/>
      <c r="O42" s="119"/>
      <c r="P42" s="95" t="str">
        <f t="shared" si="2"/>
        <v/>
      </c>
      <c r="Q42" s="12"/>
      <c r="S42" s="128"/>
      <c r="T42" s="66"/>
      <c r="U42" s="128"/>
      <c r="W42" s="128"/>
      <c r="X42" s="12"/>
      <c r="Y42" t="str">
        <f t="shared" si="3"/>
        <v/>
      </c>
      <c r="Z42" t="str">
        <f t="shared" si="3"/>
        <v/>
      </c>
      <c r="AA42" s="12"/>
      <c r="AB42" s="95" t="e">
        <f t="shared" si="4"/>
        <v>#VALUE!</v>
      </c>
      <c r="AC42" s="95" t="e">
        <f t="shared" si="5"/>
        <v>#VALUE!</v>
      </c>
      <c r="AD42" s="12"/>
    </row>
    <row r="43" spans="1:30" ht="15.75" thickBot="1" x14ac:dyDescent="0.3">
      <c r="A43" s="12"/>
      <c r="B43" s="22"/>
      <c r="C43" t="str">
        <f>IF(AND('ENTRY DATA'!D43=""),"",('ENTRY DATA'!D43))</f>
        <v/>
      </c>
      <c r="D43" t="str">
        <f>IF(AND('ENTRY DATA'!F43=""),"",('ENTRY DATA'!F43))</f>
        <v/>
      </c>
      <c r="E43" s="34" t="str">
        <f>IF(AND('ENTRY DATA'!B43=""),"",('ENTRY DATA'!B43))</f>
        <v/>
      </c>
      <c r="F43" s="12"/>
      <c r="G43" s="12"/>
      <c r="H43" s="72"/>
      <c r="I43" s="71"/>
      <c r="J43" s="72"/>
      <c r="K43" s="12"/>
      <c r="L43" s="20">
        <f t="shared" si="0"/>
        <v>0</v>
      </c>
      <c r="M43" s="19" t="str">
        <f t="shared" si="1"/>
        <v/>
      </c>
      <c r="N43" s="12"/>
      <c r="O43" s="119"/>
      <c r="P43" s="95" t="str">
        <f t="shared" si="2"/>
        <v/>
      </c>
      <c r="Q43" s="12"/>
      <c r="S43" s="128"/>
      <c r="T43" s="66"/>
      <c r="U43" s="128"/>
      <c r="W43" s="128"/>
      <c r="X43" s="12"/>
      <c r="Y43" t="str">
        <f t="shared" si="3"/>
        <v/>
      </c>
      <c r="Z43" t="str">
        <f t="shared" si="3"/>
        <v/>
      </c>
      <c r="AA43" s="12"/>
      <c r="AB43" s="95" t="e">
        <f t="shared" si="4"/>
        <v>#VALUE!</v>
      </c>
      <c r="AC43" s="95" t="e">
        <f t="shared" si="5"/>
        <v>#VALUE!</v>
      </c>
      <c r="AD43" s="12"/>
    </row>
    <row r="44" spans="1:30" ht="15.75" thickBot="1" x14ac:dyDescent="0.3">
      <c r="A44" s="12"/>
      <c r="B44" s="22"/>
      <c r="C44" t="str">
        <f>IF(AND('ENTRY DATA'!D44=""),"",('ENTRY DATA'!D44))</f>
        <v/>
      </c>
      <c r="D44" t="str">
        <f>IF(AND('ENTRY DATA'!F44=""),"",('ENTRY DATA'!F44))</f>
        <v/>
      </c>
      <c r="E44" s="34" t="str">
        <f>IF(AND('ENTRY DATA'!B44=""),"",('ENTRY DATA'!B44))</f>
        <v/>
      </c>
      <c r="F44" s="12"/>
      <c r="G44" s="12"/>
      <c r="H44" s="72"/>
      <c r="I44" s="71"/>
      <c r="J44" s="72"/>
      <c r="K44" s="12"/>
      <c r="L44" s="20">
        <f t="shared" si="0"/>
        <v>0</v>
      </c>
      <c r="M44" s="19" t="str">
        <f t="shared" si="1"/>
        <v/>
      </c>
      <c r="N44" s="12"/>
      <c r="O44" s="119"/>
      <c r="P44" s="95" t="str">
        <f t="shared" si="2"/>
        <v/>
      </c>
      <c r="Q44" s="12"/>
      <c r="S44" s="128"/>
      <c r="T44" s="66"/>
      <c r="U44" s="128"/>
      <c r="W44" s="128"/>
      <c r="X44" s="12"/>
      <c r="Y44" t="str">
        <f t="shared" si="3"/>
        <v/>
      </c>
      <c r="Z44" t="str">
        <f t="shared" si="3"/>
        <v/>
      </c>
      <c r="AA44" s="12"/>
      <c r="AB44" s="95" t="e">
        <f t="shared" si="4"/>
        <v>#VALUE!</v>
      </c>
      <c r="AC44" s="95" t="e">
        <f t="shared" si="5"/>
        <v>#VALUE!</v>
      </c>
      <c r="AD44" s="12"/>
    </row>
    <row r="45" spans="1:30" ht="15.75" thickBot="1" x14ac:dyDescent="0.3">
      <c r="A45" s="12"/>
      <c r="B45" s="22"/>
      <c r="C45" t="str">
        <f>IF(AND('ENTRY DATA'!D45=""),"",('ENTRY DATA'!D45))</f>
        <v/>
      </c>
      <c r="D45" t="str">
        <f>IF(AND('ENTRY DATA'!F45=""),"",('ENTRY DATA'!F45))</f>
        <v/>
      </c>
      <c r="E45" s="34" t="str">
        <f>IF(AND('ENTRY DATA'!B45=""),"",('ENTRY DATA'!B45))</f>
        <v/>
      </c>
      <c r="F45" s="12"/>
      <c r="G45" s="12"/>
      <c r="H45" s="72"/>
      <c r="I45" s="71"/>
      <c r="J45" s="72"/>
      <c r="K45" s="12"/>
      <c r="L45" s="20">
        <f t="shared" si="0"/>
        <v>0</v>
      </c>
      <c r="M45" s="19" t="str">
        <f t="shared" si="1"/>
        <v/>
      </c>
      <c r="N45" s="12"/>
      <c r="O45" s="119"/>
      <c r="P45" s="95" t="str">
        <f t="shared" si="2"/>
        <v/>
      </c>
      <c r="Q45" s="12"/>
      <c r="S45" s="128"/>
      <c r="T45" s="66"/>
      <c r="U45" s="128"/>
      <c r="W45" s="128"/>
      <c r="X45" s="12"/>
      <c r="Y45" t="str">
        <f t="shared" si="3"/>
        <v/>
      </c>
      <c r="Z45" t="str">
        <f t="shared" si="3"/>
        <v/>
      </c>
      <c r="AA45" s="12"/>
      <c r="AB45" s="95" t="e">
        <f t="shared" si="4"/>
        <v>#VALUE!</v>
      </c>
      <c r="AC45" s="95" t="e">
        <f t="shared" si="5"/>
        <v>#VALUE!</v>
      </c>
      <c r="AD45" s="12"/>
    </row>
    <row r="46" spans="1:30" ht="15.75" thickBot="1" x14ac:dyDescent="0.3">
      <c r="A46" s="12"/>
      <c r="B46" s="22"/>
      <c r="C46" t="str">
        <f>IF(AND('ENTRY DATA'!D46=""),"",('ENTRY DATA'!D46))</f>
        <v/>
      </c>
      <c r="D46" t="str">
        <f>IF(AND('ENTRY DATA'!F46=""),"",('ENTRY DATA'!F46))</f>
        <v/>
      </c>
      <c r="E46" s="34" t="str">
        <f>IF(AND('ENTRY DATA'!B46=""),"",('ENTRY DATA'!B46))</f>
        <v/>
      </c>
      <c r="F46" s="12"/>
      <c r="G46" s="12"/>
      <c r="H46" s="72"/>
      <c r="I46" s="71"/>
      <c r="J46" s="72"/>
      <c r="K46" s="12"/>
      <c r="L46" s="20">
        <f t="shared" si="0"/>
        <v>0</v>
      </c>
      <c r="M46" s="19" t="str">
        <f t="shared" si="1"/>
        <v/>
      </c>
      <c r="N46" s="12"/>
      <c r="O46" s="119"/>
      <c r="P46" s="95" t="str">
        <f t="shared" si="2"/>
        <v/>
      </c>
      <c r="Q46" s="12"/>
      <c r="S46" s="128"/>
      <c r="T46" s="66"/>
      <c r="U46" s="128"/>
      <c r="W46" s="128"/>
      <c r="X46" s="12"/>
      <c r="Y46" t="str">
        <f t="shared" si="3"/>
        <v/>
      </c>
      <c r="Z46" t="str">
        <f t="shared" si="3"/>
        <v/>
      </c>
      <c r="AA46" s="12"/>
      <c r="AB46" s="95" t="e">
        <f t="shared" si="4"/>
        <v>#VALUE!</v>
      </c>
      <c r="AC46" s="95" t="e">
        <f t="shared" si="5"/>
        <v>#VALUE!</v>
      </c>
      <c r="AD46" s="12"/>
    </row>
    <row r="47" spans="1:30" ht="15.75" thickBot="1" x14ac:dyDescent="0.3">
      <c r="A47" s="12"/>
      <c r="B47" s="22"/>
      <c r="C47" t="str">
        <f>IF(AND('ENTRY DATA'!D47=""),"",('ENTRY DATA'!D47))</f>
        <v/>
      </c>
      <c r="D47" t="str">
        <f>IF(AND('ENTRY DATA'!F47=""),"",('ENTRY DATA'!F47))</f>
        <v/>
      </c>
      <c r="E47" s="34" t="str">
        <f>IF(AND('ENTRY DATA'!B47=""),"",('ENTRY DATA'!B47))</f>
        <v/>
      </c>
      <c r="F47" s="12"/>
      <c r="G47" s="12"/>
      <c r="H47" s="72"/>
      <c r="I47" s="71"/>
      <c r="J47" s="72"/>
      <c r="K47" s="12"/>
      <c r="L47" s="20">
        <f t="shared" si="0"/>
        <v>0</v>
      </c>
      <c r="M47" s="19" t="str">
        <f t="shared" si="1"/>
        <v/>
      </c>
      <c r="N47" s="12"/>
      <c r="O47" s="119"/>
      <c r="P47" s="95" t="str">
        <f t="shared" si="2"/>
        <v/>
      </c>
      <c r="Q47" s="12"/>
      <c r="S47" s="128"/>
      <c r="T47" s="66"/>
      <c r="U47" s="128"/>
      <c r="W47" s="128"/>
      <c r="X47" s="12"/>
      <c r="Y47" t="str">
        <f t="shared" si="3"/>
        <v/>
      </c>
      <c r="Z47" t="str">
        <f t="shared" si="3"/>
        <v/>
      </c>
      <c r="AA47" s="12"/>
      <c r="AB47" s="95" t="e">
        <f t="shared" si="4"/>
        <v>#VALUE!</v>
      </c>
      <c r="AC47" s="95" t="e">
        <f t="shared" si="5"/>
        <v>#VALUE!</v>
      </c>
      <c r="AD47" s="12"/>
    </row>
    <row r="48" spans="1:30" ht="15.75" thickBot="1" x14ac:dyDescent="0.3">
      <c r="A48" s="12"/>
      <c r="B48" s="22"/>
      <c r="C48" t="str">
        <f>IF(AND('ENTRY DATA'!D48=""),"",('ENTRY DATA'!D48))</f>
        <v/>
      </c>
      <c r="D48" t="str">
        <f>IF(AND('ENTRY DATA'!F48=""),"",('ENTRY DATA'!F48))</f>
        <v/>
      </c>
      <c r="E48" s="34" t="str">
        <f>IF(AND('ENTRY DATA'!B48=""),"",('ENTRY DATA'!B48))</f>
        <v/>
      </c>
      <c r="F48" s="12"/>
      <c r="G48" s="12"/>
      <c r="H48" s="72"/>
      <c r="I48" s="71"/>
      <c r="J48" s="72"/>
      <c r="K48" s="12"/>
      <c r="L48" s="20">
        <f t="shared" si="0"/>
        <v>0</v>
      </c>
      <c r="M48" s="19" t="str">
        <f t="shared" si="1"/>
        <v/>
      </c>
      <c r="N48" s="12"/>
      <c r="O48" s="119"/>
      <c r="P48" s="95" t="str">
        <f t="shared" si="2"/>
        <v/>
      </c>
      <c r="Q48" s="12"/>
      <c r="S48" s="128"/>
      <c r="T48" s="66"/>
      <c r="U48" s="128"/>
      <c r="W48" s="128"/>
      <c r="X48" s="12"/>
      <c r="Y48" t="str">
        <f t="shared" si="3"/>
        <v/>
      </c>
      <c r="Z48" t="str">
        <f t="shared" si="3"/>
        <v/>
      </c>
      <c r="AA48" s="12"/>
      <c r="AB48" s="95" t="e">
        <f t="shared" si="4"/>
        <v>#VALUE!</v>
      </c>
      <c r="AC48" s="95" t="e">
        <f t="shared" si="5"/>
        <v>#VALUE!</v>
      </c>
      <c r="AD48" s="12"/>
    </row>
    <row r="49" spans="1:30" ht="15.75" thickBot="1" x14ac:dyDescent="0.3">
      <c r="A49" s="12"/>
      <c r="B49" s="22"/>
      <c r="C49" t="str">
        <f>IF(AND('ENTRY DATA'!D49=""),"",('ENTRY DATA'!D49))</f>
        <v/>
      </c>
      <c r="D49" t="str">
        <f>IF(AND('ENTRY DATA'!F49=""),"",('ENTRY DATA'!F49))</f>
        <v/>
      </c>
      <c r="E49" s="34" t="str">
        <f>IF(AND('ENTRY DATA'!B49=""),"",('ENTRY DATA'!B49))</f>
        <v/>
      </c>
      <c r="F49" s="12"/>
      <c r="G49" s="12"/>
      <c r="H49" s="72"/>
      <c r="I49" s="71"/>
      <c r="J49" s="72"/>
      <c r="K49" s="12"/>
      <c r="L49" s="20">
        <f t="shared" si="0"/>
        <v>0</v>
      </c>
      <c r="M49" s="19" t="str">
        <f t="shared" si="1"/>
        <v/>
      </c>
      <c r="N49" s="12"/>
      <c r="O49" s="119"/>
      <c r="P49" s="95" t="str">
        <f t="shared" si="2"/>
        <v/>
      </c>
      <c r="Q49" s="12"/>
      <c r="S49" s="128"/>
      <c r="T49" s="66"/>
      <c r="U49" s="128"/>
      <c r="W49" s="128"/>
      <c r="X49" s="12"/>
      <c r="Y49" t="str">
        <f t="shared" si="3"/>
        <v/>
      </c>
      <c r="Z49" t="str">
        <f t="shared" si="3"/>
        <v/>
      </c>
      <c r="AA49" s="12"/>
      <c r="AB49" s="95" t="e">
        <f t="shared" si="4"/>
        <v>#VALUE!</v>
      </c>
      <c r="AC49" s="95" t="e">
        <f t="shared" si="5"/>
        <v>#VALUE!</v>
      </c>
      <c r="AD49" s="12"/>
    </row>
    <row r="50" spans="1:30" ht="15.75" thickBot="1" x14ac:dyDescent="0.3">
      <c r="A50" s="12"/>
      <c r="B50" s="22"/>
      <c r="C50" t="str">
        <f>IF(AND('ENTRY DATA'!D50=""),"",('ENTRY DATA'!D50))</f>
        <v/>
      </c>
      <c r="D50" t="str">
        <f>IF(AND('ENTRY DATA'!F50=""),"",('ENTRY DATA'!F50))</f>
        <v/>
      </c>
      <c r="E50" s="34" t="str">
        <f>IF(AND('ENTRY DATA'!B50=""),"",('ENTRY DATA'!B50))</f>
        <v/>
      </c>
      <c r="F50" s="12"/>
      <c r="G50" s="12"/>
      <c r="H50" s="72"/>
      <c r="I50" s="71"/>
      <c r="J50" s="72"/>
      <c r="K50" s="12"/>
      <c r="L50" s="20">
        <f t="shared" si="0"/>
        <v>0</v>
      </c>
      <c r="M50" s="19" t="str">
        <f t="shared" si="1"/>
        <v/>
      </c>
      <c r="N50" s="12"/>
      <c r="O50" s="119"/>
      <c r="P50" s="95" t="str">
        <f t="shared" si="2"/>
        <v/>
      </c>
      <c r="Q50" s="12"/>
      <c r="S50" s="128"/>
      <c r="T50" s="66"/>
      <c r="U50" s="128"/>
      <c r="W50" s="128"/>
      <c r="X50" s="12"/>
      <c r="Y50" t="str">
        <f t="shared" si="3"/>
        <v/>
      </c>
      <c r="Z50" t="str">
        <f t="shared" si="3"/>
        <v/>
      </c>
      <c r="AA50" s="12"/>
      <c r="AB50" s="95" t="e">
        <f t="shared" si="4"/>
        <v>#VALUE!</v>
      </c>
      <c r="AC50" s="95" t="e">
        <f t="shared" si="5"/>
        <v>#VALUE!</v>
      </c>
      <c r="AD50" s="12"/>
    </row>
    <row r="51" spans="1:30" ht="15.75" thickBot="1" x14ac:dyDescent="0.3">
      <c r="A51" s="12"/>
      <c r="B51" s="22"/>
      <c r="C51" t="str">
        <f>IF(AND('ENTRY DATA'!D51=""),"",('ENTRY DATA'!D51))</f>
        <v/>
      </c>
      <c r="D51" t="str">
        <f>IF(AND('ENTRY DATA'!F51=""),"",('ENTRY DATA'!F51))</f>
        <v/>
      </c>
      <c r="E51" s="34" t="str">
        <f>IF(AND('ENTRY DATA'!B51=""),"",('ENTRY DATA'!B51))</f>
        <v/>
      </c>
      <c r="F51" s="12"/>
      <c r="G51" s="12"/>
      <c r="H51" s="72"/>
      <c r="I51" s="71"/>
      <c r="J51" s="72"/>
      <c r="K51" s="12"/>
      <c r="L51" s="20">
        <f t="shared" si="0"/>
        <v>0</v>
      </c>
      <c r="M51" s="19" t="str">
        <f t="shared" si="1"/>
        <v/>
      </c>
      <c r="N51" s="12"/>
      <c r="O51" s="119"/>
      <c r="P51" s="95" t="str">
        <f t="shared" si="2"/>
        <v/>
      </c>
      <c r="Q51" s="12"/>
      <c r="S51" s="128"/>
      <c r="T51" s="66"/>
      <c r="U51" s="128"/>
      <c r="W51" s="128"/>
      <c r="X51" s="12"/>
      <c r="Y51" t="str">
        <f t="shared" si="3"/>
        <v/>
      </c>
      <c r="Z51" t="str">
        <f t="shared" si="3"/>
        <v/>
      </c>
      <c r="AA51" s="12"/>
      <c r="AB51" s="95" t="e">
        <f t="shared" si="4"/>
        <v>#VALUE!</v>
      </c>
      <c r="AC51" s="95" t="e">
        <f t="shared" si="5"/>
        <v>#VALUE!</v>
      </c>
      <c r="AD51" s="12"/>
    </row>
    <row r="52" spans="1:30" ht="15.75" thickBot="1" x14ac:dyDescent="0.3">
      <c r="A52" s="12"/>
      <c r="B52" s="22"/>
      <c r="C52" t="str">
        <f>IF(AND('ENTRY DATA'!D52=""),"",('ENTRY DATA'!D52))</f>
        <v/>
      </c>
      <c r="D52" t="str">
        <f>IF(AND('ENTRY DATA'!F52=""),"",('ENTRY DATA'!F52))</f>
        <v/>
      </c>
      <c r="E52" s="34" t="str">
        <f>IF(AND('ENTRY DATA'!B52=""),"",('ENTRY DATA'!B52))</f>
        <v/>
      </c>
      <c r="F52" s="12"/>
      <c r="G52" s="12"/>
      <c r="H52" s="72"/>
      <c r="I52" s="71"/>
      <c r="J52" s="72"/>
      <c r="K52" s="12"/>
      <c r="L52" s="20">
        <f t="shared" si="0"/>
        <v>0</v>
      </c>
      <c r="M52" s="19" t="str">
        <f t="shared" si="1"/>
        <v/>
      </c>
      <c r="N52" s="12"/>
      <c r="O52" s="119"/>
      <c r="P52" s="95" t="str">
        <f t="shared" si="2"/>
        <v/>
      </c>
      <c r="Q52" s="12"/>
      <c r="S52" s="128"/>
      <c r="T52" s="66"/>
      <c r="U52" s="128"/>
      <c r="W52" s="128"/>
      <c r="X52" s="12"/>
      <c r="Y52" t="str">
        <f t="shared" si="3"/>
        <v/>
      </c>
      <c r="Z52" t="str">
        <f t="shared" si="3"/>
        <v/>
      </c>
      <c r="AA52" s="12"/>
      <c r="AB52" s="95" t="e">
        <f t="shared" si="4"/>
        <v>#VALUE!</v>
      </c>
      <c r="AC52" s="95" t="e">
        <f t="shared" si="5"/>
        <v>#VALUE!</v>
      </c>
      <c r="AD52" s="12"/>
    </row>
    <row r="53" spans="1:30" ht="15.75" thickBot="1" x14ac:dyDescent="0.3">
      <c r="A53" s="12"/>
      <c r="B53" s="22"/>
      <c r="C53" t="str">
        <f>IF(AND('ENTRY DATA'!D53=""),"",('ENTRY DATA'!D53))</f>
        <v/>
      </c>
      <c r="D53" t="str">
        <f>IF(AND('ENTRY DATA'!F53=""),"",('ENTRY DATA'!F53))</f>
        <v/>
      </c>
      <c r="E53" s="34" t="str">
        <f>IF(AND('ENTRY DATA'!B53=""),"",('ENTRY DATA'!B53))</f>
        <v/>
      </c>
      <c r="F53" s="12"/>
      <c r="G53" s="12"/>
      <c r="H53" s="72"/>
      <c r="I53" s="71"/>
      <c r="J53" s="72"/>
      <c r="K53" s="12"/>
      <c r="L53" s="20">
        <f t="shared" si="0"/>
        <v>0</v>
      </c>
      <c r="M53" s="19" t="str">
        <f t="shared" si="1"/>
        <v/>
      </c>
      <c r="N53" s="12"/>
      <c r="O53" s="119"/>
      <c r="P53" s="95" t="str">
        <f t="shared" si="2"/>
        <v/>
      </c>
      <c r="Q53" s="12"/>
      <c r="S53" s="128"/>
      <c r="T53" s="66"/>
      <c r="U53" s="128"/>
      <c r="W53" s="128"/>
      <c r="X53" s="12"/>
      <c r="Y53" t="str">
        <f t="shared" si="3"/>
        <v/>
      </c>
      <c r="Z53" t="str">
        <f t="shared" si="3"/>
        <v/>
      </c>
      <c r="AA53" s="12"/>
      <c r="AB53" s="95" t="e">
        <f t="shared" si="4"/>
        <v>#VALUE!</v>
      </c>
      <c r="AC53" s="95" t="e">
        <f t="shared" si="5"/>
        <v>#VALUE!</v>
      </c>
      <c r="AD53" s="12"/>
    </row>
    <row r="54" spans="1:30" ht="15.75" thickBot="1" x14ac:dyDescent="0.3">
      <c r="A54" s="12"/>
      <c r="B54" s="22"/>
      <c r="C54" t="str">
        <f>IF(AND('ENTRY DATA'!D54=""),"",('ENTRY DATA'!D54))</f>
        <v/>
      </c>
      <c r="D54" t="str">
        <f>IF(AND('ENTRY DATA'!F54=""),"",('ENTRY DATA'!F54))</f>
        <v/>
      </c>
      <c r="E54" s="34" t="str">
        <f>IF(AND('ENTRY DATA'!B54=""),"",('ENTRY DATA'!B54))</f>
        <v/>
      </c>
      <c r="F54" s="12"/>
      <c r="G54" s="12"/>
      <c r="H54" s="72"/>
      <c r="I54" s="71"/>
      <c r="J54" s="72"/>
      <c r="K54" s="12"/>
      <c r="L54" s="20">
        <f t="shared" si="0"/>
        <v>0</v>
      </c>
      <c r="M54" s="19" t="str">
        <f t="shared" si="1"/>
        <v/>
      </c>
      <c r="N54" s="12"/>
      <c r="O54" s="119"/>
      <c r="P54" s="95" t="str">
        <f t="shared" si="2"/>
        <v/>
      </c>
      <c r="Q54" s="12"/>
      <c r="S54" s="128"/>
      <c r="T54" s="66"/>
      <c r="U54" s="128"/>
      <c r="W54" s="128"/>
      <c r="X54" s="12"/>
      <c r="Y54" t="str">
        <f t="shared" si="3"/>
        <v/>
      </c>
      <c r="Z54" t="str">
        <f t="shared" si="3"/>
        <v/>
      </c>
      <c r="AA54" s="12"/>
      <c r="AB54" s="95" t="e">
        <f t="shared" si="4"/>
        <v>#VALUE!</v>
      </c>
      <c r="AC54" s="95" t="e">
        <f t="shared" si="5"/>
        <v>#VALUE!</v>
      </c>
      <c r="AD54" s="12"/>
    </row>
    <row r="55" spans="1:30" ht="15.75" thickBot="1" x14ac:dyDescent="0.3">
      <c r="A55" s="12"/>
      <c r="B55" s="22"/>
      <c r="C55" t="str">
        <f>IF(AND('ENTRY DATA'!D55=""),"",('ENTRY DATA'!D55))</f>
        <v/>
      </c>
      <c r="D55" t="str">
        <f>IF(AND('ENTRY DATA'!F55=""),"",('ENTRY DATA'!F55))</f>
        <v/>
      </c>
      <c r="E55" s="34" t="str">
        <f>IF(AND('ENTRY DATA'!B55=""),"",('ENTRY DATA'!B55))</f>
        <v/>
      </c>
      <c r="F55" s="12"/>
      <c r="G55" s="12"/>
      <c r="H55" s="72"/>
      <c r="I55" s="71"/>
      <c r="J55" s="72"/>
      <c r="K55" s="12"/>
      <c r="L55" s="20">
        <f t="shared" si="0"/>
        <v>0</v>
      </c>
      <c r="M55" s="19" t="str">
        <f t="shared" si="1"/>
        <v/>
      </c>
      <c r="N55" s="12"/>
      <c r="O55" s="119"/>
      <c r="P55" s="95" t="str">
        <f t="shared" si="2"/>
        <v/>
      </c>
      <c r="Q55" s="12"/>
      <c r="S55" s="128"/>
      <c r="T55" s="66"/>
      <c r="U55" s="128"/>
      <c r="W55" s="128"/>
      <c r="X55" s="12"/>
      <c r="Y55" t="str">
        <f t="shared" si="3"/>
        <v/>
      </c>
      <c r="Z55" t="str">
        <f t="shared" si="3"/>
        <v/>
      </c>
      <c r="AA55" s="12"/>
      <c r="AB55" s="95" t="e">
        <f t="shared" si="4"/>
        <v>#VALUE!</v>
      </c>
      <c r="AC55" s="95" t="e">
        <f t="shared" si="5"/>
        <v>#VALUE!</v>
      </c>
      <c r="AD55" s="12"/>
    </row>
    <row r="56" spans="1:30" ht="15.75" thickBot="1" x14ac:dyDescent="0.3">
      <c r="A56" s="12"/>
      <c r="B56" s="22"/>
      <c r="C56" t="str">
        <f>IF(AND('ENTRY DATA'!D56=""),"",('ENTRY DATA'!D56))</f>
        <v/>
      </c>
      <c r="D56" t="str">
        <f>IF(AND('ENTRY DATA'!F56=""),"",('ENTRY DATA'!F56))</f>
        <v/>
      </c>
      <c r="E56" s="34" t="str">
        <f>IF(AND('ENTRY DATA'!B56=""),"",('ENTRY DATA'!B56))</f>
        <v/>
      </c>
      <c r="F56" s="12"/>
      <c r="G56" s="12"/>
      <c r="H56" s="72"/>
      <c r="I56" s="71"/>
      <c r="J56" s="72"/>
      <c r="K56" s="12"/>
      <c r="L56" s="20">
        <f t="shared" si="0"/>
        <v>0</v>
      </c>
      <c r="M56" s="19" t="str">
        <f t="shared" si="1"/>
        <v/>
      </c>
      <c r="N56" s="12"/>
      <c r="O56" s="119"/>
      <c r="P56" s="95" t="str">
        <f t="shared" si="2"/>
        <v/>
      </c>
      <c r="Q56" s="12"/>
      <c r="S56" s="128"/>
      <c r="T56" s="66"/>
      <c r="U56" s="128"/>
      <c r="W56" s="128"/>
      <c r="X56" s="12"/>
      <c r="Y56" t="str">
        <f t="shared" si="3"/>
        <v/>
      </c>
      <c r="Z56" t="str">
        <f t="shared" si="3"/>
        <v/>
      </c>
      <c r="AA56" s="12"/>
      <c r="AB56" s="95" t="e">
        <f t="shared" si="4"/>
        <v>#VALUE!</v>
      </c>
      <c r="AC56" s="95" t="e">
        <f t="shared" si="5"/>
        <v>#VALUE!</v>
      </c>
      <c r="AD56" s="12"/>
    </row>
    <row r="57" spans="1:30" ht="15.75" thickBot="1" x14ac:dyDescent="0.3">
      <c r="A57" s="12"/>
      <c r="B57" s="22"/>
      <c r="C57" t="str">
        <f>IF(AND('ENTRY DATA'!D57=""),"",('ENTRY DATA'!D57))</f>
        <v/>
      </c>
      <c r="D57" t="str">
        <f>IF(AND('ENTRY DATA'!F57=""),"",('ENTRY DATA'!F57))</f>
        <v/>
      </c>
      <c r="E57" s="34" t="str">
        <f>IF(AND('ENTRY DATA'!B57=""),"",('ENTRY DATA'!B57))</f>
        <v/>
      </c>
      <c r="F57" s="12"/>
      <c r="G57" s="12"/>
      <c r="H57" s="72"/>
      <c r="I57" s="71"/>
      <c r="J57" s="72"/>
      <c r="K57" s="12"/>
      <c r="L57" s="20">
        <f t="shared" si="0"/>
        <v>0</v>
      </c>
      <c r="M57" s="19" t="str">
        <f t="shared" si="1"/>
        <v/>
      </c>
      <c r="N57" s="12"/>
      <c r="O57" s="119"/>
      <c r="P57" s="95" t="str">
        <f t="shared" si="2"/>
        <v/>
      </c>
      <c r="Q57" s="12"/>
      <c r="S57" s="128"/>
      <c r="T57" s="66"/>
      <c r="U57" s="128"/>
      <c r="W57" s="128"/>
      <c r="X57" s="12"/>
      <c r="Y57" t="str">
        <f t="shared" si="3"/>
        <v/>
      </c>
      <c r="Z57" t="str">
        <f t="shared" si="3"/>
        <v/>
      </c>
      <c r="AA57" s="12"/>
      <c r="AB57" s="95" t="e">
        <f t="shared" si="4"/>
        <v>#VALUE!</v>
      </c>
      <c r="AC57" s="95" t="e">
        <f t="shared" si="5"/>
        <v>#VALUE!</v>
      </c>
      <c r="AD57" s="12"/>
    </row>
    <row r="58" spans="1:30" ht="15.75" thickBot="1" x14ac:dyDescent="0.3">
      <c r="A58" s="12"/>
      <c r="B58" s="22"/>
      <c r="C58" t="str">
        <f>IF(AND('ENTRY DATA'!D58=""),"",('ENTRY DATA'!D58))</f>
        <v/>
      </c>
      <c r="D58" t="str">
        <f>IF(AND('ENTRY DATA'!F58=""),"",('ENTRY DATA'!F58))</f>
        <v/>
      </c>
      <c r="E58" s="34" t="str">
        <f>IF(AND('ENTRY DATA'!B58=""),"",('ENTRY DATA'!B58))</f>
        <v/>
      </c>
      <c r="F58" s="12"/>
      <c r="G58" s="12"/>
      <c r="H58" s="72"/>
      <c r="I58" s="71"/>
      <c r="J58" s="72"/>
      <c r="K58" s="12"/>
      <c r="L58" s="20">
        <f t="shared" si="0"/>
        <v>0</v>
      </c>
      <c r="M58" s="19" t="str">
        <f t="shared" si="1"/>
        <v/>
      </c>
      <c r="N58" s="12"/>
      <c r="O58" s="119"/>
      <c r="P58" s="95" t="str">
        <f t="shared" si="2"/>
        <v/>
      </c>
      <c r="Q58" s="12"/>
      <c r="S58" s="128"/>
      <c r="T58" s="66"/>
      <c r="U58" s="128"/>
      <c r="W58" s="128"/>
      <c r="X58" s="12"/>
      <c r="Y58" t="str">
        <f t="shared" si="3"/>
        <v/>
      </c>
      <c r="Z58" t="str">
        <f t="shared" si="3"/>
        <v/>
      </c>
      <c r="AA58" s="12"/>
      <c r="AB58" s="95" t="e">
        <f t="shared" si="4"/>
        <v>#VALUE!</v>
      </c>
      <c r="AC58" s="95" t="e">
        <f t="shared" si="5"/>
        <v>#VALUE!</v>
      </c>
      <c r="AD58" s="12"/>
    </row>
    <row r="59" spans="1:30" ht="15.75" thickBot="1" x14ac:dyDescent="0.3">
      <c r="A59" s="12"/>
      <c r="B59" s="22"/>
      <c r="C59" t="str">
        <f>IF(AND('ENTRY DATA'!D59=""),"",('ENTRY DATA'!D59))</f>
        <v/>
      </c>
      <c r="D59" t="str">
        <f>IF(AND('ENTRY DATA'!F59=""),"",('ENTRY DATA'!F59))</f>
        <v/>
      </c>
      <c r="E59" s="34" t="str">
        <f>IF(AND('ENTRY DATA'!B59=""),"",('ENTRY DATA'!B59))</f>
        <v/>
      </c>
      <c r="F59" s="12"/>
      <c r="G59" s="12"/>
      <c r="H59" s="72"/>
      <c r="I59" s="71"/>
      <c r="J59" s="72"/>
      <c r="K59" s="12"/>
      <c r="L59" s="20">
        <f t="shared" si="0"/>
        <v>0</v>
      </c>
      <c r="M59" s="19" t="str">
        <f t="shared" si="1"/>
        <v/>
      </c>
      <c r="N59" s="12"/>
      <c r="O59" s="119"/>
      <c r="P59" s="95" t="str">
        <f t="shared" si="2"/>
        <v/>
      </c>
      <c r="Q59" s="12"/>
      <c r="S59" s="128"/>
      <c r="T59" s="66"/>
      <c r="U59" s="128"/>
      <c r="W59" s="128"/>
      <c r="X59" s="12"/>
      <c r="Y59" t="str">
        <f t="shared" si="3"/>
        <v/>
      </c>
      <c r="Z59" t="str">
        <f t="shared" si="3"/>
        <v/>
      </c>
      <c r="AA59" s="12"/>
      <c r="AB59" s="95" t="e">
        <f t="shared" si="4"/>
        <v>#VALUE!</v>
      </c>
      <c r="AC59" s="95" t="e">
        <f t="shared" si="5"/>
        <v>#VALUE!</v>
      </c>
      <c r="AD59" s="12"/>
    </row>
    <row r="60" spans="1:30" ht="15.75" thickBot="1" x14ac:dyDescent="0.3">
      <c r="A60" s="12"/>
      <c r="B60" s="22"/>
      <c r="C60" t="str">
        <f>IF(AND('ENTRY DATA'!D60=""),"",('ENTRY DATA'!D60))</f>
        <v/>
      </c>
      <c r="D60" t="str">
        <f>IF(AND('ENTRY DATA'!F60=""),"",('ENTRY DATA'!F60))</f>
        <v/>
      </c>
      <c r="E60" s="34" t="str">
        <f>IF(AND('ENTRY DATA'!B60=""),"",('ENTRY DATA'!B60))</f>
        <v/>
      </c>
      <c r="F60" s="12"/>
      <c r="G60" s="12"/>
      <c r="H60" s="72"/>
      <c r="I60" s="71"/>
      <c r="J60" s="72"/>
      <c r="K60" s="12"/>
      <c r="L60" s="20">
        <f t="shared" si="0"/>
        <v>0</v>
      </c>
      <c r="M60" s="19" t="str">
        <f t="shared" si="1"/>
        <v/>
      </c>
      <c r="N60" s="12"/>
      <c r="O60" s="119"/>
      <c r="P60" s="95" t="str">
        <f t="shared" si="2"/>
        <v/>
      </c>
      <c r="Q60" s="12"/>
      <c r="S60" s="128"/>
      <c r="T60" s="66"/>
      <c r="U60" s="128"/>
      <c r="W60" s="128"/>
      <c r="X60" s="12"/>
      <c r="Y60" t="str">
        <f t="shared" si="3"/>
        <v/>
      </c>
      <c r="Z60" t="str">
        <f t="shared" si="3"/>
        <v/>
      </c>
      <c r="AA60" s="12"/>
      <c r="AB60" s="95" t="e">
        <f t="shared" si="4"/>
        <v>#VALUE!</v>
      </c>
      <c r="AC60" s="95" t="e">
        <f t="shared" si="5"/>
        <v>#VALUE!</v>
      </c>
      <c r="AD60" s="12"/>
    </row>
    <row r="61" spans="1:30" ht="15.75" thickBot="1" x14ac:dyDescent="0.3">
      <c r="A61" s="12"/>
      <c r="B61" s="22"/>
      <c r="C61" t="str">
        <f>IF(AND('ENTRY DATA'!D61=""),"",('ENTRY DATA'!D61))</f>
        <v/>
      </c>
      <c r="D61" t="str">
        <f>IF(AND('ENTRY DATA'!F61=""),"",('ENTRY DATA'!F61))</f>
        <v/>
      </c>
      <c r="E61" s="34" t="str">
        <f>IF(AND('ENTRY DATA'!B61=""),"",('ENTRY DATA'!B61))</f>
        <v/>
      </c>
      <c r="F61" s="12"/>
      <c r="G61" s="12"/>
      <c r="H61" s="72"/>
      <c r="I61" s="71"/>
      <c r="J61" s="72"/>
      <c r="K61" s="12"/>
      <c r="L61" s="20">
        <f t="shared" si="0"/>
        <v>0</v>
      </c>
      <c r="M61" s="19" t="str">
        <f t="shared" si="1"/>
        <v/>
      </c>
      <c r="N61" s="12"/>
      <c r="O61" s="119"/>
      <c r="P61" s="95" t="str">
        <f t="shared" si="2"/>
        <v/>
      </c>
      <c r="Q61" s="12"/>
      <c r="S61" s="128"/>
      <c r="T61" s="66"/>
      <c r="U61" s="128"/>
      <c r="W61" s="128"/>
      <c r="X61" s="12"/>
      <c r="Y61" t="str">
        <f t="shared" si="3"/>
        <v/>
      </c>
      <c r="Z61" t="str">
        <f t="shared" si="3"/>
        <v/>
      </c>
      <c r="AA61" s="12"/>
      <c r="AB61" s="95" t="e">
        <f t="shared" si="4"/>
        <v>#VALUE!</v>
      </c>
      <c r="AC61" s="95" t="e">
        <f t="shared" si="5"/>
        <v>#VALUE!</v>
      </c>
      <c r="AD61" s="12"/>
    </row>
    <row r="62" spans="1:30" ht="15.75" thickBot="1" x14ac:dyDescent="0.3">
      <c r="A62" s="12"/>
      <c r="B62" s="22"/>
      <c r="C62" t="str">
        <f>IF(AND('ENTRY DATA'!D62=""),"",('ENTRY DATA'!D62))</f>
        <v/>
      </c>
      <c r="D62" t="str">
        <f>IF(AND('ENTRY DATA'!F62=""),"",('ENTRY DATA'!F62))</f>
        <v/>
      </c>
      <c r="E62" s="34" t="str">
        <f>IF(AND('ENTRY DATA'!B62=""),"",('ENTRY DATA'!B62))</f>
        <v/>
      </c>
      <c r="F62" s="12"/>
      <c r="G62" s="12"/>
      <c r="H62" s="72"/>
      <c r="I62" s="71"/>
      <c r="J62" s="72"/>
      <c r="K62" s="12"/>
      <c r="L62" s="20">
        <f t="shared" si="0"/>
        <v>0</v>
      </c>
      <c r="M62" s="19" t="str">
        <f t="shared" si="1"/>
        <v/>
      </c>
      <c r="N62" s="12"/>
      <c r="O62" s="119"/>
      <c r="P62" s="95" t="str">
        <f t="shared" si="2"/>
        <v/>
      </c>
      <c r="Q62" s="12"/>
      <c r="S62" s="128"/>
      <c r="T62" s="66"/>
      <c r="U62" s="128"/>
      <c r="W62" s="128"/>
      <c r="X62" s="12"/>
      <c r="Y62" t="str">
        <f t="shared" si="3"/>
        <v/>
      </c>
      <c r="Z62" t="str">
        <f t="shared" si="3"/>
        <v/>
      </c>
      <c r="AA62" s="12"/>
      <c r="AB62" s="95" t="e">
        <f t="shared" si="4"/>
        <v>#VALUE!</v>
      </c>
      <c r="AC62" s="95" t="e">
        <f t="shared" si="5"/>
        <v>#VALUE!</v>
      </c>
      <c r="AD62" s="12"/>
    </row>
    <row r="63" spans="1:30" ht="15.75" thickBot="1" x14ac:dyDescent="0.3">
      <c r="A63" s="12"/>
      <c r="B63" s="22"/>
      <c r="C63" t="str">
        <f>IF(AND('ENTRY DATA'!D63=""),"",('ENTRY DATA'!D63))</f>
        <v/>
      </c>
      <c r="D63" t="str">
        <f>IF(AND('ENTRY DATA'!F63=""),"",('ENTRY DATA'!F63))</f>
        <v/>
      </c>
      <c r="E63" s="34" t="str">
        <f>IF(AND('ENTRY DATA'!B63=""),"",('ENTRY DATA'!B63))</f>
        <v/>
      </c>
      <c r="F63" s="12"/>
      <c r="G63" s="12"/>
      <c r="H63" s="72"/>
      <c r="I63" s="71"/>
      <c r="J63" s="72"/>
      <c r="K63" s="12"/>
      <c r="L63" s="20">
        <f t="shared" si="0"/>
        <v>0</v>
      </c>
      <c r="M63" s="19" t="str">
        <f t="shared" si="1"/>
        <v/>
      </c>
      <c r="N63" s="12"/>
      <c r="O63" s="119"/>
      <c r="P63" s="95" t="str">
        <f t="shared" si="2"/>
        <v/>
      </c>
      <c r="Q63" s="12"/>
      <c r="S63" s="128"/>
      <c r="T63" s="66"/>
      <c r="U63" s="128"/>
      <c r="W63" s="128"/>
      <c r="X63" s="12"/>
      <c r="Y63" t="str">
        <f t="shared" si="3"/>
        <v/>
      </c>
      <c r="Z63" t="str">
        <f t="shared" si="3"/>
        <v/>
      </c>
      <c r="AA63" s="12"/>
      <c r="AB63" s="95" t="e">
        <f t="shared" si="4"/>
        <v>#VALUE!</v>
      </c>
      <c r="AC63" s="95" t="e">
        <f t="shared" si="5"/>
        <v>#VALUE!</v>
      </c>
      <c r="AD63" s="12"/>
    </row>
    <row r="64" spans="1:30" ht="15.75" thickBot="1" x14ac:dyDescent="0.3">
      <c r="A64" s="12"/>
      <c r="B64" s="22"/>
      <c r="C64" t="str">
        <f>IF(AND('ENTRY DATA'!D64=""),"",('ENTRY DATA'!D64))</f>
        <v/>
      </c>
      <c r="D64" t="str">
        <f>IF(AND('ENTRY DATA'!F64=""),"",('ENTRY DATA'!F64))</f>
        <v/>
      </c>
      <c r="E64" s="34" t="str">
        <f>IF(AND('ENTRY DATA'!B64=""),"",('ENTRY DATA'!B64))</f>
        <v/>
      </c>
      <c r="F64" s="12"/>
      <c r="G64" s="12"/>
      <c r="H64" s="72"/>
      <c r="I64" s="71"/>
      <c r="J64" s="72"/>
      <c r="K64" s="12"/>
      <c r="L64" s="20">
        <f t="shared" si="0"/>
        <v>0</v>
      </c>
      <c r="M64" s="19" t="str">
        <f t="shared" si="1"/>
        <v/>
      </c>
      <c r="N64" s="12"/>
      <c r="O64" s="119"/>
      <c r="P64" s="95" t="str">
        <f t="shared" si="2"/>
        <v/>
      </c>
      <c r="Q64" s="12"/>
      <c r="S64" s="128"/>
      <c r="T64" s="66"/>
      <c r="U64" s="128"/>
      <c r="W64" s="128"/>
      <c r="X64" s="12"/>
      <c r="Y64" t="str">
        <f t="shared" si="3"/>
        <v/>
      </c>
      <c r="Z64" t="str">
        <f t="shared" si="3"/>
        <v/>
      </c>
      <c r="AA64" s="12"/>
      <c r="AB64" s="95" t="e">
        <f t="shared" si="4"/>
        <v>#VALUE!</v>
      </c>
      <c r="AC64" s="95" t="e">
        <f t="shared" si="5"/>
        <v>#VALUE!</v>
      </c>
      <c r="AD64" s="12"/>
    </row>
    <row r="65" spans="1:30" ht="15.75" thickBot="1" x14ac:dyDescent="0.3">
      <c r="A65" s="12"/>
      <c r="B65" s="22"/>
      <c r="C65" t="str">
        <f>IF(AND('ENTRY DATA'!D65=""),"",('ENTRY DATA'!D65))</f>
        <v/>
      </c>
      <c r="D65" t="str">
        <f>IF(AND('ENTRY DATA'!F65=""),"",('ENTRY DATA'!F65))</f>
        <v/>
      </c>
      <c r="E65" s="34" t="str">
        <f>IF(AND('ENTRY DATA'!B65=""),"",('ENTRY DATA'!B65))</f>
        <v/>
      </c>
      <c r="F65" s="12"/>
      <c r="G65" s="12"/>
      <c r="H65" s="72"/>
      <c r="I65" s="71"/>
      <c r="J65" s="72"/>
      <c r="K65" s="12"/>
      <c r="L65" s="20">
        <f t="shared" si="0"/>
        <v>0</v>
      </c>
      <c r="M65" s="19" t="str">
        <f t="shared" si="1"/>
        <v/>
      </c>
      <c r="N65" s="12"/>
      <c r="O65" s="119"/>
      <c r="P65" s="95" t="str">
        <f t="shared" si="2"/>
        <v/>
      </c>
      <c r="Q65" s="12"/>
      <c r="S65" s="128"/>
      <c r="T65" s="66"/>
      <c r="U65" s="128"/>
      <c r="W65" s="128"/>
      <c r="X65" s="12"/>
      <c r="Y65" t="str">
        <f t="shared" si="3"/>
        <v/>
      </c>
      <c r="Z65" t="str">
        <f t="shared" si="3"/>
        <v/>
      </c>
      <c r="AA65" s="12"/>
      <c r="AB65" s="95" t="e">
        <f t="shared" si="4"/>
        <v>#VALUE!</v>
      </c>
      <c r="AC65" s="95" t="e">
        <f t="shared" si="5"/>
        <v>#VALUE!</v>
      </c>
      <c r="AD65" s="12"/>
    </row>
    <row r="66" spans="1:30" ht="15.75" thickBot="1" x14ac:dyDescent="0.3">
      <c r="A66" s="12"/>
      <c r="B66" s="22"/>
      <c r="C66" t="str">
        <f>IF(AND('ENTRY DATA'!D66=""),"",('ENTRY DATA'!D66))</f>
        <v/>
      </c>
      <c r="D66" t="str">
        <f>IF(AND('ENTRY DATA'!F66=""),"",('ENTRY DATA'!F66))</f>
        <v/>
      </c>
      <c r="E66" s="34" t="str">
        <f>IF(AND('ENTRY DATA'!B66=""),"",('ENTRY DATA'!B66))</f>
        <v/>
      </c>
      <c r="F66" s="12"/>
      <c r="G66" s="12"/>
      <c r="H66" s="72"/>
      <c r="I66" s="71"/>
      <c r="J66" s="72"/>
      <c r="K66" s="12"/>
      <c r="L66" s="20">
        <f t="shared" si="0"/>
        <v>0</v>
      </c>
      <c r="M66" s="19" t="str">
        <f t="shared" si="1"/>
        <v/>
      </c>
      <c r="N66" s="12"/>
      <c r="O66" s="119"/>
      <c r="P66" s="95" t="str">
        <f t="shared" si="2"/>
        <v/>
      </c>
      <c r="Q66" s="12"/>
      <c r="S66" s="128"/>
      <c r="T66" s="66"/>
      <c r="U66" s="128"/>
      <c r="W66" s="128"/>
      <c r="X66" s="12"/>
      <c r="Y66" t="str">
        <f t="shared" si="3"/>
        <v/>
      </c>
      <c r="Z66" t="str">
        <f t="shared" si="3"/>
        <v/>
      </c>
      <c r="AA66" s="12"/>
      <c r="AB66" s="95" t="e">
        <f t="shared" si="4"/>
        <v>#VALUE!</v>
      </c>
      <c r="AC66" s="95" t="e">
        <f t="shared" si="5"/>
        <v>#VALUE!</v>
      </c>
      <c r="AD66" s="12"/>
    </row>
    <row r="67" spans="1:30" ht="15.75" thickBot="1" x14ac:dyDescent="0.3">
      <c r="A67" s="12"/>
      <c r="B67" s="22"/>
      <c r="C67" t="str">
        <f>IF(AND('ENTRY DATA'!D67=""),"",('ENTRY DATA'!D67))</f>
        <v/>
      </c>
      <c r="D67" t="str">
        <f>IF(AND('ENTRY DATA'!F67=""),"",('ENTRY DATA'!F67))</f>
        <v/>
      </c>
      <c r="E67" s="34" t="str">
        <f>IF(AND('ENTRY DATA'!B67=""),"",('ENTRY DATA'!B67))</f>
        <v/>
      </c>
      <c r="F67" s="12"/>
      <c r="G67" s="12"/>
      <c r="H67" s="72"/>
      <c r="I67" s="71"/>
      <c r="J67" s="72"/>
      <c r="K67" s="12"/>
      <c r="L67" s="20">
        <f t="shared" si="0"/>
        <v>0</v>
      </c>
      <c r="M67" s="19" t="str">
        <f t="shared" si="1"/>
        <v/>
      </c>
      <c r="N67" s="12"/>
      <c r="O67" s="119"/>
      <c r="P67" s="95" t="str">
        <f t="shared" si="2"/>
        <v/>
      </c>
      <c r="Q67" s="12"/>
      <c r="S67" s="128"/>
      <c r="T67" s="66"/>
      <c r="U67" s="128"/>
      <c r="W67" s="128"/>
      <c r="X67" s="12"/>
      <c r="Y67" t="str">
        <f t="shared" si="3"/>
        <v/>
      </c>
      <c r="Z67" t="str">
        <f t="shared" si="3"/>
        <v/>
      </c>
      <c r="AA67" s="12"/>
      <c r="AB67" s="95" t="e">
        <f t="shared" si="4"/>
        <v>#VALUE!</v>
      </c>
      <c r="AC67" s="95" t="e">
        <f t="shared" si="5"/>
        <v>#VALUE!</v>
      </c>
      <c r="AD67" s="12"/>
    </row>
    <row r="68" spans="1:30" ht="15.75" thickBot="1" x14ac:dyDescent="0.3">
      <c r="A68" s="12"/>
      <c r="B68" s="22"/>
      <c r="C68" t="str">
        <f>IF(AND('ENTRY DATA'!D68=""),"",('ENTRY DATA'!D68))</f>
        <v/>
      </c>
      <c r="D68" t="str">
        <f>IF(AND('ENTRY DATA'!F68=""),"",('ENTRY DATA'!F68))</f>
        <v/>
      </c>
      <c r="E68" s="34" t="str">
        <f>IF(AND('ENTRY DATA'!B68=""),"",('ENTRY DATA'!B68))</f>
        <v/>
      </c>
      <c r="F68" s="12"/>
      <c r="G68" s="12"/>
      <c r="H68" s="72"/>
      <c r="I68" s="71"/>
      <c r="J68" s="72"/>
      <c r="K68" s="12"/>
      <c r="L68" s="20">
        <f t="shared" si="0"/>
        <v>0</v>
      </c>
      <c r="M68" s="19" t="str">
        <f t="shared" si="1"/>
        <v/>
      </c>
      <c r="N68" s="12"/>
      <c r="O68" s="119"/>
      <c r="P68" s="95" t="str">
        <f t="shared" si="2"/>
        <v/>
      </c>
      <c r="Q68" s="12"/>
      <c r="S68" s="128"/>
      <c r="T68" s="66"/>
      <c r="U68" s="128"/>
      <c r="W68" s="128"/>
      <c r="X68" s="12"/>
      <c r="Y68" t="str">
        <f t="shared" si="3"/>
        <v/>
      </c>
      <c r="Z68" t="str">
        <f t="shared" si="3"/>
        <v/>
      </c>
      <c r="AA68" s="12"/>
      <c r="AB68" s="95" t="e">
        <f t="shared" si="4"/>
        <v>#VALUE!</v>
      </c>
      <c r="AC68" s="95" t="e">
        <f t="shared" si="5"/>
        <v>#VALUE!</v>
      </c>
      <c r="AD68" s="12"/>
    </row>
    <row r="69" spans="1:30" ht="15.75" thickBot="1" x14ac:dyDescent="0.3">
      <c r="A69" s="12"/>
      <c r="B69" s="22"/>
      <c r="C69" t="str">
        <f>IF(AND('ENTRY DATA'!D69=""),"",('ENTRY DATA'!D69))</f>
        <v/>
      </c>
      <c r="D69" t="str">
        <f>IF(AND('ENTRY DATA'!F69=""),"",('ENTRY DATA'!F69))</f>
        <v/>
      </c>
      <c r="E69" s="34" t="str">
        <f>IF(AND('ENTRY DATA'!B69=""),"",('ENTRY DATA'!B69))</f>
        <v/>
      </c>
      <c r="F69" s="12"/>
      <c r="G69" s="12"/>
      <c r="H69" s="72"/>
      <c r="I69" s="71"/>
      <c r="J69" s="72"/>
      <c r="K69" s="12"/>
      <c r="L69" s="20">
        <f t="shared" si="0"/>
        <v>0</v>
      </c>
      <c r="M69" s="19" t="str">
        <f t="shared" si="1"/>
        <v/>
      </c>
      <c r="N69" s="12"/>
      <c r="O69" s="119"/>
      <c r="P69" s="95" t="str">
        <f t="shared" si="2"/>
        <v/>
      </c>
      <c r="Q69" s="12"/>
      <c r="S69" s="128"/>
      <c r="T69" s="66"/>
      <c r="U69" s="128"/>
      <c r="W69" s="128"/>
      <c r="X69" s="12"/>
      <c r="Y69" t="str">
        <f t="shared" si="3"/>
        <v/>
      </c>
      <c r="Z69" t="str">
        <f t="shared" si="3"/>
        <v/>
      </c>
      <c r="AA69" s="12"/>
      <c r="AB69" s="95" t="e">
        <f t="shared" si="4"/>
        <v>#VALUE!</v>
      </c>
      <c r="AC69" s="95" t="e">
        <f t="shared" si="5"/>
        <v>#VALUE!</v>
      </c>
      <c r="AD69" s="12"/>
    </row>
    <row r="70" spans="1:30" ht="15.75" thickBot="1" x14ac:dyDescent="0.3">
      <c r="A70" s="12"/>
      <c r="B70" s="22"/>
      <c r="C70" t="str">
        <f>IF(AND('ENTRY DATA'!D70=""),"",('ENTRY DATA'!D70))</f>
        <v/>
      </c>
      <c r="D70" t="str">
        <f>IF(AND('ENTRY DATA'!F70=""),"",('ENTRY DATA'!F70))</f>
        <v/>
      </c>
      <c r="E70" s="34" t="str">
        <f>IF(AND('ENTRY DATA'!B70=""),"",('ENTRY DATA'!B70))</f>
        <v/>
      </c>
      <c r="F70" s="12"/>
      <c r="G70" s="12"/>
      <c r="H70" s="72"/>
      <c r="I70" s="71"/>
      <c r="J70" s="72"/>
      <c r="K70" s="12"/>
      <c r="L70" s="20">
        <f t="shared" ref="L70:L133" si="6">COUNT(H70:J70)</f>
        <v>0</v>
      </c>
      <c r="M70" s="19" t="str">
        <f t="shared" ref="M70:M133" si="7">IF(AND(H70="",I70="",J70=""),"",(H70+I70+J70))</f>
        <v/>
      </c>
      <c r="N70" s="12"/>
      <c r="O70" s="119"/>
      <c r="P70" s="95" t="str">
        <f t="shared" ref="P70:P133" si="8">C70</f>
        <v/>
      </c>
      <c r="Q70" s="12"/>
      <c r="S70" s="128"/>
      <c r="T70" s="66"/>
      <c r="U70" s="128"/>
      <c r="W70" s="128"/>
      <c r="X70" s="12"/>
      <c r="Y70" t="str">
        <f t="shared" ref="Y70:Z133" si="9">IF(AND(R70="",T70="",V70=""),"",SUM(R70,T70,V70))</f>
        <v/>
      </c>
      <c r="Z70" t="str">
        <f t="shared" si="9"/>
        <v/>
      </c>
      <c r="AA70" s="12"/>
      <c r="AB70" s="95" t="e">
        <f t="shared" ref="AB70:AB133" si="10">Y70/L70</f>
        <v>#VALUE!</v>
      </c>
      <c r="AC70" s="95" t="e">
        <f t="shared" ref="AC70:AC133" si="11">Z70/L70</f>
        <v>#VALUE!</v>
      </c>
      <c r="AD70" s="12"/>
    </row>
    <row r="71" spans="1:30" ht="15.75" thickBot="1" x14ac:dyDescent="0.3">
      <c r="A71" s="12"/>
      <c r="B71" s="22"/>
      <c r="C71" t="str">
        <f>IF(AND('ENTRY DATA'!D71=""),"",('ENTRY DATA'!D71))</f>
        <v/>
      </c>
      <c r="D71" t="str">
        <f>IF(AND('ENTRY DATA'!F71=""),"",('ENTRY DATA'!F71))</f>
        <v/>
      </c>
      <c r="E71" s="34" t="str">
        <f>IF(AND('ENTRY DATA'!B71=""),"",('ENTRY DATA'!B71))</f>
        <v/>
      </c>
      <c r="F71" s="12"/>
      <c r="G71" s="12"/>
      <c r="H71" s="72"/>
      <c r="I71" s="71"/>
      <c r="J71" s="72"/>
      <c r="K71" s="12"/>
      <c r="L71" s="20">
        <f t="shared" si="6"/>
        <v>0</v>
      </c>
      <c r="M71" s="19" t="str">
        <f t="shared" si="7"/>
        <v/>
      </c>
      <c r="N71" s="12"/>
      <c r="O71" s="119"/>
      <c r="P71" s="95" t="str">
        <f t="shared" si="8"/>
        <v/>
      </c>
      <c r="Q71" s="12"/>
      <c r="S71" s="128"/>
      <c r="T71" s="66"/>
      <c r="U71" s="128"/>
      <c r="W71" s="128"/>
      <c r="X71" s="12"/>
      <c r="Y71" t="str">
        <f t="shared" si="9"/>
        <v/>
      </c>
      <c r="Z71" t="str">
        <f t="shared" si="9"/>
        <v/>
      </c>
      <c r="AA71" s="12"/>
      <c r="AB71" s="95" t="e">
        <f t="shared" si="10"/>
        <v>#VALUE!</v>
      </c>
      <c r="AC71" s="95" t="e">
        <f t="shared" si="11"/>
        <v>#VALUE!</v>
      </c>
      <c r="AD71" s="12"/>
    </row>
    <row r="72" spans="1:30" ht="15.75" thickBot="1" x14ac:dyDescent="0.3">
      <c r="A72" s="12"/>
      <c r="B72" s="22"/>
      <c r="C72" t="str">
        <f>IF(AND('ENTRY DATA'!D72=""),"",('ENTRY DATA'!D72))</f>
        <v/>
      </c>
      <c r="D72" t="str">
        <f>IF(AND('ENTRY DATA'!F72=""),"",('ENTRY DATA'!F72))</f>
        <v/>
      </c>
      <c r="E72" s="34" t="str">
        <f>IF(AND('ENTRY DATA'!B72=""),"",('ENTRY DATA'!B72))</f>
        <v/>
      </c>
      <c r="F72" s="12"/>
      <c r="G72" s="12"/>
      <c r="H72" s="72"/>
      <c r="I72" s="71"/>
      <c r="J72" s="72"/>
      <c r="K72" s="12"/>
      <c r="L72" s="20">
        <f t="shared" si="6"/>
        <v>0</v>
      </c>
      <c r="M72" s="19" t="str">
        <f t="shared" si="7"/>
        <v/>
      </c>
      <c r="N72" s="12"/>
      <c r="O72" s="119"/>
      <c r="P72" s="95" t="str">
        <f t="shared" si="8"/>
        <v/>
      </c>
      <c r="Q72" s="12"/>
      <c r="S72" s="128"/>
      <c r="T72" s="66"/>
      <c r="U72" s="128"/>
      <c r="W72" s="128"/>
      <c r="X72" s="12"/>
      <c r="Y72" t="str">
        <f t="shared" si="9"/>
        <v/>
      </c>
      <c r="Z72" t="str">
        <f t="shared" si="9"/>
        <v/>
      </c>
      <c r="AA72" s="12"/>
      <c r="AB72" s="95" t="e">
        <f t="shared" si="10"/>
        <v>#VALUE!</v>
      </c>
      <c r="AC72" s="95" t="e">
        <f t="shared" si="11"/>
        <v>#VALUE!</v>
      </c>
      <c r="AD72" s="12"/>
    </row>
    <row r="73" spans="1:30" ht="15.75" thickBot="1" x14ac:dyDescent="0.3">
      <c r="A73" s="12"/>
      <c r="B73" s="22"/>
      <c r="C73" t="str">
        <f>IF(AND('ENTRY DATA'!D73=""),"",('ENTRY DATA'!D73))</f>
        <v/>
      </c>
      <c r="D73" t="str">
        <f>IF(AND('ENTRY DATA'!F73=""),"",('ENTRY DATA'!F73))</f>
        <v/>
      </c>
      <c r="E73" s="34" t="str">
        <f>IF(AND('ENTRY DATA'!B73=""),"",('ENTRY DATA'!B73))</f>
        <v/>
      </c>
      <c r="F73" s="12"/>
      <c r="G73" s="12"/>
      <c r="H73" s="72"/>
      <c r="I73" s="71"/>
      <c r="J73" s="72"/>
      <c r="K73" s="12"/>
      <c r="L73" s="20">
        <f t="shared" si="6"/>
        <v>0</v>
      </c>
      <c r="M73" s="19" t="str">
        <f t="shared" si="7"/>
        <v/>
      </c>
      <c r="N73" s="12"/>
      <c r="O73" s="119"/>
      <c r="P73" s="95" t="str">
        <f t="shared" si="8"/>
        <v/>
      </c>
      <c r="Q73" s="12"/>
      <c r="S73" s="128"/>
      <c r="T73" s="66"/>
      <c r="U73" s="128"/>
      <c r="W73" s="128"/>
      <c r="X73" s="12"/>
      <c r="Y73" t="str">
        <f t="shared" si="9"/>
        <v/>
      </c>
      <c r="Z73" t="str">
        <f t="shared" si="9"/>
        <v/>
      </c>
      <c r="AA73" s="12"/>
      <c r="AB73" s="95" t="e">
        <f t="shared" si="10"/>
        <v>#VALUE!</v>
      </c>
      <c r="AC73" s="95" t="e">
        <f t="shared" si="11"/>
        <v>#VALUE!</v>
      </c>
      <c r="AD73" s="12"/>
    </row>
    <row r="74" spans="1:30" ht="15.75" thickBot="1" x14ac:dyDescent="0.3">
      <c r="A74" s="12"/>
      <c r="B74" s="22"/>
      <c r="C74" t="str">
        <f>IF(AND('ENTRY DATA'!D74=""),"",('ENTRY DATA'!D74))</f>
        <v/>
      </c>
      <c r="D74" t="str">
        <f>IF(AND('ENTRY DATA'!F74=""),"",('ENTRY DATA'!F74))</f>
        <v/>
      </c>
      <c r="E74" s="34" t="str">
        <f>IF(AND('ENTRY DATA'!B74=""),"",('ENTRY DATA'!B74))</f>
        <v/>
      </c>
      <c r="F74" s="12"/>
      <c r="G74" s="12"/>
      <c r="H74" s="72"/>
      <c r="I74" s="71"/>
      <c r="J74" s="72"/>
      <c r="K74" s="12"/>
      <c r="L74" s="20">
        <f t="shared" si="6"/>
        <v>0</v>
      </c>
      <c r="M74" s="19" t="str">
        <f t="shared" si="7"/>
        <v/>
      </c>
      <c r="N74" s="12"/>
      <c r="O74" s="119"/>
      <c r="P74" s="95" t="str">
        <f t="shared" si="8"/>
        <v/>
      </c>
      <c r="Q74" s="12"/>
      <c r="S74" s="128"/>
      <c r="T74" s="66"/>
      <c r="U74" s="128"/>
      <c r="W74" s="128"/>
      <c r="X74" s="12"/>
      <c r="Y74" t="str">
        <f t="shared" si="9"/>
        <v/>
      </c>
      <c r="Z74" t="str">
        <f t="shared" si="9"/>
        <v/>
      </c>
      <c r="AA74" s="12"/>
      <c r="AB74" s="95" t="e">
        <f t="shared" si="10"/>
        <v>#VALUE!</v>
      </c>
      <c r="AC74" s="95" t="e">
        <f t="shared" si="11"/>
        <v>#VALUE!</v>
      </c>
      <c r="AD74" s="12"/>
    </row>
    <row r="75" spans="1:30" ht="15.75" thickBot="1" x14ac:dyDescent="0.3">
      <c r="A75" s="12"/>
      <c r="B75" s="22"/>
      <c r="C75" t="str">
        <f>IF(AND('ENTRY DATA'!D75=""),"",('ENTRY DATA'!D75))</f>
        <v/>
      </c>
      <c r="D75" t="str">
        <f>IF(AND('ENTRY DATA'!F75=""),"",('ENTRY DATA'!F75))</f>
        <v/>
      </c>
      <c r="E75" s="34" t="str">
        <f>IF(AND('ENTRY DATA'!B75=""),"",('ENTRY DATA'!B75))</f>
        <v/>
      </c>
      <c r="F75" s="12"/>
      <c r="G75" s="12"/>
      <c r="H75" s="72"/>
      <c r="I75" s="71"/>
      <c r="J75" s="72"/>
      <c r="K75" s="12"/>
      <c r="L75" s="20">
        <f t="shared" si="6"/>
        <v>0</v>
      </c>
      <c r="M75" s="19" t="str">
        <f t="shared" si="7"/>
        <v/>
      </c>
      <c r="N75" s="12"/>
      <c r="O75" s="119"/>
      <c r="P75" s="95" t="str">
        <f t="shared" si="8"/>
        <v/>
      </c>
      <c r="Q75" s="12"/>
      <c r="S75" s="128"/>
      <c r="T75" s="66"/>
      <c r="U75" s="128"/>
      <c r="W75" s="128"/>
      <c r="X75" s="12"/>
      <c r="Y75" t="str">
        <f t="shared" si="9"/>
        <v/>
      </c>
      <c r="Z75" t="str">
        <f t="shared" si="9"/>
        <v/>
      </c>
      <c r="AA75" s="12"/>
      <c r="AB75" s="95" t="e">
        <f t="shared" si="10"/>
        <v>#VALUE!</v>
      </c>
      <c r="AC75" s="95" t="e">
        <f t="shared" si="11"/>
        <v>#VALUE!</v>
      </c>
      <c r="AD75" s="12"/>
    </row>
    <row r="76" spans="1:30" ht="15.75" thickBot="1" x14ac:dyDescent="0.3">
      <c r="A76" s="12"/>
      <c r="B76" s="22"/>
      <c r="C76" t="str">
        <f>IF(AND('ENTRY DATA'!D76=""),"",('ENTRY DATA'!D76))</f>
        <v/>
      </c>
      <c r="D76" t="str">
        <f>IF(AND('ENTRY DATA'!F76=""),"",('ENTRY DATA'!F76))</f>
        <v/>
      </c>
      <c r="E76" s="34" t="str">
        <f>IF(AND('ENTRY DATA'!B76=""),"",('ENTRY DATA'!B76))</f>
        <v/>
      </c>
      <c r="F76" s="12"/>
      <c r="G76" s="12"/>
      <c r="H76" s="72"/>
      <c r="I76" s="71"/>
      <c r="J76" s="72"/>
      <c r="K76" s="12"/>
      <c r="L76" s="20">
        <f t="shared" si="6"/>
        <v>0</v>
      </c>
      <c r="M76" s="19" t="str">
        <f t="shared" si="7"/>
        <v/>
      </c>
      <c r="N76" s="12"/>
      <c r="O76" s="119"/>
      <c r="P76" s="95" t="str">
        <f t="shared" si="8"/>
        <v/>
      </c>
      <c r="Q76" s="12"/>
      <c r="S76" s="128"/>
      <c r="T76" s="66"/>
      <c r="U76" s="128"/>
      <c r="W76" s="128"/>
      <c r="X76" s="12"/>
      <c r="Y76" t="str">
        <f t="shared" si="9"/>
        <v/>
      </c>
      <c r="Z76" t="str">
        <f t="shared" si="9"/>
        <v/>
      </c>
      <c r="AA76" s="12"/>
      <c r="AB76" s="95" t="e">
        <f t="shared" si="10"/>
        <v>#VALUE!</v>
      </c>
      <c r="AC76" s="95" t="e">
        <f t="shared" si="11"/>
        <v>#VALUE!</v>
      </c>
      <c r="AD76" s="12"/>
    </row>
    <row r="77" spans="1:30" ht="15.75" thickBot="1" x14ac:dyDescent="0.3">
      <c r="A77" s="12"/>
      <c r="B77" s="22"/>
      <c r="C77" t="str">
        <f>IF(AND('ENTRY DATA'!D77=""),"",('ENTRY DATA'!D77))</f>
        <v/>
      </c>
      <c r="D77" t="str">
        <f>IF(AND('ENTRY DATA'!F77=""),"",('ENTRY DATA'!F77))</f>
        <v/>
      </c>
      <c r="E77" s="34" t="str">
        <f>IF(AND('ENTRY DATA'!B77=""),"",('ENTRY DATA'!B77))</f>
        <v/>
      </c>
      <c r="F77" s="12"/>
      <c r="G77" s="12"/>
      <c r="H77" s="72"/>
      <c r="I77" s="71"/>
      <c r="J77" s="72"/>
      <c r="K77" s="12"/>
      <c r="L77" s="20">
        <f t="shared" si="6"/>
        <v>0</v>
      </c>
      <c r="M77" s="19" t="str">
        <f t="shared" si="7"/>
        <v/>
      </c>
      <c r="N77" s="12"/>
      <c r="O77" s="119"/>
      <c r="P77" s="95" t="str">
        <f t="shared" si="8"/>
        <v/>
      </c>
      <c r="Q77" s="12"/>
      <c r="S77" s="128"/>
      <c r="T77" s="66"/>
      <c r="U77" s="128"/>
      <c r="W77" s="128"/>
      <c r="X77" s="12"/>
      <c r="Y77" t="str">
        <f t="shared" si="9"/>
        <v/>
      </c>
      <c r="Z77" t="str">
        <f t="shared" si="9"/>
        <v/>
      </c>
      <c r="AA77" s="12"/>
      <c r="AB77" s="95" t="e">
        <f t="shared" si="10"/>
        <v>#VALUE!</v>
      </c>
      <c r="AC77" s="95" t="e">
        <f t="shared" si="11"/>
        <v>#VALUE!</v>
      </c>
      <c r="AD77" s="12"/>
    </row>
    <row r="78" spans="1:30" ht="15.75" thickBot="1" x14ac:dyDescent="0.3">
      <c r="A78" s="12"/>
      <c r="B78" s="22"/>
      <c r="C78" t="str">
        <f>IF(AND('ENTRY DATA'!D78=""),"",('ENTRY DATA'!D78))</f>
        <v/>
      </c>
      <c r="D78" t="str">
        <f>IF(AND('ENTRY DATA'!F78=""),"",('ENTRY DATA'!F78))</f>
        <v/>
      </c>
      <c r="E78" s="34" t="str">
        <f>IF(AND('ENTRY DATA'!B78=""),"",('ENTRY DATA'!B78))</f>
        <v/>
      </c>
      <c r="F78" s="12"/>
      <c r="G78" s="12"/>
      <c r="H78" s="72"/>
      <c r="I78" s="71"/>
      <c r="J78" s="72"/>
      <c r="K78" s="12"/>
      <c r="L78" s="20">
        <f t="shared" si="6"/>
        <v>0</v>
      </c>
      <c r="M78" s="19" t="str">
        <f t="shared" si="7"/>
        <v/>
      </c>
      <c r="N78" s="12"/>
      <c r="O78" s="119"/>
      <c r="P78" s="95" t="str">
        <f t="shared" si="8"/>
        <v/>
      </c>
      <c r="Q78" s="12"/>
      <c r="S78" s="128"/>
      <c r="T78" s="66"/>
      <c r="U78" s="128"/>
      <c r="W78" s="128"/>
      <c r="X78" s="12"/>
      <c r="Y78" t="str">
        <f t="shared" si="9"/>
        <v/>
      </c>
      <c r="Z78" t="str">
        <f t="shared" si="9"/>
        <v/>
      </c>
      <c r="AA78" s="12"/>
      <c r="AB78" s="95" t="e">
        <f t="shared" si="10"/>
        <v>#VALUE!</v>
      </c>
      <c r="AC78" s="95" t="e">
        <f t="shared" si="11"/>
        <v>#VALUE!</v>
      </c>
      <c r="AD78" s="12"/>
    </row>
    <row r="79" spans="1:30" ht="15.75" thickBot="1" x14ac:dyDescent="0.3">
      <c r="A79" s="12"/>
      <c r="B79" s="22"/>
      <c r="C79" t="str">
        <f>IF(AND('ENTRY DATA'!D79=""),"",('ENTRY DATA'!D79))</f>
        <v/>
      </c>
      <c r="D79" t="str">
        <f>IF(AND('ENTRY DATA'!F79=""),"",('ENTRY DATA'!F79))</f>
        <v/>
      </c>
      <c r="E79" s="34" t="str">
        <f>IF(AND('ENTRY DATA'!B79=""),"",('ENTRY DATA'!B79))</f>
        <v/>
      </c>
      <c r="F79" s="12"/>
      <c r="G79" s="12"/>
      <c r="H79" s="72"/>
      <c r="I79" s="71"/>
      <c r="J79" s="72"/>
      <c r="K79" s="12"/>
      <c r="L79" s="20">
        <f t="shared" si="6"/>
        <v>0</v>
      </c>
      <c r="M79" s="19" t="str">
        <f t="shared" si="7"/>
        <v/>
      </c>
      <c r="N79" s="12"/>
      <c r="O79" s="119"/>
      <c r="P79" s="95" t="str">
        <f t="shared" si="8"/>
        <v/>
      </c>
      <c r="Q79" s="12"/>
      <c r="S79" s="128"/>
      <c r="T79" s="66"/>
      <c r="U79" s="128"/>
      <c r="W79" s="128"/>
      <c r="X79" s="12"/>
      <c r="Y79" t="str">
        <f t="shared" si="9"/>
        <v/>
      </c>
      <c r="Z79" t="str">
        <f t="shared" si="9"/>
        <v/>
      </c>
      <c r="AA79" s="12"/>
      <c r="AB79" s="95" t="e">
        <f t="shared" si="10"/>
        <v>#VALUE!</v>
      </c>
      <c r="AC79" s="95" t="e">
        <f t="shared" si="11"/>
        <v>#VALUE!</v>
      </c>
      <c r="AD79" s="12"/>
    </row>
    <row r="80" spans="1:30" ht="15.75" thickBot="1" x14ac:dyDescent="0.3">
      <c r="A80" s="12"/>
      <c r="B80" s="22"/>
      <c r="C80" t="str">
        <f>IF(AND('ENTRY DATA'!D80=""),"",('ENTRY DATA'!D80))</f>
        <v/>
      </c>
      <c r="D80" t="str">
        <f>IF(AND('ENTRY DATA'!F80=""),"",('ENTRY DATA'!F80))</f>
        <v/>
      </c>
      <c r="E80" s="34" t="str">
        <f>IF(AND('ENTRY DATA'!B80=""),"",('ENTRY DATA'!B80))</f>
        <v/>
      </c>
      <c r="F80" s="12"/>
      <c r="G80" s="12"/>
      <c r="H80" s="72"/>
      <c r="I80" s="71"/>
      <c r="J80" s="72"/>
      <c r="K80" s="12"/>
      <c r="L80" s="20">
        <f t="shared" si="6"/>
        <v>0</v>
      </c>
      <c r="M80" s="19" t="str">
        <f t="shared" si="7"/>
        <v/>
      </c>
      <c r="N80" s="12"/>
      <c r="O80" s="119"/>
      <c r="P80" s="95" t="str">
        <f t="shared" si="8"/>
        <v/>
      </c>
      <c r="Q80" s="12"/>
      <c r="S80" s="128"/>
      <c r="T80" s="66"/>
      <c r="U80" s="128"/>
      <c r="W80" s="128"/>
      <c r="X80" s="12"/>
      <c r="Y80" t="str">
        <f t="shared" si="9"/>
        <v/>
      </c>
      <c r="Z80" t="str">
        <f t="shared" si="9"/>
        <v/>
      </c>
      <c r="AA80" s="12"/>
      <c r="AB80" s="95" t="e">
        <f t="shared" si="10"/>
        <v>#VALUE!</v>
      </c>
      <c r="AC80" s="95" t="e">
        <f t="shared" si="11"/>
        <v>#VALUE!</v>
      </c>
      <c r="AD80" s="12"/>
    </row>
    <row r="81" spans="1:30" ht="15.75" thickBot="1" x14ac:dyDescent="0.3">
      <c r="A81" s="12"/>
      <c r="B81" s="22"/>
      <c r="C81" t="str">
        <f>IF(AND('ENTRY DATA'!D81=""),"",('ENTRY DATA'!D81))</f>
        <v/>
      </c>
      <c r="D81" t="str">
        <f>IF(AND('ENTRY DATA'!F81=""),"",('ENTRY DATA'!F81))</f>
        <v/>
      </c>
      <c r="E81" s="34" t="str">
        <f>IF(AND('ENTRY DATA'!B81=""),"",('ENTRY DATA'!B81))</f>
        <v/>
      </c>
      <c r="F81" s="12"/>
      <c r="G81" s="12"/>
      <c r="H81" s="72"/>
      <c r="I81" s="71"/>
      <c r="J81" s="72"/>
      <c r="K81" s="12"/>
      <c r="L81" s="20">
        <f t="shared" si="6"/>
        <v>0</v>
      </c>
      <c r="M81" s="19" t="str">
        <f t="shared" si="7"/>
        <v/>
      </c>
      <c r="N81" s="12"/>
      <c r="O81" s="119"/>
      <c r="P81" s="95" t="str">
        <f t="shared" si="8"/>
        <v/>
      </c>
      <c r="Q81" s="12"/>
      <c r="S81" s="128"/>
      <c r="T81" s="66"/>
      <c r="U81" s="128"/>
      <c r="W81" s="128"/>
      <c r="X81" s="12"/>
      <c r="Y81" t="str">
        <f t="shared" si="9"/>
        <v/>
      </c>
      <c r="Z81" t="str">
        <f t="shared" si="9"/>
        <v/>
      </c>
      <c r="AA81" s="12"/>
      <c r="AB81" s="95" t="e">
        <f t="shared" si="10"/>
        <v>#VALUE!</v>
      </c>
      <c r="AC81" s="95" t="e">
        <f t="shared" si="11"/>
        <v>#VALUE!</v>
      </c>
      <c r="AD81" s="12"/>
    </row>
    <row r="82" spans="1:30" ht="15.75" thickBot="1" x14ac:dyDescent="0.3">
      <c r="A82" s="12"/>
      <c r="B82" s="22"/>
      <c r="C82" t="str">
        <f>IF(AND('ENTRY DATA'!D82=""),"",('ENTRY DATA'!D82))</f>
        <v/>
      </c>
      <c r="D82" t="str">
        <f>IF(AND('ENTRY DATA'!F82=""),"",('ENTRY DATA'!F82))</f>
        <v/>
      </c>
      <c r="E82" s="34" t="str">
        <f>IF(AND('ENTRY DATA'!B82=""),"",('ENTRY DATA'!B82))</f>
        <v/>
      </c>
      <c r="F82" s="12"/>
      <c r="G82" s="12"/>
      <c r="H82" s="72"/>
      <c r="I82" s="71"/>
      <c r="J82" s="72"/>
      <c r="K82" s="12"/>
      <c r="L82" s="20">
        <f t="shared" si="6"/>
        <v>0</v>
      </c>
      <c r="M82" s="19" t="str">
        <f t="shared" si="7"/>
        <v/>
      </c>
      <c r="N82" s="12"/>
      <c r="O82" s="119"/>
      <c r="P82" s="95" t="str">
        <f t="shared" si="8"/>
        <v/>
      </c>
      <c r="Q82" s="12"/>
      <c r="S82" s="128"/>
      <c r="T82" s="66"/>
      <c r="U82" s="128"/>
      <c r="W82" s="128"/>
      <c r="X82" s="12"/>
      <c r="Y82" t="str">
        <f t="shared" si="9"/>
        <v/>
      </c>
      <c r="Z82" t="str">
        <f t="shared" si="9"/>
        <v/>
      </c>
      <c r="AA82" s="12"/>
      <c r="AB82" s="95" t="e">
        <f t="shared" si="10"/>
        <v>#VALUE!</v>
      </c>
      <c r="AC82" s="95" t="e">
        <f t="shared" si="11"/>
        <v>#VALUE!</v>
      </c>
      <c r="AD82" s="12"/>
    </row>
    <row r="83" spans="1:30" ht="15.75" thickBot="1" x14ac:dyDescent="0.3">
      <c r="A83" s="12"/>
      <c r="B83" s="22"/>
      <c r="C83" t="str">
        <f>IF(AND('ENTRY DATA'!D83=""),"",('ENTRY DATA'!D83))</f>
        <v/>
      </c>
      <c r="D83" t="str">
        <f>IF(AND('ENTRY DATA'!F83=""),"",('ENTRY DATA'!F83))</f>
        <v/>
      </c>
      <c r="E83" s="34" t="str">
        <f>IF(AND('ENTRY DATA'!B83=""),"",('ENTRY DATA'!B83))</f>
        <v/>
      </c>
      <c r="F83" s="12"/>
      <c r="G83" s="12"/>
      <c r="H83" s="72"/>
      <c r="I83" s="71"/>
      <c r="J83" s="72"/>
      <c r="K83" s="12"/>
      <c r="L83" s="20">
        <f t="shared" si="6"/>
        <v>0</v>
      </c>
      <c r="M83" s="19" t="str">
        <f t="shared" si="7"/>
        <v/>
      </c>
      <c r="N83" s="12"/>
      <c r="O83" s="119"/>
      <c r="P83" s="95" t="str">
        <f t="shared" si="8"/>
        <v/>
      </c>
      <c r="Q83" s="12"/>
      <c r="S83" s="128"/>
      <c r="T83" s="66"/>
      <c r="U83" s="128"/>
      <c r="W83" s="128"/>
      <c r="X83" s="12"/>
      <c r="Y83" t="str">
        <f t="shared" si="9"/>
        <v/>
      </c>
      <c r="Z83" t="str">
        <f t="shared" si="9"/>
        <v/>
      </c>
      <c r="AA83" s="12"/>
      <c r="AB83" s="95" t="e">
        <f t="shared" si="10"/>
        <v>#VALUE!</v>
      </c>
      <c r="AC83" s="95" t="e">
        <f t="shared" si="11"/>
        <v>#VALUE!</v>
      </c>
      <c r="AD83" s="12"/>
    </row>
    <row r="84" spans="1:30" ht="15.75" thickBot="1" x14ac:dyDescent="0.3">
      <c r="A84" s="12"/>
      <c r="B84" s="22"/>
      <c r="C84" t="str">
        <f>IF(AND('ENTRY DATA'!D84=""),"",('ENTRY DATA'!D84))</f>
        <v/>
      </c>
      <c r="D84" t="str">
        <f>IF(AND('ENTRY DATA'!F84=""),"",('ENTRY DATA'!F84))</f>
        <v/>
      </c>
      <c r="E84" s="34" t="str">
        <f>IF(AND('ENTRY DATA'!B84=""),"",('ENTRY DATA'!B84))</f>
        <v/>
      </c>
      <c r="F84" s="12"/>
      <c r="G84" s="12"/>
      <c r="H84" s="72"/>
      <c r="I84" s="71"/>
      <c r="J84" s="72"/>
      <c r="K84" s="12"/>
      <c r="L84" s="20">
        <f t="shared" si="6"/>
        <v>0</v>
      </c>
      <c r="M84" s="19" t="str">
        <f t="shared" si="7"/>
        <v/>
      </c>
      <c r="N84" s="12"/>
      <c r="O84" s="119"/>
      <c r="P84" s="95" t="str">
        <f t="shared" si="8"/>
        <v/>
      </c>
      <c r="Q84" s="12"/>
      <c r="S84" s="128"/>
      <c r="T84" s="66"/>
      <c r="U84" s="128"/>
      <c r="W84" s="128"/>
      <c r="X84" s="12"/>
      <c r="Y84" t="str">
        <f t="shared" si="9"/>
        <v/>
      </c>
      <c r="Z84" t="str">
        <f t="shared" si="9"/>
        <v/>
      </c>
      <c r="AA84" s="12"/>
      <c r="AB84" s="95" t="e">
        <f t="shared" si="10"/>
        <v>#VALUE!</v>
      </c>
      <c r="AC84" s="95" t="e">
        <f t="shared" si="11"/>
        <v>#VALUE!</v>
      </c>
      <c r="AD84" s="12"/>
    </row>
    <row r="85" spans="1:30" ht="15.75" thickBot="1" x14ac:dyDescent="0.3">
      <c r="A85" s="12"/>
      <c r="B85" s="22"/>
      <c r="C85" t="str">
        <f>IF(AND('ENTRY DATA'!D85=""),"",('ENTRY DATA'!D85))</f>
        <v/>
      </c>
      <c r="D85" t="str">
        <f>IF(AND('ENTRY DATA'!F85=""),"",('ENTRY DATA'!F85))</f>
        <v/>
      </c>
      <c r="E85" s="34" t="str">
        <f>IF(AND('ENTRY DATA'!B85=""),"",('ENTRY DATA'!B85))</f>
        <v/>
      </c>
      <c r="F85" s="12"/>
      <c r="G85" s="12"/>
      <c r="H85" s="72"/>
      <c r="I85" s="71"/>
      <c r="J85" s="72"/>
      <c r="K85" s="12"/>
      <c r="L85" s="20">
        <f t="shared" si="6"/>
        <v>0</v>
      </c>
      <c r="M85" s="19" t="str">
        <f t="shared" si="7"/>
        <v/>
      </c>
      <c r="N85" s="12"/>
      <c r="O85" s="119"/>
      <c r="P85" s="95" t="str">
        <f t="shared" si="8"/>
        <v/>
      </c>
      <c r="Q85" s="12"/>
      <c r="S85" s="128"/>
      <c r="T85" s="66"/>
      <c r="U85" s="128"/>
      <c r="W85" s="128"/>
      <c r="X85" s="12"/>
      <c r="Y85" t="str">
        <f t="shared" si="9"/>
        <v/>
      </c>
      <c r="Z85" t="str">
        <f t="shared" si="9"/>
        <v/>
      </c>
      <c r="AA85" s="12"/>
      <c r="AB85" s="95" t="e">
        <f t="shared" si="10"/>
        <v>#VALUE!</v>
      </c>
      <c r="AC85" s="95" t="e">
        <f t="shared" si="11"/>
        <v>#VALUE!</v>
      </c>
      <c r="AD85" s="12"/>
    </row>
    <row r="86" spans="1:30" ht="15.75" thickBot="1" x14ac:dyDescent="0.3">
      <c r="A86" s="12"/>
      <c r="B86" s="22"/>
      <c r="C86" t="str">
        <f>IF(AND('ENTRY DATA'!D86=""),"",('ENTRY DATA'!D86))</f>
        <v/>
      </c>
      <c r="D86" t="str">
        <f>IF(AND('ENTRY DATA'!F86=""),"",('ENTRY DATA'!F86))</f>
        <v/>
      </c>
      <c r="E86" s="34" t="str">
        <f>IF(AND('ENTRY DATA'!B86=""),"",('ENTRY DATA'!B86))</f>
        <v/>
      </c>
      <c r="F86" s="12"/>
      <c r="G86" s="12"/>
      <c r="H86" s="72"/>
      <c r="I86" s="71"/>
      <c r="J86" s="72"/>
      <c r="K86" s="12"/>
      <c r="L86" s="20">
        <f t="shared" si="6"/>
        <v>0</v>
      </c>
      <c r="M86" s="19" t="str">
        <f t="shared" si="7"/>
        <v/>
      </c>
      <c r="N86" s="12"/>
      <c r="O86" s="119"/>
      <c r="P86" s="95" t="str">
        <f t="shared" si="8"/>
        <v/>
      </c>
      <c r="Q86" s="12"/>
      <c r="S86" s="128"/>
      <c r="T86" s="66"/>
      <c r="U86" s="128"/>
      <c r="W86" s="128"/>
      <c r="X86" s="12"/>
      <c r="Y86" t="str">
        <f t="shared" si="9"/>
        <v/>
      </c>
      <c r="Z86" t="str">
        <f t="shared" si="9"/>
        <v/>
      </c>
      <c r="AA86" s="12"/>
      <c r="AB86" s="95" t="e">
        <f t="shared" si="10"/>
        <v>#VALUE!</v>
      </c>
      <c r="AC86" s="95" t="e">
        <f t="shared" si="11"/>
        <v>#VALUE!</v>
      </c>
      <c r="AD86" s="12"/>
    </row>
    <row r="87" spans="1:30" ht="15.75" thickBot="1" x14ac:dyDescent="0.3">
      <c r="A87" s="12"/>
      <c r="B87" s="22"/>
      <c r="C87" t="str">
        <f>IF(AND('ENTRY DATA'!D87=""),"",('ENTRY DATA'!D87))</f>
        <v/>
      </c>
      <c r="D87" t="str">
        <f>IF(AND('ENTRY DATA'!F87=""),"",('ENTRY DATA'!F87))</f>
        <v/>
      </c>
      <c r="E87" s="34" t="str">
        <f>IF(AND('ENTRY DATA'!B87=""),"",('ENTRY DATA'!B87))</f>
        <v/>
      </c>
      <c r="F87" s="12"/>
      <c r="G87" s="12"/>
      <c r="H87" s="72"/>
      <c r="I87" s="71"/>
      <c r="J87" s="72"/>
      <c r="K87" s="12"/>
      <c r="L87" s="20">
        <f t="shared" si="6"/>
        <v>0</v>
      </c>
      <c r="M87" s="19" t="str">
        <f t="shared" si="7"/>
        <v/>
      </c>
      <c r="N87" s="12"/>
      <c r="O87" s="119"/>
      <c r="P87" s="95" t="str">
        <f t="shared" si="8"/>
        <v/>
      </c>
      <c r="Q87" s="12"/>
      <c r="S87" s="128"/>
      <c r="T87" s="66"/>
      <c r="U87" s="128"/>
      <c r="W87" s="128"/>
      <c r="X87" s="12"/>
      <c r="Y87" t="str">
        <f t="shared" si="9"/>
        <v/>
      </c>
      <c r="Z87" t="str">
        <f t="shared" si="9"/>
        <v/>
      </c>
      <c r="AA87" s="12"/>
      <c r="AB87" s="95" t="e">
        <f t="shared" si="10"/>
        <v>#VALUE!</v>
      </c>
      <c r="AC87" s="95" t="e">
        <f t="shared" si="11"/>
        <v>#VALUE!</v>
      </c>
      <c r="AD87" s="12"/>
    </row>
    <row r="88" spans="1:30" ht="15.75" thickBot="1" x14ac:dyDescent="0.3">
      <c r="A88" s="12"/>
      <c r="B88" s="22"/>
      <c r="C88" t="str">
        <f>IF(AND('ENTRY DATA'!D88=""),"",('ENTRY DATA'!D88))</f>
        <v/>
      </c>
      <c r="D88" t="str">
        <f>IF(AND('ENTRY DATA'!F88=""),"",('ENTRY DATA'!F88))</f>
        <v/>
      </c>
      <c r="E88" s="34" t="str">
        <f>IF(AND('ENTRY DATA'!B88=""),"",('ENTRY DATA'!B88))</f>
        <v/>
      </c>
      <c r="F88" s="12"/>
      <c r="G88" s="12"/>
      <c r="H88" s="72"/>
      <c r="I88" s="71"/>
      <c r="J88" s="72"/>
      <c r="K88" s="12"/>
      <c r="L88" s="20">
        <f t="shared" si="6"/>
        <v>0</v>
      </c>
      <c r="M88" s="19" t="str">
        <f t="shared" si="7"/>
        <v/>
      </c>
      <c r="N88" s="12"/>
      <c r="O88" s="119"/>
      <c r="P88" s="95" t="str">
        <f t="shared" si="8"/>
        <v/>
      </c>
      <c r="Q88" s="12"/>
      <c r="S88" s="128"/>
      <c r="T88" s="66"/>
      <c r="U88" s="128"/>
      <c r="W88" s="128"/>
      <c r="X88" s="12"/>
      <c r="Y88" t="str">
        <f t="shared" si="9"/>
        <v/>
      </c>
      <c r="Z88" t="str">
        <f t="shared" si="9"/>
        <v/>
      </c>
      <c r="AA88" s="12"/>
      <c r="AB88" s="95" t="e">
        <f t="shared" si="10"/>
        <v>#VALUE!</v>
      </c>
      <c r="AC88" s="95" t="e">
        <f t="shared" si="11"/>
        <v>#VALUE!</v>
      </c>
      <c r="AD88" s="12"/>
    </row>
    <row r="89" spans="1:30" ht="15.75" thickBot="1" x14ac:dyDescent="0.3">
      <c r="A89" s="12"/>
      <c r="B89" s="22"/>
      <c r="C89" t="str">
        <f>IF(AND('ENTRY DATA'!D89=""),"",('ENTRY DATA'!D89))</f>
        <v/>
      </c>
      <c r="D89" t="str">
        <f>IF(AND('ENTRY DATA'!F89=""),"",('ENTRY DATA'!F89))</f>
        <v/>
      </c>
      <c r="E89" s="34" t="str">
        <f>IF(AND('ENTRY DATA'!B89=""),"",('ENTRY DATA'!B89))</f>
        <v/>
      </c>
      <c r="F89" s="12"/>
      <c r="G89" s="12"/>
      <c r="H89" s="72"/>
      <c r="I89" s="71"/>
      <c r="J89" s="72"/>
      <c r="K89" s="12"/>
      <c r="L89" s="20">
        <f t="shared" si="6"/>
        <v>0</v>
      </c>
      <c r="M89" s="19" t="str">
        <f t="shared" si="7"/>
        <v/>
      </c>
      <c r="N89" s="12"/>
      <c r="O89" s="119"/>
      <c r="P89" s="95" t="str">
        <f t="shared" si="8"/>
        <v/>
      </c>
      <c r="Q89" s="12"/>
      <c r="S89" s="128"/>
      <c r="T89" s="66"/>
      <c r="U89" s="128"/>
      <c r="W89" s="128"/>
      <c r="X89" s="12"/>
      <c r="Y89" t="str">
        <f t="shared" si="9"/>
        <v/>
      </c>
      <c r="Z89" t="str">
        <f t="shared" si="9"/>
        <v/>
      </c>
      <c r="AA89" s="12"/>
      <c r="AB89" s="95" t="e">
        <f t="shared" si="10"/>
        <v>#VALUE!</v>
      </c>
      <c r="AC89" s="95" t="e">
        <f t="shared" si="11"/>
        <v>#VALUE!</v>
      </c>
      <c r="AD89" s="12"/>
    </row>
    <row r="90" spans="1:30" ht="15.75" thickBot="1" x14ac:dyDescent="0.3">
      <c r="A90" s="12"/>
      <c r="B90" s="22"/>
      <c r="C90" t="str">
        <f>IF(AND('ENTRY DATA'!D90=""),"",('ENTRY DATA'!D90))</f>
        <v/>
      </c>
      <c r="D90" t="str">
        <f>IF(AND('ENTRY DATA'!F90=""),"",('ENTRY DATA'!F90))</f>
        <v/>
      </c>
      <c r="E90" s="34" t="str">
        <f>IF(AND('ENTRY DATA'!B90=""),"",('ENTRY DATA'!B90))</f>
        <v/>
      </c>
      <c r="F90" s="12"/>
      <c r="G90" s="12"/>
      <c r="H90" s="72"/>
      <c r="I90" s="71"/>
      <c r="J90" s="72"/>
      <c r="K90" s="12"/>
      <c r="L90" s="20">
        <f t="shared" si="6"/>
        <v>0</v>
      </c>
      <c r="M90" s="19" t="str">
        <f t="shared" si="7"/>
        <v/>
      </c>
      <c r="N90" s="12"/>
      <c r="O90" s="119"/>
      <c r="P90" s="95" t="str">
        <f t="shared" si="8"/>
        <v/>
      </c>
      <c r="Q90" s="12"/>
      <c r="S90" s="128"/>
      <c r="T90" s="66"/>
      <c r="U90" s="128"/>
      <c r="W90" s="128"/>
      <c r="X90" s="12"/>
      <c r="Y90" t="str">
        <f t="shared" si="9"/>
        <v/>
      </c>
      <c r="Z90" t="str">
        <f t="shared" si="9"/>
        <v/>
      </c>
      <c r="AA90" s="12"/>
      <c r="AB90" s="95" t="e">
        <f t="shared" si="10"/>
        <v>#VALUE!</v>
      </c>
      <c r="AC90" s="95" t="e">
        <f t="shared" si="11"/>
        <v>#VALUE!</v>
      </c>
      <c r="AD90" s="12"/>
    </row>
    <row r="91" spans="1:30" ht="15.75" thickBot="1" x14ac:dyDescent="0.3">
      <c r="A91" s="12"/>
      <c r="B91" s="22"/>
      <c r="C91" t="str">
        <f>IF(AND('ENTRY DATA'!D91=""),"",('ENTRY DATA'!D91))</f>
        <v/>
      </c>
      <c r="D91" t="str">
        <f>IF(AND('ENTRY DATA'!F91=""),"",('ENTRY DATA'!F91))</f>
        <v/>
      </c>
      <c r="E91" s="34" t="str">
        <f>IF(AND('ENTRY DATA'!B91=""),"",('ENTRY DATA'!B91))</f>
        <v/>
      </c>
      <c r="F91" s="12"/>
      <c r="G91" s="12"/>
      <c r="H91" s="72"/>
      <c r="I91" s="71"/>
      <c r="J91" s="72"/>
      <c r="K91" s="12"/>
      <c r="L91" s="20">
        <f t="shared" si="6"/>
        <v>0</v>
      </c>
      <c r="M91" s="19" t="str">
        <f t="shared" si="7"/>
        <v/>
      </c>
      <c r="N91" s="12"/>
      <c r="O91" s="119"/>
      <c r="P91" s="95" t="str">
        <f t="shared" si="8"/>
        <v/>
      </c>
      <c r="Q91" s="12"/>
      <c r="S91" s="128"/>
      <c r="T91" s="66"/>
      <c r="U91" s="128"/>
      <c r="W91" s="128"/>
      <c r="X91" s="12"/>
      <c r="Y91" t="str">
        <f t="shared" si="9"/>
        <v/>
      </c>
      <c r="Z91" t="str">
        <f t="shared" si="9"/>
        <v/>
      </c>
      <c r="AA91" s="12"/>
      <c r="AB91" s="95" t="e">
        <f t="shared" si="10"/>
        <v>#VALUE!</v>
      </c>
      <c r="AC91" s="95" t="e">
        <f t="shared" si="11"/>
        <v>#VALUE!</v>
      </c>
      <c r="AD91" s="12"/>
    </row>
    <row r="92" spans="1:30" ht="15.75" thickBot="1" x14ac:dyDescent="0.3">
      <c r="A92" s="12"/>
      <c r="B92" s="22"/>
      <c r="C92" t="str">
        <f>IF(AND('ENTRY DATA'!D92=""),"",('ENTRY DATA'!D92))</f>
        <v/>
      </c>
      <c r="D92" t="str">
        <f>IF(AND('ENTRY DATA'!F92=""),"",('ENTRY DATA'!F92))</f>
        <v/>
      </c>
      <c r="E92" s="34" t="str">
        <f>IF(AND('ENTRY DATA'!B92=""),"",('ENTRY DATA'!B92))</f>
        <v/>
      </c>
      <c r="F92" s="12"/>
      <c r="G92" s="12"/>
      <c r="H92" s="72"/>
      <c r="I92" s="71"/>
      <c r="J92" s="72"/>
      <c r="K92" s="12"/>
      <c r="L92" s="20">
        <f t="shared" si="6"/>
        <v>0</v>
      </c>
      <c r="M92" s="19" t="str">
        <f t="shared" si="7"/>
        <v/>
      </c>
      <c r="N92" s="12"/>
      <c r="O92" s="119"/>
      <c r="P92" s="95" t="str">
        <f t="shared" si="8"/>
        <v/>
      </c>
      <c r="Q92" s="12"/>
      <c r="S92" s="128"/>
      <c r="T92" s="66"/>
      <c r="U92" s="128"/>
      <c r="W92" s="128"/>
      <c r="X92" s="12"/>
      <c r="Y92" t="str">
        <f t="shared" si="9"/>
        <v/>
      </c>
      <c r="Z92" t="str">
        <f t="shared" si="9"/>
        <v/>
      </c>
      <c r="AA92" s="12"/>
      <c r="AB92" s="95" t="e">
        <f t="shared" si="10"/>
        <v>#VALUE!</v>
      </c>
      <c r="AC92" s="95" t="e">
        <f t="shared" si="11"/>
        <v>#VALUE!</v>
      </c>
      <c r="AD92" s="12"/>
    </row>
    <row r="93" spans="1:30" ht="15.75" thickBot="1" x14ac:dyDescent="0.3">
      <c r="A93" s="12"/>
      <c r="B93" s="22"/>
      <c r="C93" t="str">
        <f>IF(AND('ENTRY DATA'!D93=""),"",('ENTRY DATA'!D93))</f>
        <v/>
      </c>
      <c r="D93" t="str">
        <f>IF(AND('ENTRY DATA'!F93=""),"",('ENTRY DATA'!F93))</f>
        <v/>
      </c>
      <c r="E93" s="34" t="str">
        <f>IF(AND('ENTRY DATA'!B93=""),"",('ENTRY DATA'!B93))</f>
        <v/>
      </c>
      <c r="F93" s="12"/>
      <c r="G93" s="12"/>
      <c r="H93" s="72"/>
      <c r="I93" s="71"/>
      <c r="J93" s="72"/>
      <c r="K93" s="12"/>
      <c r="L93" s="20">
        <f t="shared" si="6"/>
        <v>0</v>
      </c>
      <c r="M93" s="19" t="str">
        <f t="shared" si="7"/>
        <v/>
      </c>
      <c r="N93" s="12"/>
      <c r="O93" s="119"/>
      <c r="P93" s="95" t="str">
        <f t="shared" si="8"/>
        <v/>
      </c>
      <c r="Q93" s="12"/>
      <c r="S93" s="128"/>
      <c r="T93" s="66"/>
      <c r="U93" s="128"/>
      <c r="W93" s="128"/>
      <c r="X93" s="12"/>
      <c r="Y93" t="str">
        <f t="shared" si="9"/>
        <v/>
      </c>
      <c r="Z93" t="str">
        <f t="shared" si="9"/>
        <v/>
      </c>
      <c r="AA93" s="12"/>
      <c r="AB93" s="95" t="e">
        <f t="shared" si="10"/>
        <v>#VALUE!</v>
      </c>
      <c r="AC93" s="95" t="e">
        <f t="shared" si="11"/>
        <v>#VALUE!</v>
      </c>
      <c r="AD93" s="12"/>
    </row>
    <row r="94" spans="1:30" ht="15.75" thickBot="1" x14ac:dyDescent="0.3">
      <c r="A94" s="12"/>
      <c r="B94" s="22"/>
      <c r="C94" t="str">
        <f>IF(AND('ENTRY DATA'!D94=""),"",('ENTRY DATA'!D94))</f>
        <v/>
      </c>
      <c r="D94" t="str">
        <f>IF(AND('ENTRY DATA'!F94=""),"",('ENTRY DATA'!F94))</f>
        <v/>
      </c>
      <c r="E94" s="34" t="str">
        <f>IF(AND('ENTRY DATA'!B94=""),"",('ENTRY DATA'!B94))</f>
        <v/>
      </c>
      <c r="F94" s="12"/>
      <c r="G94" s="12"/>
      <c r="H94" s="72"/>
      <c r="I94" s="71"/>
      <c r="J94" s="72"/>
      <c r="K94" s="12"/>
      <c r="L94" s="20">
        <f t="shared" si="6"/>
        <v>0</v>
      </c>
      <c r="M94" s="19" t="str">
        <f t="shared" si="7"/>
        <v/>
      </c>
      <c r="N94" s="12"/>
      <c r="O94" s="119"/>
      <c r="P94" s="95" t="str">
        <f t="shared" si="8"/>
        <v/>
      </c>
      <c r="Q94" s="12"/>
      <c r="S94" s="128"/>
      <c r="T94" s="66"/>
      <c r="U94" s="128"/>
      <c r="W94" s="128"/>
      <c r="X94" s="12"/>
      <c r="Y94" t="str">
        <f t="shared" si="9"/>
        <v/>
      </c>
      <c r="Z94" t="str">
        <f t="shared" si="9"/>
        <v/>
      </c>
      <c r="AA94" s="12"/>
      <c r="AB94" s="95" t="e">
        <f t="shared" si="10"/>
        <v>#VALUE!</v>
      </c>
      <c r="AC94" s="95" t="e">
        <f t="shared" si="11"/>
        <v>#VALUE!</v>
      </c>
      <c r="AD94" s="12"/>
    </row>
    <row r="95" spans="1:30" ht="15.75" thickBot="1" x14ac:dyDescent="0.3">
      <c r="A95" s="12"/>
      <c r="B95" s="22"/>
      <c r="C95" t="str">
        <f>IF(AND('ENTRY DATA'!D95=""),"",('ENTRY DATA'!D95))</f>
        <v/>
      </c>
      <c r="D95" t="str">
        <f>IF(AND('ENTRY DATA'!F95=""),"",('ENTRY DATA'!F95))</f>
        <v/>
      </c>
      <c r="E95" s="34" t="str">
        <f>IF(AND('ENTRY DATA'!B95=""),"",('ENTRY DATA'!B95))</f>
        <v/>
      </c>
      <c r="F95" s="12"/>
      <c r="G95" s="12"/>
      <c r="H95" s="72"/>
      <c r="I95" s="71"/>
      <c r="J95" s="72"/>
      <c r="K95" s="12"/>
      <c r="L95" s="20">
        <f t="shared" si="6"/>
        <v>0</v>
      </c>
      <c r="M95" s="19" t="str">
        <f t="shared" si="7"/>
        <v/>
      </c>
      <c r="N95" s="12"/>
      <c r="O95" s="119"/>
      <c r="P95" s="95" t="str">
        <f t="shared" si="8"/>
        <v/>
      </c>
      <c r="Q95" s="12"/>
      <c r="S95" s="128"/>
      <c r="T95" s="66"/>
      <c r="U95" s="128"/>
      <c r="W95" s="128"/>
      <c r="X95" s="12"/>
      <c r="Y95" t="str">
        <f t="shared" si="9"/>
        <v/>
      </c>
      <c r="Z95" t="str">
        <f t="shared" si="9"/>
        <v/>
      </c>
      <c r="AA95" s="12"/>
      <c r="AB95" s="95" t="e">
        <f t="shared" si="10"/>
        <v>#VALUE!</v>
      </c>
      <c r="AC95" s="95" t="e">
        <f t="shared" si="11"/>
        <v>#VALUE!</v>
      </c>
      <c r="AD95" s="12"/>
    </row>
    <row r="96" spans="1:30" ht="15.75" thickBot="1" x14ac:dyDescent="0.3">
      <c r="A96" s="12"/>
      <c r="B96" s="22"/>
      <c r="C96" t="str">
        <f>IF(AND('ENTRY DATA'!D96=""),"",('ENTRY DATA'!D96))</f>
        <v/>
      </c>
      <c r="D96" t="str">
        <f>IF(AND('ENTRY DATA'!F96=""),"",('ENTRY DATA'!F96))</f>
        <v/>
      </c>
      <c r="E96" s="34" t="str">
        <f>IF(AND('ENTRY DATA'!B96=""),"",('ENTRY DATA'!B96))</f>
        <v/>
      </c>
      <c r="F96" s="12"/>
      <c r="G96" s="12"/>
      <c r="H96" s="72"/>
      <c r="I96" s="71"/>
      <c r="J96" s="72"/>
      <c r="K96" s="12"/>
      <c r="L96" s="20">
        <f t="shared" si="6"/>
        <v>0</v>
      </c>
      <c r="M96" s="19" t="str">
        <f t="shared" si="7"/>
        <v/>
      </c>
      <c r="N96" s="12"/>
      <c r="O96" s="119"/>
      <c r="P96" s="95" t="str">
        <f t="shared" si="8"/>
        <v/>
      </c>
      <c r="Q96" s="12"/>
      <c r="S96" s="128"/>
      <c r="T96" s="66"/>
      <c r="U96" s="128"/>
      <c r="W96" s="128"/>
      <c r="X96" s="12"/>
      <c r="Y96" t="str">
        <f t="shared" si="9"/>
        <v/>
      </c>
      <c r="Z96" t="str">
        <f t="shared" si="9"/>
        <v/>
      </c>
      <c r="AA96" s="12"/>
      <c r="AB96" s="95" t="e">
        <f t="shared" si="10"/>
        <v>#VALUE!</v>
      </c>
      <c r="AC96" s="95" t="e">
        <f t="shared" si="11"/>
        <v>#VALUE!</v>
      </c>
      <c r="AD96" s="12"/>
    </row>
    <row r="97" spans="1:30" ht="15.75" thickBot="1" x14ac:dyDescent="0.3">
      <c r="A97" s="12"/>
      <c r="B97" s="22"/>
      <c r="C97" t="str">
        <f>IF(AND('ENTRY DATA'!D97=""),"",('ENTRY DATA'!D97))</f>
        <v/>
      </c>
      <c r="D97" t="str">
        <f>IF(AND('ENTRY DATA'!F97=""),"",('ENTRY DATA'!F97))</f>
        <v/>
      </c>
      <c r="E97" s="34" t="str">
        <f>IF(AND('ENTRY DATA'!B97=""),"",('ENTRY DATA'!B97))</f>
        <v/>
      </c>
      <c r="F97" s="12"/>
      <c r="G97" s="12"/>
      <c r="H97" s="72"/>
      <c r="I97" s="71"/>
      <c r="J97" s="72"/>
      <c r="K97" s="12"/>
      <c r="L97" s="20">
        <f t="shared" si="6"/>
        <v>0</v>
      </c>
      <c r="M97" s="19" t="str">
        <f t="shared" si="7"/>
        <v/>
      </c>
      <c r="N97" s="12"/>
      <c r="O97" s="119"/>
      <c r="P97" s="95" t="str">
        <f t="shared" si="8"/>
        <v/>
      </c>
      <c r="Q97" s="12"/>
      <c r="S97" s="128"/>
      <c r="T97" s="66"/>
      <c r="U97" s="128"/>
      <c r="W97" s="128"/>
      <c r="X97" s="12"/>
      <c r="Y97" t="str">
        <f t="shared" si="9"/>
        <v/>
      </c>
      <c r="Z97" t="str">
        <f t="shared" si="9"/>
        <v/>
      </c>
      <c r="AA97" s="12"/>
      <c r="AB97" s="95" t="e">
        <f t="shared" si="10"/>
        <v>#VALUE!</v>
      </c>
      <c r="AC97" s="95" t="e">
        <f t="shared" si="11"/>
        <v>#VALUE!</v>
      </c>
      <c r="AD97" s="12"/>
    </row>
    <row r="98" spans="1:30" ht="15.75" thickBot="1" x14ac:dyDescent="0.3">
      <c r="A98" s="12"/>
      <c r="B98" s="22"/>
      <c r="C98" t="str">
        <f>IF(AND('ENTRY DATA'!D98=""),"",('ENTRY DATA'!D98))</f>
        <v/>
      </c>
      <c r="D98" t="str">
        <f>IF(AND('ENTRY DATA'!F98=""),"",('ENTRY DATA'!F98))</f>
        <v/>
      </c>
      <c r="E98" s="34" t="str">
        <f>IF(AND('ENTRY DATA'!B98=""),"",('ENTRY DATA'!B98))</f>
        <v/>
      </c>
      <c r="F98" s="12"/>
      <c r="G98" s="12"/>
      <c r="H98" s="72"/>
      <c r="I98" s="71"/>
      <c r="J98" s="72"/>
      <c r="K98" s="12"/>
      <c r="L98" s="20">
        <f t="shared" si="6"/>
        <v>0</v>
      </c>
      <c r="M98" s="19" t="str">
        <f t="shared" si="7"/>
        <v/>
      </c>
      <c r="N98" s="12"/>
      <c r="O98" s="119"/>
      <c r="P98" s="95" t="str">
        <f t="shared" si="8"/>
        <v/>
      </c>
      <c r="Q98" s="12"/>
      <c r="S98" s="128"/>
      <c r="T98" s="66"/>
      <c r="U98" s="128"/>
      <c r="W98" s="128"/>
      <c r="X98" s="12"/>
      <c r="Y98" t="str">
        <f t="shared" si="9"/>
        <v/>
      </c>
      <c r="Z98" t="str">
        <f t="shared" si="9"/>
        <v/>
      </c>
      <c r="AA98" s="12"/>
      <c r="AB98" s="95" t="e">
        <f t="shared" si="10"/>
        <v>#VALUE!</v>
      </c>
      <c r="AC98" s="95" t="e">
        <f t="shared" si="11"/>
        <v>#VALUE!</v>
      </c>
      <c r="AD98" s="12"/>
    </row>
    <row r="99" spans="1:30" ht="15.75" thickBot="1" x14ac:dyDescent="0.3">
      <c r="A99" s="12"/>
      <c r="B99" s="22"/>
      <c r="C99" t="str">
        <f>IF(AND('ENTRY DATA'!D99=""),"",('ENTRY DATA'!D99))</f>
        <v/>
      </c>
      <c r="D99" t="str">
        <f>IF(AND('ENTRY DATA'!F99=""),"",('ENTRY DATA'!F99))</f>
        <v/>
      </c>
      <c r="E99" s="34" t="str">
        <f>IF(AND('ENTRY DATA'!B99=""),"",('ENTRY DATA'!B99))</f>
        <v/>
      </c>
      <c r="F99" s="12"/>
      <c r="G99" s="12"/>
      <c r="H99" s="72"/>
      <c r="I99" s="71"/>
      <c r="J99" s="72"/>
      <c r="K99" s="12"/>
      <c r="L99" s="20">
        <f t="shared" si="6"/>
        <v>0</v>
      </c>
      <c r="M99" s="19" t="str">
        <f t="shared" si="7"/>
        <v/>
      </c>
      <c r="N99" s="12"/>
      <c r="O99" s="119"/>
      <c r="P99" s="95" t="str">
        <f t="shared" si="8"/>
        <v/>
      </c>
      <c r="Q99" s="12"/>
      <c r="S99" s="128"/>
      <c r="T99" s="66"/>
      <c r="U99" s="128"/>
      <c r="W99" s="128"/>
      <c r="X99" s="12"/>
      <c r="Y99" t="str">
        <f t="shared" si="9"/>
        <v/>
      </c>
      <c r="Z99" t="str">
        <f t="shared" si="9"/>
        <v/>
      </c>
      <c r="AA99" s="12"/>
      <c r="AB99" s="95" t="e">
        <f t="shared" si="10"/>
        <v>#VALUE!</v>
      </c>
      <c r="AC99" s="95" t="e">
        <f t="shared" si="11"/>
        <v>#VALUE!</v>
      </c>
      <c r="AD99" s="12"/>
    </row>
    <row r="100" spans="1:30" ht="15.75" thickBot="1" x14ac:dyDescent="0.3">
      <c r="A100" s="12"/>
      <c r="B100" s="22"/>
      <c r="C100" t="str">
        <f>IF(AND('ENTRY DATA'!D100=""),"",('ENTRY DATA'!D100))</f>
        <v/>
      </c>
      <c r="D100" t="str">
        <f>IF(AND('ENTRY DATA'!F100=""),"",('ENTRY DATA'!F100))</f>
        <v/>
      </c>
      <c r="E100" s="34" t="str">
        <f>IF(AND('ENTRY DATA'!B100=""),"",('ENTRY DATA'!B100))</f>
        <v/>
      </c>
      <c r="F100" s="12"/>
      <c r="G100" s="12"/>
      <c r="H100" s="72"/>
      <c r="I100" s="71"/>
      <c r="J100" s="72"/>
      <c r="K100" s="12"/>
      <c r="L100" s="20">
        <f t="shared" si="6"/>
        <v>0</v>
      </c>
      <c r="M100" s="19" t="str">
        <f t="shared" si="7"/>
        <v/>
      </c>
      <c r="N100" s="12"/>
      <c r="O100" s="119"/>
      <c r="P100" s="95" t="str">
        <f t="shared" si="8"/>
        <v/>
      </c>
      <c r="Q100" s="12"/>
      <c r="S100" s="128"/>
      <c r="T100" s="66"/>
      <c r="U100" s="128"/>
      <c r="W100" s="128"/>
      <c r="X100" s="12"/>
      <c r="Y100" t="str">
        <f t="shared" si="9"/>
        <v/>
      </c>
      <c r="Z100" t="str">
        <f t="shared" si="9"/>
        <v/>
      </c>
      <c r="AA100" s="12"/>
      <c r="AB100" s="95" t="e">
        <f t="shared" si="10"/>
        <v>#VALUE!</v>
      </c>
      <c r="AC100" s="95" t="e">
        <f t="shared" si="11"/>
        <v>#VALUE!</v>
      </c>
      <c r="AD100" s="12"/>
    </row>
    <row r="101" spans="1:30" ht="15.75" thickBot="1" x14ac:dyDescent="0.3">
      <c r="A101" s="12"/>
      <c r="B101" s="22"/>
      <c r="C101" t="str">
        <f>IF(AND('ENTRY DATA'!D101=""),"",('ENTRY DATA'!D101))</f>
        <v/>
      </c>
      <c r="D101" t="str">
        <f>IF(AND('ENTRY DATA'!F101=""),"",('ENTRY DATA'!F101))</f>
        <v/>
      </c>
      <c r="E101" s="34" t="str">
        <f>IF(AND('ENTRY DATA'!B101=""),"",('ENTRY DATA'!B101))</f>
        <v/>
      </c>
      <c r="F101" s="12"/>
      <c r="G101" s="12"/>
      <c r="H101" s="72"/>
      <c r="I101" s="71"/>
      <c r="J101" s="72"/>
      <c r="K101" s="12"/>
      <c r="L101" s="20">
        <f t="shared" si="6"/>
        <v>0</v>
      </c>
      <c r="M101" s="19" t="str">
        <f t="shared" si="7"/>
        <v/>
      </c>
      <c r="N101" s="12"/>
      <c r="O101" s="119"/>
      <c r="P101" s="95" t="str">
        <f t="shared" si="8"/>
        <v/>
      </c>
      <c r="Q101" s="12"/>
      <c r="S101" s="128"/>
      <c r="T101" s="66"/>
      <c r="U101" s="128"/>
      <c r="W101" s="128"/>
      <c r="X101" s="12"/>
      <c r="Y101" t="str">
        <f t="shared" si="9"/>
        <v/>
      </c>
      <c r="Z101" t="str">
        <f t="shared" si="9"/>
        <v/>
      </c>
      <c r="AA101" s="12"/>
      <c r="AB101" s="95" t="e">
        <f t="shared" si="10"/>
        <v>#VALUE!</v>
      </c>
      <c r="AC101" s="95" t="e">
        <f t="shared" si="11"/>
        <v>#VALUE!</v>
      </c>
      <c r="AD101" s="12"/>
    </row>
    <row r="102" spans="1:30" ht="15.75" thickBot="1" x14ac:dyDescent="0.3">
      <c r="A102" s="12"/>
      <c r="B102" s="22"/>
      <c r="C102" t="str">
        <f>IF(AND('ENTRY DATA'!D102=""),"",('ENTRY DATA'!D102))</f>
        <v/>
      </c>
      <c r="D102" t="str">
        <f>IF(AND('ENTRY DATA'!F102=""),"",('ENTRY DATA'!F102))</f>
        <v/>
      </c>
      <c r="E102" s="34" t="str">
        <f>IF(AND('ENTRY DATA'!B102=""),"",('ENTRY DATA'!B102))</f>
        <v/>
      </c>
      <c r="F102" s="12"/>
      <c r="G102" s="12"/>
      <c r="H102" s="72"/>
      <c r="I102" s="71"/>
      <c r="J102" s="72"/>
      <c r="K102" s="12"/>
      <c r="L102" s="20">
        <f t="shared" si="6"/>
        <v>0</v>
      </c>
      <c r="M102" s="19" t="str">
        <f t="shared" si="7"/>
        <v/>
      </c>
      <c r="N102" s="12"/>
      <c r="O102" s="119"/>
      <c r="P102" s="95" t="str">
        <f t="shared" si="8"/>
        <v/>
      </c>
      <c r="Q102" s="12"/>
      <c r="S102" s="128"/>
      <c r="T102" s="66"/>
      <c r="U102" s="128"/>
      <c r="W102" s="128"/>
      <c r="X102" s="12"/>
      <c r="Y102" t="str">
        <f t="shared" si="9"/>
        <v/>
      </c>
      <c r="Z102" t="str">
        <f t="shared" si="9"/>
        <v/>
      </c>
      <c r="AA102" s="12"/>
      <c r="AB102" s="95" t="e">
        <f t="shared" si="10"/>
        <v>#VALUE!</v>
      </c>
      <c r="AC102" s="95" t="e">
        <f t="shared" si="11"/>
        <v>#VALUE!</v>
      </c>
      <c r="AD102" s="12"/>
    </row>
    <row r="103" spans="1:30" ht="15.75" thickBot="1" x14ac:dyDescent="0.3">
      <c r="A103" s="12"/>
      <c r="B103" s="22"/>
      <c r="C103" t="str">
        <f>IF(AND('ENTRY DATA'!D103=""),"",('ENTRY DATA'!D103))</f>
        <v/>
      </c>
      <c r="D103" t="str">
        <f>IF(AND('ENTRY DATA'!F103=""),"",('ENTRY DATA'!F103))</f>
        <v/>
      </c>
      <c r="E103" s="34" t="str">
        <f>IF(AND('ENTRY DATA'!B103=""),"",('ENTRY DATA'!B103))</f>
        <v/>
      </c>
      <c r="F103" s="12"/>
      <c r="G103" s="12"/>
      <c r="H103" s="72"/>
      <c r="I103" s="71"/>
      <c r="J103" s="72"/>
      <c r="K103" s="12"/>
      <c r="L103" s="20">
        <f t="shared" si="6"/>
        <v>0</v>
      </c>
      <c r="M103" s="19" t="str">
        <f t="shared" si="7"/>
        <v/>
      </c>
      <c r="N103" s="12"/>
      <c r="O103" s="119"/>
      <c r="P103" s="95" t="str">
        <f t="shared" si="8"/>
        <v/>
      </c>
      <c r="Q103" s="12"/>
      <c r="S103" s="128"/>
      <c r="T103" s="66"/>
      <c r="U103" s="128"/>
      <c r="W103" s="128"/>
      <c r="X103" s="12"/>
      <c r="Y103" t="str">
        <f t="shared" si="9"/>
        <v/>
      </c>
      <c r="Z103" t="str">
        <f t="shared" si="9"/>
        <v/>
      </c>
      <c r="AA103" s="12"/>
      <c r="AB103" s="95" t="e">
        <f t="shared" si="10"/>
        <v>#VALUE!</v>
      </c>
      <c r="AC103" s="95" t="e">
        <f t="shared" si="11"/>
        <v>#VALUE!</v>
      </c>
      <c r="AD103" s="12"/>
    </row>
    <row r="104" spans="1:30" ht="15.75" thickBot="1" x14ac:dyDescent="0.3">
      <c r="A104" s="12"/>
      <c r="B104" s="22"/>
      <c r="C104" t="str">
        <f>IF(AND('ENTRY DATA'!D104=""),"",('ENTRY DATA'!D104))</f>
        <v/>
      </c>
      <c r="D104" t="str">
        <f>IF(AND('ENTRY DATA'!F104=""),"",('ENTRY DATA'!F104))</f>
        <v/>
      </c>
      <c r="E104" s="34" t="str">
        <f>IF(AND('ENTRY DATA'!B104=""),"",('ENTRY DATA'!B104))</f>
        <v/>
      </c>
      <c r="F104" s="12"/>
      <c r="G104" s="12"/>
      <c r="H104" s="72"/>
      <c r="I104" s="71"/>
      <c r="J104" s="72"/>
      <c r="K104" s="12"/>
      <c r="L104" s="20">
        <f t="shared" si="6"/>
        <v>0</v>
      </c>
      <c r="M104" s="19" t="str">
        <f t="shared" si="7"/>
        <v/>
      </c>
      <c r="N104" s="12"/>
      <c r="O104" s="119"/>
      <c r="P104" s="95" t="str">
        <f t="shared" si="8"/>
        <v/>
      </c>
      <c r="Q104" s="12"/>
      <c r="S104" s="128"/>
      <c r="T104" s="66"/>
      <c r="U104" s="128"/>
      <c r="W104" s="128"/>
      <c r="X104" s="12"/>
      <c r="Y104" t="str">
        <f t="shared" si="9"/>
        <v/>
      </c>
      <c r="Z104" t="str">
        <f t="shared" si="9"/>
        <v/>
      </c>
      <c r="AA104" s="12"/>
      <c r="AB104" s="95" t="e">
        <f t="shared" si="10"/>
        <v>#VALUE!</v>
      </c>
      <c r="AC104" s="95" t="e">
        <f t="shared" si="11"/>
        <v>#VALUE!</v>
      </c>
      <c r="AD104" s="12"/>
    </row>
    <row r="105" spans="1:30" ht="15.75" thickBot="1" x14ac:dyDescent="0.3">
      <c r="A105" s="12"/>
      <c r="B105" s="22"/>
      <c r="C105" t="str">
        <f>IF(AND('ENTRY DATA'!D105=""),"",('ENTRY DATA'!D105))</f>
        <v/>
      </c>
      <c r="D105" t="str">
        <f>IF(AND('ENTRY DATA'!F105=""),"",('ENTRY DATA'!F105))</f>
        <v/>
      </c>
      <c r="E105" s="34" t="str">
        <f>IF(AND('ENTRY DATA'!B105=""),"",('ENTRY DATA'!B105))</f>
        <v/>
      </c>
      <c r="F105" s="12"/>
      <c r="G105" s="12"/>
      <c r="H105" s="72"/>
      <c r="I105" s="71"/>
      <c r="J105" s="72"/>
      <c r="K105" s="12"/>
      <c r="L105" s="20">
        <f t="shared" si="6"/>
        <v>0</v>
      </c>
      <c r="M105" s="19" t="str">
        <f t="shared" si="7"/>
        <v/>
      </c>
      <c r="N105" s="12"/>
      <c r="O105" s="119"/>
      <c r="P105" s="95" t="str">
        <f t="shared" si="8"/>
        <v/>
      </c>
      <c r="Q105" s="12"/>
      <c r="S105" s="128"/>
      <c r="T105" s="66"/>
      <c r="U105" s="128"/>
      <c r="W105" s="128"/>
      <c r="X105" s="12"/>
      <c r="Y105" t="str">
        <f t="shared" si="9"/>
        <v/>
      </c>
      <c r="Z105" t="str">
        <f t="shared" si="9"/>
        <v/>
      </c>
      <c r="AA105" s="12"/>
      <c r="AB105" s="95" t="e">
        <f t="shared" si="10"/>
        <v>#VALUE!</v>
      </c>
      <c r="AC105" s="95" t="e">
        <f t="shared" si="11"/>
        <v>#VALUE!</v>
      </c>
      <c r="AD105" s="12"/>
    </row>
    <row r="106" spans="1:30" ht="15.75" thickBot="1" x14ac:dyDescent="0.3">
      <c r="A106" s="12"/>
      <c r="B106" s="22"/>
      <c r="C106" t="str">
        <f>IF(AND('ENTRY DATA'!D106=""),"",('ENTRY DATA'!D106))</f>
        <v/>
      </c>
      <c r="D106" t="str">
        <f>IF(AND('ENTRY DATA'!F106=""),"",('ENTRY DATA'!F106))</f>
        <v/>
      </c>
      <c r="E106" s="34" t="str">
        <f>IF(AND('ENTRY DATA'!B106=""),"",('ENTRY DATA'!B106))</f>
        <v/>
      </c>
      <c r="F106" s="12"/>
      <c r="G106" s="12"/>
      <c r="H106" s="72"/>
      <c r="I106" s="71"/>
      <c r="J106" s="72"/>
      <c r="K106" s="12"/>
      <c r="L106" s="20">
        <f t="shared" si="6"/>
        <v>0</v>
      </c>
      <c r="M106" s="19" t="str">
        <f t="shared" si="7"/>
        <v/>
      </c>
      <c r="N106" s="12"/>
      <c r="O106" s="119"/>
      <c r="P106" s="95" t="str">
        <f t="shared" si="8"/>
        <v/>
      </c>
      <c r="Q106" s="12"/>
      <c r="S106" s="128"/>
      <c r="T106" s="66"/>
      <c r="U106" s="128"/>
      <c r="W106" s="128"/>
      <c r="X106" s="12"/>
      <c r="Y106" t="str">
        <f t="shared" si="9"/>
        <v/>
      </c>
      <c r="Z106" t="str">
        <f t="shared" si="9"/>
        <v/>
      </c>
      <c r="AA106" s="12"/>
      <c r="AB106" s="95" t="e">
        <f t="shared" si="10"/>
        <v>#VALUE!</v>
      </c>
      <c r="AC106" s="95" t="e">
        <f t="shared" si="11"/>
        <v>#VALUE!</v>
      </c>
      <c r="AD106" s="12"/>
    </row>
    <row r="107" spans="1:30" ht="15.75" thickBot="1" x14ac:dyDescent="0.3">
      <c r="A107" s="12"/>
      <c r="B107" s="22"/>
      <c r="C107" t="str">
        <f>IF(AND('ENTRY DATA'!D107=""),"",('ENTRY DATA'!D107))</f>
        <v/>
      </c>
      <c r="D107" t="str">
        <f>IF(AND('ENTRY DATA'!F107=""),"",('ENTRY DATA'!F107))</f>
        <v/>
      </c>
      <c r="E107" s="34" t="str">
        <f>IF(AND('ENTRY DATA'!B107=""),"",('ENTRY DATA'!B107))</f>
        <v/>
      </c>
      <c r="F107" s="12"/>
      <c r="G107" s="12"/>
      <c r="H107" s="72"/>
      <c r="I107" s="71"/>
      <c r="J107" s="72"/>
      <c r="K107" s="12"/>
      <c r="L107" s="20">
        <f t="shared" si="6"/>
        <v>0</v>
      </c>
      <c r="M107" s="19" t="str">
        <f t="shared" si="7"/>
        <v/>
      </c>
      <c r="N107" s="12"/>
      <c r="O107" s="119"/>
      <c r="P107" s="95" t="str">
        <f t="shared" si="8"/>
        <v/>
      </c>
      <c r="Q107" s="12"/>
      <c r="S107" s="128"/>
      <c r="T107" s="66"/>
      <c r="U107" s="128"/>
      <c r="W107" s="128"/>
      <c r="X107" s="12"/>
      <c r="Y107" t="str">
        <f t="shared" si="9"/>
        <v/>
      </c>
      <c r="Z107" t="str">
        <f t="shared" si="9"/>
        <v/>
      </c>
      <c r="AA107" s="12"/>
      <c r="AB107" s="95" t="e">
        <f t="shared" si="10"/>
        <v>#VALUE!</v>
      </c>
      <c r="AC107" s="95" t="e">
        <f t="shared" si="11"/>
        <v>#VALUE!</v>
      </c>
      <c r="AD107" s="12"/>
    </row>
    <row r="108" spans="1:30" ht="15.75" thickBot="1" x14ac:dyDescent="0.3">
      <c r="A108" s="12"/>
      <c r="B108" s="22"/>
      <c r="C108" t="str">
        <f>IF(AND('ENTRY DATA'!D108=""),"",('ENTRY DATA'!D108))</f>
        <v/>
      </c>
      <c r="D108" t="str">
        <f>IF(AND('ENTRY DATA'!F108=""),"",('ENTRY DATA'!F108))</f>
        <v/>
      </c>
      <c r="E108" s="34" t="str">
        <f>IF(AND('ENTRY DATA'!B108=""),"",('ENTRY DATA'!B108))</f>
        <v/>
      </c>
      <c r="F108" s="12"/>
      <c r="G108" s="12"/>
      <c r="H108" s="72"/>
      <c r="I108" s="71"/>
      <c r="J108" s="72"/>
      <c r="K108" s="12"/>
      <c r="L108" s="20">
        <f t="shared" si="6"/>
        <v>0</v>
      </c>
      <c r="M108" s="19" t="str">
        <f t="shared" si="7"/>
        <v/>
      </c>
      <c r="N108" s="12"/>
      <c r="O108" s="119"/>
      <c r="P108" s="95" t="str">
        <f t="shared" si="8"/>
        <v/>
      </c>
      <c r="Q108" s="12"/>
      <c r="S108" s="128"/>
      <c r="T108" s="66"/>
      <c r="U108" s="128"/>
      <c r="W108" s="128"/>
      <c r="X108" s="12"/>
      <c r="Y108" t="str">
        <f t="shared" si="9"/>
        <v/>
      </c>
      <c r="Z108" t="str">
        <f t="shared" si="9"/>
        <v/>
      </c>
      <c r="AA108" s="12"/>
      <c r="AB108" s="95" t="e">
        <f t="shared" si="10"/>
        <v>#VALUE!</v>
      </c>
      <c r="AC108" s="95" t="e">
        <f t="shared" si="11"/>
        <v>#VALUE!</v>
      </c>
      <c r="AD108" s="12"/>
    </row>
    <row r="109" spans="1:30" ht="15.75" thickBot="1" x14ac:dyDescent="0.3">
      <c r="A109" s="12"/>
      <c r="B109" s="22"/>
      <c r="C109" t="str">
        <f>IF(AND('ENTRY DATA'!D109=""),"",('ENTRY DATA'!D109))</f>
        <v/>
      </c>
      <c r="D109" t="str">
        <f>IF(AND('ENTRY DATA'!F109=""),"",('ENTRY DATA'!F109))</f>
        <v/>
      </c>
      <c r="E109" s="34" t="str">
        <f>IF(AND('ENTRY DATA'!B109=""),"",('ENTRY DATA'!B109))</f>
        <v/>
      </c>
      <c r="F109" s="12"/>
      <c r="G109" s="12"/>
      <c r="H109" s="72"/>
      <c r="I109" s="71"/>
      <c r="J109" s="72"/>
      <c r="K109" s="12"/>
      <c r="L109" s="20">
        <f t="shared" si="6"/>
        <v>0</v>
      </c>
      <c r="M109" s="19" t="str">
        <f t="shared" si="7"/>
        <v/>
      </c>
      <c r="N109" s="12"/>
      <c r="O109" s="119"/>
      <c r="P109" s="95" t="str">
        <f t="shared" si="8"/>
        <v/>
      </c>
      <c r="Q109" s="12"/>
      <c r="S109" s="128"/>
      <c r="T109" s="66"/>
      <c r="U109" s="128"/>
      <c r="W109" s="128"/>
      <c r="X109" s="12"/>
      <c r="Y109" t="str">
        <f t="shared" si="9"/>
        <v/>
      </c>
      <c r="Z109" t="str">
        <f t="shared" si="9"/>
        <v/>
      </c>
      <c r="AA109" s="12"/>
      <c r="AB109" s="95" t="e">
        <f t="shared" si="10"/>
        <v>#VALUE!</v>
      </c>
      <c r="AC109" s="95" t="e">
        <f t="shared" si="11"/>
        <v>#VALUE!</v>
      </c>
      <c r="AD109" s="12"/>
    </row>
    <row r="110" spans="1:30" ht="15.75" thickBot="1" x14ac:dyDescent="0.3">
      <c r="A110" s="12"/>
      <c r="B110" s="22"/>
      <c r="C110" t="str">
        <f>IF(AND('ENTRY DATA'!D110=""),"",('ENTRY DATA'!D110))</f>
        <v/>
      </c>
      <c r="D110" t="str">
        <f>IF(AND('ENTRY DATA'!F110=""),"",('ENTRY DATA'!F110))</f>
        <v/>
      </c>
      <c r="E110" s="34" t="str">
        <f>IF(AND('ENTRY DATA'!B110=""),"",('ENTRY DATA'!B110))</f>
        <v/>
      </c>
      <c r="F110" s="12"/>
      <c r="G110" s="12"/>
      <c r="H110" s="72"/>
      <c r="I110" s="71"/>
      <c r="J110" s="72"/>
      <c r="K110" s="12"/>
      <c r="L110" s="20">
        <f t="shared" si="6"/>
        <v>0</v>
      </c>
      <c r="M110" s="19" t="str">
        <f t="shared" si="7"/>
        <v/>
      </c>
      <c r="N110" s="12"/>
      <c r="O110" s="119"/>
      <c r="P110" s="95" t="str">
        <f t="shared" si="8"/>
        <v/>
      </c>
      <c r="Q110" s="12"/>
      <c r="S110" s="128"/>
      <c r="T110" s="66"/>
      <c r="U110" s="128"/>
      <c r="W110" s="128"/>
      <c r="X110" s="12"/>
      <c r="Y110" t="str">
        <f t="shared" si="9"/>
        <v/>
      </c>
      <c r="Z110" t="str">
        <f t="shared" si="9"/>
        <v/>
      </c>
      <c r="AA110" s="12"/>
      <c r="AB110" s="95" t="e">
        <f t="shared" si="10"/>
        <v>#VALUE!</v>
      </c>
      <c r="AC110" s="95" t="e">
        <f t="shared" si="11"/>
        <v>#VALUE!</v>
      </c>
      <c r="AD110" s="12"/>
    </row>
    <row r="111" spans="1:30" ht="15.75" thickBot="1" x14ac:dyDescent="0.3">
      <c r="A111" s="12"/>
      <c r="B111" s="22"/>
      <c r="C111" t="str">
        <f>IF(AND('ENTRY DATA'!D111=""),"",('ENTRY DATA'!D111))</f>
        <v/>
      </c>
      <c r="D111" t="str">
        <f>IF(AND('ENTRY DATA'!F111=""),"",('ENTRY DATA'!F111))</f>
        <v/>
      </c>
      <c r="E111" s="34" t="str">
        <f>IF(AND('ENTRY DATA'!B111=""),"",('ENTRY DATA'!B111))</f>
        <v/>
      </c>
      <c r="F111" s="12"/>
      <c r="G111" s="12"/>
      <c r="H111" s="72"/>
      <c r="I111" s="71"/>
      <c r="J111" s="72"/>
      <c r="K111" s="12"/>
      <c r="L111" s="20">
        <f t="shared" si="6"/>
        <v>0</v>
      </c>
      <c r="M111" s="19" t="str">
        <f t="shared" si="7"/>
        <v/>
      </c>
      <c r="N111" s="12"/>
      <c r="O111" s="119"/>
      <c r="P111" s="95" t="str">
        <f t="shared" si="8"/>
        <v/>
      </c>
      <c r="Q111" s="12"/>
      <c r="S111" s="128"/>
      <c r="T111" s="66"/>
      <c r="U111" s="128"/>
      <c r="W111" s="128"/>
      <c r="X111" s="12"/>
      <c r="Y111" t="str">
        <f t="shared" si="9"/>
        <v/>
      </c>
      <c r="Z111" t="str">
        <f t="shared" si="9"/>
        <v/>
      </c>
      <c r="AA111" s="12"/>
      <c r="AB111" s="95" t="e">
        <f t="shared" si="10"/>
        <v>#VALUE!</v>
      </c>
      <c r="AC111" s="95" t="e">
        <f t="shared" si="11"/>
        <v>#VALUE!</v>
      </c>
      <c r="AD111" s="12"/>
    </row>
    <row r="112" spans="1:30" ht="15.75" thickBot="1" x14ac:dyDescent="0.3">
      <c r="A112" s="12"/>
      <c r="B112" s="22"/>
      <c r="C112" t="str">
        <f>IF(AND('ENTRY DATA'!D112=""),"",('ENTRY DATA'!D112))</f>
        <v/>
      </c>
      <c r="D112" t="str">
        <f>IF(AND('ENTRY DATA'!F112=""),"",('ENTRY DATA'!F112))</f>
        <v/>
      </c>
      <c r="E112" s="34" t="str">
        <f>IF(AND('ENTRY DATA'!B112=""),"",('ENTRY DATA'!B112))</f>
        <v/>
      </c>
      <c r="F112" s="12"/>
      <c r="G112" s="12"/>
      <c r="H112" s="72"/>
      <c r="I112" s="71"/>
      <c r="J112" s="72"/>
      <c r="K112" s="12"/>
      <c r="L112" s="20">
        <f t="shared" si="6"/>
        <v>0</v>
      </c>
      <c r="M112" s="19" t="str">
        <f t="shared" si="7"/>
        <v/>
      </c>
      <c r="N112" s="12"/>
      <c r="O112" s="119"/>
      <c r="P112" s="95" t="str">
        <f t="shared" si="8"/>
        <v/>
      </c>
      <c r="Q112" s="12"/>
      <c r="S112" s="128"/>
      <c r="T112" s="66"/>
      <c r="U112" s="128"/>
      <c r="W112" s="128"/>
      <c r="X112" s="12"/>
      <c r="Y112" t="str">
        <f t="shared" si="9"/>
        <v/>
      </c>
      <c r="Z112" t="str">
        <f t="shared" si="9"/>
        <v/>
      </c>
      <c r="AA112" s="12"/>
      <c r="AB112" s="95" t="e">
        <f t="shared" si="10"/>
        <v>#VALUE!</v>
      </c>
      <c r="AC112" s="95" t="e">
        <f t="shared" si="11"/>
        <v>#VALUE!</v>
      </c>
      <c r="AD112" s="12"/>
    </row>
    <row r="113" spans="1:30" ht="15.75" thickBot="1" x14ac:dyDescent="0.3">
      <c r="A113" s="12"/>
      <c r="B113" s="22"/>
      <c r="C113" t="str">
        <f>IF(AND('ENTRY DATA'!D113=""),"",('ENTRY DATA'!D113))</f>
        <v/>
      </c>
      <c r="D113" t="str">
        <f>IF(AND('ENTRY DATA'!F113=""),"",('ENTRY DATA'!F113))</f>
        <v/>
      </c>
      <c r="E113" s="34" t="str">
        <f>IF(AND('ENTRY DATA'!B113=""),"",('ENTRY DATA'!B113))</f>
        <v/>
      </c>
      <c r="F113" s="12"/>
      <c r="G113" s="12"/>
      <c r="H113" s="72"/>
      <c r="I113" s="71"/>
      <c r="J113" s="72"/>
      <c r="K113" s="12"/>
      <c r="L113" s="20">
        <f t="shared" si="6"/>
        <v>0</v>
      </c>
      <c r="M113" s="19" t="str">
        <f t="shared" si="7"/>
        <v/>
      </c>
      <c r="N113" s="12"/>
      <c r="O113" s="119"/>
      <c r="P113" s="95" t="str">
        <f t="shared" si="8"/>
        <v/>
      </c>
      <c r="Q113" s="12"/>
      <c r="S113" s="128"/>
      <c r="T113" s="66"/>
      <c r="U113" s="128"/>
      <c r="W113" s="128"/>
      <c r="X113" s="12"/>
      <c r="Y113" t="str">
        <f t="shared" si="9"/>
        <v/>
      </c>
      <c r="Z113" t="str">
        <f t="shared" si="9"/>
        <v/>
      </c>
      <c r="AA113" s="12"/>
      <c r="AB113" s="95" t="e">
        <f t="shared" si="10"/>
        <v>#VALUE!</v>
      </c>
      <c r="AC113" s="95" t="e">
        <f t="shared" si="11"/>
        <v>#VALUE!</v>
      </c>
      <c r="AD113" s="12"/>
    </row>
    <row r="114" spans="1:30" ht="15.75" thickBot="1" x14ac:dyDescent="0.3">
      <c r="A114" s="12"/>
      <c r="B114" s="22"/>
      <c r="C114" t="str">
        <f>IF(AND('ENTRY DATA'!D114=""),"",('ENTRY DATA'!D114))</f>
        <v/>
      </c>
      <c r="D114" t="str">
        <f>IF(AND('ENTRY DATA'!F114=""),"",('ENTRY DATA'!F114))</f>
        <v/>
      </c>
      <c r="E114" s="34" t="str">
        <f>IF(AND('ENTRY DATA'!B114=""),"",('ENTRY DATA'!B114))</f>
        <v/>
      </c>
      <c r="F114" s="12"/>
      <c r="G114" s="12"/>
      <c r="H114" s="72"/>
      <c r="I114" s="71"/>
      <c r="J114" s="72"/>
      <c r="K114" s="12"/>
      <c r="L114" s="20">
        <f t="shared" si="6"/>
        <v>0</v>
      </c>
      <c r="M114" s="19" t="str">
        <f t="shared" si="7"/>
        <v/>
      </c>
      <c r="N114" s="12"/>
      <c r="O114" s="119"/>
      <c r="P114" s="95" t="str">
        <f t="shared" si="8"/>
        <v/>
      </c>
      <c r="Q114" s="12"/>
      <c r="S114" s="128"/>
      <c r="T114" s="66"/>
      <c r="U114" s="128"/>
      <c r="W114" s="128"/>
      <c r="X114" s="12"/>
      <c r="Y114" t="str">
        <f t="shared" si="9"/>
        <v/>
      </c>
      <c r="Z114" t="str">
        <f t="shared" si="9"/>
        <v/>
      </c>
      <c r="AA114" s="12"/>
      <c r="AB114" s="95" t="e">
        <f t="shared" si="10"/>
        <v>#VALUE!</v>
      </c>
      <c r="AC114" s="95" t="e">
        <f t="shared" si="11"/>
        <v>#VALUE!</v>
      </c>
      <c r="AD114" s="12"/>
    </row>
    <row r="115" spans="1:30" ht="15.75" thickBot="1" x14ac:dyDescent="0.3">
      <c r="A115" s="12"/>
      <c r="B115" s="22"/>
      <c r="C115" t="str">
        <f>IF(AND('ENTRY DATA'!D115=""),"",('ENTRY DATA'!D115))</f>
        <v/>
      </c>
      <c r="D115" t="str">
        <f>IF(AND('ENTRY DATA'!F115=""),"",('ENTRY DATA'!F115))</f>
        <v/>
      </c>
      <c r="E115" s="34" t="str">
        <f>IF(AND('ENTRY DATA'!B115=""),"",('ENTRY DATA'!B115))</f>
        <v/>
      </c>
      <c r="F115" s="12"/>
      <c r="G115" s="12"/>
      <c r="H115" s="72"/>
      <c r="I115" s="71"/>
      <c r="J115" s="72"/>
      <c r="K115" s="12"/>
      <c r="L115" s="20">
        <f t="shared" si="6"/>
        <v>0</v>
      </c>
      <c r="M115" s="19" t="str">
        <f t="shared" si="7"/>
        <v/>
      </c>
      <c r="N115" s="12"/>
      <c r="O115" s="119"/>
      <c r="P115" s="95" t="str">
        <f t="shared" si="8"/>
        <v/>
      </c>
      <c r="Q115" s="12"/>
      <c r="S115" s="128"/>
      <c r="T115" s="66"/>
      <c r="U115" s="128"/>
      <c r="W115" s="128"/>
      <c r="X115" s="12"/>
      <c r="Y115" t="str">
        <f t="shared" si="9"/>
        <v/>
      </c>
      <c r="Z115" t="str">
        <f t="shared" si="9"/>
        <v/>
      </c>
      <c r="AA115" s="12"/>
      <c r="AB115" s="95" t="e">
        <f t="shared" si="10"/>
        <v>#VALUE!</v>
      </c>
      <c r="AC115" s="95" t="e">
        <f t="shared" si="11"/>
        <v>#VALUE!</v>
      </c>
      <c r="AD115" s="12"/>
    </row>
    <row r="116" spans="1:30" ht="15.75" thickBot="1" x14ac:dyDescent="0.3">
      <c r="A116" s="12"/>
      <c r="B116" s="22"/>
      <c r="C116" t="str">
        <f>IF(AND('ENTRY DATA'!D116=""),"",('ENTRY DATA'!D116))</f>
        <v/>
      </c>
      <c r="D116" t="str">
        <f>IF(AND('ENTRY DATA'!F116=""),"",('ENTRY DATA'!F116))</f>
        <v/>
      </c>
      <c r="E116" s="34" t="str">
        <f>IF(AND('ENTRY DATA'!B116=""),"",('ENTRY DATA'!B116))</f>
        <v/>
      </c>
      <c r="F116" s="12"/>
      <c r="G116" s="12"/>
      <c r="H116" s="72"/>
      <c r="I116" s="71"/>
      <c r="J116" s="72"/>
      <c r="K116" s="12"/>
      <c r="L116" s="20">
        <f t="shared" si="6"/>
        <v>0</v>
      </c>
      <c r="M116" s="19" t="str">
        <f t="shared" si="7"/>
        <v/>
      </c>
      <c r="N116" s="12"/>
      <c r="O116" s="119"/>
      <c r="P116" s="95" t="str">
        <f t="shared" si="8"/>
        <v/>
      </c>
      <c r="Q116" s="12"/>
      <c r="S116" s="128"/>
      <c r="T116" s="66"/>
      <c r="U116" s="128"/>
      <c r="W116" s="128"/>
      <c r="X116" s="12"/>
      <c r="Y116" t="str">
        <f t="shared" si="9"/>
        <v/>
      </c>
      <c r="Z116" t="str">
        <f t="shared" si="9"/>
        <v/>
      </c>
      <c r="AA116" s="12"/>
      <c r="AB116" s="95" t="e">
        <f t="shared" si="10"/>
        <v>#VALUE!</v>
      </c>
      <c r="AC116" s="95" t="e">
        <f t="shared" si="11"/>
        <v>#VALUE!</v>
      </c>
      <c r="AD116" s="12"/>
    </row>
    <row r="117" spans="1:30" ht="15.75" thickBot="1" x14ac:dyDescent="0.3">
      <c r="A117" s="12"/>
      <c r="B117" s="22"/>
      <c r="C117" t="str">
        <f>IF(AND('ENTRY DATA'!D117=""),"",('ENTRY DATA'!D117))</f>
        <v/>
      </c>
      <c r="D117" t="str">
        <f>IF(AND('ENTRY DATA'!F117=""),"",('ENTRY DATA'!F117))</f>
        <v/>
      </c>
      <c r="E117" s="34" t="str">
        <f>IF(AND('ENTRY DATA'!B117=""),"",('ENTRY DATA'!B117))</f>
        <v/>
      </c>
      <c r="F117" s="12"/>
      <c r="G117" s="12"/>
      <c r="H117" s="72"/>
      <c r="I117" s="71"/>
      <c r="J117" s="72"/>
      <c r="K117" s="12"/>
      <c r="L117" s="20">
        <f t="shared" si="6"/>
        <v>0</v>
      </c>
      <c r="M117" s="19" t="str">
        <f t="shared" si="7"/>
        <v/>
      </c>
      <c r="N117" s="12"/>
      <c r="O117" s="119"/>
      <c r="P117" s="95" t="str">
        <f t="shared" si="8"/>
        <v/>
      </c>
      <c r="Q117" s="12"/>
      <c r="S117" s="128"/>
      <c r="T117" s="66"/>
      <c r="U117" s="128"/>
      <c r="W117" s="128"/>
      <c r="X117" s="12"/>
      <c r="Y117" t="str">
        <f t="shared" si="9"/>
        <v/>
      </c>
      <c r="Z117" t="str">
        <f t="shared" si="9"/>
        <v/>
      </c>
      <c r="AA117" s="12"/>
      <c r="AB117" s="95" t="e">
        <f t="shared" si="10"/>
        <v>#VALUE!</v>
      </c>
      <c r="AC117" s="95" t="e">
        <f t="shared" si="11"/>
        <v>#VALUE!</v>
      </c>
      <c r="AD117" s="12"/>
    </row>
    <row r="118" spans="1:30" ht="15.75" thickBot="1" x14ac:dyDescent="0.3">
      <c r="A118" s="12"/>
      <c r="B118" s="22"/>
      <c r="C118" t="str">
        <f>IF(AND('ENTRY DATA'!D118=""),"",('ENTRY DATA'!D118))</f>
        <v/>
      </c>
      <c r="D118" t="str">
        <f>IF(AND('ENTRY DATA'!F118=""),"",('ENTRY DATA'!F118))</f>
        <v/>
      </c>
      <c r="E118" s="34" t="str">
        <f>IF(AND('ENTRY DATA'!B118=""),"",('ENTRY DATA'!B118))</f>
        <v/>
      </c>
      <c r="F118" s="12"/>
      <c r="G118" s="12"/>
      <c r="H118" s="72"/>
      <c r="I118" s="71"/>
      <c r="J118" s="72"/>
      <c r="K118" s="12"/>
      <c r="L118" s="20">
        <f t="shared" si="6"/>
        <v>0</v>
      </c>
      <c r="M118" s="19" t="str">
        <f t="shared" si="7"/>
        <v/>
      </c>
      <c r="N118" s="12"/>
      <c r="O118" s="119"/>
      <c r="P118" s="95" t="str">
        <f t="shared" si="8"/>
        <v/>
      </c>
      <c r="Q118" s="12"/>
      <c r="S118" s="128"/>
      <c r="T118" s="66"/>
      <c r="U118" s="128"/>
      <c r="W118" s="128"/>
      <c r="X118" s="12"/>
      <c r="Y118" t="str">
        <f t="shared" si="9"/>
        <v/>
      </c>
      <c r="Z118" t="str">
        <f t="shared" si="9"/>
        <v/>
      </c>
      <c r="AA118" s="12"/>
      <c r="AB118" s="95" t="e">
        <f t="shared" si="10"/>
        <v>#VALUE!</v>
      </c>
      <c r="AC118" s="95" t="e">
        <f t="shared" si="11"/>
        <v>#VALUE!</v>
      </c>
      <c r="AD118" s="12"/>
    </row>
    <row r="119" spans="1:30" ht="15.75" thickBot="1" x14ac:dyDescent="0.3">
      <c r="A119" s="12"/>
      <c r="B119" s="22"/>
      <c r="C119" t="str">
        <f>IF(AND('ENTRY DATA'!D119=""),"",('ENTRY DATA'!D119))</f>
        <v/>
      </c>
      <c r="D119" t="str">
        <f>IF(AND('ENTRY DATA'!F119=""),"",('ENTRY DATA'!F119))</f>
        <v/>
      </c>
      <c r="E119" s="34" t="str">
        <f>IF(AND('ENTRY DATA'!B119=""),"",('ENTRY DATA'!B119))</f>
        <v/>
      </c>
      <c r="F119" s="12"/>
      <c r="G119" s="12"/>
      <c r="H119" s="72"/>
      <c r="I119" s="71"/>
      <c r="J119" s="72"/>
      <c r="K119" s="12"/>
      <c r="L119" s="20">
        <f t="shared" si="6"/>
        <v>0</v>
      </c>
      <c r="M119" s="19" t="str">
        <f t="shared" si="7"/>
        <v/>
      </c>
      <c r="N119" s="12"/>
      <c r="O119" s="119"/>
      <c r="P119" s="95" t="str">
        <f t="shared" si="8"/>
        <v/>
      </c>
      <c r="Q119" s="12"/>
      <c r="S119" s="128"/>
      <c r="T119" s="66"/>
      <c r="U119" s="128"/>
      <c r="W119" s="128"/>
      <c r="X119" s="12"/>
      <c r="Y119" t="str">
        <f t="shared" si="9"/>
        <v/>
      </c>
      <c r="Z119" t="str">
        <f t="shared" si="9"/>
        <v/>
      </c>
      <c r="AA119" s="12"/>
      <c r="AB119" s="95" t="e">
        <f t="shared" si="10"/>
        <v>#VALUE!</v>
      </c>
      <c r="AC119" s="95" t="e">
        <f t="shared" si="11"/>
        <v>#VALUE!</v>
      </c>
      <c r="AD119" s="12"/>
    </row>
    <row r="120" spans="1:30" ht="15.75" thickBot="1" x14ac:dyDescent="0.3">
      <c r="A120" s="12"/>
      <c r="B120" s="22"/>
      <c r="C120" t="str">
        <f>IF(AND('ENTRY DATA'!D120=""),"",('ENTRY DATA'!D120))</f>
        <v/>
      </c>
      <c r="D120" t="str">
        <f>IF(AND('ENTRY DATA'!F120=""),"",('ENTRY DATA'!F120))</f>
        <v/>
      </c>
      <c r="E120" s="34" t="str">
        <f>IF(AND('ENTRY DATA'!B120=""),"",('ENTRY DATA'!B120))</f>
        <v/>
      </c>
      <c r="F120" s="12"/>
      <c r="G120" s="12"/>
      <c r="H120" s="72"/>
      <c r="I120" s="71"/>
      <c r="J120" s="72"/>
      <c r="K120" s="12"/>
      <c r="L120" s="20">
        <f t="shared" si="6"/>
        <v>0</v>
      </c>
      <c r="M120" s="19" t="str">
        <f t="shared" si="7"/>
        <v/>
      </c>
      <c r="N120" s="12"/>
      <c r="O120" s="119"/>
      <c r="P120" s="95" t="str">
        <f t="shared" si="8"/>
        <v/>
      </c>
      <c r="Q120" s="12"/>
      <c r="S120" s="128"/>
      <c r="T120" s="66"/>
      <c r="U120" s="128"/>
      <c r="W120" s="128"/>
      <c r="X120" s="12"/>
      <c r="Y120" t="str">
        <f t="shared" si="9"/>
        <v/>
      </c>
      <c r="Z120" t="str">
        <f t="shared" si="9"/>
        <v/>
      </c>
      <c r="AA120" s="12"/>
      <c r="AB120" s="95" t="e">
        <f t="shared" si="10"/>
        <v>#VALUE!</v>
      </c>
      <c r="AC120" s="95" t="e">
        <f t="shared" si="11"/>
        <v>#VALUE!</v>
      </c>
      <c r="AD120" s="12"/>
    </row>
    <row r="121" spans="1:30" ht="15.75" thickBot="1" x14ac:dyDescent="0.3">
      <c r="A121" s="12"/>
      <c r="B121" s="22"/>
      <c r="C121" t="str">
        <f>IF(AND('ENTRY DATA'!D121=""),"",('ENTRY DATA'!D121))</f>
        <v/>
      </c>
      <c r="D121" t="str">
        <f>IF(AND('ENTRY DATA'!F121=""),"",('ENTRY DATA'!F121))</f>
        <v/>
      </c>
      <c r="E121" s="34" t="str">
        <f>IF(AND('ENTRY DATA'!B121=""),"",('ENTRY DATA'!B121))</f>
        <v/>
      </c>
      <c r="F121" s="12"/>
      <c r="G121" s="12"/>
      <c r="H121" s="72"/>
      <c r="I121" s="71"/>
      <c r="J121" s="72"/>
      <c r="K121" s="12"/>
      <c r="L121" s="20">
        <f t="shared" si="6"/>
        <v>0</v>
      </c>
      <c r="M121" s="19" t="str">
        <f t="shared" si="7"/>
        <v/>
      </c>
      <c r="N121" s="12"/>
      <c r="O121" s="119"/>
      <c r="P121" s="95" t="str">
        <f t="shared" si="8"/>
        <v/>
      </c>
      <c r="Q121" s="12"/>
      <c r="S121" s="128"/>
      <c r="T121" s="66"/>
      <c r="U121" s="128"/>
      <c r="W121" s="128"/>
      <c r="X121" s="12"/>
      <c r="Y121" t="str">
        <f t="shared" si="9"/>
        <v/>
      </c>
      <c r="Z121" t="str">
        <f t="shared" si="9"/>
        <v/>
      </c>
      <c r="AA121" s="12"/>
      <c r="AB121" s="95" t="e">
        <f t="shared" si="10"/>
        <v>#VALUE!</v>
      </c>
      <c r="AC121" s="95" t="e">
        <f t="shared" si="11"/>
        <v>#VALUE!</v>
      </c>
      <c r="AD121" s="12"/>
    </row>
    <row r="122" spans="1:30" ht="15.75" thickBot="1" x14ac:dyDescent="0.3">
      <c r="A122" s="12"/>
      <c r="B122" s="22"/>
      <c r="C122" t="str">
        <f>IF(AND('ENTRY DATA'!D122=""),"",('ENTRY DATA'!D122))</f>
        <v/>
      </c>
      <c r="D122" t="str">
        <f>IF(AND('ENTRY DATA'!F122=""),"",('ENTRY DATA'!F122))</f>
        <v/>
      </c>
      <c r="E122" s="34" t="str">
        <f>IF(AND('ENTRY DATA'!B122=""),"",('ENTRY DATA'!B122))</f>
        <v/>
      </c>
      <c r="F122" s="12"/>
      <c r="G122" s="12"/>
      <c r="H122" s="72"/>
      <c r="I122" s="71"/>
      <c r="J122" s="72"/>
      <c r="K122" s="12"/>
      <c r="L122" s="20">
        <f t="shared" si="6"/>
        <v>0</v>
      </c>
      <c r="M122" s="19" t="str">
        <f t="shared" si="7"/>
        <v/>
      </c>
      <c r="N122" s="12"/>
      <c r="O122" s="119"/>
      <c r="P122" s="95" t="str">
        <f t="shared" si="8"/>
        <v/>
      </c>
      <c r="Q122" s="12"/>
      <c r="S122" s="128"/>
      <c r="T122" s="66"/>
      <c r="U122" s="128"/>
      <c r="W122" s="128"/>
      <c r="X122" s="12"/>
      <c r="Y122" t="str">
        <f t="shared" si="9"/>
        <v/>
      </c>
      <c r="Z122" t="str">
        <f t="shared" si="9"/>
        <v/>
      </c>
      <c r="AA122" s="12"/>
      <c r="AB122" s="95" t="e">
        <f t="shared" si="10"/>
        <v>#VALUE!</v>
      </c>
      <c r="AC122" s="95" t="e">
        <f t="shared" si="11"/>
        <v>#VALUE!</v>
      </c>
      <c r="AD122" s="12"/>
    </row>
    <row r="123" spans="1:30" ht="15.75" thickBot="1" x14ac:dyDescent="0.3">
      <c r="A123" s="12"/>
      <c r="B123" s="22"/>
      <c r="C123" t="str">
        <f>IF(AND('ENTRY DATA'!D123=""),"",('ENTRY DATA'!D123))</f>
        <v/>
      </c>
      <c r="D123" t="str">
        <f>IF(AND('ENTRY DATA'!F123=""),"",('ENTRY DATA'!F123))</f>
        <v/>
      </c>
      <c r="E123" s="34" t="str">
        <f>IF(AND('ENTRY DATA'!B123=""),"",('ENTRY DATA'!B123))</f>
        <v/>
      </c>
      <c r="F123" s="12"/>
      <c r="G123" s="12"/>
      <c r="H123" s="72"/>
      <c r="I123" s="71"/>
      <c r="J123" s="72"/>
      <c r="K123" s="12"/>
      <c r="L123" s="20">
        <f t="shared" si="6"/>
        <v>0</v>
      </c>
      <c r="M123" s="19" t="str">
        <f t="shared" si="7"/>
        <v/>
      </c>
      <c r="N123" s="12"/>
      <c r="O123" s="119"/>
      <c r="P123" s="95" t="str">
        <f t="shared" si="8"/>
        <v/>
      </c>
      <c r="Q123" s="12"/>
      <c r="S123" s="128"/>
      <c r="T123" s="66"/>
      <c r="U123" s="128"/>
      <c r="W123" s="128"/>
      <c r="X123" s="12"/>
      <c r="Y123" t="str">
        <f t="shared" si="9"/>
        <v/>
      </c>
      <c r="Z123" t="str">
        <f t="shared" si="9"/>
        <v/>
      </c>
      <c r="AA123" s="12"/>
      <c r="AB123" s="95" t="e">
        <f t="shared" si="10"/>
        <v>#VALUE!</v>
      </c>
      <c r="AC123" s="95" t="e">
        <f t="shared" si="11"/>
        <v>#VALUE!</v>
      </c>
      <c r="AD123" s="12"/>
    </row>
    <row r="124" spans="1:30" ht="15.75" thickBot="1" x14ac:dyDescent="0.3">
      <c r="A124" s="12"/>
      <c r="B124" s="22"/>
      <c r="C124" t="str">
        <f>IF(AND('ENTRY DATA'!D124=""),"",('ENTRY DATA'!D124))</f>
        <v/>
      </c>
      <c r="D124" t="str">
        <f>IF(AND('ENTRY DATA'!F124=""),"",('ENTRY DATA'!F124))</f>
        <v/>
      </c>
      <c r="E124" s="34" t="str">
        <f>IF(AND('ENTRY DATA'!B124=""),"",('ENTRY DATA'!B124))</f>
        <v/>
      </c>
      <c r="F124" s="12"/>
      <c r="G124" s="12"/>
      <c r="H124" s="72"/>
      <c r="I124" s="71"/>
      <c r="J124" s="72"/>
      <c r="K124" s="12"/>
      <c r="L124" s="20">
        <f t="shared" si="6"/>
        <v>0</v>
      </c>
      <c r="M124" s="19" t="str">
        <f t="shared" si="7"/>
        <v/>
      </c>
      <c r="N124" s="12"/>
      <c r="O124" s="119"/>
      <c r="P124" s="95" t="str">
        <f t="shared" si="8"/>
        <v/>
      </c>
      <c r="Q124" s="12"/>
      <c r="S124" s="128"/>
      <c r="T124" s="66"/>
      <c r="U124" s="128"/>
      <c r="W124" s="128"/>
      <c r="X124" s="12"/>
      <c r="Y124" t="str">
        <f t="shared" si="9"/>
        <v/>
      </c>
      <c r="Z124" t="str">
        <f t="shared" si="9"/>
        <v/>
      </c>
      <c r="AA124" s="12"/>
      <c r="AB124" s="95" t="e">
        <f t="shared" si="10"/>
        <v>#VALUE!</v>
      </c>
      <c r="AC124" s="95" t="e">
        <f t="shared" si="11"/>
        <v>#VALUE!</v>
      </c>
      <c r="AD124" s="12"/>
    </row>
    <row r="125" spans="1:30" ht="15.75" thickBot="1" x14ac:dyDescent="0.3">
      <c r="A125" s="12"/>
      <c r="B125" s="22"/>
      <c r="C125" t="str">
        <f>IF(AND('ENTRY DATA'!D125=""),"",('ENTRY DATA'!D125))</f>
        <v/>
      </c>
      <c r="D125" t="str">
        <f>IF(AND('ENTRY DATA'!F125=""),"",('ENTRY DATA'!F125))</f>
        <v/>
      </c>
      <c r="E125" s="34" t="str">
        <f>IF(AND('ENTRY DATA'!B125=""),"",('ENTRY DATA'!B125))</f>
        <v/>
      </c>
      <c r="F125" s="12"/>
      <c r="G125" s="12"/>
      <c r="H125" s="72"/>
      <c r="I125" s="71"/>
      <c r="J125" s="72"/>
      <c r="K125" s="12"/>
      <c r="L125" s="20">
        <f t="shared" si="6"/>
        <v>0</v>
      </c>
      <c r="M125" s="19" t="str">
        <f t="shared" si="7"/>
        <v/>
      </c>
      <c r="N125" s="12"/>
      <c r="O125" s="119"/>
      <c r="P125" s="95" t="str">
        <f t="shared" si="8"/>
        <v/>
      </c>
      <c r="Q125" s="12"/>
      <c r="S125" s="128"/>
      <c r="T125" s="66"/>
      <c r="U125" s="128"/>
      <c r="W125" s="128"/>
      <c r="X125" s="12"/>
      <c r="Y125" t="str">
        <f t="shared" si="9"/>
        <v/>
      </c>
      <c r="Z125" t="str">
        <f t="shared" si="9"/>
        <v/>
      </c>
      <c r="AA125" s="12"/>
      <c r="AB125" s="95" t="e">
        <f t="shared" si="10"/>
        <v>#VALUE!</v>
      </c>
      <c r="AC125" s="95" t="e">
        <f t="shared" si="11"/>
        <v>#VALUE!</v>
      </c>
      <c r="AD125" s="12"/>
    </row>
    <row r="126" spans="1:30" ht="15.75" thickBot="1" x14ac:dyDescent="0.3">
      <c r="A126" s="12"/>
      <c r="B126" s="22"/>
      <c r="C126" t="str">
        <f>IF(AND('ENTRY DATA'!D126=""),"",('ENTRY DATA'!D126))</f>
        <v/>
      </c>
      <c r="D126" t="str">
        <f>IF(AND('ENTRY DATA'!F126=""),"",('ENTRY DATA'!F126))</f>
        <v/>
      </c>
      <c r="E126" s="34" t="str">
        <f>IF(AND('ENTRY DATA'!B126=""),"",('ENTRY DATA'!B126))</f>
        <v/>
      </c>
      <c r="F126" s="12"/>
      <c r="G126" s="12"/>
      <c r="H126" s="72"/>
      <c r="I126" s="71"/>
      <c r="J126" s="72"/>
      <c r="K126" s="12"/>
      <c r="L126" s="20">
        <f t="shared" si="6"/>
        <v>0</v>
      </c>
      <c r="M126" s="19" t="str">
        <f t="shared" si="7"/>
        <v/>
      </c>
      <c r="N126" s="12"/>
      <c r="O126" s="119"/>
      <c r="P126" s="95" t="str">
        <f t="shared" si="8"/>
        <v/>
      </c>
      <c r="Q126" s="12"/>
      <c r="S126" s="128"/>
      <c r="T126" s="66"/>
      <c r="U126" s="128"/>
      <c r="W126" s="128"/>
      <c r="X126" s="12"/>
      <c r="Y126" t="str">
        <f t="shared" si="9"/>
        <v/>
      </c>
      <c r="Z126" t="str">
        <f t="shared" si="9"/>
        <v/>
      </c>
      <c r="AA126" s="12"/>
      <c r="AB126" s="95" t="e">
        <f t="shared" si="10"/>
        <v>#VALUE!</v>
      </c>
      <c r="AC126" s="95" t="e">
        <f t="shared" si="11"/>
        <v>#VALUE!</v>
      </c>
      <c r="AD126" s="12"/>
    </row>
    <row r="127" spans="1:30" ht="15.75" thickBot="1" x14ac:dyDescent="0.3">
      <c r="A127" s="12"/>
      <c r="B127" s="22"/>
      <c r="C127" t="str">
        <f>IF(AND('ENTRY DATA'!D127=""),"",('ENTRY DATA'!D127))</f>
        <v/>
      </c>
      <c r="D127" t="str">
        <f>IF(AND('ENTRY DATA'!F127=""),"",('ENTRY DATA'!F127))</f>
        <v/>
      </c>
      <c r="E127" s="34" t="str">
        <f>IF(AND('ENTRY DATA'!B127=""),"",('ENTRY DATA'!B127))</f>
        <v/>
      </c>
      <c r="F127" s="12"/>
      <c r="G127" s="12"/>
      <c r="H127" s="72"/>
      <c r="I127" s="71"/>
      <c r="J127" s="72"/>
      <c r="K127" s="12"/>
      <c r="L127" s="20">
        <f t="shared" si="6"/>
        <v>0</v>
      </c>
      <c r="M127" s="19" t="str">
        <f t="shared" si="7"/>
        <v/>
      </c>
      <c r="N127" s="12"/>
      <c r="O127" s="119"/>
      <c r="P127" s="95" t="str">
        <f t="shared" si="8"/>
        <v/>
      </c>
      <c r="Q127" s="12"/>
      <c r="S127" s="128"/>
      <c r="T127" s="66"/>
      <c r="U127" s="128"/>
      <c r="W127" s="128"/>
      <c r="X127" s="12"/>
      <c r="Y127" t="str">
        <f t="shared" si="9"/>
        <v/>
      </c>
      <c r="Z127" t="str">
        <f t="shared" si="9"/>
        <v/>
      </c>
      <c r="AA127" s="12"/>
      <c r="AB127" s="95" t="e">
        <f t="shared" si="10"/>
        <v>#VALUE!</v>
      </c>
      <c r="AC127" s="95" t="e">
        <f t="shared" si="11"/>
        <v>#VALUE!</v>
      </c>
      <c r="AD127" s="12"/>
    </row>
    <row r="128" spans="1:30" ht="15.75" thickBot="1" x14ac:dyDescent="0.3">
      <c r="A128" s="12"/>
      <c r="B128" s="22"/>
      <c r="C128" t="str">
        <f>IF(AND('ENTRY DATA'!D128=""),"",('ENTRY DATA'!D128))</f>
        <v/>
      </c>
      <c r="D128" t="str">
        <f>IF(AND('ENTRY DATA'!F128=""),"",('ENTRY DATA'!F128))</f>
        <v/>
      </c>
      <c r="E128" s="34" t="str">
        <f>IF(AND('ENTRY DATA'!B128=""),"",('ENTRY DATA'!B128))</f>
        <v/>
      </c>
      <c r="F128" s="12"/>
      <c r="G128" s="12"/>
      <c r="H128" s="72"/>
      <c r="I128" s="71"/>
      <c r="J128" s="72"/>
      <c r="K128" s="12"/>
      <c r="L128" s="20">
        <f t="shared" si="6"/>
        <v>0</v>
      </c>
      <c r="M128" s="19" t="str">
        <f t="shared" si="7"/>
        <v/>
      </c>
      <c r="N128" s="12"/>
      <c r="O128" s="119"/>
      <c r="P128" s="95" t="str">
        <f t="shared" si="8"/>
        <v/>
      </c>
      <c r="Q128" s="12"/>
      <c r="S128" s="128"/>
      <c r="T128" s="66"/>
      <c r="U128" s="128"/>
      <c r="W128" s="128"/>
      <c r="X128" s="12"/>
      <c r="Y128" t="str">
        <f t="shared" si="9"/>
        <v/>
      </c>
      <c r="Z128" t="str">
        <f t="shared" si="9"/>
        <v/>
      </c>
      <c r="AA128" s="12"/>
      <c r="AB128" s="95" t="e">
        <f t="shared" si="10"/>
        <v>#VALUE!</v>
      </c>
      <c r="AC128" s="95" t="e">
        <f t="shared" si="11"/>
        <v>#VALUE!</v>
      </c>
      <c r="AD128" s="12"/>
    </row>
    <row r="129" spans="1:30" ht="15.75" thickBot="1" x14ac:dyDescent="0.3">
      <c r="A129" s="12"/>
      <c r="B129" s="22"/>
      <c r="C129" t="str">
        <f>IF(AND('ENTRY DATA'!D129=""),"",('ENTRY DATA'!D129))</f>
        <v/>
      </c>
      <c r="D129" t="str">
        <f>IF(AND('ENTRY DATA'!F129=""),"",('ENTRY DATA'!F129))</f>
        <v/>
      </c>
      <c r="E129" s="34" t="str">
        <f>IF(AND('ENTRY DATA'!B129=""),"",('ENTRY DATA'!B129))</f>
        <v/>
      </c>
      <c r="F129" s="12"/>
      <c r="G129" s="12"/>
      <c r="H129" s="72"/>
      <c r="I129" s="71"/>
      <c r="J129" s="72"/>
      <c r="K129" s="12"/>
      <c r="L129" s="20">
        <f t="shared" si="6"/>
        <v>0</v>
      </c>
      <c r="M129" s="19" t="str">
        <f t="shared" si="7"/>
        <v/>
      </c>
      <c r="N129" s="12"/>
      <c r="O129" s="119"/>
      <c r="P129" s="95" t="str">
        <f t="shared" si="8"/>
        <v/>
      </c>
      <c r="Q129" s="12"/>
      <c r="S129" s="128"/>
      <c r="T129" s="66"/>
      <c r="U129" s="128"/>
      <c r="W129" s="128"/>
      <c r="X129" s="12"/>
      <c r="Y129" t="str">
        <f t="shared" si="9"/>
        <v/>
      </c>
      <c r="Z129" t="str">
        <f t="shared" si="9"/>
        <v/>
      </c>
      <c r="AA129" s="12"/>
      <c r="AB129" s="95" t="e">
        <f t="shared" si="10"/>
        <v>#VALUE!</v>
      </c>
      <c r="AC129" s="95" t="e">
        <f t="shared" si="11"/>
        <v>#VALUE!</v>
      </c>
      <c r="AD129" s="12"/>
    </row>
    <row r="130" spans="1:30" ht="15.75" thickBot="1" x14ac:dyDescent="0.3">
      <c r="A130" s="12"/>
      <c r="B130" s="22"/>
      <c r="C130" t="str">
        <f>IF(AND('ENTRY DATA'!D130=""),"",('ENTRY DATA'!D130))</f>
        <v/>
      </c>
      <c r="D130" t="str">
        <f>IF(AND('ENTRY DATA'!F130=""),"",('ENTRY DATA'!F130))</f>
        <v/>
      </c>
      <c r="E130" s="34" t="str">
        <f>IF(AND('ENTRY DATA'!B130=""),"",('ENTRY DATA'!B130))</f>
        <v/>
      </c>
      <c r="F130" s="12"/>
      <c r="G130" s="12"/>
      <c r="H130" s="72"/>
      <c r="I130" s="71"/>
      <c r="J130" s="72"/>
      <c r="K130" s="12"/>
      <c r="L130" s="20">
        <f t="shared" si="6"/>
        <v>0</v>
      </c>
      <c r="M130" s="19" t="str">
        <f t="shared" si="7"/>
        <v/>
      </c>
      <c r="N130" s="12"/>
      <c r="O130" s="119"/>
      <c r="P130" s="95" t="str">
        <f t="shared" si="8"/>
        <v/>
      </c>
      <c r="Q130" s="12"/>
      <c r="S130" s="128"/>
      <c r="T130" s="66"/>
      <c r="U130" s="128"/>
      <c r="W130" s="128"/>
      <c r="X130" s="12"/>
      <c r="Y130" t="str">
        <f t="shared" si="9"/>
        <v/>
      </c>
      <c r="Z130" t="str">
        <f t="shared" si="9"/>
        <v/>
      </c>
      <c r="AA130" s="12"/>
      <c r="AB130" s="95" t="e">
        <f t="shared" si="10"/>
        <v>#VALUE!</v>
      </c>
      <c r="AC130" s="95" t="e">
        <f t="shared" si="11"/>
        <v>#VALUE!</v>
      </c>
      <c r="AD130" s="12"/>
    </row>
    <row r="131" spans="1:30" ht="15.75" thickBot="1" x14ac:dyDescent="0.3">
      <c r="A131" s="12"/>
      <c r="B131" s="22"/>
      <c r="C131" t="str">
        <f>IF(AND('ENTRY DATA'!D131=""),"",('ENTRY DATA'!D131))</f>
        <v/>
      </c>
      <c r="D131" t="str">
        <f>IF(AND('ENTRY DATA'!F131=""),"",('ENTRY DATA'!F131))</f>
        <v/>
      </c>
      <c r="E131" s="34" t="str">
        <f>IF(AND('ENTRY DATA'!B131=""),"",('ENTRY DATA'!B131))</f>
        <v/>
      </c>
      <c r="F131" s="12"/>
      <c r="G131" s="12"/>
      <c r="H131" s="72"/>
      <c r="I131" s="71"/>
      <c r="J131" s="72"/>
      <c r="K131" s="12"/>
      <c r="L131" s="20">
        <f t="shared" si="6"/>
        <v>0</v>
      </c>
      <c r="M131" s="19" t="str">
        <f t="shared" si="7"/>
        <v/>
      </c>
      <c r="N131" s="12"/>
      <c r="O131" s="119"/>
      <c r="P131" s="95" t="str">
        <f t="shared" si="8"/>
        <v/>
      </c>
      <c r="Q131" s="12"/>
      <c r="S131" s="128"/>
      <c r="T131" s="66"/>
      <c r="U131" s="128"/>
      <c r="W131" s="128"/>
      <c r="X131" s="12"/>
      <c r="Y131" t="str">
        <f t="shared" si="9"/>
        <v/>
      </c>
      <c r="Z131" t="str">
        <f t="shared" si="9"/>
        <v/>
      </c>
      <c r="AA131" s="12"/>
      <c r="AB131" s="95" t="e">
        <f t="shared" si="10"/>
        <v>#VALUE!</v>
      </c>
      <c r="AC131" s="95" t="e">
        <f t="shared" si="11"/>
        <v>#VALUE!</v>
      </c>
      <c r="AD131" s="12"/>
    </row>
    <row r="132" spans="1:30" ht="15.75" thickBot="1" x14ac:dyDescent="0.3">
      <c r="A132" s="12"/>
      <c r="B132" s="22"/>
      <c r="C132" t="str">
        <f>IF(AND('ENTRY DATA'!D132=""),"",('ENTRY DATA'!D132))</f>
        <v/>
      </c>
      <c r="D132" t="str">
        <f>IF(AND('ENTRY DATA'!F132=""),"",('ENTRY DATA'!F132))</f>
        <v/>
      </c>
      <c r="E132" s="34" t="str">
        <f>IF(AND('ENTRY DATA'!B132=""),"",('ENTRY DATA'!B132))</f>
        <v/>
      </c>
      <c r="F132" s="12"/>
      <c r="G132" s="12"/>
      <c r="H132" s="72"/>
      <c r="I132" s="71"/>
      <c r="J132" s="72"/>
      <c r="K132" s="12"/>
      <c r="L132" s="20">
        <f t="shared" si="6"/>
        <v>0</v>
      </c>
      <c r="M132" s="19" t="str">
        <f t="shared" si="7"/>
        <v/>
      </c>
      <c r="N132" s="12"/>
      <c r="O132" s="119"/>
      <c r="P132" s="95" t="str">
        <f t="shared" si="8"/>
        <v/>
      </c>
      <c r="Q132" s="12"/>
      <c r="S132" s="128"/>
      <c r="T132" s="66"/>
      <c r="U132" s="128"/>
      <c r="W132" s="128"/>
      <c r="X132" s="12"/>
      <c r="Y132" t="str">
        <f t="shared" si="9"/>
        <v/>
      </c>
      <c r="Z132" t="str">
        <f t="shared" si="9"/>
        <v/>
      </c>
      <c r="AA132" s="12"/>
      <c r="AB132" s="95" t="e">
        <f t="shared" si="10"/>
        <v>#VALUE!</v>
      </c>
      <c r="AC132" s="95" t="e">
        <f t="shared" si="11"/>
        <v>#VALUE!</v>
      </c>
      <c r="AD132" s="12"/>
    </row>
    <row r="133" spans="1:30" ht="15.75" thickBot="1" x14ac:dyDescent="0.3">
      <c r="A133" s="12"/>
      <c r="B133" s="22"/>
      <c r="C133" t="str">
        <f>IF(AND('ENTRY DATA'!D133=""),"",('ENTRY DATA'!D133))</f>
        <v/>
      </c>
      <c r="D133" t="str">
        <f>IF(AND('ENTRY DATA'!F133=""),"",('ENTRY DATA'!F133))</f>
        <v/>
      </c>
      <c r="E133" s="34" t="str">
        <f>IF(AND('ENTRY DATA'!B133=""),"",('ENTRY DATA'!B133))</f>
        <v/>
      </c>
      <c r="F133" s="12"/>
      <c r="G133" s="12"/>
      <c r="H133" s="72"/>
      <c r="I133" s="71"/>
      <c r="J133" s="72"/>
      <c r="K133" s="12"/>
      <c r="L133" s="20">
        <f t="shared" si="6"/>
        <v>0</v>
      </c>
      <c r="M133" s="19" t="str">
        <f t="shared" si="7"/>
        <v/>
      </c>
      <c r="N133" s="12"/>
      <c r="O133" s="119"/>
      <c r="P133" s="95" t="str">
        <f t="shared" si="8"/>
        <v/>
      </c>
      <c r="Q133" s="12"/>
      <c r="S133" s="128"/>
      <c r="T133" s="66"/>
      <c r="U133" s="128"/>
      <c r="W133" s="128"/>
      <c r="X133" s="12"/>
      <c r="Y133" t="str">
        <f t="shared" si="9"/>
        <v/>
      </c>
      <c r="Z133" t="str">
        <f t="shared" si="9"/>
        <v/>
      </c>
      <c r="AA133" s="12"/>
      <c r="AB133" s="95" t="e">
        <f t="shared" si="10"/>
        <v>#VALUE!</v>
      </c>
      <c r="AC133" s="95" t="e">
        <f t="shared" si="11"/>
        <v>#VALUE!</v>
      </c>
      <c r="AD133" s="12"/>
    </row>
    <row r="134" spans="1:30" ht="15.75" thickBot="1" x14ac:dyDescent="0.3">
      <c r="A134" s="12"/>
      <c r="B134" s="22"/>
      <c r="C134" t="str">
        <f>IF(AND('ENTRY DATA'!D134=""),"",('ENTRY DATA'!D134))</f>
        <v/>
      </c>
      <c r="D134" t="str">
        <f>IF(AND('ENTRY DATA'!F134=""),"",('ENTRY DATA'!F134))</f>
        <v/>
      </c>
      <c r="E134" s="34" t="str">
        <f>IF(AND('ENTRY DATA'!B134=""),"",('ENTRY DATA'!B134))</f>
        <v/>
      </c>
      <c r="F134" s="12"/>
      <c r="G134" s="12"/>
      <c r="H134" s="72"/>
      <c r="I134" s="71"/>
      <c r="J134" s="72"/>
      <c r="K134" s="12"/>
      <c r="L134" s="20">
        <f t="shared" ref="L134:L197" si="12">COUNT(H134:J134)</f>
        <v>0</v>
      </c>
      <c r="M134" s="19" t="str">
        <f t="shared" ref="M134:M197" si="13">IF(AND(H134="",I134="",J134=""),"",(H134+I134+J134))</f>
        <v/>
      </c>
      <c r="N134" s="12"/>
      <c r="O134" s="119"/>
      <c r="P134" s="95" t="str">
        <f t="shared" ref="P134:P197" si="14">C134</f>
        <v/>
      </c>
      <c r="Q134" s="12"/>
      <c r="S134" s="128"/>
      <c r="T134" s="66"/>
      <c r="U134" s="128"/>
      <c r="W134" s="128"/>
      <c r="X134" s="12"/>
      <c r="Y134" t="str">
        <f t="shared" ref="Y134:Z197" si="15">IF(AND(R134="",T134="",V134=""),"",SUM(R134,T134,V134))</f>
        <v/>
      </c>
      <c r="Z134" t="str">
        <f t="shared" si="15"/>
        <v/>
      </c>
      <c r="AA134" s="12"/>
      <c r="AB134" s="95" t="e">
        <f t="shared" ref="AB134:AB197" si="16">Y134/L134</f>
        <v>#VALUE!</v>
      </c>
      <c r="AC134" s="95" t="e">
        <f t="shared" ref="AC134:AC197" si="17">Z134/L134</f>
        <v>#VALUE!</v>
      </c>
      <c r="AD134" s="12"/>
    </row>
    <row r="135" spans="1:30" ht="15.75" thickBot="1" x14ac:dyDescent="0.3">
      <c r="A135" s="12"/>
      <c r="B135" s="22"/>
      <c r="C135" t="str">
        <f>IF(AND('ENTRY DATA'!D135=""),"",('ENTRY DATA'!D135))</f>
        <v/>
      </c>
      <c r="D135" t="str">
        <f>IF(AND('ENTRY DATA'!F135=""),"",('ENTRY DATA'!F135))</f>
        <v/>
      </c>
      <c r="E135" s="34" t="str">
        <f>IF(AND('ENTRY DATA'!B135=""),"",('ENTRY DATA'!B135))</f>
        <v/>
      </c>
      <c r="F135" s="12"/>
      <c r="G135" s="12"/>
      <c r="H135" s="72"/>
      <c r="I135" s="71"/>
      <c r="J135" s="72"/>
      <c r="K135" s="12"/>
      <c r="L135" s="20">
        <f t="shared" si="12"/>
        <v>0</v>
      </c>
      <c r="M135" s="19" t="str">
        <f t="shared" si="13"/>
        <v/>
      </c>
      <c r="N135" s="12"/>
      <c r="O135" s="119"/>
      <c r="P135" s="95" t="str">
        <f t="shared" si="14"/>
        <v/>
      </c>
      <c r="Q135" s="12"/>
      <c r="S135" s="128"/>
      <c r="T135" s="66"/>
      <c r="U135" s="128"/>
      <c r="W135" s="128"/>
      <c r="X135" s="12"/>
      <c r="Y135" t="str">
        <f t="shared" si="15"/>
        <v/>
      </c>
      <c r="Z135" t="str">
        <f t="shared" si="15"/>
        <v/>
      </c>
      <c r="AA135" s="12"/>
      <c r="AB135" s="95" t="e">
        <f t="shared" si="16"/>
        <v>#VALUE!</v>
      </c>
      <c r="AC135" s="95" t="e">
        <f t="shared" si="17"/>
        <v>#VALUE!</v>
      </c>
      <c r="AD135" s="12"/>
    </row>
    <row r="136" spans="1:30" ht="15.75" thickBot="1" x14ac:dyDescent="0.3">
      <c r="A136" s="12"/>
      <c r="B136" s="22"/>
      <c r="C136" t="str">
        <f>IF(AND('ENTRY DATA'!D136=""),"",('ENTRY DATA'!D136))</f>
        <v/>
      </c>
      <c r="D136" t="str">
        <f>IF(AND('ENTRY DATA'!F136=""),"",('ENTRY DATA'!F136))</f>
        <v/>
      </c>
      <c r="E136" s="34" t="str">
        <f>IF(AND('ENTRY DATA'!B136=""),"",('ENTRY DATA'!B136))</f>
        <v/>
      </c>
      <c r="F136" s="12"/>
      <c r="G136" s="12"/>
      <c r="H136" s="72"/>
      <c r="I136" s="71"/>
      <c r="J136" s="72"/>
      <c r="K136" s="12"/>
      <c r="L136" s="20">
        <f t="shared" si="12"/>
        <v>0</v>
      </c>
      <c r="M136" s="19" t="str">
        <f t="shared" si="13"/>
        <v/>
      </c>
      <c r="N136" s="12"/>
      <c r="O136" s="119"/>
      <c r="P136" s="95" t="str">
        <f t="shared" si="14"/>
        <v/>
      </c>
      <c r="Q136" s="12"/>
      <c r="S136" s="128"/>
      <c r="T136" s="66"/>
      <c r="U136" s="128"/>
      <c r="W136" s="128"/>
      <c r="X136" s="12"/>
      <c r="Y136" t="str">
        <f t="shared" si="15"/>
        <v/>
      </c>
      <c r="Z136" t="str">
        <f t="shared" si="15"/>
        <v/>
      </c>
      <c r="AA136" s="12"/>
      <c r="AB136" s="95" t="e">
        <f t="shared" si="16"/>
        <v>#VALUE!</v>
      </c>
      <c r="AC136" s="95" t="e">
        <f t="shared" si="17"/>
        <v>#VALUE!</v>
      </c>
      <c r="AD136" s="12"/>
    </row>
    <row r="137" spans="1:30" ht="15.75" thickBot="1" x14ac:dyDescent="0.3">
      <c r="A137" s="12"/>
      <c r="B137" s="22"/>
      <c r="C137" t="str">
        <f>IF(AND('ENTRY DATA'!D137=""),"",('ENTRY DATA'!D137))</f>
        <v/>
      </c>
      <c r="D137" t="str">
        <f>IF(AND('ENTRY DATA'!F137=""),"",('ENTRY DATA'!F137))</f>
        <v/>
      </c>
      <c r="E137" s="34" t="str">
        <f>IF(AND('ENTRY DATA'!B137=""),"",('ENTRY DATA'!B137))</f>
        <v/>
      </c>
      <c r="F137" s="12"/>
      <c r="G137" s="12"/>
      <c r="H137" s="72"/>
      <c r="I137" s="71"/>
      <c r="J137" s="72"/>
      <c r="K137" s="12"/>
      <c r="L137" s="20">
        <f t="shared" si="12"/>
        <v>0</v>
      </c>
      <c r="M137" s="19" t="str">
        <f t="shared" si="13"/>
        <v/>
      </c>
      <c r="N137" s="12"/>
      <c r="O137" s="119"/>
      <c r="P137" s="95" t="str">
        <f t="shared" si="14"/>
        <v/>
      </c>
      <c r="Q137" s="12"/>
      <c r="S137" s="128"/>
      <c r="T137" s="66"/>
      <c r="U137" s="128"/>
      <c r="W137" s="128"/>
      <c r="X137" s="12"/>
      <c r="Y137" t="str">
        <f t="shared" si="15"/>
        <v/>
      </c>
      <c r="Z137" t="str">
        <f t="shared" si="15"/>
        <v/>
      </c>
      <c r="AA137" s="12"/>
      <c r="AB137" s="95" t="e">
        <f t="shared" si="16"/>
        <v>#VALUE!</v>
      </c>
      <c r="AC137" s="95" t="e">
        <f t="shared" si="17"/>
        <v>#VALUE!</v>
      </c>
      <c r="AD137" s="12"/>
    </row>
    <row r="138" spans="1:30" ht="15.75" thickBot="1" x14ac:dyDescent="0.3">
      <c r="A138" s="12"/>
      <c r="B138" s="22"/>
      <c r="C138" t="str">
        <f>IF(AND('ENTRY DATA'!D138=""),"",('ENTRY DATA'!D138))</f>
        <v/>
      </c>
      <c r="D138" t="str">
        <f>IF(AND('ENTRY DATA'!F138=""),"",('ENTRY DATA'!F138))</f>
        <v/>
      </c>
      <c r="E138" s="34" t="str">
        <f>IF(AND('ENTRY DATA'!B138=""),"",('ENTRY DATA'!B138))</f>
        <v/>
      </c>
      <c r="F138" s="12"/>
      <c r="G138" s="12"/>
      <c r="H138" s="72"/>
      <c r="I138" s="71"/>
      <c r="J138" s="72"/>
      <c r="K138" s="12"/>
      <c r="L138" s="20">
        <f t="shared" si="12"/>
        <v>0</v>
      </c>
      <c r="M138" s="19" t="str">
        <f t="shared" si="13"/>
        <v/>
      </c>
      <c r="N138" s="12"/>
      <c r="O138" s="119"/>
      <c r="P138" s="95" t="str">
        <f t="shared" si="14"/>
        <v/>
      </c>
      <c r="Q138" s="12"/>
      <c r="S138" s="128"/>
      <c r="T138" s="66"/>
      <c r="U138" s="128"/>
      <c r="W138" s="128"/>
      <c r="X138" s="12"/>
      <c r="Y138" t="str">
        <f t="shared" si="15"/>
        <v/>
      </c>
      <c r="Z138" t="str">
        <f t="shared" si="15"/>
        <v/>
      </c>
      <c r="AA138" s="12"/>
      <c r="AB138" s="95" t="e">
        <f t="shared" si="16"/>
        <v>#VALUE!</v>
      </c>
      <c r="AC138" s="95" t="e">
        <f t="shared" si="17"/>
        <v>#VALUE!</v>
      </c>
      <c r="AD138" s="12"/>
    </row>
    <row r="139" spans="1:30" ht="15.75" thickBot="1" x14ac:dyDescent="0.3">
      <c r="A139" s="12"/>
      <c r="B139" s="22"/>
      <c r="C139" t="str">
        <f>IF(AND('ENTRY DATA'!D139=""),"",('ENTRY DATA'!D139))</f>
        <v/>
      </c>
      <c r="D139" t="str">
        <f>IF(AND('ENTRY DATA'!F139=""),"",('ENTRY DATA'!F139))</f>
        <v/>
      </c>
      <c r="E139" s="34" t="str">
        <f>IF(AND('ENTRY DATA'!B139=""),"",('ENTRY DATA'!B139))</f>
        <v/>
      </c>
      <c r="F139" s="12"/>
      <c r="G139" s="12"/>
      <c r="H139" s="72"/>
      <c r="I139" s="71"/>
      <c r="J139" s="72"/>
      <c r="K139" s="12"/>
      <c r="L139" s="20">
        <f t="shared" si="12"/>
        <v>0</v>
      </c>
      <c r="M139" s="19" t="str">
        <f t="shared" si="13"/>
        <v/>
      </c>
      <c r="N139" s="12"/>
      <c r="O139" s="119"/>
      <c r="P139" s="95" t="str">
        <f t="shared" si="14"/>
        <v/>
      </c>
      <c r="Q139" s="12"/>
      <c r="S139" s="128"/>
      <c r="T139" s="66"/>
      <c r="U139" s="128"/>
      <c r="W139" s="128"/>
      <c r="X139" s="12"/>
      <c r="Y139" t="str">
        <f t="shared" si="15"/>
        <v/>
      </c>
      <c r="Z139" t="str">
        <f t="shared" si="15"/>
        <v/>
      </c>
      <c r="AA139" s="12"/>
      <c r="AB139" s="95" t="e">
        <f t="shared" si="16"/>
        <v>#VALUE!</v>
      </c>
      <c r="AC139" s="95" t="e">
        <f t="shared" si="17"/>
        <v>#VALUE!</v>
      </c>
      <c r="AD139" s="12"/>
    </row>
    <row r="140" spans="1:30" ht="15.75" thickBot="1" x14ac:dyDescent="0.3">
      <c r="A140" s="12"/>
      <c r="B140" s="22"/>
      <c r="C140" t="str">
        <f>IF(AND('ENTRY DATA'!D140=""),"",('ENTRY DATA'!D140))</f>
        <v/>
      </c>
      <c r="D140" t="str">
        <f>IF(AND('ENTRY DATA'!F140=""),"",('ENTRY DATA'!F140))</f>
        <v/>
      </c>
      <c r="E140" s="34" t="str">
        <f>IF(AND('ENTRY DATA'!B140=""),"",('ENTRY DATA'!B140))</f>
        <v/>
      </c>
      <c r="F140" s="12"/>
      <c r="G140" s="12"/>
      <c r="H140" s="72"/>
      <c r="I140" s="71"/>
      <c r="J140" s="72"/>
      <c r="K140" s="12"/>
      <c r="L140" s="20">
        <f t="shared" si="12"/>
        <v>0</v>
      </c>
      <c r="M140" s="19" t="str">
        <f t="shared" si="13"/>
        <v/>
      </c>
      <c r="N140" s="12"/>
      <c r="O140" s="119"/>
      <c r="P140" s="95" t="str">
        <f t="shared" si="14"/>
        <v/>
      </c>
      <c r="Q140" s="12"/>
      <c r="S140" s="128"/>
      <c r="T140" s="66"/>
      <c r="U140" s="128"/>
      <c r="W140" s="128"/>
      <c r="X140" s="12"/>
      <c r="Y140" t="str">
        <f t="shared" si="15"/>
        <v/>
      </c>
      <c r="Z140" t="str">
        <f t="shared" si="15"/>
        <v/>
      </c>
      <c r="AA140" s="12"/>
      <c r="AB140" s="95" t="e">
        <f t="shared" si="16"/>
        <v>#VALUE!</v>
      </c>
      <c r="AC140" s="95" t="e">
        <f t="shared" si="17"/>
        <v>#VALUE!</v>
      </c>
      <c r="AD140" s="12"/>
    </row>
    <row r="141" spans="1:30" ht="15.75" thickBot="1" x14ac:dyDescent="0.3">
      <c r="A141" s="12"/>
      <c r="B141" s="22"/>
      <c r="C141" t="str">
        <f>IF(AND('ENTRY DATA'!D141=""),"",('ENTRY DATA'!D141))</f>
        <v/>
      </c>
      <c r="D141" t="str">
        <f>IF(AND('ENTRY DATA'!F141=""),"",('ENTRY DATA'!F141))</f>
        <v/>
      </c>
      <c r="E141" s="34" t="str">
        <f>IF(AND('ENTRY DATA'!B141=""),"",('ENTRY DATA'!B141))</f>
        <v/>
      </c>
      <c r="F141" s="12"/>
      <c r="G141" s="12"/>
      <c r="H141" s="72"/>
      <c r="I141" s="71"/>
      <c r="J141" s="72"/>
      <c r="K141" s="12"/>
      <c r="L141" s="20">
        <f t="shared" si="12"/>
        <v>0</v>
      </c>
      <c r="M141" s="19" t="str">
        <f t="shared" si="13"/>
        <v/>
      </c>
      <c r="N141" s="12"/>
      <c r="O141" s="119"/>
      <c r="P141" s="95" t="str">
        <f t="shared" si="14"/>
        <v/>
      </c>
      <c r="Q141" s="12"/>
      <c r="S141" s="128"/>
      <c r="T141" s="66"/>
      <c r="U141" s="128"/>
      <c r="W141" s="128"/>
      <c r="X141" s="12"/>
      <c r="Y141" t="str">
        <f t="shared" si="15"/>
        <v/>
      </c>
      <c r="Z141" t="str">
        <f t="shared" si="15"/>
        <v/>
      </c>
      <c r="AA141" s="12"/>
      <c r="AB141" s="95" t="e">
        <f t="shared" si="16"/>
        <v>#VALUE!</v>
      </c>
      <c r="AC141" s="95" t="e">
        <f t="shared" si="17"/>
        <v>#VALUE!</v>
      </c>
      <c r="AD141" s="12"/>
    </row>
    <row r="142" spans="1:30" ht="15.75" thickBot="1" x14ac:dyDescent="0.3">
      <c r="A142" s="12"/>
      <c r="B142" s="22"/>
      <c r="C142" t="str">
        <f>IF(AND('ENTRY DATA'!D142=""),"",('ENTRY DATA'!D142))</f>
        <v/>
      </c>
      <c r="D142" t="str">
        <f>IF(AND('ENTRY DATA'!F142=""),"",('ENTRY DATA'!F142))</f>
        <v/>
      </c>
      <c r="E142" s="34" t="str">
        <f>IF(AND('ENTRY DATA'!B142=""),"",('ENTRY DATA'!B142))</f>
        <v/>
      </c>
      <c r="F142" s="12"/>
      <c r="G142" s="12"/>
      <c r="H142" s="72"/>
      <c r="I142" s="71"/>
      <c r="J142" s="72"/>
      <c r="K142" s="12"/>
      <c r="L142" s="20">
        <f t="shared" si="12"/>
        <v>0</v>
      </c>
      <c r="M142" s="19" t="str">
        <f t="shared" si="13"/>
        <v/>
      </c>
      <c r="N142" s="12"/>
      <c r="O142" s="119"/>
      <c r="P142" s="95" t="str">
        <f t="shared" si="14"/>
        <v/>
      </c>
      <c r="Q142" s="12"/>
      <c r="S142" s="128"/>
      <c r="T142" s="66"/>
      <c r="U142" s="128"/>
      <c r="W142" s="128"/>
      <c r="X142" s="12"/>
      <c r="Y142" t="str">
        <f t="shared" si="15"/>
        <v/>
      </c>
      <c r="Z142" t="str">
        <f t="shared" si="15"/>
        <v/>
      </c>
      <c r="AA142" s="12"/>
      <c r="AB142" s="95" t="e">
        <f t="shared" si="16"/>
        <v>#VALUE!</v>
      </c>
      <c r="AC142" s="95" t="e">
        <f t="shared" si="17"/>
        <v>#VALUE!</v>
      </c>
      <c r="AD142" s="12"/>
    </row>
    <row r="143" spans="1:30" ht="15.75" thickBot="1" x14ac:dyDescent="0.3">
      <c r="A143" s="12"/>
      <c r="B143" s="22"/>
      <c r="C143" t="str">
        <f>IF(AND('ENTRY DATA'!D143=""),"",('ENTRY DATA'!D143))</f>
        <v/>
      </c>
      <c r="D143" t="str">
        <f>IF(AND('ENTRY DATA'!F143=""),"",('ENTRY DATA'!F143))</f>
        <v/>
      </c>
      <c r="E143" s="34" t="str">
        <f>IF(AND('ENTRY DATA'!B143=""),"",('ENTRY DATA'!B143))</f>
        <v/>
      </c>
      <c r="F143" s="12"/>
      <c r="G143" s="12"/>
      <c r="H143" s="72"/>
      <c r="I143" s="71"/>
      <c r="J143" s="72"/>
      <c r="K143" s="12"/>
      <c r="L143" s="20">
        <f t="shared" si="12"/>
        <v>0</v>
      </c>
      <c r="M143" s="19" t="str">
        <f t="shared" si="13"/>
        <v/>
      </c>
      <c r="N143" s="12"/>
      <c r="O143" s="119"/>
      <c r="P143" s="95" t="str">
        <f t="shared" si="14"/>
        <v/>
      </c>
      <c r="Q143" s="12"/>
      <c r="S143" s="128"/>
      <c r="T143" s="66"/>
      <c r="U143" s="128"/>
      <c r="W143" s="128"/>
      <c r="X143" s="12"/>
      <c r="Y143" t="str">
        <f t="shared" si="15"/>
        <v/>
      </c>
      <c r="Z143" t="str">
        <f t="shared" si="15"/>
        <v/>
      </c>
      <c r="AA143" s="12"/>
      <c r="AB143" s="95" t="e">
        <f t="shared" si="16"/>
        <v>#VALUE!</v>
      </c>
      <c r="AC143" s="95" t="e">
        <f t="shared" si="17"/>
        <v>#VALUE!</v>
      </c>
      <c r="AD143" s="12"/>
    </row>
    <row r="144" spans="1:30" ht="15.75" thickBot="1" x14ac:dyDescent="0.3">
      <c r="A144" s="12"/>
      <c r="B144" s="22"/>
      <c r="C144" t="str">
        <f>IF(AND('ENTRY DATA'!D144=""),"",('ENTRY DATA'!D144))</f>
        <v/>
      </c>
      <c r="D144" t="str">
        <f>IF(AND('ENTRY DATA'!F144=""),"",('ENTRY DATA'!F144))</f>
        <v/>
      </c>
      <c r="E144" s="34" t="str">
        <f>IF(AND('ENTRY DATA'!B144=""),"",('ENTRY DATA'!B144))</f>
        <v/>
      </c>
      <c r="F144" s="12"/>
      <c r="G144" s="12"/>
      <c r="H144" s="72"/>
      <c r="I144" s="71"/>
      <c r="J144" s="72"/>
      <c r="K144" s="12"/>
      <c r="L144" s="20">
        <f t="shared" si="12"/>
        <v>0</v>
      </c>
      <c r="M144" s="19" t="str">
        <f t="shared" si="13"/>
        <v/>
      </c>
      <c r="N144" s="12"/>
      <c r="O144" s="119"/>
      <c r="P144" s="95" t="str">
        <f t="shared" si="14"/>
        <v/>
      </c>
      <c r="Q144" s="12"/>
      <c r="S144" s="128"/>
      <c r="T144" s="66"/>
      <c r="U144" s="128"/>
      <c r="W144" s="128"/>
      <c r="X144" s="12"/>
      <c r="Y144" t="str">
        <f t="shared" si="15"/>
        <v/>
      </c>
      <c r="Z144" t="str">
        <f t="shared" si="15"/>
        <v/>
      </c>
      <c r="AA144" s="12"/>
      <c r="AB144" s="95" t="e">
        <f t="shared" si="16"/>
        <v>#VALUE!</v>
      </c>
      <c r="AC144" s="95" t="e">
        <f t="shared" si="17"/>
        <v>#VALUE!</v>
      </c>
      <c r="AD144" s="12"/>
    </row>
    <row r="145" spans="1:30" ht="15.75" thickBot="1" x14ac:dyDescent="0.3">
      <c r="A145" s="12"/>
      <c r="B145" s="22"/>
      <c r="C145" t="str">
        <f>IF(AND('ENTRY DATA'!D145=""),"",('ENTRY DATA'!D145))</f>
        <v/>
      </c>
      <c r="D145" t="str">
        <f>IF(AND('ENTRY DATA'!F145=""),"",('ENTRY DATA'!F145))</f>
        <v/>
      </c>
      <c r="E145" s="34" t="str">
        <f>IF(AND('ENTRY DATA'!B145=""),"",('ENTRY DATA'!B145))</f>
        <v/>
      </c>
      <c r="F145" s="12"/>
      <c r="G145" s="12"/>
      <c r="H145" s="72"/>
      <c r="I145" s="71"/>
      <c r="J145" s="72"/>
      <c r="K145" s="12"/>
      <c r="L145" s="20">
        <f t="shared" si="12"/>
        <v>0</v>
      </c>
      <c r="M145" s="19" t="str">
        <f t="shared" si="13"/>
        <v/>
      </c>
      <c r="N145" s="12"/>
      <c r="O145" s="119"/>
      <c r="P145" s="95" t="str">
        <f t="shared" si="14"/>
        <v/>
      </c>
      <c r="Q145" s="12"/>
      <c r="S145" s="128"/>
      <c r="T145" s="66"/>
      <c r="U145" s="128"/>
      <c r="W145" s="128"/>
      <c r="X145" s="12"/>
      <c r="Y145" t="str">
        <f t="shared" si="15"/>
        <v/>
      </c>
      <c r="Z145" t="str">
        <f t="shared" si="15"/>
        <v/>
      </c>
      <c r="AA145" s="12"/>
      <c r="AB145" s="95" t="e">
        <f t="shared" si="16"/>
        <v>#VALUE!</v>
      </c>
      <c r="AC145" s="95" t="e">
        <f t="shared" si="17"/>
        <v>#VALUE!</v>
      </c>
      <c r="AD145" s="12"/>
    </row>
    <row r="146" spans="1:30" ht="15.75" thickBot="1" x14ac:dyDescent="0.3">
      <c r="A146" s="12"/>
      <c r="B146" s="22"/>
      <c r="C146" t="str">
        <f>IF(AND('ENTRY DATA'!D146=""),"",('ENTRY DATA'!D146))</f>
        <v/>
      </c>
      <c r="D146" t="str">
        <f>IF(AND('ENTRY DATA'!F146=""),"",('ENTRY DATA'!F146))</f>
        <v/>
      </c>
      <c r="E146" s="34" t="str">
        <f>IF(AND('ENTRY DATA'!B146=""),"",('ENTRY DATA'!B146))</f>
        <v/>
      </c>
      <c r="F146" s="12"/>
      <c r="G146" s="12"/>
      <c r="H146" s="72"/>
      <c r="I146" s="71"/>
      <c r="J146" s="72"/>
      <c r="K146" s="12"/>
      <c r="L146" s="20">
        <f t="shared" si="12"/>
        <v>0</v>
      </c>
      <c r="M146" s="19" t="str">
        <f t="shared" si="13"/>
        <v/>
      </c>
      <c r="N146" s="12"/>
      <c r="O146" s="119"/>
      <c r="P146" s="95" t="str">
        <f t="shared" si="14"/>
        <v/>
      </c>
      <c r="Q146" s="12"/>
      <c r="S146" s="128"/>
      <c r="T146" s="66"/>
      <c r="U146" s="128"/>
      <c r="W146" s="128"/>
      <c r="X146" s="12"/>
      <c r="Y146" t="str">
        <f t="shared" si="15"/>
        <v/>
      </c>
      <c r="Z146" t="str">
        <f t="shared" si="15"/>
        <v/>
      </c>
      <c r="AA146" s="12"/>
      <c r="AB146" s="95" t="e">
        <f t="shared" si="16"/>
        <v>#VALUE!</v>
      </c>
      <c r="AC146" s="95" t="e">
        <f t="shared" si="17"/>
        <v>#VALUE!</v>
      </c>
      <c r="AD146" s="12"/>
    </row>
    <row r="147" spans="1:30" ht="15.75" thickBot="1" x14ac:dyDescent="0.3">
      <c r="A147" s="12"/>
      <c r="B147" s="22"/>
      <c r="C147" t="str">
        <f>IF(AND('ENTRY DATA'!D147=""),"",('ENTRY DATA'!D147))</f>
        <v/>
      </c>
      <c r="D147" t="str">
        <f>IF(AND('ENTRY DATA'!F147=""),"",('ENTRY DATA'!F147))</f>
        <v/>
      </c>
      <c r="E147" s="34" t="str">
        <f>IF(AND('ENTRY DATA'!B147=""),"",('ENTRY DATA'!B147))</f>
        <v/>
      </c>
      <c r="F147" s="12"/>
      <c r="G147" s="12"/>
      <c r="H147" s="72"/>
      <c r="I147" s="71"/>
      <c r="J147" s="72"/>
      <c r="K147" s="12"/>
      <c r="L147" s="20">
        <f t="shared" si="12"/>
        <v>0</v>
      </c>
      <c r="M147" s="19" t="str">
        <f t="shared" si="13"/>
        <v/>
      </c>
      <c r="N147" s="12"/>
      <c r="O147" s="119"/>
      <c r="P147" s="95" t="str">
        <f t="shared" si="14"/>
        <v/>
      </c>
      <c r="Q147" s="12"/>
      <c r="S147" s="128"/>
      <c r="T147" s="66"/>
      <c r="U147" s="128"/>
      <c r="W147" s="128"/>
      <c r="X147" s="12"/>
      <c r="Y147" t="str">
        <f t="shared" si="15"/>
        <v/>
      </c>
      <c r="Z147" t="str">
        <f t="shared" si="15"/>
        <v/>
      </c>
      <c r="AA147" s="12"/>
      <c r="AB147" s="95" t="e">
        <f t="shared" si="16"/>
        <v>#VALUE!</v>
      </c>
      <c r="AC147" s="95" t="e">
        <f t="shared" si="17"/>
        <v>#VALUE!</v>
      </c>
      <c r="AD147" s="12"/>
    </row>
    <row r="148" spans="1:30" ht="15.75" thickBot="1" x14ac:dyDescent="0.3">
      <c r="A148" s="12"/>
      <c r="B148" s="22"/>
      <c r="C148" t="str">
        <f>IF(AND('ENTRY DATA'!D148=""),"",('ENTRY DATA'!D148))</f>
        <v/>
      </c>
      <c r="D148" t="str">
        <f>IF(AND('ENTRY DATA'!F148=""),"",('ENTRY DATA'!F148))</f>
        <v/>
      </c>
      <c r="E148" s="34" t="str">
        <f>IF(AND('ENTRY DATA'!B148=""),"",('ENTRY DATA'!B148))</f>
        <v/>
      </c>
      <c r="F148" s="12"/>
      <c r="G148" s="12"/>
      <c r="H148" s="72"/>
      <c r="I148" s="71"/>
      <c r="J148" s="72"/>
      <c r="K148" s="12"/>
      <c r="L148" s="20">
        <f t="shared" si="12"/>
        <v>0</v>
      </c>
      <c r="M148" s="19" t="str">
        <f t="shared" si="13"/>
        <v/>
      </c>
      <c r="N148" s="12"/>
      <c r="O148" s="119"/>
      <c r="P148" s="95" t="str">
        <f t="shared" si="14"/>
        <v/>
      </c>
      <c r="Q148" s="12"/>
      <c r="S148" s="128"/>
      <c r="T148" s="66"/>
      <c r="U148" s="128"/>
      <c r="W148" s="128"/>
      <c r="X148" s="12"/>
      <c r="Y148" t="str">
        <f t="shared" si="15"/>
        <v/>
      </c>
      <c r="Z148" t="str">
        <f t="shared" si="15"/>
        <v/>
      </c>
      <c r="AA148" s="12"/>
      <c r="AB148" s="95" t="e">
        <f t="shared" si="16"/>
        <v>#VALUE!</v>
      </c>
      <c r="AC148" s="95" t="e">
        <f t="shared" si="17"/>
        <v>#VALUE!</v>
      </c>
      <c r="AD148" s="12"/>
    </row>
    <row r="149" spans="1:30" ht="15.75" thickBot="1" x14ac:dyDescent="0.3">
      <c r="A149" s="12"/>
      <c r="B149" s="22"/>
      <c r="C149" t="str">
        <f>IF(AND('ENTRY DATA'!D149=""),"",('ENTRY DATA'!D149))</f>
        <v/>
      </c>
      <c r="D149" t="str">
        <f>IF(AND('ENTRY DATA'!F149=""),"",('ENTRY DATA'!F149))</f>
        <v/>
      </c>
      <c r="E149" s="34" t="str">
        <f>IF(AND('ENTRY DATA'!B149=""),"",('ENTRY DATA'!B149))</f>
        <v/>
      </c>
      <c r="F149" s="12"/>
      <c r="G149" s="12"/>
      <c r="H149" s="72"/>
      <c r="I149" s="71"/>
      <c r="J149" s="72"/>
      <c r="K149" s="12"/>
      <c r="L149" s="20">
        <f t="shared" si="12"/>
        <v>0</v>
      </c>
      <c r="M149" s="19" t="str">
        <f t="shared" si="13"/>
        <v/>
      </c>
      <c r="N149" s="12"/>
      <c r="O149" s="119"/>
      <c r="P149" s="95" t="str">
        <f t="shared" si="14"/>
        <v/>
      </c>
      <c r="Q149" s="12"/>
      <c r="S149" s="128"/>
      <c r="T149" s="66"/>
      <c r="U149" s="128"/>
      <c r="W149" s="128"/>
      <c r="X149" s="12"/>
      <c r="Y149" t="str">
        <f t="shared" si="15"/>
        <v/>
      </c>
      <c r="Z149" t="str">
        <f t="shared" si="15"/>
        <v/>
      </c>
      <c r="AA149" s="12"/>
      <c r="AB149" s="95" t="e">
        <f t="shared" si="16"/>
        <v>#VALUE!</v>
      </c>
      <c r="AC149" s="95" t="e">
        <f t="shared" si="17"/>
        <v>#VALUE!</v>
      </c>
      <c r="AD149" s="12"/>
    </row>
    <row r="150" spans="1:30" ht="15.75" thickBot="1" x14ac:dyDescent="0.3">
      <c r="A150" s="12"/>
      <c r="B150" s="22"/>
      <c r="C150" t="str">
        <f>IF(AND('ENTRY DATA'!D150=""),"",('ENTRY DATA'!D150))</f>
        <v/>
      </c>
      <c r="D150" t="str">
        <f>IF(AND('ENTRY DATA'!F150=""),"",('ENTRY DATA'!F150))</f>
        <v/>
      </c>
      <c r="E150" s="34" t="str">
        <f>IF(AND('ENTRY DATA'!B150=""),"",('ENTRY DATA'!B150))</f>
        <v/>
      </c>
      <c r="F150" s="12"/>
      <c r="G150" s="12"/>
      <c r="H150" s="72"/>
      <c r="I150" s="71"/>
      <c r="J150" s="72"/>
      <c r="K150" s="12"/>
      <c r="L150" s="20">
        <f t="shared" si="12"/>
        <v>0</v>
      </c>
      <c r="M150" s="19" t="str">
        <f t="shared" si="13"/>
        <v/>
      </c>
      <c r="N150" s="12"/>
      <c r="O150" s="119"/>
      <c r="P150" s="95" t="str">
        <f t="shared" si="14"/>
        <v/>
      </c>
      <c r="Q150" s="12"/>
      <c r="S150" s="128"/>
      <c r="T150" s="66"/>
      <c r="U150" s="128"/>
      <c r="W150" s="128"/>
      <c r="X150" s="12"/>
      <c r="Y150" t="str">
        <f t="shared" si="15"/>
        <v/>
      </c>
      <c r="Z150" t="str">
        <f t="shared" si="15"/>
        <v/>
      </c>
      <c r="AA150" s="12"/>
      <c r="AB150" s="95" t="e">
        <f t="shared" si="16"/>
        <v>#VALUE!</v>
      </c>
      <c r="AC150" s="95" t="e">
        <f t="shared" si="17"/>
        <v>#VALUE!</v>
      </c>
      <c r="AD150" s="12"/>
    </row>
    <row r="151" spans="1:30" ht="15.75" thickBot="1" x14ac:dyDescent="0.3">
      <c r="A151" s="12"/>
      <c r="B151" s="22"/>
      <c r="C151" t="str">
        <f>IF(AND('ENTRY DATA'!D151=""),"",('ENTRY DATA'!D151))</f>
        <v/>
      </c>
      <c r="D151" t="str">
        <f>IF(AND('ENTRY DATA'!F151=""),"",('ENTRY DATA'!F151))</f>
        <v/>
      </c>
      <c r="E151" s="34" t="str">
        <f>IF(AND('ENTRY DATA'!B151=""),"",('ENTRY DATA'!B151))</f>
        <v/>
      </c>
      <c r="F151" s="12"/>
      <c r="G151" s="12"/>
      <c r="H151" s="72"/>
      <c r="I151" s="71"/>
      <c r="J151" s="72"/>
      <c r="K151" s="12"/>
      <c r="L151" s="20">
        <f t="shared" si="12"/>
        <v>0</v>
      </c>
      <c r="M151" s="19" t="str">
        <f t="shared" si="13"/>
        <v/>
      </c>
      <c r="N151" s="12"/>
      <c r="O151" s="119"/>
      <c r="P151" s="95" t="str">
        <f t="shared" si="14"/>
        <v/>
      </c>
      <c r="Q151" s="12"/>
      <c r="S151" s="128"/>
      <c r="T151" s="66"/>
      <c r="U151" s="128"/>
      <c r="W151" s="128"/>
      <c r="X151" s="12"/>
      <c r="Y151" t="str">
        <f t="shared" si="15"/>
        <v/>
      </c>
      <c r="Z151" t="str">
        <f t="shared" si="15"/>
        <v/>
      </c>
      <c r="AA151" s="12"/>
      <c r="AB151" s="95" t="e">
        <f t="shared" si="16"/>
        <v>#VALUE!</v>
      </c>
      <c r="AC151" s="95" t="e">
        <f t="shared" si="17"/>
        <v>#VALUE!</v>
      </c>
      <c r="AD151" s="12"/>
    </row>
    <row r="152" spans="1:30" ht="15.75" thickBot="1" x14ac:dyDescent="0.3">
      <c r="A152" s="12"/>
      <c r="B152" s="22"/>
      <c r="C152" t="str">
        <f>IF(AND('ENTRY DATA'!D152=""),"",('ENTRY DATA'!D152))</f>
        <v/>
      </c>
      <c r="D152" t="str">
        <f>IF(AND('ENTRY DATA'!F152=""),"",('ENTRY DATA'!F152))</f>
        <v/>
      </c>
      <c r="E152" s="34" t="str">
        <f>IF(AND('ENTRY DATA'!B152=""),"",('ENTRY DATA'!B152))</f>
        <v/>
      </c>
      <c r="F152" s="12"/>
      <c r="G152" s="12"/>
      <c r="H152" s="72"/>
      <c r="I152" s="71"/>
      <c r="J152" s="72"/>
      <c r="K152" s="12"/>
      <c r="L152" s="20">
        <f t="shared" si="12"/>
        <v>0</v>
      </c>
      <c r="M152" s="19" t="str">
        <f t="shared" si="13"/>
        <v/>
      </c>
      <c r="N152" s="12"/>
      <c r="O152" s="119"/>
      <c r="P152" s="95" t="str">
        <f t="shared" si="14"/>
        <v/>
      </c>
      <c r="Q152" s="12"/>
      <c r="S152" s="128"/>
      <c r="T152" s="66"/>
      <c r="U152" s="128"/>
      <c r="W152" s="128"/>
      <c r="X152" s="12"/>
      <c r="Y152" t="str">
        <f t="shared" si="15"/>
        <v/>
      </c>
      <c r="Z152" t="str">
        <f t="shared" si="15"/>
        <v/>
      </c>
      <c r="AA152" s="12"/>
      <c r="AB152" s="95" t="e">
        <f t="shared" si="16"/>
        <v>#VALUE!</v>
      </c>
      <c r="AC152" s="95" t="e">
        <f t="shared" si="17"/>
        <v>#VALUE!</v>
      </c>
      <c r="AD152" s="12"/>
    </row>
    <row r="153" spans="1:30" ht="15.75" thickBot="1" x14ac:dyDescent="0.3">
      <c r="A153" s="12"/>
      <c r="B153" s="22"/>
      <c r="C153" t="str">
        <f>IF(AND('ENTRY DATA'!D153=""),"",('ENTRY DATA'!D153))</f>
        <v/>
      </c>
      <c r="D153" t="str">
        <f>IF(AND('ENTRY DATA'!F153=""),"",('ENTRY DATA'!F153))</f>
        <v/>
      </c>
      <c r="E153" s="34" t="str">
        <f>IF(AND('ENTRY DATA'!B153=""),"",('ENTRY DATA'!B153))</f>
        <v/>
      </c>
      <c r="F153" s="12"/>
      <c r="G153" s="12"/>
      <c r="H153" s="72"/>
      <c r="I153" s="71"/>
      <c r="J153" s="72"/>
      <c r="K153" s="12"/>
      <c r="L153" s="20">
        <f t="shared" si="12"/>
        <v>0</v>
      </c>
      <c r="M153" s="19" t="str">
        <f t="shared" si="13"/>
        <v/>
      </c>
      <c r="N153" s="12"/>
      <c r="O153" s="119"/>
      <c r="P153" s="95" t="str">
        <f t="shared" si="14"/>
        <v/>
      </c>
      <c r="Q153" s="12"/>
      <c r="S153" s="128"/>
      <c r="T153" s="66"/>
      <c r="U153" s="128"/>
      <c r="W153" s="128"/>
      <c r="X153" s="12"/>
      <c r="Y153" t="str">
        <f t="shared" si="15"/>
        <v/>
      </c>
      <c r="Z153" t="str">
        <f t="shared" si="15"/>
        <v/>
      </c>
      <c r="AA153" s="12"/>
      <c r="AB153" s="95" t="e">
        <f t="shared" si="16"/>
        <v>#VALUE!</v>
      </c>
      <c r="AC153" s="95" t="e">
        <f t="shared" si="17"/>
        <v>#VALUE!</v>
      </c>
      <c r="AD153" s="12"/>
    </row>
    <row r="154" spans="1:30" ht="15.75" thickBot="1" x14ac:dyDescent="0.3">
      <c r="A154" s="12"/>
      <c r="B154" s="22"/>
      <c r="C154" t="str">
        <f>IF(AND('ENTRY DATA'!D154=""),"",('ENTRY DATA'!D154))</f>
        <v/>
      </c>
      <c r="D154" t="str">
        <f>IF(AND('ENTRY DATA'!F154=""),"",('ENTRY DATA'!F154))</f>
        <v/>
      </c>
      <c r="E154" s="34" t="str">
        <f>IF(AND('ENTRY DATA'!B154=""),"",('ENTRY DATA'!B154))</f>
        <v/>
      </c>
      <c r="F154" s="12"/>
      <c r="G154" s="12"/>
      <c r="H154" s="72"/>
      <c r="I154" s="71"/>
      <c r="J154" s="72"/>
      <c r="K154" s="12"/>
      <c r="L154" s="20">
        <f t="shared" si="12"/>
        <v>0</v>
      </c>
      <c r="M154" s="19" t="str">
        <f t="shared" si="13"/>
        <v/>
      </c>
      <c r="N154" s="12"/>
      <c r="O154" s="119"/>
      <c r="P154" s="95" t="str">
        <f t="shared" si="14"/>
        <v/>
      </c>
      <c r="Q154" s="12"/>
      <c r="S154" s="128"/>
      <c r="T154" s="66"/>
      <c r="U154" s="128"/>
      <c r="W154" s="128"/>
      <c r="X154" s="12"/>
      <c r="Y154" t="str">
        <f t="shared" si="15"/>
        <v/>
      </c>
      <c r="Z154" t="str">
        <f t="shared" si="15"/>
        <v/>
      </c>
      <c r="AA154" s="12"/>
      <c r="AB154" s="95" t="e">
        <f t="shared" si="16"/>
        <v>#VALUE!</v>
      </c>
      <c r="AC154" s="95" t="e">
        <f t="shared" si="17"/>
        <v>#VALUE!</v>
      </c>
      <c r="AD154" s="12"/>
    </row>
    <row r="155" spans="1:30" ht="15.75" thickBot="1" x14ac:dyDescent="0.3">
      <c r="A155" s="12"/>
      <c r="B155" s="22"/>
      <c r="C155" t="str">
        <f>IF(AND('ENTRY DATA'!D155=""),"",('ENTRY DATA'!D155))</f>
        <v/>
      </c>
      <c r="D155" t="str">
        <f>IF(AND('ENTRY DATA'!F155=""),"",('ENTRY DATA'!F155))</f>
        <v/>
      </c>
      <c r="E155" s="34" t="str">
        <f>IF(AND('ENTRY DATA'!B155=""),"",('ENTRY DATA'!B155))</f>
        <v/>
      </c>
      <c r="F155" s="12"/>
      <c r="G155" s="12"/>
      <c r="H155" s="72"/>
      <c r="I155" s="71"/>
      <c r="J155" s="72"/>
      <c r="K155" s="12"/>
      <c r="L155" s="20">
        <f t="shared" si="12"/>
        <v>0</v>
      </c>
      <c r="M155" s="19" t="str">
        <f t="shared" si="13"/>
        <v/>
      </c>
      <c r="N155" s="12"/>
      <c r="O155" s="119"/>
      <c r="P155" s="95" t="str">
        <f t="shared" si="14"/>
        <v/>
      </c>
      <c r="Q155" s="12"/>
      <c r="S155" s="128"/>
      <c r="T155" s="66"/>
      <c r="U155" s="128"/>
      <c r="W155" s="128"/>
      <c r="X155" s="12"/>
      <c r="Y155" t="str">
        <f t="shared" si="15"/>
        <v/>
      </c>
      <c r="Z155" t="str">
        <f t="shared" si="15"/>
        <v/>
      </c>
      <c r="AA155" s="12"/>
      <c r="AB155" s="95" t="e">
        <f t="shared" si="16"/>
        <v>#VALUE!</v>
      </c>
      <c r="AC155" s="95" t="e">
        <f t="shared" si="17"/>
        <v>#VALUE!</v>
      </c>
      <c r="AD155" s="12"/>
    </row>
    <row r="156" spans="1:30" ht="15.75" thickBot="1" x14ac:dyDescent="0.3">
      <c r="A156" s="12"/>
      <c r="B156" s="22"/>
      <c r="C156" t="str">
        <f>IF(AND('ENTRY DATA'!D156=""),"",('ENTRY DATA'!D156))</f>
        <v/>
      </c>
      <c r="D156" t="str">
        <f>IF(AND('ENTRY DATA'!F156=""),"",('ENTRY DATA'!F156))</f>
        <v/>
      </c>
      <c r="E156" s="34" t="str">
        <f>IF(AND('ENTRY DATA'!B156=""),"",('ENTRY DATA'!B156))</f>
        <v/>
      </c>
      <c r="F156" s="12"/>
      <c r="G156" s="12"/>
      <c r="H156" s="72"/>
      <c r="I156" s="71"/>
      <c r="J156" s="72"/>
      <c r="K156" s="12"/>
      <c r="L156" s="20">
        <f t="shared" si="12"/>
        <v>0</v>
      </c>
      <c r="M156" s="19" t="str">
        <f t="shared" si="13"/>
        <v/>
      </c>
      <c r="N156" s="12"/>
      <c r="O156" s="119"/>
      <c r="P156" s="95" t="str">
        <f t="shared" si="14"/>
        <v/>
      </c>
      <c r="Q156" s="12"/>
      <c r="S156" s="128"/>
      <c r="T156" s="66"/>
      <c r="U156" s="128"/>
      <c r="W156" s="128"/>
      <c r="X156" s="12"/>
      <c r="Y156" t="str">
        <f t="shared" si="15"/>
        <v/>
      </c>
      <c r="Z156" t="str">
        <f t="shared" si="15"/>
        <v/>
      </c>
      <c r="AA156" s="12"/>
      <c r="AB156" s="95" t="e">
        <f t="shared" si="16"/>
        <v>#VALUE!</v>
      </c>
      <c r="AC156" s="95" t="e">
        <f t="shared" si="17"/>
        <v>#VALUE!</v>
      </c>
      <c r="AD156" s="12"/>
    </row>
    <row r="157" spans="1:30" ht="15.75" thickBot="1" x14ac:dyDescent="0.3">
      <c r="A157" s="12"/>
      <c r="B157" s="22"/>
      <c r="C157" t="str">
        <f>IF(AND('ENTRY DATA'!D157=""),"",('ENTRY DATA'!D157))</f>
        <v/>
      </c>
      <c r="D157" t="str">
        <f>IF(AND('ENTRY DATA'!F157=""),"",('ENTRY DATA'!F157))</f>
        <v/>
      </c>
      <c r="E157" s="34" t="str">
        <f>IF(AND('ENTRY DATA'!B157=""),"",('ENTRY DATA'!B157))</f>
        <v/>
      </c>
      <c r="F157" s="12"/>
      <c r="G157" s="12"/>
      <c r="H157" s="72"/>
      <c r="I157" s="71"/>
      <c r="J157" s="72"/>
      <c r="K157" s="12"/>
      <c r="L157" s="20">
        <f t="shared" si="12"/>
        <v>0</v>
      </c>
      <c r="M157" s="19" t="str">
        <f t="shared" si="13"/>
        <v/>
      </c>
      <c r="N157" s="12"/>
      <c r="O157" s="119"/>
      <c r="P157" s="95" t="str">
        <f t="shared" si="14"/>
        <v/>
      </c>
      <c r="Q157" s="12"/>
      <c r="S157" s="128"/>
      <c r="T157" s="66"/>
      <c r="U157" s="128"/>
      <c r="W157" s="128"/>
      <c r="X157" s="12"/>
      <c r="Y157" t="str">
        <f t="shared" si="15"/>
        <v/>
      </c>
      <c r="Z157" t="str">
        <f t="shared" si="15"/>
        <v/>
      </c>
      <c r="AA157" s="12"/>
      <c r="AB157" s="95" t="e">
        <f t="shared" si="16"/>
        <v>#VALUE!</v>
      </c>
      <c r="AC157" s="95" t="e">
        <f t="shared" si="17"/>
        <v>#VALUE!</v>
      </c>
      <c r="AD157" s="12"/>
    </row>
    <row r="158" spans="1:30" ht="15.75" thickBot="1" x14ac:dyDescent="0.3">
      <c r="A158" s="12"/>
      <c r="B158" s="22"/>
      <c r="C158" t="str">
        <f>IF(AND('ENTRY DATA'!D158=""),"",('ENTRY DATA'!D158))</f>
        <v/>
      </c>
      <c r="D158" t="str">
        <f>IF(AND('ENTRY DATA'!F158=""),"",('ENTRY DATA'!F158))</f>
        <v/>
      </c>
      <c r="E158" s="34" t="str">
        <f>IF(AND('ENTRY DATA'!B158=""),"",('ENTRY DATA'!B158))</f>
        <v/>
      </c>
      <c r="F158" s="12"/>
      <c r="G158" s="12"/>
      <c r="H158" s="72"/>
      <c r="I158" s="71"/>
      <c r="J158" s="72"/>
      <c r="K158" s="12"/>
      <c r="L158" s="20">
        <f t="shared" si="12"/>
        <v>0</v>
      </c>
      <c r="M158" s="19" t="str">
        <f t="shared" si="13"/>
        <v/>
      </c>
      <c r="N158" s="12"/>
      <c r="O158" s="119"/>
      <c r="P158" s="95" t="str">
        <f t="shared" si="14"/>
        <v/>
      </c>
      <c r="Q158" s="12"/>
      <c r="S158" s="128"/>
      <c r="T158" s="66"/>
      <c r="U158" s="128"/>
      <c r="W158" s="128"/>
      <c r="X158" s="12"/>
      <c r="Y158" t="str">
        <f t="shared" si="15"/>
        <v/>
      </c>
      <c r="Z158" t="str">
        <f t="shared" si="15"/>
        <v/>
      </c>
      <c r="AA158" s="12"/>
      <c r="AB158" s="95" t="e">
        <f t="shared" si="16"/>
        <v>#VALUE!</v>
      </c>
      <c r="AC158" s="95" t="e">
        <f t="shared" si="17"/>
        <v>#VALUE!</v>
      </c>
      <c r="AD158" s="12"/>
    </row>
    <row r="159" spans="1:30" ht="15.75" thickBot="1" x14ac:dyDescent="0.3">
      <c r="A159" s="12"/>
      <c r="B159" s="22"/>
      <c r="C159" t="str">
        <f>IF(AND('ENTRY DATA'!D159=""),"",('ENTRY DATA'!D159))</f>
        <v/>
      </c>
      <c r="D159" t="str">
        <f>IF(AND('ENTRY DATA'!F159=""),"",('ENTRY DATA'!F159))</f>
        <v/>
      </c>
      <c r="E159" s="34" t="str">
        <f>IF(AND('ENTRY DATA'!B159=""),"",('ENTRY DATA'!B159))</f>
        <v/>
      </c>
      <c r="F159" s="12"/>
      <c r="G159" s="12"/>
      <c r="H159" s="72"/>
      <c r="I159" s="71"/>
      <c r="J159" s="72"/>
      <c r="K159" s="12"/>
      <c r="L159" s="20">
        <f t="shared" si="12"/>
        <v>0</v>
      </c>
      <c r="M159" s="19" t="str">
        <f t="shared" si="13"/>
        <v/>
      </c>
      <c r="N159" s="12"/>
      <c r="O159" s="119"/>
      <c r="P159" s="95" t="str">
        <f t="shared" si="14"/>
        <v/>
      </c>
      <c r="Q159" s="12"/>
      <c r="S159" s="128"/>
      <c r="T159" s="66"/>
      <c r="U159" s="128"/>
      <c r="W159" s="128"/>
      <c r="X159" s="12"/>
      <c r="Y159" t="str">
        <f t="shared" si="15"/>
        <v/>
      </c>
      <c r="Z159" t="str">
        <f t="shared" si="15"/>
        <v/>
      </c>
      <c r="AA159" s="12"/>
      <c r="AB159" s="95" t="e">
        <f t="shared" si="16"/>
        <v>#VALUE!</v>
      </c>
      <c r="AC159" s="95" t="e">
        <f t="shared" si="17"/>
        <v>#VALUE!</v>
      </c>
      <c r="AD159" s="12"/>
    </row>
    <row r="160" spans="1:30" ht="15.75" thickBot="1" x14ac:dyDescent="0.3">
      <c r="A160" s="12"/>
      <c r="B160" s="22"/>
      <c r="C160" t="str">
        <f>IF(AND('ENTRY DATA'!D160=""),"",('ENTRY DATA'!D160))</f>
        <v/>
      </c>
      <c r="D160" t="str">
        <f>IF(AND('ENTRY DATA'!F160=""),"",('ENTRY DATA'!F160))</f>
        <v/>
      </c>
      <c r="E160" s="34" t="str">
        <f>IF(AND('ENTRY DATA'!B160=""),"",('ENTRY DATA'!B160))</f>
        <v/>
      </c>
      <c r="F160" s="12"/>
      <c r="G160" s="12"/>
      <c r="H160" s="72"/>
      <c r="I160" s="71"/>
      <c r="J160" s="72"/>
      <c r="K160" s="12"/>
      <c r="L160" s="20">
        <f t="shared" si="12"/>
        <v>0</v>
      </c>
      <c r="M160" s="19" t="str">
        <f t="shared" si="13"/>
        <v/>
      </c>
      <c r="N160" s="12"/>
      <c r="O160" s="119"/>
      <c r="P160" s="95" t="str">
        <f t="shared" si="14"/>
        <v/>
      </c>
      <c r="Q160" s="12"/>
      <c r="S160" s="128"/>
      <c r="T160" s="66"/>
      <c r="U160" s="128"/>
      <c r="W160" s="128"/>
      <c r="X160" s="12"/>
      <c r="Y160" t="str">
        <f t="shared" si="15"/>
        <v/>
      </c>
      <c r="Z160" t="str">
        <f t="shared" si="15"/>
        <v/>
      </c>
      <c r="AA160" s="12"/>
      <c r="AB160" s="95" t="e">
        <f t="shared" si="16"/>
        <v>#VALUE!</v>
      </c>
      <c r="AC160" s="95" t="e">
        <f t="shared" si="17"/>
        <v>#VALUE!</v>
      </c>
      <c r="AD160" s="12"/>
    </row>
    <row r="161" spans="1:30" ht="15.75" thickBot="1" x14ac:dyDescent="0.3">
      <c r="A161" s="12"/>
      <c r="B161" s="22"/>
      <c r="C161" t="str">
        <f>IF(AND('ENTRY DATA'!D161=""),"",('ENTRY DATA'!D161))</f>
        <v/>
      </c>
      <c r="D161" t="str">
        <f>IF(AND('ENTRY DATA'!F161=""),"",('ENTRY DATA'!F161))</f>
        <v/>
      </c>
      <c r="E161" s="34" t="str">
        <f>IF(AND('ENTRY DATA'!B161=""),"",('ENTRY DATA'!B161))</f>
        <v/>
      </c>
      <c r="F161" s="12"/>
      <c r="G161" s="12"/>
      <c r="H161" s="72"/>
      <c r="I161" s="71"/>
      <c r="J161" s="72"/>
      <c r="K161" s="12"/>
      <c r="L161" s="20">
        <f t="shared" si="12"/>
        <v>0</v>
      </c>
      <c r="M161" s="19" t="str">
        <f t="shared" si="13"/>
        <v/>
      </c>
      <c r="N161" s="12"/>
      <c r="O161" s="119"/>
      <c r="P161" s="95" t="str">
        <f t="shared" si="14"/>
        <v/>
      </c>
      <c r="Q161" s="12"/>
      <c r="S161" s="128"/>
      <c r="T161" s="66"/>
      <c r="U161" s="128"/>
      <c r="W161" s="128"/>
      <c r="X161" s="12"/>
      <c r="Y161" t="str">
        <f t="shared" si="15"/>
        <v/>
      </c>
      <c r="Z161" t="str">
        <f t="shared" si="15"/>
        <v/>
      </c>
      <c r="AA161" s="12"/>
      <c r="AB161" s="95" t="e">
        <f t="shared" si="16"/>
        <v>#VALUE!</v>
      </c>
      <c r="AC161" s="95" t="e">
        <f t="shared" si="17"/>
        <v>#VALUE!</v>
      </c>
      <c r="AD161" s="12"/>
    </row>
    <row r="162" spans="1:30" ht="15.75" thickBot="1" x14ac:dyDescent="0.3">
      <c r="A162" s="12"/>
      <c r="B162" s="22"/>
      <c r="C162" t="str">
        <f>IF(AND('ENTRY DATA'!D162=""),"",('ENTRY DATA'!D162))</f>
        <v/>
      </c>
      <c r="D162" t="str">
        <f>IF(AND('ENTRY DATA'!F162=""),"",('ENTRY DATA'!F162))</f>
        <v/>
      </c>
      <c r="E162" s="34" t="str">
        <f>IF(AND('ENTRY DATA'!B162=""),"",('ENTRY DATA'!B162))</f>
        <v/>
      </c>
      <c r="F162" s="12"/>
      <c r="G162" s="12"/>
      <c r="H162" s="72"/>
      <c r="I162" s="71"/>
      <c r="J162" s="72"/>
      <c r="K162" s="12"/>
      <c r="L162" s="20">
        <f t="shared" si="12"/>
        <v>0</v>
      </c>
      <c r="M162" s="19" t="str">
        <f t="shared" si="13"/>
        <v/>
      </c>
      <c r="N162" s="12"/>
      <c r="O162" s="119"/>
      <c r="P162" s="95" t="str">
        <f t="shared" si="14"/>
        <v/>
      </c>
      <c r="Q162" s="12"/>
      <c r="S162" s="128"/>
      <c r="T162" s="66"/>
      <c r="U162" s="128"/>
      <c r="W162" s="128"/>
      <c r="X162" s="12"/>
      <c r="Y162" t="str">
        <f t="shared" si="15"/>
        <v/>
      </c>
      <c r="Z162" t="str">
        <f t="shared" si="15"/>
        <v/>
      </c>
      <c r="AA162" s="12"/>
      <c r="AB162" s="95" t="e">
        <f t="shared" si="16"/>
        <v>#VALUE!</v>
      </c>
      <c r="AC162" s="95" t="e">
        <f t="shared" si="17"/>
        <v>#VALUE!</v>
      </c>
      <c r="AD162" s="12"/>
    </row>
    <row r="163" spans="1:30" ht="15.75" thickBot="1" x14ac:dyDescent="0.3">
      <c r="A163" s="12"/>
      <c r="B163" s="22"/>
      <c r="C163" t="str">
        <f>IF(AND('ENTRY DATA'!D163=""),"",('ENTRY DATA'!D163))</f>
        <v/>
      </c>
      <c r="D163" t="str">
        <f>IF(AND('ENTRY DATA'!F163=""),"",('ENTRY DATA'!F163))</f>
        <v/>
      </c>
      <c r="E163" s="34" t="str">
        <f>IF(AND('ENTRY DATA'!B163=""),"",('ENTRY DATA'!B163))</f>
        <v/>
      </c>
      <c r="F163" s="12"/>
      <c r="G163" s="12"/>
      <c r="H163" s="72"/>
      <c r="I163" s="71"/>
      <c r="J163" s="72"/>
      <c r="K163" s="12"/>
      <c r="L163" s="20">
        <f t="shared" si="12"/>
        <v>0</v>
      </c>
      <c r="M163" s="19" t="str">
        <f t="shared" si="13"/>
        <v/>
      </c>
      <c r="N163" s="12"/>
      <c r="O163" s="119"/>
      <c r="P163" s="95" t="str">
        <f t="shared" si="14"/>
        <v/>
      </c>
      <c r="Q163" s="12"/>
      <c r="S163" s="128"/>
      <c r="T163" s="66"/>
      <c r="U163" s="128"/>
      <c r="W163" s="128"/>
      <c r="X163" s="12"/>
      <c r="Y163" t="str">
        <f t="shared" si="15"/>
        <v/>
      </c>
      <c r="Z163" t="str">
        <f t="shared" si="15"/>
        <v/>
      </c>
      <c r="AA163" s="12"/>
      <c r="AB163" s="95" t="e">
        <f t="shared" si="16"/>
        <v>#VALUE!</v>
      </c>
      <c r="AC163" s="95" t="e">
        <f t="shared" si="17"/>
        <v>#VALUE!</v>
      </c>
      <c r="AD163" s="12"/>
    </row>
    <row r="164" spans="1:30" ht="15.75" thickBot="1" x14ac:dyDescent="0.3">
      <c r="A164" s="12"/>
      <c r="B164" s="22"/>
      <c r="C164" t="str">
        <f>IF(AND('ENTRY DATA'!D164=""),"",('ENTRY DATA'!D164))</f>
        <v/>
      </c>
      <c r="D164" t="str">
        <f>IF(AND('ENTRY DATA'!F164=""),"",('ENTRY DATA'!F164))</f>
        <v/>
      </c>
      <c r="E164" s="34" t="str">
        <f>IF(AND('ENTRY DATA'!B164=""),"",('ENTRY DATA'!B164))</f>
        <v/>
      </c>
      <c r="F164" s="12"/>
      <c r="G164" s="12"/>
      <c r="H164" s="72"/>
      <c r="I164" s="71"/>
      <c r="J164" s="72"/>
      <c r="K164" s="12"/>
      <c r="L164" s="20">
        <f t="shared" si="12"/>
        <v>0</v>
      </c>
      <c r="M164" s="19" t="str">
        <f t="shared" si="13"/>
        <v/>
      </c>
      <c r="N164" s="12"/>
      <c r="O164" s="119"/>
      <c r="P164" s="95" t="str">
        <f t="shared" si="14"/>
        <v/>
      </c>
      <c r="Q164" s="12"/>
      <c r="S164" s="128"/>
      <c r="T164" s="66"/>
      <c r="U164" s="128"/>
      <c r="W164" s="128"/>
      <c r="X164" s="12"/>
      <c r="Y164" t="str">
        <f t="shared" si="15"/>
        <v/>
      </c>
      <c r="Z164" t="str">
        <f t="shared" si="15"/>
        <v/>
      </c>
      <c r="AA164" s="12"/>
      <c r="AB164" s="95" t="e">
        <f t="shared" si="16"/>
        <v>#VALUE!</v>
      </c>
      <c r="AC164" s="95" t="e">
        <f t="shared" si="17"/>
        <v>#VALUE!</v>
      </c>
      <c r="AD164" s="12"/>
    </row>
    <row r="165" spans="1:30" ht="15.75" thickBot="1" x14ac:dyDescent="0.3">
      <c r="A165" s="12"/>
      <c r="B165" s="22"/>
      <c r="C165" t="str">
        <f>IF(AND('ENTRY DATA'!D165=""),"",('ENTRY DATA'!D165))</f>
        <v/>
      </c>
      <c r="D165" t="str">
        <f>IF(AND('ENTRY DATA'!F165=""),"",('ENTRY DATA'!F165))</f>
        <v/>
      </c>
      <c r="E165" s="34" t="str">
        <f>IF(AND('ENTRY DATA'!B165=""),"",('ENTRY DATA'!B165))</f>
        <v/>
      </c>
      <c r="F165" s="12"/>
      <c r="G165" s="12"/>
      <c r="H165" s="72"/>
      <c r="I165" s="71"/>
      <c r="J165" s="72"/>
      <c r="K165" s="12"/>
      <c r="L165" s="20">
        <f t="shared" si="12"/>
        <v>0</v>
      </c>
      <c r="M165" s="19" t="str">
        <f t="shared" si="13"/>
        <v/>
      </c>
      <c r="N165" s="12"/>
      <c r="O165" s="119"/>
      <c r="P165" s="95" t="str">
        <f t="shared" si="14"/>
        <v/>
      </c>
      <c r="Q165" s="12"/>
      <c r="S165" s="128"/>
      <c r="T165" s="66"/>
      <c r="U165" s="128"/>
      <c r="W165" s="128"/>
      <c r="X165" s="12"/>
      <c r="Y165" t="str">
        <f t="shared" si="15"/>
        <v/>
      </c>
      <c r="Z165" t="str">
        <f t="shared" si="15"/>
        <v/>
      </c>
      <c r="AA165" s="12"/>
      <c r="AB165" s="95" t="e">
        <f t="shared" si="16"/>
        <v>#VALUE!</v>
      </c>
      <c r="AC165" s="95" t="e">
        <f t="shared" si="17"/>
        <v>#VALUE!</v>
      </c>
      <c r="AD165" s="12"/>
    </row>
    <row r="166" spans="1:30" ht="15.75" thickBot="1" x14ac:dyDescent="0.3">
      <c r="A166" s="12"/>
      <c r="B166" s="22"/>
      <c r="C166" t="str">
        <f>IF(AND('ENTRY DATA'!D166=""),"",('ENTRY DATA'!D166))</f>
        <v/>
      </c>
      <c r="D166" t="str">
        <f>IF(AND('ENTRY DATA'!F166=""),"",('ENTRY DATA'!F166))</f>
        <v/>
      </c>
      <c r="E166" s="34" t="str">
        <f>IF(AND('ENTRY DATA'!B166=""),"",('ENTRY DATA'!B166))</f>
        <v/>
      </c>
      <c r="F166" s="12"/>
      <c r="G166" s="12"/>
      <c r="H166" s="72"/>
      <c r="I166" s="71"/>
      <c r="J166" s="72"/>
      <c r="K166" s="12"/>
      <c r="L166" s="20">
        <f t="shared" si="12"/>
        <v>0</v>
      </c>
      <c r="M166" s="19" t="str">
        <f t="shared" si="13"/>
        <v/>
      </c>
      <c r="N166" s="12"/>
      <c r="O166" s="119"/>
      <c r="P166" s="95" t="str">
        <f t="shared" si="14"/>
        <v/>
      </c>
      <c r="Q166" s="12"/>
      <c r="S166" s="128"/>
      <c r="T166" s="66"/>
      <c r="U166" s="128"/>
      <c r="W166" s="128"/>
      <c r="X166" s="12"/>
      <c r="Y166" t="str">
        <f t="shared" si="15"/>
        <v/>
      </c>
      <c r="Z166" t="str">
        <f t="shared" si="15"/>
        <v/>
      </c>
      <c r="AA166" s="12"/>
      <c r="AB166" s="95" t="e">
        <f t="shared" si="16"/>
        <v>#VALUE!</v>
      </c>
      <c r="AC166" s="95" t="e">
        <f t="shared" si="17"/>
        <v>#VALUE!</v>
      </c>
      <c r="AD166" s="12"/>
    </row>
    <row r="167" spans="1:30" ht="15.75" thickBot="1" x14ac:dyDescent="0.3">
      <c r="A167" s="12"/>
      <c r="B167" s="22"/>
      <c r="C167" t="str">
        <f>IF(AND('ENTRY DATA'!D167=""),"",('ENTRY DATA'!D167))</f>
        <v/>
      </c>
      <c r="D167" t="str">
        <f>IF(AND('ENTRY DATA'!F167=""),"",('ENTRY DATA'!F167))</f>
        <v/>
      </c>
      <c r="E167" s="34" t="str">
        <f>IF(AND('ENTRY DATA'!B167=""),"",('ENTRY DATA'!B167))</f>
        <v/>
      </c>
      <c r="F167" s="12"/>
      <c r="G167" s="12"/>
      <c r="H167" s="72"/>
      <c r="I167" s="71"/>
      <c r="J167" s="72"/>
      <c r="K167" s="12"/>
      <c r="L167" s="20">
        <f t="shared" si="12"/>
        <v>0</v>
      </c>
      <c r="M167" s="19" t="str">
        <f t="shared" si="13"/>
        <v/>
      </c>
      <c r="N167" s="12"/>
      <c r="O167" s="119"/>
      <c r="P167" s="95" t="str">
        <f t="shared" si="14"/>
        <v/>
      </c>
      <c r="Q167" s="12"/>
      <c r="S167" s="128"/>
      <c r="T167" s="66"/>
      <c r="U167" s="128"/>
      <c r="W167" s="128"/>
      <c r="X167" s="12"/>
      <c r="Y167" t="str">
        <f t="shared" si="15"/>
        <v/>
      </c>
      <c r="Z167" t="str">
        <f t="shared" si="15"/>
        <v/>
      </c>
      <c r="AA167" s="12"/>
      <c r="AB167" s="95" t="e">
        <f t="shared" si="16"/>
        <v>#VALUE!</v>
      </c>
      <c r="AC167" s="95" t="e">
        <f t="shared" si="17"/>
        <v>#VALUE!</v>
      </c>
      <c r="AD167" s="12"/>
    </row>
    <row r="168" spans="1:30" ht="15.75" thickBot="1" x14ac:dyDescent="0.3">
      <c r="A168" s="12"/>
      <c r="B168" s="22"/>
      <c r="C168" t="str">
        <f>IF(AND('ENTRY DATA'!D168=""),"",('ENTRY DATA'!D168))</f>
        <v/>
      </c>
      <c r="D168" t="str">
        <f>IF(AND('ENTRY DATA'!F168=""),"",('ENTRY DATA'!F168))</f>
        <v/>
      </c>
      <c r="E168" s="34" t="str">
        <f>IF(AND('ENTRY DATA'!B168=""),"",('ENTRY DATA'!B168))</f>
        <v/>
      </c>
      <c r="F168" s="12"/>
      <c r="G168" s="12"/>
      <c r="H168" s="72"/>
      <c r="I168" s="71"/>
      <c r="J168" s="72"/>
      <c r="K168" s="12"/>
      <c r="L168" s="20">
        <f t="shared" si="12"/>
        <v>0</v>
      </c>
      <c r="M168" s="19" t="str">
        <f t="shared" si="13"/>
        <v/>
      </c>
      <c r="N168" s="12"/>
      <c r="O168" s="119"/>
      <c r="P168" s="95" t="str">
        <f t="shared" si="14"/>
        <v/>
      </c>
      <c r="Q168" s="12"/>
      <c r="S168" s="128"/>
      <c r="T168" s="66"/>
      <c r="U168" s="128"/>
      <c r="W168" s="128"/>
      <c r="X168" s="12"/>
      <c r="Y168" t="str">
        <f t="shared" si="15"/>
        <v/>
      </c>
      <c r="Z168" t="str">
        <f t="shared" si="15"/>
        <v/>
      </c>
      <c r="AA168" s="12"/>
      <c r="AB168" s="95" t="e">
        <f t="shared" si="16"/>
        <v>#VALUE!</v>
      </c>
      <c r="AC168" s="95" t="e">
        <f t="shared" si="17"/>
        <v>#VALUE!</v>
      </c>
      <c r="AD168" s="12"/>
    </row>
    <row r="169" spans="1:30" ht="15.75" thickBot="1" x14ac:dyDescent="0.3">
      <c r="A169" s="12"/>
      <c r="B169" s="22"/>
      <c r="C169" t="str">
        <f>IF(AND('ENTRY DATA'!D169=""),"",('ENTRY DATA'!D169))</f>
        <v/>
      </c>
      <c r="D169" t="str">
        <f>IF(AND('ENTRY DATA'!F169=""),"",('ENTRY DATA'!F169))</f>
        <v/>
      </c>
      <c r="E169" s="34" t="str">
        <f>IF(AND('ENTRY DATA'!B169=""),"",('ENTRY DATA'!B169))</f>
        <v/>
      </c>
      <c r="F169" s="12"/>
      <c r="G169" s="12"/>
      <c r="H169" s="72"/>
      <c r="I169" s="71"/>
      <c r="J169" s="72"/>
      <c r="K169" s="12"/>
      <c r="L169" s="20">
        <f t="shared" si="12"/>
        <v>0</v>
      </c>
      <c r="M169" s="19" t="str">
        <f t="shared" si="13"/>
        <v/>
      </c>
      <c r="N169" s="12"/>
      <c r="O169" s="119"/>
      <c r="P169" s="95" t="str">
        <f t="shared" si="14"/>
        <v/>
      </c>
      <c r="Q169" s="12"/>
      <c r="S169" s="128"/>
      <c r="T169" s="66"/>
      <c r="U169" s="128"/>
      <c r="W169" s="128"/>
      <c r="X169" s="12"/>
      <c r="Y169" t="str">
        <f t="shared" si="15"/>
        <v/>
      </c>
      <c r="Z169" t="str">
        <f t="shared" si="15"/>
        <v/>
      </c>
      <c r="AA169" s="12"/>
      <c r="AB169" s="95" t="e">
        <f t="shared" si="16"/>
        <v>#VALUE!</v>
      </c>
      <c r="AC169" s="95" t="e">
        <f t="shared" si="17"/>
        <v>#VALUE!</v>
      </c>
      <c r="AD169" s="12"/>
    </row>
    <row r="170" spans="1:30" ht="15.75" thickBot="1" x14ac:dyDescent="0.3">
      <c r="A170" s="12"/>
      <c r="B170" s="22"/>
      <c r="C170" t="str">
        <f>IF(AND('ENTRY DATA'!D170=""),"",('ENTRY DATA'!D170))</f>
        <v/>
      </c>
      <c r="D170" t="str">
        <f>IF(AND('ENTRY DATA'!F170=""),"",('ENTRY DATA'!F170))</f>
        <v/>
      </c>
      <c r="E170" s="34" t="str">
        <f>IF(AND('ENTRY DATA'!B170=""),"",('ENTRY DATA'!B170))</f>
        <v/>
      </c>
      <c r="F170" s="12"/>
      <c r="G170" s="12"/>
      <c r="H170" s="72"/>
      <c r="I170" s="71"/>
      <c r="J170" s="72"/>
      <c r="K170" s="12"/>
      <c r="L170" s="20">
        <f t="shared" si="12"/>
        <v>0</v>
      </c>
      <c r="M170" s="19" t="str">
        <f t="shared" si="13"/>
        <v/>
      </c>
      <c r="N170" s="12"/>
      <c r="O170" s="119"/>
      <c r="P170" s="95" t="str">
        <f t="shared" si="14"/>
        <v/>
      </c>
      <c r="Q170" s="12"/>
      <c r="S170" s="128"/>
      <c r="T170" s="66"/>
      <c r="U170" s="128"/>
      <c r="W170" s="128"/>
      <c r="X170" s="12"/>
      <c r="Y170" t="str">
        <f t="shared" si="15"/>
        <v/>
      </c>
      <c r="Z170" t="str">
        <f t="shared" si="15"/>
        <v/>
      </c>
      <c r="AA170" s="12"/>
      <c r="AB170" s="95" t="e">
        <f t="shared" si="16"/>
        <v>#VALUE!</v>
      </c>
      <c r="AC170" s="95" t="e">
        <f t="shared" si="17"/>
        <v>#VALUE!</v>
      </c>
      <c r="AD170" s="12"/>
    </row>
    <row r="171" spans="1:30" ht="15.75" thickBot="1" x14ac:dyDescent="0.3">
      <c r="A171" s="12"/>
      <c r="B171" s="22"/>
      <c r="C171" t="str">
        <f>IF(AND('ENTRY DATA'!D171=""),"",('ENTRY DATA'!D171))</f>
        <v/>
      </c>
      <c r="D171" t="str">
        <f>IF(AND('ENTRY DATA'!F171=""),"",('ENTRY DATA'!F171))</f>
        <v/>
      </c>
      <c r="E171" s="34" t="str">
        <f>IF(AND('ENTRY DATA'!B171=""),"",('ENTRY DATA'!B171))</f>
        <v/>
      </c>
      <c r="F171" s="12"/>
      <c r="G171" s="12"/>
      <c r="H171" s="72"/>
      <c r="I171" s="71"/>
      <c r="J171" s="72"/>
      <c r="K171" s="12"/>
      <c r="L171" s="20">
        <f t="shared" si="12"/>
        <v>0</v>
      </c>
      <c r="M171" s="19" t="str">
        <f t="shared" si="13"/>
        <v/>
      </c>
      <c r="N171" s="12"/>
      <c r="O171" s="119"/>
      <c r="P171" s="95" t="str">
        <f t="shared" si="14"/>
        <v/>
      </c>
      <c r="Q171" s="12"/>
      <c r="S171" s="128"/>
      <c r="T171" s="66"/>
      <c r="U171" s="128"/>
      <c r="W171" s="128"/>
      <c r="X171" s="12"/>
      <c r="Y171" t="str">
        <f t="shared" si="15"/>
        <v/>
      </c>
      <c r="Z171" t="str">
        <f t="shared" si="15"/>
        <v/>
      </c>
      <c r="AA171" s="12"/>
      <c r="AB171" s="95" t="e">
        <f t="shared" si="16"/>
        <v>#VALUE!</v>
      </c>
      <c r="AC171" s="95" t="e">
        <f t="shared" si="17"/>
        <v>#VALUE!</v>
      </c>
      <c r="AD171" s="12"/>
    </row>
    <row r="172" spans="1:30" ht="15.75" thickBot="1" x14ac:dyDescent="0.3">
      <c r="A172" s="12"/>
      <c r="B172" s="22"/>
      <c r="C172" t="str">
        <f>IF(AND('ENTRY DATA'!D172=""),"",('ENTRY DATA'!D172))</f>
        <v/>
      </c>
      <c r="D172" t="str">
        <f>IF(AND('ENTRY DATA'!F172=""),"",('ENTRY DATA'!F172))</f>
        <v/>
      </c>
      <c r="E172" s="34" t="str">
        <f>IF(AND('ENTRY DATA'!B172=""),"",('ENTRY DATA'!B172))</f>
        <v/>
      </c>
      <c r="F172" s="12"/>
      <c r="G172" s="12"/>
      <c r="H172" s="72"/>
      <c r="I172" s="71"/>
      <c r="J172" s="72"/>
      <c r="K172" s="12"/>
      <c r="L172" s="20">
        <f t="shared" si="12"/>
        <v>0</v>
      </c>
      <c r="M172" s="19" t="str">
        <f t="shared" si="13"/>
        <v/>
      </c>
      <c r="N172" s="12"/>
      <c r="O172" s="119"/>
      <c r="P172" s="95" t="str">
        <f t="shared" si="14"/>
        <v/>
      </c>
      <c r="Q172" s="12"/>
      <c r="S172" s="128"/>
      <c r="T172" s="66"/>
      <c r="U172" s="128"/>
      <c r="W172" s="128"/>
      <c r="X172" s="12"/>
      <c r="Y172" t="str">
        <f t="shared" si="15"/>
        <v/>
      </c>
      <c r="Z172" t="str">
        <f t="shared" si="15"/>
        <v/>
      </c>
      <c r="AA172" s="12"/>
      <c r="AB172" s="95" t="e">
        <f t="shared" si="16"/>
        <v>#VALUE!</v>
      </c>
      <c r="AC172" s="95" t="e">
        <f t="shared" si="17"/>
        <v>#VALUE!</v>
      </c>
      <c r="AD172" s="12"/>
    </row>
    <row r="173" spans="1:30" ht="15.75" thickBot="1" x14ac:dyDescent="0.3">
      <c r="A173" s="12"/>
      <c r="B173" s="22"/>
      <c r="C173" t="str">
        <f>IF(AND('ENTRY DATA'!D173=""),"",('ENTRY DATA'!D173))</f>
        <v/>
      </c>
      <c r="D173" t="str">
        <f>IF(AND('ENTRY DATA'!F173=""),"",('ENTRY DATA'!F173))</f>
        <v/>
      </c>
      <c r="E173" s="34" t="str">
        <f>IF(AND('ENTRY DATA'!B173=""),"",('ENTRY DATA'!B173))</f>
        <v/>
      </c>
      <c r="F173" s="12"/>
      <c r="G173" s="12"/>
      <c r="H173" s="72"/>
      <c r="I173" s="71"/>
      <c r="J173" s="72"/>
      <c r="K173" s="12"/>
      <c r="L173" s="20">
        <f t="shared" si="12"/>
        <v>0</v>
      </c>
      <c r="M173" s="19" t="str">
        <f t="shared" si="13"/>
        <v/>
      </c>
      <c r="N173" s="12"/>
      <c r="O173" s="119"/>
      <c r="P173" s="95" t="str">
        <f t="shared" si="14"/>
        <v/>
      </c>
      <c r="Q173" s="12"/>
      <c r="S173" s="128"/>
      <c r="T173" s="66"/>
      <c r="U173" s="128"/>
      <c r="W173" s="128"/>
      <c r="X173" s="12"/>
      <c r="Y173" t="str">
        <f t="shared" si="15"/>
        <v/>
      </c>
      <c r="Z173" t="str">
        <f t="shared" si="15"/>
        <v/>
      </c>
      <c r="AA173" s="12"/>
      <c r="AB173" s="95" t="e">
        <f t="shared" si="16"/>
        <v>#VALUE!</v>
      </c>
      <c r="AC173" s="95" t="e">
        <f t="shared" si="17"/>
        <v>#VALUE!</v>
      </c>
      <c r="AD173" s="12"/>
    </row>
    <row r="174" spans="1:30" ht="15.75" thickBot="1" x14ac:dyDescent="0.3">
      <c r="A174" s="12"/>
      <c r="B174" s="22"/>
      <c r="C174" t="str">
        <f>IF(AND('ENTRY DATA'!D174=""),"",('ENTRY DATA'!D174))</f>
        <v/>
      </c>
      <c r="D174" t="str">
        <f>IF(AND('ENTRY DATA'!F174=""),"",('ENTRY DATA'!F174))</f>
        <v/>
      </c>
      <c r="E174" s="34" t="str">
        <f>IF(AND('ENTRY DATA'!B174=""),"",('ENTRY DATA'!B174))</f>
        <v/>
      </c>
      <c r="F174" s="12"/>
      <c r="G174" s="12"/>
      <c r="H174" s="72"/>
      <c r="I174" s="71"/>
      <c r="J174" s="72"/>
      <c r="K174" s="12"/>
      <c r="L174" s="20">
        <f t="shared" si="12"/>
        <v>0</v>
      </c>
      <c r="M174" s="19" t="str">
        <f t="shared" si="13"/>
        <v/>
      </c>
      <c r="N174" s="12"/>
      <c r="O174" s="119"/>
      <c r="P174" s="95" t="str">
        <f t="shared" si="14"/>
        <v/>
      </c>
      <c r="Q174" s="12"/>
      <c r="S174" s="128"/>
      <c r="T174" s="66"/>
      <c r="U174" s="128"/>
      <c r="W174" s="128"/>
      <c r="X174" s="12"/>
      <c r="Y174" t="str">
        <f t="shared" si="15"/>
        <v/>
      </c>
      <c r="Z174" t="str">
        <f t="shared" si="15"/>
        <v/>
      </c>
      <c r="AA174" s="12"/>
      <c r="AB174" s="95" t="e">
        <f t="shared" si="16"/>
        <v>#VALUE!</v>
      </c>
      <c r="AC174" s="95" t="e">
        <f t="shared" si="17"/>
        <v>#VALUE!</v>
      </c>
      <c r="AD174" s="12"/>
    </row>
    <row r="175" spans="1:30" ht="15.75" thickBot="1" x14ac:dyDescent="0.3">
      <c r="A175" s="12"/>
      <c r="B175" s="22"/>
      <c r="C175" t="str">
        <f>IF(AND('ENTRY DATA'!D175=""),"",('ENTRY DATA'!D175))</f>
        <v/>
      </c>
      <c r="D175" t="str">
        <f>IF(AND('ENTRY DATA'!F175=""),"",('ENTRY DATA'!F175))</f>
        <v/>
      </c>
      <c r="E175" s="34" t="str">
        <f>IF(AND('ENTRY DATA'!B175=""),"",('ENTRY DATA'!B175))</f>
        <v/>
      </c>
      <c r="F175" s="12"/>
      <c r="G175" s="12"/>
      <c r="H175" s="72"/>
      <c r="I175" s="71"/>
      <c r="J175" s="72"/>
      <c r="K175" s="12"/>
      <c r="L175" s="20">
        <f t="shared" si="12"/>
        <v>0</v>
      </c>
      <c r="M175" s="19" t="str">
        <f t="shared" si="13"/>
        <v/>
      </c>
      <c r="N175" s="12"/>
      <c r="O175" s="119"/>
      <c r="P175" s="95" t="str">
        <f t="shared" si="14"/>
        <v/>
      </c>
      <c r="Q175" s="12"/>
      <c r="S175" s="128"/>
      <c r="T175" s="66"/>
      <c r="U175" s="128"/>
      <c r="W175" s="128"/>
      <c r="X175" s="12"/>
      <c r="Y175" t="str">
        <f t="shared" si="15"/>
        <v/>
      </c>
      <c r="Z175" t="str">
        <f t="shared" si="15"/>
        <v/>
      </c>
      <c r="AA175" s="12"/>
      <c r="AB175" s="95" t="e">
        <f t="shared" si="16"/>
        <v>#VALUE!</v>
      </c>
      <c r="AC175" s="95" t="e">
        <f t="shared" si="17"/>
        <v>#VALUE!</v>
      </c>
      <c r="AD175" s="12"/>
    </row>
    <row r="176" spans="1:30" ht="15.75" thickBot="1" x14ac:dyDescent="0.3">
      <c r="A176" s="12"/>
      <c r="B176" s="22"/>
      <c r="C176" t="str">
        <f>IF(AND('ENTRY DATA'!D176=""),"",('ENTRY DATA'!D176))</f>
        <v/>
      </c>
      <c r="D176" t="str">
        <f>IF(AND('ENTRY DATA'!F176=""),"",('ENTRY DATA'!F176))</f>
        <v/>
      </c>
      <c r="E176" s="34" t="str">
        <f>IF(AND('ENTRY DATA'!B176=""),"",('ENTRY DATA'!B176))</f>
        <v/>
      </c>
      <c r="F176" s="12"/>
      <c r="G176" s="12"/>
      <c r="H176" s="72"/>
      <c r="I176" s="71"/>
      <c r="J176" s="72"/>
      <c r="K176" s="12"/>
      <c r="L176" s="20">
        <f t="shared" si="12"/>
        <v>0</v>
      </c>
      <c r="M176" s="19" t="str">
        <f t="shared" si="13"/>
        <v/>
      </c>
      <c r="N176" s="12"/>
      <c r="O176" s="119"/>
      <c r="P176" s="95" t="str">
        <f t="shared" si="14"/>
        <v/>
      </c>
      <c r="Q176" s="12"/>
      <c r="S176" s="128"/>
      <c r="T176" s="66"/>
      <c r="U176" s="128"/>
      <c r="W176" s="128"/>
      <c r="X176" s="12"/>
      <c r="Y176" t="str">
        <f t="shared" si="15"/>
        <v/>
      </c>
      <c r="Z176" t="str">
        <f t="shared" si="15"/>
        <v/>
      </c>
      <c r="AA176" s="12"/>
      <c r="AB176" s="95" t="e">
        <f t="shared" si="16"/>
        <v>#VALUE!</v>
      </c>
      <c r="AC176" s="95" t="e">
        <f t="shared" si="17"/>
        <v>#VALUE!</v>
      </c>
      <c r="AD176" s="12"/>
    </row>
    <row r="177" spans="1:30" ht="15.75" thickBot="1" x14ac:dyDescent="0.3">
      <c r="A177" s="12"/>
      <c r="B177" s="22"/>
      <c r="C177" t="str">
        <f>IF(AND('ENTRY DATA'!D177=""),"",('ENTRY DATA'!D177))</f>
        <v/>
      </c>
      <c r="D177" t="str">
        <f>IF(AND('ENTRY DATA'!F177=""),"",('ENTRY DATA'!F177))</f>
        <v/>
      </c>
      <c r="E177" s="34" t="str">
        <f>IF(AND('ENTRY DATA'!B177=""),"",('ENTRY DATA'!B177))</f>
        <v/>
      </c>
      <c r="F177" s="12"/>
      <c r="G177" s="12"/>
      <c r="H177" s="72"/>
      <c r="I177" s="71"/>
      <c r="J177" s="72"/>
      <c r="K177" s="12"/>
      <c r="L177" s="20">
        <f t="shared" si="12"/>
        <v>0</v>
      </c>
      <c r="M177" s="19" t="str">
        <f t="shared" si="13"/>
        <v/>
      </c>
      <c r="N177" s="12"/>
      <c r="O177" s="119"/>
      <c r="P177" s="95" t="str">
        <f t="shared" si="14"/>
        <v/>
      </c>
      <c r="Q177" s="12"/>
      <c r="S177" s="128"/>
      <c r="T177" s="66"/>
      <c r="U177" s="128"/>
      <c r="W177" s="128"/>
      <c r="X177" s="12"/>
      <c r="Y177" t="str">
        <f t="shared" si="15"/>
        <v/>
      </c>
      <c r="Z177" t="str">
        <f t="shared" si="15"/>
        <v/>
      </c>
      <c r="AA177" s="12"/>
      <c r="AB177" s="95" t="e">
        <f t="shared" si="16"/>
        <v>#VALUE!</v>
      </c>
      <c r="AC177" s="95" t="e">
        <f t="shared" si="17"/>
        <v>#VALUE!</v>
      </c>
      <c r="AD177" s="12"/>
    </row>
    <row r="178" spans="1:30" ht="15.75" thickBot="1" x14ac:dyDescent="0.3">
      <c r="A178" s="12"/>
      <c r="B178" s="22"/>
      <c r="C178" t="str">
        <f>IF(AND('ENTRY DATA'!D178=""),"",('ENTRY DATA'!D178))</f>
        <v/>
      </c>
      <c r="D178" t="str">
        <f>IF(AND('ENTRY DATA'!F178=""),"",('ENTRY DATA'!F178))</f>
        <v/>
      </c>
      <c r="E178" s="34" t="str">
        <f>IF(AND('ENTRY DATA'!B178=""),"",('ENTRY DATA'!B178))</f>
        <v/>
      </c>
      <c r="F178" s="12"/>
      <c r="G178" s="12"/>
      <c r="H178" s="72"/>
      <c r="I178" s="71"/>
      <c r="J178" s="72"/>
      <c r="K178" s="12"/>
      <c r="L178" s="20">
        <f t="shared" si="12"/>
        <v>0</v>
      </c>
      <c r="M178" s="19" t="str">
        <f t="shared" si="13"/>
        <v/>
      </c>
      <c r="N178" s="12"/>
      <c r="O178" s="119"/>
      <c r="P178" s="95" t="str">
        <f t="shared" si="14"/>
        <v/>
      </c>
      <c r="Q178" s="12"/>
      <c r="S178" s="128"/>
      <c r="T178" s="66"/>
      <c r="U178" s="128"/>
      <c r="W178" s="128"/>
      <c r="X178" s="12"/>
      <c r="Y178" t="str">
        <f t="shared" si="15"/>
        <v/>
      </c>
      <c r="Z178" t="str">
        <f t="shared" si="15"/>
        <v/>
      </c>
      <c r="AA178" s="12"/>
      <c r="AB178" s="95" t="e">
        <f t="shared" si="16"/>
        <v>#VALUE!</v>
      </c>
      <c r="AC178" s="95" t="e">
        <f t="shared" si="17"/>
        <v>#VALUE!</v>
      </c>
      <c r="AD178" s="12"/>
    </row>
    <row r="179" spans="1:30" ht="15.75" thickBot="1" x14ac:dyDescent="0.3">
      <c r="A179" s="12"/>
      <c r="B179" s="22"/>
      <c r="C179" t="str">
        <f>IF(AND('ENTRY DATA'!D179=""),"",('ENTRY DATA'!D179))</f>
        <v/>
      </c>
      <c r="D179" t="str">
        <f>IF(AND('ENTRY DATA'!F179=""),"",('ENTRY DATA'!F179))</f>
        <v/>
      </c>
      <c r="E179" s="34" t="str">
        <f>IF(AND('ENTRY DATA'!B179=""),"",('ENTRY DATA'!B179))</f>
        <v/>
      </c>
      <c r="F179" s="12"/>
      <c r="G179" s="12"/>
      <c r="H179" s="72"/>
      <c r="I179" s="71"/>
      <c r="J179" s="72"/>
      <c r="K179" s="12"/>
      <c r="L179" s="20">
        <f t="shared" si="12"/>
        <v>0</v>
      </c>
      <c r="M179" s="19" t="str">
        <f t="shared" si="13"/>
        <v/>
      </c>
      <c r="N179" s="12"/>
      <c r="O179" s="119"/>
      <c r="P179" s="95" t="str">
        <f t="shared" si="14"/>
        <v/>
      </c>
      <c r="Q179" s="12"/>
      <c r="S179" s="128"/>
      <c r="T179" s="66"/>
      <c r="U179" s="128"/>
      <c r="W179" s="128"/>
      <c r="X179" s="12"/>
      <c r="Y179" t="str">
        <f t="shared" si="15"/>
        <v/>
      </c>
      <c r="Z179" t="str">
        <f t="shared" si="15"/>
        <v/>
      </c>
      <c r="AA179" s="12"/>
      <c r="AB179" s="95" t="e">
        <f t="shared" si="16"/>
        <v>#VALUE!</v>
      </c>
      <c r="AC179" s="95" t="e">
        <f t="shared" si="17"/>
        <v>#VALUE!</v>
      </c>
      <c r="AD179" s="12"/>
    </row>
    <row r="180" spans="1:30" ht="15.75" thickBot="1" x14ac:dyDescent="0.3">
      <c r="A180" s="12"/>
      <c r="B180" s="22"/>
      <c r="C180" t="str">
        <f>IF(AND('ENTRY DATA'!D180=""),"",('ENTRY DATA'!D180))</f>
        <v/>
      </c>
      <c r="D180" t="str">
        <f>IF(AND('ENTRY DATA'!F180=""),"",('ENTRY DATA'!F180))</f>
        <v/>
      </c>
      <c r="E180" s="34" t="str">
        <f>IF(AND('ENTRY DATA'!B180=""),"",('ENTRY DATA'!B180))</f>
        <v/>
      </c>
      <c r="F180" s="12"/>
      <c r="G180" s="12"/>
      <c r="H180" s="72"/>
      <c r="I180" s="71"/>
      <c r="J180" s="72"/>
      <c r="K180" s="12"/>
      <c r="L180" s="20">
        <f t="shared" si="12"/>
        <v>0</v>
      </c>
      <c r="M180" s="19" t="str">
        <f t="shared" si="13"/>
        <v/>
      </c>
      <c r="N180" s="12"/>
      <c r="O180" s="119"/>
      <c r="P180" s="95" t="str">
        <f t="shared" si="14"/>
        <v/>
      </c>
      <c r="Q180" s="12"/>
      <c r="S180" s="128"/>
      <c r="T180" s="66"/>
      <c r="U180" s="128"/>
      <c r="W180" s="128"/>
      <c r="X180" s="12"/>
      <c r="Y180" t="str">
        <f t="shared" si="15"/>
        <v/>
      </c>
      <c r="Z180" t="str">
        <f t="shared" si="15"/>
        <v/>
      </c>
      <c r="AA180" s="12"/>
      <c r="AB180" s="95" t="e">
        <f t="shared" si="16"/>
        <v>#VALUE!</v>
      </c>
      <c r="AC180" s="95" t="e">
        <f t="shared" si="17"/>
        <v>#VALUE!</v>
      </c>
      <c r="AD180" s="12"/>
    </row>
    <row r="181" spans="1:30" ht="15.75" thickBot="1" x14ac:dyDescent="0.3">
      <c r="A181" s="12"/>
      <c r="B181" s="22"/>
      <c r="C181" t="str">
        <f>IF(AND('ENTRY DATA'!D181=""),"",('ENTRY DATA'!D181))</f>
        <v/>
      </c>
      <c r="D181" t="str">
        <f>IF(AND('ENTRY DATA'!F181=""),"",('ENTRY DATA'!F181))</f>
        <v/>
      </c>
      <c r="E181" s="34" t="str">
        <f>IF(AND('ENTRY DATA'!B181=""),"",('ENTRY DATA'!B181))</f>
        <v/>
      </c>
      <c r="F181" s="12"/>
      <c r="G181" s="12"/>
      <c r="H181" s="72"/>
      <c r="I181" s="71"/>
      <c r="J181" s="72"/>
      <c r="K181" s="12"/>
      <c r="L181" s="20">
        <f t="shared" si="12"/>
        <v>0</v>
      </c>
      <c r="M181" s="19" t="str">
        <f t="shared" si="13"/>
        <v/>
      </c>
      <c r="N181" s="12"/>
      <c r="O181" s="119"/>
      <c r="P181" s="95" t="str">
        <f t="shared" si="14"/>
        <v/>
      </c>
      <c r="Q181" s="12"/>
      <c r="S181" s="128"/>
      <c r="T181" s="66"/>
      <c r="U181" s="128"/>
      <c r="W181" s="128"/>
      <c r="X181" s="12"/>
      <c r="Y181" t="str">
        <f t="shared" si="15"/>
        <v/>
      </c>
      <c r="Z181" t="str">
        <f t="shared" si="15"/>
        <v/>
      </c>
      <c r="AA181" s="12"/>
      <c r="AB181" s="95" t="e">
        <f t="shared" si="16"/>
        <v>#VALUE!</v>
      </c>
      <c r="AC181" s="95" t="e">
        <f t="shared" si="17"/>
        <v>#VALUE!</v>
      </c>
      <c r="AD181" s="12"/>
    </row>
    <row r="182" spans="1:30" ht="15.75" thickBot="1" x14ac:dyDescent="0.3">
      <c r="A182" s="12"/>
      <c r="B182" s="22"/>
      <c r="C182" t="str">
        <f>IF(AND('ENTRY DATA'!D182=""),"",('ENTRY DATA'!D182))</f>
        <v/>
      </c>
      <c r="D182" t="str">
        <f>IF(AND('ENTRY DATA'!F182=""),"",('ENTRY DATA'!F182))</f>
        <v/>
      </c>
      <c r="E182" s="34" t="str">
        <f>IF(AND('ENTRY DATA'!B182=""),"",('ENTRY DATA'!B182))</f>
        <v/>
      </c>
      <c r="F182" s="12"/>
      <c r="G182" s="12"/>
      <c r="H182" s="72"/>
      <c r="I182" s="71"/>
      <c r="J182" s="72"/>
      <c r="K182" s="12"/>
      <c r="L182" s="20">
        <f t="shared" si="12"/>
        <v>0</v>
      </c>
      <c r="M182" s="19" t="str">
        <f t="shared" si="13"/>
        <v/>
      </c>
      <c r="N182" s="12"/>
      <c r="O182" s="119"/>
      <c r="P182" s="95" t="str">
        <f t="shared" si="14"/>
        <v/>
      </c>
      <c r="Q182" s="12"/>
      <c r="S182" s="128"/>
      <c r="T182" s="66"/>
      <c r="U182" s="128"/>
      <c r="W182" s="128"/>
      <c r="X182" s="12"/>
      <c r="Y182" t="str">
        <f t="shared" si="15"/>
        <v/>
      </c>
      <c r="Z182" t="str">
        <f t="shared" si="15"/>
        <v/>
      </c>
      <c r="AA182" s="12"/>
      <c r="AB182" s="95" t="e">
        <f t="shared" si="16"/>
        <v>#VALUE!</v>
      </c>
      <c r="AC182" s="95" t="e">
        <f t="shared" si="17"/>
        <v>#VALUE!</v>
      </c>
      <c r="AD182" s="12"/>
    </row>
    <row r="183" spans="1:30" ht="15.75" thickBot="1" x14ac:dyDescent="0.3">
      <c r="A183" s="12"/>
      <c r="B183" s="22"/>
      <c r="C183" t="str">
        <f>IF(AND('ENTRY DATA'!D183=""),"",('ENTRY DATA'!D183))</f>
        <v/>
      </c>
      <c r="D183" t="str">
        <f>IF(AND('ENTRY DATA'!F183=""),"",('ENTRY DATA'!F183))</f>
        <v/>
      </c>
      <c r="E183" s="34" t="str">
        <f>IF(AND('ENTRY DATA'!B183=""),"",('ENTRY DATA'!B183))</f>
        <v/>
      </c>
      <c r="F183" s="12"/>
      <c r="G183" s="12"/>
      <c r="H183" s="72"/>
      <c r="I183" s="71"/>
      <c r="J183" s="72"/>
      <c r="K183" s="12"/>
      <c r="L183" s="20">
        <f t="shared" si="12"/>
        <v>0</v>
      </c>
      <c r="M183" s="19" t="str">
        <f t="shared" si="13"/>
        <v/>
      </c>
      <c r="N183" s="12"/>
      <c r="O183" s="119"/>
      <c r="P183" s="95" t="str">
        <f t="shared" si="14"/>
        <v/>
      </c>
      <c r="Q183" s="12"/>
      <c r="S183" s="128"/>
      <c r="T183" s="66"/>
      <c r="U183" s="128"/>
      <c r="W183" s="128"/>
      <c r="X183" s="12"/>
      <c r="Y183" t="str">
        <f t="shared" si="15"/>
        <v/>
      </c>
      <c r="Z183" t="str">
        <f t="shared" si="15"/>
        <v/>
      </c>
      <c r="AA183" s="12"/>
      <c r="AB183" s="95" t="e">
        <f t="shared" si="16"/>
        <v>#VALUE!</v>
      </c>
      <c r="AC183" s="95" t="e">
        <f t="shared" si="17"/>
        <v>#VALUE!</v>
      </c>
      <c r="AD183" s="12"/>
    </row>
    <row r="184" spans="1:30" ht="15.75" thickBot="1" x14ac:dyDescent="0.3">
      <c r="A184" s="12"/>
      <c r="B184" s="22"/>
      <c r="C184" t="str">
        <f>IF(AND('ENTRY DATA'!D184=""),"",('ENTRY DATA'!D184))</f>
        <v/>
      </c>
      <c r="D184" t="str">
        <f>IF(AND('ENTRY DATA'!F184=""),"",('ENTRY DATA'!F184))</f>
        <v/>
      </c>
      <c r="E184" s="34" t="str">
        <f>IF(AND('ENTRY DATA'!B184=""),"",('ENTRY DATA'!B184))</f>
        <v/>
      </c>
      <c r="F184" s="12"/>
      <c r="G184" s="12"/>
      <c r="H184" s="72"/>
      <c r="I184" s="71"/>
      <c r="J184" s="72"/>
      <c r="K184" s="12"/>
      <c r="L184" s="20">
        <f t="shared" si="12"/>
        <v>0</v>
      </c>
      <c r="M184" s="19" t="str">
        <f t="shared" si="13"/>
        <v/>
      </c>
      <c r="N184" s="12"/>
      <c r="O184" s="119"/>
      <c r="P184" s="95" t="str">
        <f t="shared" si="14"/>
        <v/>
      </c>
      <c r="Q184" s="12"/>
      <c r="S184" s="128"/>
      <c r="T184" s="66"/>
      <c r="U184" s="128"/>
      <c r="W184" s="128"/>
      <c r="X184" s="12"/>
      <c r="Y184" t="str">
        <f t="shared" si="15"/>
        <v/>
      </c>
      <c r="Z184" t="str">
        <f t="shared" si="15"/>
        <v/>
      </c>
      <c r="AA184" s="12"/>
      <c r="AB184" s="95" t="e">
        <f t="shared" si="16"/>
        <v>#VALUE!</v>
      </c>
      <c r="AC184" s="95" t="e">
        <f t="shared" si="17"/>
        <v>#VALUE!</v>
      </c>
      <c r="AD184" s="12"/>
    </row>
    <row r="185" spans="1:30" ht="15.75" thickBot="1" x14ac:dyDescent="0.3">
      <c r="A185" s="12"/>
      <c r="B185" s="22"/>
      <c r="C185" t="str">
        <f>IF(AND('ENTRY DATA'!D185=""),"",('ENTRY DATA'!D185))</f>
        <v/>
      </c>
      <c r="D185" t="str">
        <f>IF(AND('ENTRY DATA'!F185=""),"",('ENTRY DATA'!F185))</f>
        <v/>
      </c>
      <c r="E185" s="34" t="str">
        <f>IF(AND('ENTRY DATA'!B185=""),"",('ENTRY DATA'!B185))</f>
        <v/>
      </c>
      <c r="F185" s="12"/>
      <c r="G185" s="12"/>
      <c r="H185" s="72"/>
      <c r="I185" s="71"/>
      <c r="J185" s="72"/>
      <c r="K185" s="12"/>
      <c r="L185" s="20">
        <f t="shared" si="12"/>
        <v>0</v>
      </c>
      <c r="M185" s="19" t="str">
        <f t="shared" si="13"/>
        <v/>
      </c>
      <c r="N185" s="12"/>
      <c r="O185" s="119"/>
      <c r="P185" s="95" t="str">
        <f t="shared" si="14"/>
        <v/>
      </c>
      <c r="Q185" s="12"/>
      <c r="S185" s="128"/>
      <c r="T185" s="66"/>
      <c r="U185" s="128"/>
      <c r="W185" s="128"/>
      <c r="X185" s="12"/>
      <c r="Y185" t="str">
        <f t="shared" si="15"/>
        <v/>
      </c>
      <c r="Z185" t="str">
        <f t="shared" si="15"/>
        <v/>
      </c>
      <c r="AA185" s="12"/>
      <c r="AB185" s="95" t="e">
        <f t="shared" si="16"/>
        <v>#VALUE!</v>
      </c>
      <c r="AC185" s="95" t="e">
        <f t="shared" si="17"/>
        <v>#VALUE!</v>
      </c>
      <c r="AD185" s="12"/>
    </row>
    <row r="186" spans="1:30" ht="15.75" thickBot="1" x14ac:dyDescent="0.3">
      <c r="A186" s="12"/>
      <c r="B186" s="22"/>
      <c r="C186" t="str">
        <f>IF(AND('ENTRY DATA'!D186=""),"",('ENTRY DATA'!D186))</f>
        <v/>
      </c>
      <c r="D186" t="str">
        <f>IF(AND('ENTRY DATA'!F186=""),"",('ENTRY DATA'!F186))</f>
        <v/>
      </c>
      <c r="E186" s="34" t="str">
        <f>IF(AND('ENTRY DATA'!B186=""),"",('ENTRY DATA'!B186))</f>
        <v/>
      </c>
      <c r="F186" s="12"/>
      <c r="G186" s="12"/>
      <c r="H186" s="72"/>
      <c r="I186" s="71"/>
      <c r="J186" s="72"/>
      <c r="K186" s="12"/>
      <c r="L186" s="20">
        <f t="shared" si="12"/>
        <v>0</v>
      </c>
      <c r="M186" s="19" t="str">
        <f t="shared" si="13"/>
        <v/>
      </c>
      <c r="N186" s="12"/>
      <c r="O186" s="119"/>
      <c r="P186" s="95" t="str">
        <f t="shared" si="14"/>
        <v/>
      </c>
      <c r="Q186" s="12"/>
      <c r="S186" s="128"/>
      <c r="T186" s="66"/>
      <c r="U186" s="128"/>
      <c r="W186" s="128"/>
      <c r="X186" s="12"/>
      <c r="Y186" t="str">
        <f t="shared" si="15"/>
        <v/>
      </c>
      <c r="Z186" t="str">
        <f t="shared" si="15"/>
        <v/>
      </c>
      <c r="AA186" s="12"/>
      <c r="AB186" s="95" t="e">
        <f t="shared" si="16"/>
        <v>#VALUE!</v>
      </c>
      <c r="AC186" s="95" t="e">
        <f t="shared" si="17"/>
        <v>#VALUE!</v>
      </c>
      <c r="AD186" s="12"/>
    </row>
    <row r="187" spans="1:30" ht="15.75" thickBot="1" x14ac:dyDescent="0.3">
      <c r="A187" s="12"/>
      <c r="B187" s="22"/>
      <c r="C187" t="str">
        <f>IF(AND('ENTRY DATA'!D187=""),"",('ENTRY DATA'!D187))</f>
        <v/>
      </c>
      <c r="D187" t="str">
        <f>IF(AND('ENTRY DATA'!F187=""),"",('ENTRY DATA'!F187))</f>
        <v/>
      </c>
      <c r="E187" s="34" t="str">
        <f>IF(AND('ENTRY DATA'!B187=""),"",('ENTRY DATA'!B187))</f>
        <v/>
      </c>
      <c r="F187" s="12"/>
      <c r="G187" s="12"/>
      <c r="H187" s="72"/>
      <c r="I187" s="71"/>
      <c r="J187" s="72"/>
      <c r="K187" s="12"/>
      <c r="L187" s="20">
        <f t="shared" si="12"/>
        <v>0</v>
      </c>
      <c r="M187" s="19" t="str">
        <f t="shared" si="13"/>
        <v/>
      </c>
      <c r="N187" s="12"/>
      <c r="O187" s="119"/>
      <c r="P187" s="95" t="str">
        <f t="shared" si="14"/>
        <v/>
      </c>
      <c r="Q187" s="12"/>
      <c r="S187" s="128"/>
      <c r="T187" s="66"/>
      <c r="U187" s="128"/>
      <c r="W187" s="128"/>
      <c r="X187" s="12"/>
      <c r="Y187" t="str">
        <f t="shared" si="15"/>
        <v/>
      </c>
      <c r="Z187" t="str">
        <f t="shared" si="15"/>
        <v/>
      </c>
      <c r="AA187" s="12"/>
      <c r="AB187" s="95" t="e">
        <f t="shared" si="16"/>
        <v>#VALUE!</v>
      </c>
      <c r="AC187" s="95" t="e">
        <f t="shared" si="17"/>
        <v>#VALUE!</v>
      </c>
      <c r="AD187" s="12"/>
    </row>
    <row r="188" spans="1:30" ht="15.75" thickBot="1" x14ac:dyDescent="0.3">
      <c r="A188" s="12"/>
      <c r="B188" s="22"/>
      <c r="C188" t="str">
        <f>IF(AND('ENTRY DATA'!D188=""),"",('ENTRY DATA'!D188))</f>
        <v/>
      </c>
      <c r="D188" t="str">
        <f>IF(AND('ENTRY DATA'!F188=""),"",('ENTRY DATA'!F188))</f>
        <v/>
      </c>
      <c r="E188" s="34" t="str">
        <f>IF(AND('ENTRY DATA'!B188=""),"",('ENTRY DATA'!B188))</f>
        <v/>
      </c>
      <c r="F188" s="12"/>
      <c r="G188" s="12"/>
      <c r="H188" s="72"/>
      <c r="I188" s="71"/>
      <c r="J188" s="72"/>
      <c r="K188" s="12"/>
      <c r="L188" s="20">
        <f t="shared" si="12"/>
        <v>0</v>
      </c>
      <c r="M188" s="19" t="str">
        <f t="shared" si="13"/>
        <v/>
      </c>
      <c r="N188" s="12"/>
      <c r="O188" s="119"/>
      <c r="P188" s="95" t="str">
        <f t="shared" si="14"/>
        <v/>
      </c>
      <c r="Q188" s="12"/>
      <c r="S188" s="128"/>
      <c r="T188" s="66"/>
      <c r="U188" s="128"/>
      <c r="W188" s="128"/>
      <c r="X188" s="12"/>
      <c r="Y188" t="str">
        <f t="shared" si="15"/>
        <v/>
      </c>
      <c r="Z188" t="str">
        <f t="shared" si="15"/>
        <v/>
      </c>
      <c r="AA188" s="12"/>
      <c r="AB188" s="95" t="e">
        <f t="shared" si="16"/>
        <v>#VALUE!</v>
      </c>
      <c r="AC188" s="95" t="e">
        <f t="shared" si="17"/>
        <v>#VALUE!</v>
      </c>
      <c r="AD188" s="12"/>
    </row>
    <row r="189" spans="1:30" ht="15.75" thickBot="1" x14ac:dyDescent="0.3">
      <c r="A189" s="12"/>
      <c r="B189" s="22"/>
      <c r="C189" t="str">
        <f>IF(AND('ENTRY DATA'!D189=""),"",('ENTRY DATA'!D189))</f>
        <v/>
      </c>
      <c r="D189" t="str">
        <f>IF(AND('ENTRY DATA'!F189=""),"",('ENTRY DATA'!F189))</f>
        <v/>
      </c>
      <c r="E189" s="34" t="str">
        <f>IF(AND('ENTRY DATA'!B189=""),"",('ENTRY DATA'!B189))</f>
        <v/>
      </c>
      <c r="F189" s="12"/>
      <c r="G189" s="12"/>
      <c r="H189" s="72"/>
      <c r="I189" s="71"/>
      <c r="J189" s="72"/>
      <c r="K189" s="12"/>
      <c r="L189" s="20">
        <f t="shared" si="12"/>
        <v>0</v>
      </c>
      <c r="M189" s="19" t="str">
        <f t="shared" si="13"/>
        <v/>
      </c>
      <c r="N189" s="12"/>
      <c r="O189" s="119"/>
      <c r="P189" s="95" t="str">
        <f t="shared" si="14"/>
        <v/>
      </c>
      <c r="Q189" s="12"/>
      <c r="S189" s="128"/>
      <c r="T189" s="66"/>
      <c r="U189" s="128"/>
      <c r="W189" s="128"/>
      <c r="X189" s="12"/>
      <c r="Y189" t="str">
        <f t="shared" si="15"/>
        <v/>
      </c>
      <c r="Z189" t="str">
        <f t="shared" si="15"/>
        <v/>
      </c>
      <c r="AA189" s="12"/>
      <c r="AB189" s="95" t="e">
        <f t="shared" si="16"/>
        <v>#VALUE!</v>
      </c>
      <c r="AC189" s="95" t="e">
        <f t="shared" si="17"/>
        <v>#VALUE!</v>
      </c>
      <c r="AD189" s="12"/>
    </row>
    <row r="190" spans="1:30" ht="15.75" thickBot="1" x14ac:dyDescent="0.3">
      <c r="A190" s="12"/>
      <c r="B190" s="22"/>
      <c r="C190" t="str">
        <f>IF(AND('ENTRY DATA'!D190=""),"",('ENTRY DATA'!D190))</f>
        <v/>
      </c>
      <c r="D190" t="str">
        <f>IF(AND('ENTRY DATA'!F190=""),"",('ENTRY DATA'!F190))</f>
        <v/>
      </c>
      <c r="E190" s="34" t="str">
        <f>IF(AND('ENTRY DATA'!B190=""),"",('ENTRY DATA'!B190))</f>
        <v/>
      </c>
      <c r="F190" s="12"/>
      <c r="G190" s="12"/>
      <c r="H190" s="72"/>
      <c r="I190" s="71"/>
      <c r="J190" s="72"/>
      <c r="K190" s="12"/>
      <c r="L190" s="20">
        <f t="shared" si="12"/>
        <v>0</v>
      </c>
      <c r="M190" s="19" t="str">
        <f t="shared" si="13"/>
        <v/>
      </c>
      <c r="N190" s="12"/>
      <c r="O190" s="119"/>
      <c r="P190" s="95" t="str">
        <f t="shared" si="14"/>
        <v/>
      </c>
      <c r="Q190" s="12"/>
      <c r="S190" s="128"/>
      <c r="T190" s="66"/>
      <c r="U190" s="128"/>
      <c r="W190" s="128"/>
      <c r="X190" s="12"/>
      <c r="Y190" t="str">
        <f t="shared" si="15"/>
        <v/>
      </c>
      <c r="Z190" t="str">
        <f t="shared" si="15"/>
        <v/>
      </c>
      <c r="AA190" s="12"/>
      <c r="AB190" s="95" t="e">
        <f t="shared" si="16"/>
        <v>#VALUE!</v>
      </c>
      <c r="AC190" s="95" t="e">
        <f t="shared" si="17"/>
        <v>#VALUE!</v>
      </c>
      <c r="AD190" s="12"/>
    </row>
    <row r="191" spans="1:30" ht="15.75" thickBot="1" x14ac:dyDescent="0.3">
      <c r="A191" s="12"/>
      <c r="B191" s="22"/>
      <c r="C191" t="str">
        <f>IF(AND('ENTRY DATA'!D191=""),"",('ENTRY DATA'!D191))</f>
        <v/>
      </c>
      <c r="D191" t="str">
        <f>IF(AND('ENTRY DATA'!F191=""),"",('ENTRY DATA'!F191))</f>
        <v/>
      </c>
      <c r="E191" s="34" t="str">
        <f>IF(AND('ENTRY DATA'!B191=""),"",('ENTRY DATA'!B191))</f>
        <v/>
      </c>
      <c r="F191" s="12"/>
      <c r="G191" s="12"/>
      <c r="H191" s="72"/>
      <c r="I191" s="71"/>
      <c r="J191" s="72"/>
      <c r="K191" s="12"/>
      <c r="L191" s="20">
        <f t="shared" si="12"/>
        <v>0</v>
      </c>
      <c r="M191" s="19" t="str">
        <f t="shared" si="13"/>
        <v/>
      </c>
      <c r="N191" s="12"/>
      <c r="O191" s="119"/>
      <c r="P191" s="95" t="str">
        <f t="shared" si="14"/>
        <v/>
      </c>
      <c r="Q191" s="12"/>
      <c r="S191" s="128"/>
      <c r="T191" s="66"/>
      <c r="U191" s="128"/>
      <c r="W191" s="128"/>
      <c r="X191" s="12"/>
      <c r="Y191" t="str">
        <f t="shared" si="15"/>
        <v/>
      </c>
      <c r="Z191" t="str">
        <f t="shared" si="15"/>
        <v/>
      </c>
      <c r="AA191" s="12"/>
      <c r="AB191" s="95" t="e">
        <f t="shared" si="16"/>
        <v>#VALUE!</v>
      </c>
      <c r="AC191" s="95" t="e">
        <f t="shared" si="17"/>
        <v>#VALUE!</v>
      </c>
      <c r="AD191" s="12"/>
    </row>
    <row r="192" spans="1:30" ht="15.75" thickBot="1" x14ac:dyDescent="0.3">
      <c r="A192" s="12"/>
      <c r="B192" s="22"/>
      <c r="C192" t="str">
        <f>IF(AND('ENTRY DATA'!D192=""),"",('ENTRY DATA'!D192))</f>
        <v/>
      </c>
      <c r="D192" t="str">
        <f>IF(AND('ENTRY DATA'!F192=""),"",('ENTRY DATA'!F192))</f>
        <v/>
      </c>
      <c r="E192" s="34" t="str">
        <f>IF(AND('ENTRY DATA'!B192=""),"",('ENTRY DATA'!B192))</f>
        <v/>
      </c>
      <c r="F192" s="12"/>
      <c r="G192" s="12"/>
      <c r="H192" s="72"/>
      <c r="I192" s="71"/>
      <c r="J192" s="72"/>
      <c r="K192" s="12"/>
      <c r="L192" s="20">
        <f t="shared" si="12"/>
        <v>0</v>
      </c>
      <c r="M192" s="19" t="str">
        <f t="shared" si="13"/>
        <v/>
      </c>
      <c r="N192" s="12"/>
      <c r="O192" s="119"/>
      <c r="P192" s="95" t="str">
        <f t="shared" si="14"/>
        <v/>
      </c>
      <c r="Q192" s="12"/>
      <c r="S192" s="128"/>
      <c r="T192" s="66"/>
      <c r="U192" s="128"/>
      <c r="W192" s="128"/>
      <c r="X192" s="12"/>
      <c r="Y192" t="str">
        <f t="shared" si="15"/>
        <v/>
      </c>
      <c r="Z192" t="str">
        <f t="shared" si="15"/>
        <v/>
      </c>
      <c r="AA192" s="12"/>
      <c r="AB192" s="95" t="e">
        <f t="shared" si="16"/>
        <v>#VALUE!</v>
      </c>
      <c r="AC192" s="95" t="e">
        <f t="shared" si="17"/>
        <v>#VALUE!</v>
      </c>
      <c r="AD192" s="12"/>
    </row>
    <row r="193" spans="1:30" ht="15.75" thickBot="1" x14ac:dyDescent="0.3">
      <c r="A193" s="12"/>
      <c r="B193" s="22"/>
      <c r="C193" t="str">
        <f>IF(AND('ENTRY DATA'!D193=""),"",('ENTRY DATA'!D193))</f>
        <v/>
      </c>
      <c r="D193" t="str">
        <f>IF(AND('ENTRY DATA'!F193=""),"",('ENTRY DATA'!F193))</f>
        <v/>
      </c>
      <c r="E193" s="34" t="str">
        <f>IF(AND('ENTRY DATA'!B193=""),"",('ENTRY DATA'!B193))</f>
        <v/>
      </c>
      <c r="F193" s="12"/>
      <c r="G193" s="12"/>
      <c r="H193" s="72"/>
      <c r="I193" s="71"/>
      <c r="J193" s="72"/>
      <c r="K193" s="12"/>
      <c r="L193" s="20">
        <f t="shared" si="12"/>
        <v>0</v>
      </c>
      <c r="M193" s="19" t="str">
        <f t="shared" si="13"/>
        <v/>
      </c>
      <c r="N193" s="12"/>
      <c r="O193" s="119"/>
      <c r="P193" s="95" t="str">
        <f t="shared" si="14"/>
        <v/>
      </c>
      <c r="Q193" s="12"/>
      <c r="S193" s="128"/>
      <c r="T193" s="66"/>
      <c r="U193" s="128"/>
      <c r="W193" s="128"/>
      <c r="X193" s="12"/>
      <c r="Y193" t="str">
        <f t="shared" si="15"/>
        <v/>
      </c>
      <c r="Z193" t="str">
        <f t="shared" si="15"/>
        <v/>
      </c>
      <c r="AA193" s="12"/>
      <c r="AB193" s="95" t="e">
        <f t="shared" si="16"/>
        <v>#VALUE!</v>
      </c>
      <c r="AC193" s="95" t="e">
        <f t="shared" si="17"/>
        <v>#VALUE!</v>
      </c>
      <c r="AD193" s="12"/>
    </row>
    <row r="194" spans="1:30" ht="15.75" thickBot="1" x14ac:dyDescent="0.3">
      <c r="A194" s="12"/>
      <c r="B194" s="22"/>
      <c r="C194" t="str">
        <f>IF(AND('ENTRY DATA'!D194=""),"",('ENTRY DATA'!D194))</f>
        <v/>
      </c>
      <c r="D194" t="str">
        <f>IF(AND('ENTRY DATA'!F194=""),"",('ENTRY DATA'!F194))</f>
        <v/>
      </c>
      <c r="E194" s="34" t="str">
        <f>IF(AND('ENTRY DATA'!B194=""),"",('ENTRY DATA'!B194))</f>
        <v/>
      </c>
      <c r="F194" s="12"/>
      <c r="G194" s="12"/>
      <c r="H194" s="72"/>
      <c r="I194" s="71"/>
      <c r="J194" s="72"/>
      <c r="K194" s="12"/>
      <c r="L194" s="20">
        <f t="shared" si="12"/>
        <v>0</v>
      </c>
      <c r="M194" s="19" t="str">
        <f t="shared" si="13"/>
        <v/>
      </c>
      <c r="N194" s="12"/>
      <c r="O194" s="119"/>
      <c r="P194" s="95" t="str">
        <f t="shared" si="14"/>
        <v/>
      </c>
      <c r="Q194" s="12"/>
      <c r="S194" s="128"/>
      <c r="T194" s="66"/>
      <c r="U194" s="128"/>
      <c r="W194" s="128"/>
      <c r="X194" s="12"/>
      <c r="Y194" t="str">
        <f t="shared" si="15"/>
        <v/>
      </c>
      <c r="Z194" t="str">
        <f t="shared" si="15"/>
        <v/>
      </c>
      <c r="AA194" s="12"/>
      <c r="AB194" s="95" t="e">
        <f t="shared" si="16"/>
        <v>#VALUE!</v>
      </c>
      <c r="AC194" s="95" t="e">
        <f t="shared" si="17"/>
        <v>#VALUE!</v>
      </c>
      <c r="AD194" s="12"/>
    </row>
    <row r="195" spans="1:30" ht="15.75" thickBot="1" x14ac:dyDescent="0.3">
      <c r="A195" s="12"/>
      <c r="B195" s="22"/>
      <c r="C195" t="str">
        <f>IF(AND('ENTRY DATA'!D195=""),"",('ENTRY DATA'!D195))</f>
        <v/>
      </c>
      <c r="D195" t="str">
        <f>IF(AND('ENTRY DATA'!F195=""),"",('ENTRY DATA'!F195))</f>
        <v/>
      </c>
      <c r="E195" s="34" t="str">
        <f>IF(AND('ENTRY DATA'!B195=""),"",('ENTRY DATA'!B195))</f>
        <v/>
      </c>
      <c r="F195" s="12"/>
      <c r="G195" s="12"/>
      <c r="H195" s="72"/>
      <c r="I195" s="71"/>
      <c r="J195" s="72"/>
      <c r="K195" s="12"/>
      <c r="L195" s="20">
        <f t="shared" si="12"/>
        <v>0</v>
      </c>
      <c r="M195" s="19" t="str">
        <f t="shared" si="13"/>
        <v/>
      </c>
      <c r="N195" s="12"/>
      <c r="O195" s="119"/>
      <c r="P195" s="95" t="str">
        <f t="shared" si="14"/>
        <v/>
      </c>
      <c r="Q195" s="12"/>
      <c r="S195" s="128"/>
      <c r="T195" s="66"/>
      <c r="U195" s="128"/>
      <c r="W195" s="128"/>
      <c r="X195" s="12"/>
      <c r="Y195" t="str">
        <f t="shared" si="15"/>
        <v/>
      </c>
      <c r="Z195" t="str">
        <f t="shared" si="15"/>
        <v/>
      </c>
      <c r="AA195" s="12"/>
      <c r="AB195" s="95" t="e">
        <f t="shared" si="16"/>
        <v>#VALUE!</v>
      </c>
      <c r="AC195" s="95" t="e">
        <f t="shared" si="17"/>
        <v>#VALUE!</v>
      </c>
      <c r="AD195" s="12"/>
    </row>
    <row r="196" spans="1:30" ht="15.75" thickBot="1" x14ac:dyDescent="0.3">
      <c r="A196" s="12"/>
      <c r="B196" s="22"/>
      <c r="C196" t="str">
        <f>IF(AND('ENTRY DATA'!D196=""),"",('ENTRY DATA'!D196))</f>
        <v/>
      </c>
      <c r="D196" t="str">
        <f>IF(AND('ENTRY DATA'!F196=""),"",('ENTRY DATA'!F196))</f>
        <v/>
      </c>
      <c r="E196" s="34" t="str">
        <f>IF(AND('ENTRY DATA'!B196=""),"",('ENTRY DATA'!B196))</f>
        <v/>
      </c>
      <c r="F196" s="12"/>
      <c r="G196" s="12"/>
      <c r="H196" s="72"/>
      <c r="I196" s="71"/>
      <c r="J196" s="72"/>
      <c r="K196" s="12"/>
      <c r="L196" s="20">
        <f t="shared" si="12"/>
        <v>0</v>
      </c>
      <c r="M196" s="19" t="str">
        <f t="shared" si="13"/>
        <v/>
      </c>
      <c r="N196" s="12"/>
      <c r="O196" s="119"/>
      <c r="P196" s="95" t="str">
        <f t="shared" si="14"/>
        <v/>
      </c>
      <c r="Q196" s="12"/>
      <c r="S196" s="128"/>
      <c r="T196" s="66"/>
      <c r="U196" s="128"/>
      <c r="W196" s="128"/>
      <c r="X196" s="12"/>
      <c r="Y196" t="str">
        <f t="shared" si="15"/>
        <v/>
      </c>
      <c r="Z196" t="str">
        <f t="shared" si="15"/>
        <v/>
      </c>
      <c r="AA196" s="12"/>
      <c r="AB196" s="95" t="e">
        <f t="shared" si="16"/>
        <v>#VALUE!</v>
      </c>
      <c r="AC196" s="95" t="e">
        <f t="shared" si="17"/>
        <v>#VALUE!</v>
      </c>
      <c r="AD196" s="12"/>
    </row>
    <row r="197" spans="1:30" ht="15.75" thickBot="1" x14ac:dyDescent="0.3">
      <c r="A197" s="12"/>
      <c r="B197" s="22"/>
      <c r="C197" t="str">
        <f>IF(AND('ENTRY DATA'!D197=""),"",('ENTRY DATA'!D197))</f>
        <v/>
      </c>
      <c r="D197" t="str">
        <f>IF(AND('ENTRY DATA'!F197=""),"",('ENTRY DATA'!F197))</f>
        <v/>
      </c>
      <c r="E197" s="34" t="str">
        <f>IF(AND('ENTRY DATA'!B197=""),"",('ENTRY DATA'!B197))</f>
        <v/>
      </c>
      <c r="F197" s="12"/>
      <c r="G197" s="12"/>
      <c r="H197" s="72"/>
      <c r="I197" s="71"/>
      <c r="J197" s="72"/>
      <c r="K197" s="12"/>
      <c r="L197" s="20">
        <f t="shared" si="12"/>
        <v>0</v>
      </c>
      <c r="M197" s="19" t="str">
        <f t="shared" si="13"/>
        <v/>
      </c>
      <c r="N197" s="12"/>
      <c r="O197" s="119"/>
      <c r="P197" s="95" t="str">
        <f t="shared" si="14"/>
        <v/>
      </c>
      <c r="Q197" s="12"/>
      <c r="S197" s="128"/>
      <c r="T197" s="66"/>
      <c r="U197" s="128"/>
      <c r="W197" s="128"/>
      <c r="X197" s="12"/>
      <c r="Y197" t="str">
        <f t="shared" si="15"/>
        <v/>
      </c>
      <c r="Z197" t="str">
        <f t="shared" si="15"/>
        <v/>
      </c>
      <c r="AA197" s="12"/>
      <c r="AB197" s="95" t="e">
        <f t="shared" si="16"/>
        <v>#VALUE!</v>
      </c>
      <c r="AC197" s="95" t="e">
        <f t="shared" si="17"/>
        <v>#VALUE!</v>
      </c>
      <c r="AD197" s="12"/>
    </row>
    <row r="198" spans="1:30" ht="15.75" thickBot="1" x14ac:dyDescent="0.3">
      <c r="A198" s="12"/>
      <c r="B198" s="22"/>
      <c r="C198" t="str">
        <f>IF(AND('ENTRY DATA'!D198=""),"",('ENTRY DATA'!D198))</f>
        <v/>
      </c>
      <c r="D198" t="str">
        <f>IF(AND('ENTRY DATA'!F198=""),"",('ENTRY DATA'!F198))</f>
        <v/>
      </c>
      <c r="E198" s="34" t="str">
        <f>IF(AND('ENTRY DATA'!B198=""),"",('ENTRY DATA'!B198))</f>
        <v/>
      </c>
      <c r="F198" s="12"/>
      <c r="G198" s="12"/>
      <c r="H198" s="72"/>
      <c r="I198" s="71"/>
      <c r="J198" s="72"/>
      <c r="K198" s="12"/>
      <c r="L198" s="20">
        <f t="shared" ref="L198:L261" si="18">COUNT(H198:J198)</f>
        <v>0</v>
      </c>
      <c r="M198" s="19" t="str">
        <f t="shared" ref="M198:M261" si="19">IF(AND(H198="",I198="",J198=""),"",(H198+I198+J198))</f>
        <v/>
      </c>
      <c r="N198" s="12"/>
      <c r="O198" s="119"/>
      <c r="P198" s="95" t="str">
        <f t="shared" ref="P198:P261" si="20">C198</f>
        <v/>
      </c>
      <c r="Q198" s="12"/>
      <c r="S198" s="128"/>
      <c r="T198" s="66"/>
      <c r="U198" s="128"/>
      <c r="W198" s="128"/>
      <c r="X198" s="12"/>
      <c r="Y198" t="str">
        <f t="shared" ref="Y198:Z261" si="21">IF(AND(R198="",T198="",V198=""),"",SUM(R198,T198,V198))</f>
        <v/>
      </c>
      <c r="Z198" t="str">
        <f t="shared" si="21"/>
        <v/>
      </c>
      <c r="AA198" s="12"/>
      <c r="AB198" s="95" t="e">
        <f t="shared" ref="AB198:AB261" si="22">Y198/L198</f>
        <v>#VALUE!</v>
      </c>
      <c r="AC198" s="95" t="e">
        <f t="shared" ref="AC198:AC261" si="23">Z198/L198</f>
        <v>#VALUE!</v>
      </c>
      <c r="AD198" s="12"/>
    </row>
    <row r="199" spans="1:30" ht="15.75" thickBot="1" x14ac:dyDescent="0.3">
      <c r="A199" s="12"/>
      <c r="B199" s="22"/>
      <c r="C199" t="str">
        <f>IF(AND('ENTRY DATA'!D199=""),"",('ENTRY DATA'!D199))</f>
        <v/>
      </c>
      <c r="D199" t="str">
        <f>IF(AND('ENTRY DATA'!F199=""),"",('ENTRY DATA'!F199))</f>
        <v/>
      </c>
      <c r="E199" s="34" t="str">
        <f>IF(AND('ENTRY DATA'!B199=""),"",('ENTRY DATA'!B199))</f>
        <v/>
      </c>
      <c r="F199" s="12"/>
      <c r="G199" s="12"/>
      <c r="H199" s="72"/>
      <c r="I199" s="71"/>
      <c r="J199" s="72"/>
      <c r="K199" s="12"/>
      <c r="L199" s="20">
        <f t="shared" si="18"/>
        <v>0</v>
      </c>
      <c r="M199" s="19" t="str">
        <f t="shared" si="19"/>
        <v/>
      </c>
      <c r="N199" s="12"/>
      <c r="O199" s="119"/>
      <c r="P199" s="95" t="str">
        <f t="shared" si="20"/>
        <v/>
      </c>
      <c r="Q199" s="12"/>
      <c r="S199" s="128"/>
      <c r="T199" s="66"/>
      <c r="U199" s="128"/>
      <c r="W199" s="128"/>
      <c r="X199" s="12"/>
      <c r="Y199" t="str">
        <f t="shared" si="21"/>
        <v/>
      </c>
      <c r="Z199" t="str">
        <f t="shared" si="21"/>
        <v/>
      </c>
      <c r="AA199" s="12"/>
      <c r="AB199" s="95" t="e">
        <f t="shared" si="22"/>
        <v>#VALUE!</v>
      </c>
      <c r="AC199" s="95" t="e">
        <f t="shared" si="23"/>
        <v>#VALUE!</v>
      </c>
      <c r="AD199" s="12"/>
    </row>
    <row r="200" spans="1:30" ht="15.75" thickBot="1" x14ac:dyDescent="0.3">
      <c r="A200" s="12"/>
      <c r="B200" s="22"/>
      <c r="C200" t="str">
        <f>IF(AND('ENTRY DATA'!D200=""),"",('ENTRY DATA'!D200))</f>
        <v/>
      </c>
      <c r="D200" t="str">
        <f>IF(AND('ENTRY DATA'!F200=""),"",('ENTRY DATA'!F200))</f>
        <v/>
      </c>
      <c r="E200" s="34" t="str">
        <f>IF(AND('ENTRY DATA'!B200=""),"",('ENTRY DATA'!B200))</f>
        <v/>
      </c>
      <c r="F200" s="12"/>
      <c r="G200" s="12"/>
      <c r="H200" s="73"/>
      <c r="I200" s="71"/>
      <c r="J200" s="73"/>
      <c r="K200" s="12"/>
      <c r="L200" s="20">
        <f t="shared" si="18"/>
        <v>0</v>
      </c>
      <c r="M200" s="19" t="str">
        <f t="shared" si="19"/>
        <v/>
      </c>
      <c r="N200" s="12"/>
      <c r="O200" s="119"/>
      <c r="P200" s="95" t="str">
        <f t="shared" si="20"/>
        <v/>
      </c>
      <c r="Q200" s="12"/>
      <c r="S200" s="128"/>
      <c r="T200" s="66"/>
      <c r="U200" s="128"/>
      <c r="W200" s="128"/>
      <c r="X200" s="12"/>
      <c r="Y200" t="str">
        <f t="shared" si="21"/>
        <v/>
      </c>
      <c r="Z200" t="str">
        <f t="shared" si="21"/>
        <v/>
      </c>
      <c r="AA200" s="12"/>
      <c r="AB200" s="95" t="e">
        <f t="shared" si="22"/>
        <v>#VALUE!</v>
      </c>
      <c r="AC200" s="95" t="e">
        <f t="shared" si="23"/>
        <v>#VALUE!</v>
      </c>
      <c r="AD200" s="12"/>
    </row>
    <row r="201" spans="1:30" ht="15.75" thickBot="1" x14ac:dyDescent="0.3">
      <c r="A201" s="12"/>
      <c r="B201" s="22"/>
      <c r="C201" t="str">
        <f>IF(AND('ENTRY DATA'!D201=""),"",('ENTRY DATA'!D201))</f>
        <v/>
      </c>
      <c r="D201" t="str">
        <f>IF(AND('ENTRY DATA'!F201=""),"",('ENTRY DATA'!F201))</f>
        <v/>
      </c>
      <c r="E201" s="34" t="str">
        <f>IF(AND('ENTRY DATA'!B201=""),"",('ENTRY DATA'!B201))</f>
        <v/>
      </c>
      <c r="F201" s="12"/>
      <c r="G201" s="12"/>
      <c r="H201" s="73"/>
      <c r="I201" s="71"/>
      <c r="J201" s="73"/>
      <c r="K201" s="12"/>
      <c r="L201" s="20">
        <f t="shared" si="18"/>
        <v>0</v>
      </c>
      <c r="M201" s="19" t="str">
        <f t="shared" si="19"/>
        <v/>
      </c>
      <c r="N201" s="12"/>
      <c r="O201" s="119"/>
      <c r="P201" s="95" t="str">
        <f t="shared" si="20"/>
        <v/>
      </c>
      <c r="Q201" s="12"/>
      <c r="S201" s="128"/>
      <c r="T201" s="66"/>
      <c r="U201" s="128"/>
      <c r="W201" s="128"/>
      <c r="X201" s="12"/>
      <c r="Y201" t="str">
        <f t="shared" si="21"/>
        <v/>
      </c>
      <c r="Z201" t="str">
        <f t="shared" si="21"/>
        <v/>
      </c>
      <c r="AA201" s="12"/>
      <c r="AB201" s="95" t="e">
        <f t="shared" si="22"/>
        <v>#VALUE!</v>
      </c>
      <c r="AC201" s="95" t="e">
        <f t="shared" si="23"/>
        <v>#VALUE!</v>
      </c>
      <c r="AD201" s="12"/>
    </row>
    <row r="202" spans="1:30" ht="15.75" thickBot="1" x14ac:dyDescent="0.3">
      <c r="A202" s="12"/>
      <c r="B202" s="22"/>
      <c r="C202" t="str">
        <f>IF(AND('ENTRY DATA'!D202=""),"",('ENTRY DATA'!D202))</f>
        <v/>
      </c>
      <c r="D202" t="str">
        <f>IF(AND('ENTRY DATA'!F202=""),"",('ENTRY DATA'!F202))</f>
        <v/>
      </c>
      <c r="E202" s="34" t="str">
        <f>IF(AND('ENTRY DATA'!B202=""),"",('ENTRY DATA'!B202))</f>
        <v/>
      </c>
      <c r="F202" s="12"/>
      <c r="G202" s="12"/>
      <c r="H202" s="73"/>
      <c r="I202" s="71"/>
      <c r="J202" s="73"/>
      <c r="K202" s="12"/>
      <c r="L202" s="20">
        <f t="shared" si="18"/>
        <v>0</v>
      </c>
      <c r="M202" s="19" t="str">
        <f t="shared" si="19"/>
        <v/>
      </c>
      <c r="N202" s="12"/>
      <c r="O202" s="119"/>
      <c r="P202" s="95" t="str">
        <f t="shared" si="20"/>
        <v/>
      </c>
      <c r="Q202" s="12"/>
      <c r="S202" s="128"/>
      <c r="T202" s="66"/>
      <c r="U202" s="128"/>
      <c r="W202" s="128"/>
      <c r="X202" s="12"/>
      <c r="Y202" t="str">
        <f t="shared" si="21"/>
        <v/>
      </c>
      <c r="Z202" t="str">
        <f t="shared" si="21"/>
        <v/>
      </c>
      <c r="AA202" s="12"/>
      <c r="AB202" s="95" t="e">
        <f t="shared" si="22"/>
        <v>#VALUE!</v>
      </c>
      <c r="AC202" s="95" t="e">
        <f t="shared" si="23"/>
        <v>#VALUE!</v>
      </c>
      <c r="AD202" s="12"/>
    </row>
    <row r="203" spans="1:30" ht="15.75" thickBot="1" x14ac:dyDescent="0.3">
      <c r="A203" s="12"/>
      <c r="B203" s="22"/>
      <c r="C203" t="str">
        <f>IF(AND('ENTRY DATA'!D203=""),"",('ENTRY DATA'!D203))</f>
        <v/>
      </c>
      <c r="D203" t="str">
        <f>IF(AND('ENTRY DATA'!F203=""),"",('ENTRY DATA'!F203))</f>
        <v/>
      </c>
      <c r="E203" s="34" t="str">
        <f>IF(AND('ENTRY DATA'!B203=""),"",('ENTRY DATA'!B203))</f>
        <v/>
      </c>
      <c r="F203" s="12"/>
      <c r="G203" s="12"/>
      <c r="H203" s="73"/>
      <c r="I203" s="71"/>
      <c r="J203" s="73"/>
      <c r="K203" s="12"/>
      <c r="L203" s="20">
        <f t="shared" si="18"/>
        <v>0</v>
      </c>
      <c r="M203" s="19" t="str">
        <f t="shared" si="19"/>
        <v/>
      </c>
      <c r="N203" s="12"/>
      <c r="O203" s="119"/>
      <c r="P203" s="95" t="str">
        <f t="shared" si="20"/>
        <v/>
      </c>
      <c r="Q203" s="12"/>
      <c r="S203" s="128"/>
      <c r="T203" s="66"/>
      <c r="U203" s="128"/>
      <c r="W203" s="128"/>
      <c r="X203" s="12"/>
      <c r="Y203" t="str">
        <f t="shared" si="21"/>
        <v/>
      </c>
      <c r="Z203" t="str">
        <f t="shared" si="21"/>
        <v/>
      </c>
      <c r="AA203" s="12"/>
      <c r="AB203" s="95" t="e">
        <f t="shared" si="22"/>
        <v>#VALUE!</v>
      </c>
      <c r="AC203" s="95" t="e">
        <f t="shared" si="23"/>
        <v>#VALUE!</v>
      </c>
      <c r="AD203" s="12"/>
    </row>
    <row r="204" spans="1:30" ht="15.75" thickBot="1" x14ac:dyDescent="0.3">
      <c r="A204" s="12"/>
      <c r="B204" s="22"/>
      <c r="C204" t="str">
        <f>IF(AND('ENTRY DATA'!D204=""),"",('ENTRY DATA'!D204))</f>
        <v/>
      </c>
      <c r="D204" t="str">
        <f>IF(AND('ENTRY DATA'!F204=""),"",('ENTRY DATA'!F204))</f>
        <v/>
      </c>
      <c r="E204" s="34" t="str">
        <f>IF(AND('ENTRY DATA'!B204=""),"",('ENTRY DATA'!B204))</f>
        <v/>
      </c>
      <c r="F204" s="12"/>
      <c r="G204" s="12"/>
      <c r="H204" s="73"/>
      <c r="I204" s="71"/>
      <c r="J204" s="73"/>
      <c r="K204" s="12"/>
      <c r="L204" s="20">
        <f t="shared" si="18"/>
        <v>0</v>
      </c>
      <c r="M204" s="19" t="str">
        <f t="shared" si="19"/>
        <v/>
      </c>
      <c r="N204" s="12"/>
      <c r="O204" s="119"/>
      <c r="P204" s="95" t="str">
        <f t="shared" si="20"/>
        <v/>
      </c>
      <c r="Q204" s="12"/>
      <c r="S204" s="128"/>
      <c r="T204" s="66"/>
      <c r="U204" s="128"/>
      <c r="W204" s="128"/>
      <c r="X204" s="12"/>
      <c r="Y204" t="str">
        <f t="shared" si="21"/>
        <v/>
      </c>
      <c r="Z204" t="str">
        <f t="shared" si="21"/>
        <v/>
      </c>
      <c r="AA204" s="12"/>
      <c r="AB204" s="95" t="e">
        <f t="shared" si="22"/>
        <v>#VALUE!</v>
      </c>
      <c r="AC204" s="95" t="e">
        <f t="shared" si="23"/>
        <v>#VALUE!</v>
      </c>
      <c r="AD204" s="12"/>
    </row>
    <row r="205" spans="1:30" ht="15.75" thickBot="1" x14ac:dyDescent="0.3">
      <c r="A205" s="12"/>
      <c r="B205" s="22"/>
      <c r="C205" t="str">
        <f>IF(AND('ENTRY DATA'!D205=""),"",('ENTRY DATA'!D205))</f>
        <v/>
      </c>
      <c r="D205" t="str">
        <f>IF(AND('ENTRY DATA'!F205=""),"",('ENTRY DATA'!F205))</f>
        <v/>
      </c>
      <c r="E205" s="34" t="str">
        <f>IF(AND('ENTRY DATA'!B205=""),"",('ENTRY DATA'!B205))</f>
        <v/>
      </c>
      <c r="F205" s="12"/>
      <c r="G205" s="12"/>
      <c r="H205" s="73"/>
      <c r="I205" s="71"/>
      <c r="J205" s="73"/>
      <c r="K205" s="12"/>
      <c r="L205" s="20">
        <f t="shared" si="18"/>
        <v>0</v>
      </c>
      <c r="M205" s="19" t="str">
        <f t="shared" si="19"/>
        <v/>
      </c>
      <c r="N205" s="12"/>
      <c r="O205" s="119"/>
      <c r="P205" s="95" t="str">
        <f t="shared" si="20"/>
        <v/>
      </c>
      <c r="Q205" s="12"/>
      <c r="S205" s="128"/>
      <c r="T205" s="66"/>
      <c r="U205" s="128"/>
      <c r="W205" s="128"/>
      <c r="X205" s="12"/>
      <c r="Y205" t="str">
        <f t="shared" si="21"/>
        <v/>
      </c>
      <c r="Z205" t="str">
        <f t="shared" si="21"/>
        <v/>
      </c>
      <c r="AA205" s="12"/>
      <c r="AB205" s="95" t="e">
        <f t="shared" si="22"/>
        <v>#VALUE!</v>
      </c>
      <c r="AC205" s="95" t="e">
        <f t="shared" si="23"/>
        <v>#VALUE!</v>
      </c>
      <c r="AD205" s="12"/>
    </row>
    <row r="206" spans="1:30" ht="15.75" thickBot="1" x14ac:dyDescent="0.3">
      <c r="A206" s="12"/>
      <c r="B206" s="22"/>
      <c r="C206" t="str">
        <f>IF(AND('ENTRY DATA'!D206=""),"",('ENTRY DATA'!D206))</f>
        <v/>
      </c>
      <c r="D206" t="str">
        <f>IF(AND('ENTRY DATA'!F206=""),"",('ENTRY DATA'!F206))</f>
        <v/>
      </c>
      <c r="E206" s="34" t="str">
        <f>IF(AND('ENTRY DATA'!B206=""),"",('ENTRY DATA'!B206))</f>
        <v/>
      </c>
      <c r="F206" s="12"/>
      <c r="G206" s="12"/>
      <c r="H206" s="73"/>
      <c r="I206" s="71"/>
      <c r="J206" s="73"/>
      <c r="K206" s="12"/>
      <c r="L206" s="20">
        <f t="shared" si="18"/>
        <v>0</v>
      </c>
      <c r="M206" s="19" t="str">
        <f t="shared" si="19"/>
        <v/>
      </c>
      <c r="N206" s="12"/>
      <c r="O206" s="119"/>
      <c r="P206" s="95" t="str">
        <f t="shared" si="20"/>
        <v/>
      </c>
      <c r="Q206" s="12"/>
      <c r="S206" s="128"/>
      <c r="T206" s="66"/>
      <c r="U206" s="128"/>
      <c r="W206" s="128"/>
      <c r="X206" s="12"/>
      <c r="Y206" t="str">
        <f t="shared" si="21"/>
        <v/>
      </c>
      <c r="Z206" t="str">
        <f t="shared" si="21"/>
        <v/>
      </c>
      <c r="AA206" s="12"/>
      <c r="AB206" s="95" t="e">
        <f t="shared" si="22"/>
        <v>#VALUE!</v>
      </c>
      <c r="AC206" s="95" t="e">
        <f t="shared" si="23"/>
        <v>#VALUE!</v>
      </c>
      <c r="AD206" s="12"/>
    </row>
    <row r="207" spans="1:30" ht="15.75" thickBot="1" x14ac:dyDescent="0.3">
      <c r="A207" s="12"/>
      <c r="B207" s="22"/>
      <c r="C207" t="str">
        <f>IF(AND('ENTRY DATA'!D207=""),"",('ENTRY DATA'!D207))</f>
        <v/>
      </c>
      <c r="D207" t="str">
        <f>IF(AND('ENTRY DATA'!F207=""),"",('ENTRY DATA'!F207))</f>
        <v/>
      </c>
      <c r="E207" s="34" t="str">
        <f>IF(AND('ENTRY DATA'!B207=""),"",('ENTRY DATA'!B207))</f>
        <v/>
      </c>
      <c r="F207" s="12"/>
      <c r="G207" s="12"/>
      <c r="H207" s="73"/>
      <c r="I207" s="71"/>
      <c r="J207" s="73"/>
      <c r="K207" s="12"/>
      <c r="L207" s="20">
        <f t="shared" si="18"/>
        <v>0</v>
      </c>
      <c r="M207" s="19" t="str">
        <f t="shared" si="19"/>
        <v/>
      </c>
      <c r="N207" s="12"/>
      <c r="O207" s="119"/>
      <c r="P207" s="95" t="str">
        <f t="shared" si="20"/>
        <v/>
      </c>
      <c r="Q207" s="12"/>
      <c r="S207" s="128"/>
      <c r="T207" s="66"/>
      <c r="U207" s="128"/>
      <c r="W207" s="128"/>
      <c r="X207" s="12"/>
      <c r="Y207" t="str">
        <f t="shared" si="21"/>
        <v/>
      </c>
      <c r="Z207" t="str">
        <f t="shared" si="21"/>
        <v/>
      </c>
      <c r="AA207" s="12"/>
      <c r="AB207" s="95" t="e">
        <f t="shared" si="22"/>
        <v>#VALUE!</v>
      </c>
      <c r="AC207" s="95" t="e">
        <f t="shared" si="23"/>
        <v>#VALUE!</v>
      </c>
      <c r="AD207" s="12"/>
    </row>
    <row r="208" spans="1:30" ht="15.75" thickBot="1" x14ac:dyDescent="0.3">
      <c r="A208" s="12"/>
      <c r="B208" s="22"/>
      <c r="C208" t="str">
        <f>IF(AND('ENTRY DATA'!D208=""),"",('ENTRY DATA'!D208))</f>
        <v/>
      </c>
      <c r="D208" t="str">
        <f>IF(AND('ENTRY DATA'!F208=""),"",('ENTRY DATA'!F208))</f>
        <v/>
      </c>
      <c r="E208" s="34" t="str">
        <f>IF(AND('ENTRY DATA'!B208=""),"",('ENTRY DATA'!B208))</f>
        <v/>
      </c>
      <c r="F208" s="12"/>
      <c r="G208" s="12"/>
      <c r="H208" s="73"/>
      <c r="I208" s="71"/>
      <c r="J208" s="73"/>
      <c r="K208" s="12"/>
      <c r="L208" s="20">
        <f t="shared" si="18"/>
        <v>0</v>
      </c>
      <c r="M208" s="19" t="str">
        <f t="shared" si="19"/>
        <v/>
      </c>
      <c r="N208" s="12"/>
      <c r="O208" s="119"/>
      <c r="P208" s="95" t="str">
        <f t="shared" si="20"/>
        <v/>
      </c>
      <c r="Q208" s="12"/>
      <c r="S208" s="128"/>
      <c r="T208" s="66"/>
      <c r="U208" s="128"/>
      <c r="W208" s="128"/>
      <c r="X208" s="12"/>
      <c r="Y208" t="str">
        <f t="shared" si="21"/>
        <v/>
      </c>
      <c r="Z208" t="str">
        <f t="shared" si="21"/>
        <v/>
      </c>
      <c r="AA208" s="12"/>
      <c r="AB208" s="95" t="e">
        <f t="shared" si="22"/>
        <v>#VALUE!</v>
      </c>
      <c r="AC208" s="95" t="e">
        <f t="shared" si="23"/>
        <v>#VALUE!</v>
      </c>
      <c r="AD208" s="12"/>
    </row>
    <row r="209" spans="1:30" ht="15.75" thickBot="1" x14ac:dyDescent="0.3">
      <c r="A209" s="12"/>
      <c r="B209" s="22"/>
      <c r="C209" t="str">
        <f>IF(AND('ENTRY DATA'!D209=""),"",('ENTRY DATA'!D209))</f>
        <v/>
      </c>
      <c r="D209" t="str">
        <f>IF(AND('ENTRY DATA'!F209=""),"",('ENTRY DATA'!F209))</f>
        <v/>
      </c>
      <c r="E209" s="34" t="str">
        <f>IF(AND('ENTRY DATA'!B209=""),"",('ENTRY DATA'!B209))</f>
        <v/>
      </c>
      <c r="F209" s="12"/>
      <c r="G209" s="12"/>
      <c r="H209" s="73"/>
      <c r="I209" s="71"/>
      <c r="J209" s="73"/>
      <c r="K209" s="12"/>
      <c r="L209" s="20">
        <f t="shared" si="18"/>
        <v>0</v>
      </c>
      <c r="M209" s="19" t="str">
        <f t="shared" si="19"/>
        <v/>
      </c>
      <c r="N209" s="12"/>
      <c r="O209" s="119"/>
      <c r="P209" s="95" t="str">
        <f t="shared" si="20"/>
        <v/>
      </c>
      <c r="Q209" s="12"/>
      <c r="S209" s="128"/>
      <c r="T209" s="66"/>
      <c r="U209" s="128"/>
      <c r="W209" s="128"/>
      <c r="X209" s="12"/>
      <c r="Y209" t="str">
        <f t="shared" si="21"/>
        <v/>
      </c>
      <c r="Z209" t="str">
        <f t="shared" si="21"/>
        <v/>
      </c>
      <c r="AA209" s="12"/>
      <c r="AB209" s="95" t="e">
        <f t="shared" si="22"/>
        <v>#VALUE!</v>
      </c>
      <c r="AC209" s="95" t="e">
        <f t="shared" si="23"/>
        <v>#VALUE!</v>
      </c>
      <c r="AD209" s="12"/>
    </row>
    <row r="210" spans="1:30" ht="15.75" thickBot="1" x14ac:dyDescent="0.3">
      <c r="A210" s="12"/>
      <c r="B210" s="22"/>
      <c r="C210" t="str">
        <f>IF(AND('ENTRY DATA'!D210=""),"",('ENTRY DATA'!D210))</f>
        <v/>
      </c>
      <c r="D210" t="str">
        <f>IF(AND('ENTRY DATA'!F210=""),"",('ENTRY DATA'!F210))</f>
        <v/>
      </c>
      <c r="E210" s="34" t="str">
        <f>IF(AND('ENTRY DATA'!B210=""),"",('ENTRY DATA'!B210))</f>
        <v/>
      </c>
      <c r="F210" s="12"/>
      <c r="G210" s="12"/>
      <c r="H210" s="73"/>
      <c r="I210" s="71"/>
      <c r="J210" s="73"/>
      <c r="K210" s="12"/>
      <c r="L210" s="20">
        <f t="shared" si="18"/>
        <v>0</v>
      </c>
      <c r="M210" s="19" t="str">
        <f t="shared" si="19"/>
        <v/>
      </c>
      <c r="N210" s="12"/>
      <c r="O210" s="119"/>
      <c r="P210" s="95" t="str">
        <f t="shared" si="20"/>
        <v/>
      </c>
      <c r="Q210" s="12"/>
      <c r="S210" s="128"/>
      <c r="T210" s="66"/>
      <c r="U210" s="128"/>
      <c r="W210" s="128"/>
      <c r="X210" s="12"/>
      <c r="Y210" t="str">
        <f t="shared" si="21"/>
        <v/>
      </c>
      <c r="Z210" t="str">
        <f t="shared" si="21"/>
        <v/>
      </c>
      <c r="AA210" s="12"/>
      <c r="AB210" s="95" t="e">
        <f t="shared" si="22"/>
        <v>#VALUE!</v>
      </c>
      <c r="AC210" s="95" t="e">
        <f t="shared" si="23"/>
        <v>#VALUE!</v>
      </c>
      <c r="AD210" s="12"/>
    </row>
    <row r="211" spans="1:30" ht="15.75" thickBot="1" x14ac:dyDescent="0.3">
      <c r="A211" s="12"/>
      <c r="B211" s="22"/>
      <c r="C211" t="str">
        <f>IF(AND('ENTRY DATA'!D211=""),"",('ENTRY DATA'!D211))</f>
        <v/>
      </c>
      <c r="D211" t="str">
        <f>IF(AND('ENTRY DATA'!F211=""),"",('ENTRY DATA'!F211))</f>
        <v/>
      </c>
      <c r="E211" s="34" t="str">
        <f>IF(AND('ENTRY DATA'!B211=""),"",('ENTRY DATA'!B211))</f>
        <v/>
      </c>
      <c r="F211" s="12"/>
      <c r="G211" s="12"/>
      <c r="H211" s="73"/>
      <c r="I211" s="71"/>
      <c r="J211" s="73"/>
      <c r="K211" s="12"/>
      <c r="L211" s="20">
        <f t="shared" si="18"/>
        <v>0</v>
      </c>
      <c r="M211" s="19" t="str">
        <f t="shared" si="19"/>
        <v/>
      </c>
      <c r="N211" s="12"/>
      <c r="O211" s="119"/>
      <c r="P211" s="95" t="str">
        <f t="shared" si="20"/>
        <v/>
      </c>
      <c r="Q211" s="12"/>
      <c r="S211" s="128"/>
      <c r="T211" s="66"/>
      <c r="U211" s="128"/>
      <c r="W211" s="128"/>
      <c r="X211" s="12"/>
      <c r="Y211" t="str">
        <f t="shared" si="21"/>
        <v/>
      </c>
      <c r="Z211" t="str">
        <f t="shared" si="21"/>
        <v/>
      </c>
      <c r="AA211" s="12"/>
      <c r="AB211" s="95" t="e">
        <f t="shared" si="22"/>
        <v>#VALUE!</v>
      </c>
      <c r="AC211" s="95" t="e">
        <f t="shared" si="23"/>
        <v>#VALUE!</v>
      </c>
      <c r="AD211" s="12"/>
    </row>
    <row r="212" spans="1:30" ht="15.75" thickBot="1" x14ac:dyDescent="0.3">
      <c r="A212" s="12"/>
      <c r="B212" s="22"/>
      <c r="C212" t="str">
        <f>IF(AND('ENTRY DATA'!D212=""),"",('ENTRY DATA'!D212))</f>
        <v/>
      </c>
      <c r="D212" t="str">
        <f>IF(AND('ENTRY DATA'!F212=""),"",('ENTRY DATA'!F212))</f>
        <v/>
      </c>
      <c r="E212" s="34" t="str">
        <f>IF(AND('ENTRY DATA'!B212=""),"",('ENTRY DATA'!B212))</f>
        <v/>
      </c>
      <c r="F212" s="12"/>
      <c r="G212" s="12"/>
      <c r="H212" s="73"/>
      <c r="I212" s="71"/>
      <c r="J212" s="73"/>
      <c r="K212" s="12"/>
      <c r="L212" s="20">
        <f t="shared" si="18"/>
        <v>0</v>
      </c>
      <c r="M212" s="19" t="str">
        <f t="shared" si="19"/>
        <v/>
      </c>
      <c r="N212" s="12"/>
      <c r="O212" s="119"/>
      <c r="P212" s="95" t="str">
        <f t="shared" si="20"/>
        <v/>
      </c>
      <c r="Q212" s="12"/>
      <c r="S212" s="128"/>
      <c r="T212" s="66"/>
      <c r="U212" s="128"/>
      <c r="W212" s="128"/>
      <c r="X212" s="12"/>
      <c r="Y212" t="str">
        <f t="shared" si="21"/>
        <v/>
      </c>
      <c r="Z212" t="str">
        <f t="shared" si="21"/>
        <v/>
      </c>
      <c r="AA212" s="12"/>
      <c r="AB212" s="95" t="e">
        <f t="shared" si="22"/>
        <v>#VALUE!</v>
      </c>
      <c r="AC212" s="95" t="e">
        <f t="shared" si="23"/>
        <v>#VALUE!</v>
      </c>
      <c r="AD212" s="12"/>
    </row>
    <row r="213" spans="1:30" ht="15.75" thickBot="1" x14ac:dyDescent="0.3">
      <c r="A213" s="12"/>
      <c r="B213" s="22"/>
      <c r="C213" t="str">
        <f>IF(AND('ENTRY DATA'!D213=""),"",('ENTRY DATA'!D213))</f>
        <v/>
      </c>
      <c r="D213" t="str">
        <f>IF(AND('ENTRY DATA'!F213=""),"",('ENTRY DATA'!F213))</f>
        <v/>
      </c>
      <c r="E213" s="34" t="str">
        <f>IF(AND('ENTRY DATA'!B213=""),"",('ENTRY DATA'!B213))</f>
        <v/>
      </c>
      <c r="F213" s="12"/>
      <c r="G213" s="12"/>
      <c r="H213" s="73"/>
      <c r="I213" s="71"/>
      <c r="J213" s="73"/>
      <c r="K213" s="12"/>
      <c r="L213" s="20">
        <f t="shared" si="18"/>
        <v>0</v>
      </c>
      <c r="M213" s="19" t="str">
        <f t="shared" si="19"/>
        <v/>
      </c>
      <c r="N213" s="12"/>
      <c r="O213" s="119"/>
      <c r="P213" s="95" t="str">
        <f t="shared" si="20"/>
        <v/>
      </c>
      <c r="Q213" s="12"/>
      <c r="S213" s="128"/>
      <c r="T213" s="66"/>
      <c r="U213" s="128"/>
      <c r="W213" s="128"/>
      <c r="X213" s="12"/>
      <c r="Y213" t="str">
        <f t="shared" si="21"/>
        <v/>
      </c>
      <c r="Z213" t="str">
        <f t="shared" si="21"/>
        <v/>
      </c>
      <c r="AA213" s="12"/>
      <c r="AB213" s="95" t="e">
        <f t="shared" si="22"/>
        <v>#VALUE!</v>
      </c>
      <c r="AC213" s="95" t="e">
        <f t="shared" si="23"/>
        <v>#VALUE!</v>
      </c>
      <c r="AD213" s="12"/>
    </row>
    <row r="214" spans="1:30" ht="15.75" thickBot="1" x14ac:dyDescent="0.3">
      <c r="A214" s="12"/>
      <c r="B214" s="22"/>
      <c r="C214" t="str">
        <f>IF(AND('ENTRY DATA'!D214=""),"",('ENTRY DATA'!D214))</f>
        <v/>
      </c>
      <c r="D214" t="str">
        <f>IF(AND('ENTRY DATA'!F214=""),"",('ENTRY DATA'!F214))</f>
        <v/>
      </c>
      <c r="E214" s="34" t="str">
        <f>IF(AND('ENTRY DATA'!B214=""),"",('ENTRY DATA'!B214))</f>
        <v/>
      </c>
      <c r="F214" s="12"/>
      <c r="G214" s="12"/>
      <c r="H214" s="73"/>
      <c r="I214" s="71"/>
      <c r="J214" s="73"/>
      <c r="K214" s="12"/>
      <c r="L214" s="20">
        <f t="shared" si="18"/>
        <v>0</v>
      </c>
      <c r="M214" s="19" t="str">
        <f t="shared" si="19"/>
        <v/>
      </c>
      <c r="N214" s="12"/>
      <c r="O214" s="119"/>
      <c r="P214" s="95" t="str">
        <f t="shared" si="20"/>
        <v/>
      </c>
      <c r="Q214" s="12"/>
      <c r="S214" s="128"/>
      <c r="T214" s="66"/>
      <c r="U214" s="128"/>
      <c r="W214" s="128"/>
      <c r="X214" s="12"/>
      <c r="Y214" t="str">
        <f t="shared" si="21"/>
        <v/>
      </c>
      <c r="Z214" t="str">
        <f t="shared" si="21"/>
        <v/>
      </c>
      <c r="AA214" s="12"/>
      <c r="AB214" s="95" t="e">
        <f t="shared" si="22"/>
        <v>#VALUE!</v>
      </c>
      <c r="AC214" s="95" t="e">
        <f t="shared" si="23"/>
        <v>#VALUE!</v>
      </c>
      <c r="AD214" s="12"/>
    </row>
    <row r="215" spans="1:30" ht="15.75" thickBot="1" x14ac:dyDescent="0.3">
      <c r="A215" s="12"/>
      <c r="B215" s="22"/>
      <c r="C215" t="str">
        <f>IF(AND('ENTRY DATA'!D215=""),"",('ENTRY DATA'!D215))</f>
        <v/>
      </c>
      <c r="D215" t="str">
        <f>IF(AND('ENTRY DATA'!F215=""),"",('ENTRY DATA'!F215))</f>
        <v/>
      </c>
      <c r="E215" s="34" t="str">
        <f>IF(AND('ENTRY DATA'!B215=""),"",('ENTRY DATA'!B215))</f>
        <v/>
      </c>
      <c r="F215" s="12"/>
      <c r="G215" s="12"/>
      <c r="H215" s="73"/>
      <c r="I215" s="71"/>
      <c r="J215" s="73"/>
      <c r="K215" s="12"/>
      <c r="L215" s="20">
        <f t="shared" si="18"/>
        <v>0</v>
      </c>
      <c r="M215" s="19" t="str">
        <f t="shared" si="19"/>
        <v/>
      </c>
      <c r="N215" s="12"/>
      <c r="O215" s="119"/>
      <c r="P215" s="95" t="str">
        <f t="shared" si="20"/>
        <v/>
      </c>
      <c r="Q215" s="12"/>
      <c r="S215" s="128"/>
      <c r="T215" s="66"/>
      <c r="U215" s="128"/>
      <c r="W215" s="128"/>
      <c r="X215" s="12"/>
      <c r="Y215" t="str">
        <f t="shared" si="21"/>
        <v/>
      </c>
      <c r="Z215" t="str">
        <f t="shared" si="21"/>
        <v/>
      </c>
      <c r="AA215" s="12"/>
      <c r="AB215" s="95" t="e">
        <f t="shared" si="22"/>
        <v>#VALUE!</v>
      </c>
      <c r="AC215" s="95" t="e">
        <f t="shared" si="23"/>
        <v>#VALUE!</v>
      </c>
      <c r="AD215" s="12"/>
    </row>
    <row r="216" spans="1:30" ht="15.75" thickBot="1" x14ac:dyDescent="0.3">
      <c r="A216" s="12"/>
      <c r="B216" s="22"/>
      <c r="C216" t="str">
        <f>IF(AND('ENTRY DATA'!D216=""),"",('ENTRY DATA'!D216))</f>
        <v/>
      </c>
      <c r="D216" t="str">
        <f>IF(AND('ENTRY DATA'!F216=""),"",('ENTRY DATA'!F216))</f>
        <v/>
      </c>
      <c r="E216" s="34" t="str">
        <f>IF(AND('ENTRY DATA'!B216=""),"",('ENTRY DATA'!B216))</f>
        <v/>
      </c>
      <c r="F216" s="12"/>
      <c r="G216" s="12"/>
      <c r="H216" s="73"/>
      <c r="I216" s="71"/>
      <c r="J216" s="73"/>
      <c r="K216" s="12"/>
      <c r="L216" s="20">
        <f t="shared" si="18"/>
        <v>0</v>
      </c>
      <c r="M216" s="19" t="str">
        <f t="shared" si="19"/>
        <v/>
      </c>
      <c r="N216" s="12"/>
      <c r="O216" s="119"/>
      <c r="P216" s="95" t="str">
        <f t="shared" si="20"/>
        <v/>
      </c>
      <c r="Q216" s="12"/>
      <c r="S216" s="128"/>
      <c r="T216" s="66"/>
      <c r="U216" s="128"/>
      <c r="W216" s="128"/>
      <c r="X216" s="12"/>
      <c r="Y216" t="str">
        <f t="shared" si="21"/>
        <v/>
      </c>
      <c r="Z216" t="str">
        <f t="shared" si="21"/>
        <v/>
      </c>
      <c r="AA216" s="12"/>
      <c r="AB216" s="95" t="e">
        <f t="shared" si="22"/>
        <v>#VALUE!</v>
      </c>
      <c r="AC216" s="95" t="e">
        <f t="shared" si="23"/>
        <v>#VALUE!</v>
      </c>
      <c r="AD216" s="12"/>
    </row>
    <row r="217" spans="1:30" ht="15.75" thickBot="1" x14ac:dyDescent="0.3">
      <c r="A217" s="12"/>
      <c r="B217" s="22"/>
      <c r="C217" t="str">
        <f>IF(AND('ENTRY DATA'!D217=""),"",('ENTRY DATA'!D217))</f>
        <v/>
      </c>
      <c r="D217" t="str">
        <f>IF(AND('ENTRY DATA'!F217=""),"",('ENTRY DATA'!F217))</f>
        <v/>
      </c>
      <c r="E217" s="34" t="str">
        <f>IF(AND('ENTRY DATA'!B217=""),"",('ENTRY DATA'!B217))</f>
        <v/>
      </c>
      <c r="F217" s="12"/>
      <c r="G217" s="12"/>
      <c r="H217" s="73"/>
      <c r="I217" s="71"/>
      <c r="J217" s="73"/>
      <c r="K217" s="12"/>
      <c r="L217" s="20">
        <f t="shared" si="18"/>
        <v>0</v>
      </c>
      <c r="M217" s="19" t="str">
        <f t="shared" si="19"/>
        <v/>
      </c>
      <c r="N217" s="12"/>
      <c r="O217" s="119"/>
      <c r="P217" s="95" t="str">
        <f t="shared" si="20"/>
        <v/>
      </c>
      <c r="Q217" s="12"/>
      <c r="S217" s="128"/>
      <c r="T217" s="66"/>
      <c r="U217" s="128"/>
      <c r="W217" s="128"/>
      <c r="X217" s="12"/>
      <c r="Y217" t="str">
        <f t="shared" si="21"/>
        <v/>
      </c>
      <c r="Z217" t="str">
        <f t="shared" si="21"/>
        <v/>
      </c>
      <c r="AA217" s="12"/>
      <c r="AB217" s="95" t="e">
        <f t="shared" si="22"/>
        <v>#VALUE!</v>
      </c>
      <c r="AC217" s="95" t="e">
        <f t="shared" si="23"/>
        <v>#VALUE!</v>
      </c>
      <c r="AD217" s="12"/>
    </row>
    <row r="218" spans="1:30" ht="15.75" thickBot="1" x14ac:dyDescent="0.3">
      <c r="A218" s="12"/>
      <c r="B218" s="22"/>
      <c r="C218" t="str">
        <f>IF(AND('ENTRY DATA'!D218=""),"",('ENTRY DATA'!D218))</f>
        <v/>
      </c>
      <c r="D218" t="str">
        <f>IF(AND('ENTRY DATA'!F218=""),"",('ENTRY DATA'!F218))</f>
        <v/>
      </c>
      <c r="E218" s="34" t="str">
        <f>IF(AND('ENTRY DATA'!B218=""),"",('ENTRY DATA'!B218))</f>
        <v/>
      </c>
      <c r="F218" s="12"/>
      <c r="G218" s="12"/>
      <c r="H218" s="73"/>
      <c r="I218" s="71"/>
      <c r="J218" s="73"/>
      <c r="K218" s="12"/>
      <c r="L218" s="20">
        <f t="shared" si="18"/>
        <v>0</v>
      </c>
      <c r="M218" s="19" t="str">
        <f t="shared" si="19"/>
        <v/>
      </c>
      <c r="N218" s="12"/>
      <c r="O218" s="119"/>
      <c r="P218" s="95" t="str">
        <f t="shared" si="20"/>
        <v/>
      </c>
      <c r="Q218" s="12"/>
      <c r="S218" s="128"/>
      <c r="T218" s="66"/>
      <c r="U218" s="128"/>
      <c r="W218" s="128"/>
      <c r="X218" s="12"/>
      <c r="Y218" t="str">
        <f t="shared" si="21"/>
        <v/>
      </c>
      <c r="Z218" t="str">
        <f t="shared" si="21"/>
        <v/>
      </c>
      <c r="AA218" s="12"/>
      <c r="AB218" s="95" t="e">
        <f t="shared" si="22"/>
        <v>#VALUE!</v>
      </c>
      <c r="AC218" s="95" t="e">
        <f t="shared" si="23"/>
        <v>#VALUE!</v>
      </c>
      <c r="AD218" s="12"/>
    </row>
    <row r="219" spans="1:30" ht="15.75" thickBot="1" x14ac:dyDescent="0.3">
      <c r="A219" s="12"/>
      <c r="B219" s="22"/>
      <c r="C219" t="str">
        <f>IF(AND('ENTRY DATA'!D219=""),"",('ENTRY DATA'!D219))</f>
        <v/>
      </c>
      <c r="D219" t="str">
        <f>IF(AND('ENTRY DATA'!F219=""),"",('ENTRY DATA'!F219))</f>
        <v/>
      </c>
      <c r="E219" s="34" t="str">
        <f>IF(AND('ENTRY DATA'!B219=""),"",('ENTRY DATA'!B219))</f>
        <v/>
      </c>
      <c r="F219" s="12"/>
      <c r="G219" s="12"/>
      <c r="H219" s="73"/>
      <c r="I219" s="71"/>
      <c r="J219" s="73"/>
      <c r="K219" s="12"/>
      <c r="L219" s="20">
        <f t="shared" si="18"/>
        <v>0</v>
      </c>
      <c r="M219" s="19" t="str">
        <f t="shared" si="19"/>
        <v/>
      </c>
      <c r="N219" s="12"/>
      <c r="O219" s="119"/>
      <c r="P219" s="95" t="str">
        <f t="shared" si="20"/>
        <v/>
      </c>
      <c r="Q219" s="12"/>
      <c r="S219" s="128"/>
      <c r="T219" s="66"/>
      <c r="U219" s="128"/>
      <c r="W219" s="128"/>
      <c r="X219" s="12"/>
      <c r="Y219" t="str">
        <f t="shared" si="21"/>
        <v/>
      </c>
      <c r="Z219" t="str">
        <f t="shared" si="21"/>
        <v/>
      </c>
      <c r="AA219" s="12"/>
      <c r="AB219" s="95" t="e">
        <f t="shared" si="22"/>
        <v>#VALUE!</v>
      </c>
      <c r="AC219" s="95" t="e">
        <f t="shared" si="23"/>
        <v>#VALUE!</v>
      </c>
      <c r="AD219" s="12"/>
    </row>
    <row r="220" spans="1:30" ht="15.75" thickBot="1" x14ac:dyDescent="0.3">
      <c r="A220" s="12"/>
      <c r="B220" s="22"/>
      <c r="C220" t="str">
        <f>IF(AND('ENTRY DATA'!D220=""),"",('ENTRY DATA'!D220))</f>
        <v/>
      </c>
      <c r="D220" t="str">
        <f>IF(AND('ENTRY DATA'!F220=""),"",('ENTRY DATA'!F220))</f>
        <v/>
      </c>
      <c r="E220" s="34" t="str">
        <f>IF(AND('ENTRY DATA'!B220=""),"",('ENTRY DATA'!B220))</f>
        <v/>
      </c>
      <c r="F220" s="12"/>
      <c r="G220" s="12"/>
      <c r="H220" s="73"/>
      <c r="I220" s="71"/>
      <c r="J220" s="73"/>
      <c r="K220" s="12"/>
      <c r="L220" s="20">
        <f t="shared" si="18"/>
        <v>0</v>
      </c>
      <c r="M220" s="19" t="str">
        <f t="shared" si="19"/>
        <v/>
      </c>
      <c r="N220" s="12"/>
      <c r="O220" s="119"/>
      <c r="P220" s="95" t="str">
        <f t="shared" si="20"/>
        <v/>
      </c>
      <c r="Q220" s="12"/>
      <c r="S220" s="128"/>
      <c r="T220" s="66"/>
      <c r="U220" s="128"/>
      <c r="W220" s="128"/>
      <c r="X220" s="12"/>
      <c r="Y220" t="str">
        <f t="shared" si="21"/>
        <v/>
      </c>
      <c r="Z220" t="str">
        <f t="shared" si="21"/>
        <v/>
      </c>
      <c r="AA220" s="12"/>
      <c r="AB220" s="95" t="e">
        <f t="shared" si="22"/>
        <v>#VALUE!</v>
      </c>
      <c r="AC220" s="95" t="e">
        <f t="shared" si="23"/>
        <v>#VALUE!</v>
      </c>
      <c r="AD220" s="12"/>
    </row>
    <row r="221" spans="1:30" ht="15.75" thickBot="1" x14ac:dyDescent="0.3">
      <c r="A221" s="12"/>
      <c r="B221" s="22"/>
      <c r="C221" t="str">
        <f>IF(AND('ENTRY DATA'!D221=""),"",('ENTRY DATA'!D221))</f>
        <v/>
      </c>
      <c r="D221" t="str">
        <f>IF(AND('ENTRY DATA'!F221=""),"",('ENTRY DATA'!F221))</f>
        <v/>
      </c>
      <c r="E221" s="34" t="str">
        <f>IF(AND('ENTRY DATA'!B221=""),"",('ENTRY DATA'!B221))</f>
        <v/>
      </c>
      <c r="F221" s="12"/>
      <c r="G221" s="12"/>
      <c r="H221" s="73"/>
      <c r="I221" s="71"/>
      <c r="J221" s="73"/>
      <c r="K221" s="12"/>
      <c r="L221" s="20">
        <f t="shared" si="18"/>
        <v>0</v>
      </c>
      <c r="M221" s="19" t="str">
        <f t="shared" si="19"/>
        <v/>
      </c>
      <c r="N221" s="12"/>
      <c r="O221" s="119"/>
      <c r="P221" s="95" t="str">
        <f t="shared" si="20"/>
        <v/>
      </c>
      <c r="Q221" s="12"/>
      <c r="S221" s="128"/>
      <c r="T221" s="66"/>
      <c r="U221" s="128"/>
      <c r="W221" s="128"/>
      <c r="X221" s="12"/>
      <c r="Y221" t="str">
        <f t="shared" si="21"/>
        <v/>
      </c>
      <c r="Z221" t="str">
        <f t="shared" si="21"/>
        <v/>
      </c>
      <c r="AA221" s="12"/>
      <c r="AB221" s="95" t="e">
        <f t="shared" si="22"/>
        <v>#VALUE!</v>
      </c>
      <c r="AC221" s="95" t="e">
        <f t="shared" si="23"/>
        <v>#VALUE!</v>
      </c>
      <c r="AD221" s="12"/>
    </row>
    <row r="222" spans="1:30" ht="15.75" thickBot="1" x14ac:dyDescent="0.3">
      <c r="A222" s="12"/>
      <c r="B222" s="22"/>
      <c r="C222" t="str">
        <f>IF(AND('ENTRY DATA'!D222=""),"",('ENTRY DATA'!D222))</f>
        <v/>
      </c>
      <c r="D222" t="str">
        <f>IF(AND('ENTRY DATA'!F222=""),"",('ENTRY DATA'!F222))</f>
        <v/>
      </c>
      <c r="E222" s="34" t="str">
        <f>IF(AND('ENTRY DATA'!B222=""),"",('ENTRY DATA'!B222))</f>
        <v/>
      </c>
      <c r="F222" s="12"/>
      <c r="G222" s="12"/>
      <c r="H222" s="73"/>
      <c r="I222" s="71"/>
      <c r="J222" s="73"/>
      <c r="K222" s="12"/>
      <c r="L222" s="20">
        <f t="shared" si="18"/>
        <v>0</v>
      </c>
      <c r="M222" s="19" t="str">
        <f t="shared" si="19"/>
        <v/>
      </c>
      <c r="N222" s="12"/>
      <c r="O222" s="119"/>
      <c r="P222" s="95" t="str">
        <f t="shared" si="20"/>
        <v/>
      </c>
      <c r="Q222" s="12"/>
      <c r="S222" s="128"/>
      <c r="T222" s="66"/>
      <c r="U222" s="128"/>
      <c r="W222" s="128"/>
      <c r="X222" s="12"/>
      <c r="Y222" t="str">
        <f t="shared" si="21"/>
        <v/>
      </c>
      <c r="Z222" t="str">
        <f t="shared" si="21"/>
        <v/>
      </c>
      <c r="AA222" s="12"/>
      <c r="AB222" s="95" t="e">
        <f t="shared" si="22"/>
        <v>#VALUE!</v>
      </c>
      <c r="AC222" s="95" t="e">
        <f t="shared" si="23"/>
        <v>#VALUE!</v>
      </c>
      <c r="AD222" s="12"/>
    </row>
    <row r="223" spans="1:30" ht="15.75" thickBot="1" x14ac:dyDescent="0.3">
      <c r="A223" s="12"/>
      <c r="B223" s="22"/>
      <c r="C223" t="str">
        <f>IF(AND('ENTRY DATA'!D223=""),"",('ENTRY DATA'!D223))</f>
        <v/>
      </c>
      <c r="D223" t="str">
        <f>IF(AND('ENTRY DATA'!F223=""),"",('ENTRY DATA'!F223))</f>
        <v/>
      </c>
      <c r="E223" s="34" t="str">
        <f>IF(AND('ENTRY DATA'!B223=""),"",('ENTRY DATA'!B223))</f>
        <v/>
      </c>
      <c r="F223" s="12"/>
      <c r="G223" s="12"/>
      <c r="H223" s="73"/>
      <c r="I223" s="71"/>
      <c r="J223" s="73"/>
      <c r="K223" s="12"/>
      <c r="L223" s="20">
        <f t="shared" si="18"/>
        <v>0</v>
      </c>
      <c r="M223" s="19" t="str">
        <f t="shared" si="19"/>
        <v/>
      </c>
      <c r="N223" s="12"/>
      <c r="O223" s="119"/>
      <c r="P223" s="95" t="str">
        <f t="shared" si="20"/>
        <v/>
      </c>
      <c r="Q223" s="12"/>
      <c r="S223" s="128"/>
      <c r="T223" s="66"/>
      <c r="U223" s="128"/>
      <c r="W223" s="128"/>
      <c r="X223" s="12"/>
      <c r="Y223" t="str">
        <f t="shared" si="21"/>
        <v/>
      </c>
      <c r="Z223" t="str">
        <f t="shared" si="21"/>
        <v/>
      </c>
      <c r="AA223" s="12"/>
      <c r="AB223" s="95" t="e">
        <f t="shared" si="22"/>
        <v>#VALUE!</v>
      </c>
      <c r="AC223" s="95" t="e">
        <f t="shared" si="23"/>
        <v>#VALUE!</v>
      </c>
      <c r="AD223" s="12"/>
    </row>
    <row r="224" spans="1:30" ht="15.75" thickBot="1" x14ac:dyDescent="0.3">
      <c r="A224" s="12"/>
      <c r="B224" s="22"/>
      <c r="C224" t="str">
        <f>IF(AND('ENTRY DATA'!D224=""),"",('ENTRY DATA'!D224))</f>
        <v/>
      </c>
      <c r="D224" t="str">
        <f>IF(AND('ENTRY DATA'!F224=""),"",('ENTRY DATA'!F224))</f>
        <v/>
      </c>
      <c r="E224" s="34" t="str">
        <f>IF(AND('ENTRY DATA'!B224=""),"",('ENTRY DATA'!B224))</f>
        <v/>
      </c>
      <c r="F224" s="12"/>
      <c r="G224" s="12"/>
      <c r="H224" s="73"/>
      <c r="I224" s="71"/>
      <c r="J224" s="73"/>
      <c r="K224" s="12"/>
      <c r="L224" s="20">
        <f t="shared" si="18"/>
        <v>0</v>
      </c>
      <c r="M224" s="19" t="str">
        <f t="shared" si="19"/>
        <v/>
      </c>
      <c r="N224" s="12"/>
      <c r="O224" s="119"/>
      <c r="P224" s="95" t="str">
        <f t="shared" si="20"/>
        <v/>
      </c>
      <c r="Q224" s="12"/>
      <c r="S224" s="128"/>
      <c r="T224" s="66"/>
      <c r="U224" s="128"/>
      <c r="W224" s="128"/>
      <c r="X224" s="12"/>
      <c r="Y224" t="str">
        <f t="shared" si="21"/>
        <v/>
      </c>
      <c r="Z224" t="str">
        <f t="shared" si="21"/>
        <v/>
      </c>
      <c r="AA224" s="12"/>
      <c r="AB224" s="95" t="e">
        <f t="shared" si="22"/>
        <v>#VALUE!</v>
      </c>
      <c r="AC224" s="95" t="e">
        <f t="shared" si="23"/>
        <v>#VALUE!</v>
      </c>
      <c r="AD224" s="12"/>
    </row>
    <row r="225" spans="1:30" ht="15.75" thickBot="1" x14ac:dyDescent="0.3">
      <c r="A225" s="12"/>
      <c r="B225" s="22"/>
      <c r="C225" t="str">
        <f>IF(AND('ENTRY DATA'!D225=""),"",('ENTRY DATA'!D225))</f>
        <v/>
      </c>
      <c r="D225" t="str">
        <f>IF(AND('ENTRY DATA'!F225=""),"",('ENTRY DATA'!F225))</f>
        <v/>
      </c>
      <c r="E225" s="34" t="str">
        <f>IF(AND('ENTRY DATA'!B225=""),"",('ENTRY DATA'!B225))</f>
        <v/>
      </c>
      <c r="F225" s="12"/>
      <c r="G225" s="12"/>
      <c r="H225" s="73"/>
      <c r="I225" s="71"/>
      <c r="J225" s="73"/>
      <c r="K225" s="12"/>
      <c r="L225" s="20">
        <f t="shared" si="18"/>
        <v>0</v>
      </c>
      <c r="M225" s="19" t="str">
        <f t="shared" si="19"/>
        <v/>
      </c>
      <c r="N225" s="12"/>
      <c r="O225" s="119"/>
      <c r="P225" s="95" t="str">
        <f t="shared" si="20"/>
        <v/>
      </c>
      <c r="Q225" s="12"/>
      <c r="S225" s="128"/>
      <c r="T225" s="66"/>
      <c r="U225" s="128"/>
      <c r="W225" s="128"/>
      <c r="X225" s="12"/>
      <c r="Y225" t="str">
        <f t="shared" si="21"/>
        <v/>
      </c>
      <c r="Z225" t="str">
        <f t="shared" si="21"/>
        <v/>
      </c>
      <c r="AA225" s="12"/>
      <c r="AB225" s="95" t="e">
        <f t="shared" si="22"/>
        <v>#VALUE!</v>
      </c>
      <c r="AC225" s="95" t="e">
        <f t="shared" si="23"/>
        <v>#VALUE!</v>
      </c>
      <c r="AD225" s="12"/>
    </row>
    <row r="226" spans="1:30" ht="15.75" thickBot="1" x14ac:dyDescent="0.3">
      <c r="A226" s="12"/>
      <c r="B226" s="22"/>
      <c r="C226" t="str">
        <f>IF(AND('ENTRY DATA'!D226=""),"",('ENTRY DATA'!D226))</f>
        <v/>
      </c>
      <c r="D226" t="str">
        <f>IF(AND('ENTRY DATA'!F226=""),"",('ENTRY DATA'!F226))</f>
        <v/>
      </c>
      <c r="E226" s="34" t="str">
        <f>IF(AND('ENTRY DATA'!B226=""),"",('ENTRY DATA'!B226))</f>
        <v/>
      </c>
      <c r="F226" s="12"/>
      <c r="G226" s="12"/>
      <c r="H226" s="73"/>
      <c r="I226" s="71"/>
      <c r="J226" s="73"/>
      <c r="K226" s="12"/>
      <c r="L226" s="20">
        <f t="shared" si="18"/>
        <v>0</v>
      </c>
      <c r="M226" s="19" t="str">
        <f t="shared" si="19"/>
        <v/>
      </c>
      <c r="N226" s="12"/>
      <c r="O226" s="119"/>
      <c r="P226" s="95" t="str">
        <f t="shared" si="20"/>
        <v/>
      </c>
      <c r="Q226" s="12"/>
      <c r="S226" s="128"/>
      <c r="T226" s="66"/>
      <c r="U226" s="128"/>
      <c r="W226" s="128"/>
      <c r="X226" s="12"/>
      <c r="Y226" t="str">
        <f t="shared" si="21"/>
        <v/>
      </c>
      <c r="Z226" t="str">
        <f t="shared" si="21"/>
        <v/>
      </c>
      <c r="AA226" s="12"/>
      <c r="AB226" s="95" t="e">
        <f t="shared" si="22"/>
        <v>#VALUE!</v>
      </c>
      <c r="AC226" s="95" t="e">
        <f t="shared" si="23"/>
        <v>#VALUE!</v>
      </c>
      <c r="AD226" s="12"/>
    </row>
    <row r="227" spans="1:30" ht="15.75" thickBot="1" x14ac:dyDescent="0.3">
      <c r="A227" s="12"/>
      <c r="B227" s="22"/>
      <c r="C227" t="str">
        <f>IF(AND('ENTRY DATA'!D227=""),"",('ENTRY DATA'!D227))</f>
        <v/>
      </c>
      <c r="D227" t="str">
        <f>IF(AND('ENTRY DATA'!F227=""),"",('ENTRY DATA'!F227))</f>
        <v/>
      </c>
      <c r="E227" s="34" t="str">
        <f>IF(AND('ENTRY DATA'!B227=""),"",('ENTRY DATA'!B227))</f>
        <v/>
      </c>
      <c r="F227" s="12"/>
      <c r="G227" s="12"/>
      <c r="H227" s="73"/>
      <c r="I227" s="71"/>
      <c r="J227" s="73"/>
      <c r="K227" s="12"/>
      <c r="L227" s="20">
        <f t="shared" si="18"/>
        <v>0</v>
      </c>
      <c r="M227" s="19" t="str">
        <f t="shared" si="19"/>
        <v/>
      </c>
      <c r="N227" s="12"/>
      <c r="O227" s="119"/>
      <c r="P227" s="95" t="str">
        <f t="shared" si="20"/>
        <v/>
      </c>
      <c r="Q227" s="12"/>
      <c r="S227" s="128"/>
      <c r="T227" s="66"/>
      <c r="U227" s="128"/>
      <c r="W227" s="128"/>
      <c r="X227" s="12"/>
      <c r="Y227" t="str">
        <f t="shared" si="21"/>
        <v/>
      </c>
      <c r="Z227" t="str">
        <f t="shared" si="21"/>
        <v/>
      </c>
      <c r="AA227" s="12"/>
      <c r="AB227" s="95" t="e">
        <f t="shared" si="22"/>
        <v>#VALUE!</v>
      </c>
      <c r="AC227" s="95" t="e">
        <f t="shared" si="23"/>
        <v>#VALUE!</v>
      </c>
      <c r="AD227" s="12"/>
    </row>
    <row r="228" spans="1:30" ht="15.75" thickBot="1" x14ac:dyDescent="0.3">
      <c r="A228" s="12"/>
      <c r="B228" s="22"/>
      <c r="C228" t="str">
        <f>IF(AND('ENTRY DATA'!D228=""),"",('ENTRY DATA'!D228))</f>
        <v/>
      </c>
      <c r="D228" t="str">
        <f>IF(AND('ENTRY DATA'!F228=""),"",('ENTRY DATA'!F228))</f>
        <v/>
      </c>
      <c r="E228" s="34" t="str">
        <f>IF(AND('ENTRY DATA'!B228=""),"",('ENTRY DATA'!B228))</f>
        <v/>
      </c>
      <c r="F228" s="12"/>
      <c r="G228" s="12"/>
      <c r="H228" s="73"/>
      <c r="I228" s="71"/>
      <c r="J228" s="73"/>
      <c r="K228" s="12"/>
      <c r="L228" s="20">
        <f t="shared" si="18"/>
        <v>0</v>
      </c>
      <c r="M228" s="19" t="str">
        <f t="shared" si="19"/>
        <v/>
      </c>
      <c r="N228" s="12"/>
      <c r="O228" s="119"/>
      <c r="P228" s="95" t="str">
        <f t="shared" si="20"/>
        <v/>
      </c>
      <c r="Q228" s="12"/>
      <c r="S228" s="128"/>
      <c r="T228" s="66"/>
      <c r="U228" s="128"/>
      <c r="W228" s="128"/>
      <c r="X228" s="12"/>
      <c r="Y228" t="str">
        <f t="shared" si="21"/>
        <v/>
      </c>
      <c r="Z228" t="str">
        <f t="shared" si="21"/>
        <v/>
      </c>
      <c r="AA228" s="12"/>
      <c r="AB228" s="95" t="e">
        <f t="shared" si="22"/>
        <v>#VALUE!</v>
      </c>
      <c r="AC228" s="95" t="e">
        <f t="shared" si="23"/>
        <v>#VALUE!</v>
      </c>
      <c r="AD228" s="12"/>
    </row>
    <row r="229" spans="1:30" ht="15.75" thickBot="1" x14ac:dyDescent="0.3">
      <c r="A229" s="12"/>
      <c r="B229" s="22"/>
      <c r="C229" t="str">
        <f>IF(AND('ENTRY DATA'!D229=""),"",('ENTRY DATA'!D229))</f>
        <v/>
      </c>
      <c r="D229" t="str">
        <f>IF(AND('ENTRY DATA'!F229=""),"",('ENTRY DATA'!F229))</f>
        <v/>
      </c>
      <c r="E229" s="34" t="str">
        <f>IF(AND('ENTRY DATA'!B229=""),"",('ENTRY DATA'!B229))</f>
        <v/>
      </c>
      <c r="F229" s="12"/>
      <c r="G229" s="12"/>
      <c r="H229" s="73"/>
      <c r="I229" s="71"/>
      <c r="J229" s="73"/>
      <c r="K229" s="12"/>
      <c r="L229" s="20">
        <f t="shared" si="18"/>
        <v>0</v>
      </c>
      <c r="M229" s="19" t="str">
        <f t="shared" si="19"/>
        <v/>
      </c>
      <c r="N229" s="12"/>
      <c r="O229" s="119"/>
      <c r="P229" s="95" t="str">
        <f t="shared" si="20"/>
        <v/>
      </c>
      <c r="Q229" s="12"/>
      <c r="S229" s="128"/>
      <c r="T229" s="66"/>
      <c r="U229" s="128"/>
      <c r="W229" s="128"/>
      <c r="X229" s="12"/>
      <c r="Y229" t="str">
        <f t="shared" si="21"/>
        <v/>
      </c>
      <c r="Z229" t="str">
        <f t="shared" si="21"/>
        <v/>
      </c>
      <c r="AA229" s="12"/>
      <c r="AB229" s="95" t="e">
        <f t="shared" si="22"/>
        <v>#VALUE!</v>
      </c>
      <c r="AC229" s="95" t="e">
        <f t="shared" si="23"/>
        <v>#VALUE!</v>
      </c>
      <c r="AD229" s="12"/>
    </row>
    <row r="230" spans="1:30" ht="15.75" thickBot="1" x14ac:dyDescent="0.3">
      <c r="A230" s="12"/>
      <c r="B230" s="22"/>
      <c r="C230" t="str">
        <f>IF(AND('ENTRY DATA'!D230=""),"",('ENTRY DATA'!D230))</f>
        <v/>
      </c>
      <c r="D230" t="str">
        <f>IF(AND('ENTRY DATA'!F230=""),"",('ENTRY DATA'!F230))</f>
        <v/>
      </c>
      <c r="E230" s="34" t="str">
        <f>IF(AND('ENTRY DATA'!B230=""),"",('ENTRY DATA'!B230))</f>
        <v/>
      </c>
      <c r="F230" s="12"/>
      <c r="G230" s="12"/>
      <c r="H230" s="73"/>
      <c r="I230" s="71"/>
      <c r="J230" s="73"/>
      <c r="K230" s="12"/>
      <c r="L230" s="20">
        <f t="shared" si="18"/>
        <v>0</v>
      </c>
      <c r="M230" s="19" t="str">
        <f t="shared" si="19"/>
        <v/>
      </c>
      <c r="N230" s="12"/>
      <c r="O230" s="119"/>
      <c r="P230" s="95" t="str">
        <f t="shared" si="20"/>
        <v/>
      </c>
      <c r="Q230" s="12"/>
      <c r="S230" s="128"/>
      <c r="T230" s="66"/>
      <c r="U230" s="128"/>
      <c r="W230" s="128"/>
      <c r="X230" s="12"/>
      <c r="Y230" t="str">
        <f t="shared" si="21"/>
        <v/>
      </c>
      <c r="Z230" t="str">
        <f t="shared" si="21"/>
        <v/>
      </c>
      <c r="AA230" s="12"/>
      <c r="AB230" s="95" t="e">
        <f t="shared" si="22"/>
        <v>#VALUE!</v>
      </c>
      <c r="AC230" s="95" t="e">
        <f t="shared" si="23"/>
        <v>#VALUE!</v>
      </c>
      <c r="AD230" s="12"/>
    </row>
    <row r="231" spans="1:30" ht="15.75" thickBot="1" x14ac:dyDescent="0.3">
      <c r="A231" s="12"/>
      <c r="B231" s="22"/>
      <c r="C231" t="str">
        <f>IF(AND('ENTRY DATA'!D231=""),"",('ENTRY DATA'!D231))</f>
        <v/>
      </c>
      <c r="D231" t="str">
        <f>IF(AND('ENTRY DATA'!F231=""),"",('ENTRY DATA'!F231))</f>
        <v/>
      </c>
      <c r="E231" s="34" t="str">
        <f>IF(AND('ENTRY DATA'!B231=""),"",('ENTRY DATA'!B231))</f>
        <v/>
      </c>
      <c r="F231" s="12"/>
      <c r="G231" s="12"/>
      <c r="H231" s="73"/>
      <c r="I231" s="71"/>
      <c r="J231" s="73"/>
      <c r="K231" s="12"/>
      <c r="L231" s="20">
        <f t="shared" si="18"/>
        <v>0</v>
      </c>
      <c r="M231" s="19" t="str">
        <f t="shared" si="19"/>
        <v/>
      </c>
      <c r="N231" s="12"/>
      <c r="O231" s="119"/>
      <c r="P231" s="95" t="str">
        <f t="shared" si="20"/>
        <v/>
      </c>
      <c r="Q231" s="12"/>
      <c r="S231" s="128"/>
      <c r="T231" s="66"/>
      <c r="U231" s="128"/>
      <c r="W231" s="128"/>
      <c r="X231" s="12"/>
      <c r="Y231" t="str">
        <f t="shared" si="21"/>
        <v/>
      </c>
      <c r="Z231" t="str">
        <f t="shared" si="21"/>
        <v/>
      </c>
      <c r="AA231" s="12"/>
      <c r="AB231" s="95" t="e">
        <f t="shared" si="22"/>
        <v>#VALUE!</v>
      </c>
      <c r="AC231" s="95" t="e">
        <f t="shared" si="23"/>
        <v>#VALUE!</v>
      </c>
      <c r="AD231" s="12"/>
    </row>
    <row r="232" spans="1:30" ht="15.75" thickBot="1" x14ac:dyDescent="0.3">
      <c r="A232" s="12"/>
      <c r="B232" s="22"/>
      <c r="C232" t="str">
        <f>IF(AND('ENTRY DATA'!D232=""),"",('ENTRY DATA'!D232))</f>
        <v/>
      </c>
      <c r="D232" t="str">
        <f>IF(AND('ENTRY DATA'!F232=""),"",('ENTRY DATA'!F232))</f>
        <v/>
      </c>
      <c r="E232" s="34" t="str">
        <f>IF(AND('ENTRY DATA'!B232=""),"",('ENTRY DATA'!B232))</f>
        <v/>
      </c>
      <c r="F232" s="12"/>
      <c r="G232" s="12"/>
      <c r="H232" s="73"/>
      <c r="I232" s="71"/>
      <c r="J232" s="73"/>
      <c r="K232" s="12"/>
      <c r="L232" s="20">
        <f t="shared" si="18"/>
        <v>0</v>
      </c>
      <c r="M232" s="19" t="str">
        <f t="shared" si="19"/>
        <v/>
      </c>
      <c r="N232" s="12"/>
      <c r="O232" s="119"/>
      <c r="P232" s="95" t="str">
        <f t="shared" si="20"/>
        <v/>
      </c>
      <c r="Q232" s="12"/>
      <c r="S232" s="128"/>
      <c r="T232" s="66"/>
      <c r="U232" s="128"/>
      <c r="W232" s="128"/>
      <c r="X232" s="12"/>
      <c r="Y232" t="str">
        <f t="shared" si="21"/>
        <v/>
      </c>
      <c r="Z232" t="str">
        <f t="shared" si="21"/>
        <v/>
      </c>
      <c r="AA232" s="12"/>
      <c r="AB232" s="95" t="e">
        <f t="shared" si="22"/>
        <v>#VALUE!</v>
      </c>
      <c r="AC232" s="95" t="e">
        <f t="shared" si="23"/>
        <v>#VALUE!</v>
      </c>
      <c r="AD232" s="12"/>
    </row>
    <row r="233" spans="1:30" ht="15.75" thickBot="1" x14ac:dyDescent="0.3">
      <c r="A233" s="12"/>
      <c r="B233" s="22"/>
      <c r="C233" t="str">
        <f>IF(AND('ENTRY DATA'!D233=""),"",('ENTRY DATA'!D233))</f>
        <v/>
      </c>
      <c r="D233" t="str">
        <f>IF(AND('ENTRY DATA'!F233=""),"",('ENTRY DATA'!F233))</f>
        <v/>
      </c>
      <c r="E233" s="34" t="str">
        <f>IF(AND('ENTRY DATA'!B233=""),"",('ENTRY DATA'!B233))</f>
        <v/>
      </c>
      <c r="F233" s="12"/>
      <c r="G233" s="12"/>
      <c r="H233" s="73"/>
      <c r="I233" s="71"/>
      <c r="J233" s="73"/>
      <c r="K233" s="12"/>
      <c r="L233" s="20">
        <f t="shared" si="18"/>
        <v>0</v>
      </c>
      <c r="M233" s="19" t="str">
        <f t="shared" si="19"/>
        <v/>
      </c>
      <c r="N233" s="12"/>
      <c r="O233" s="119"/>
      <c r="P233" s="95" t="str">
        <f t="shared" si="20"/>
        <v/>
      </c>
      <c r="Q233" s="12"/>
      <c r="S233" s="128"/>
      <c r="T233" s="66"/>
      <c r="U233" s="128"/>
      <c r="W233" s="128"/>
      <c r="X233" s="12"/>
      <c r="Y233" t="str">
        <f t="shared" si="21"/>
        <v/>
      </c>
      <c r="Z233" t="str">
        <f t="shared" si="21"/>
        <v/>
      </c>
      <c r="AA233" s="12"/>
      <c r="AB233" s="95" t="e">
        <f t="shared" si="22"/>
        <v>#VALUE!</v>
      </c>
      <c r="AC233" s="95" t="e">
        <f t="shared" si="23"/>
        <v>#VALUE!</v>
      </c>
      <c r="AD233" s="12"/>
    </row>
    <row r="234" spans="1:30" ht="15.75" thickBot="1" x14ac:dyDescent="0.3">
      <c r="A234" s="12"/>
      <c r="B234" s="22"/>
      <c r="C234" t="str">
        <f>IF(AND('ENTRY DATA'!D234=""),"",('ENTRY DATA'!D234))</f>
        <v/>
      </c>
      <c r="D234" t="str">
        <f>IF(AND('ENTRY DATA'!F234=""),"",('ENTRY DATA'!F234))</f>
        <v/>
      </c>
      <c r="E234" s="34" t="str">
        <f>IF(AND('ENTRY DATA'!B234=""),"",('ENTRY DATA'!B234))</f>
        <v/>
      </c>
      <c r="F234" s="12"/>
      <c r="G234" s="12"/>
      <c r="H234" s="73"/>
      <c r="I234" s="71"/>
      <c r="J234" s="73"/>
      <c r="K234" s="12"/>
      <c r="L234" s="20">
        <f t="shared" si="18"/>
        <v>0</v>
      </c>
      <c r="M234" s="19" t="str">
        <f t="shared" si="19"/>
        <v/>
      </c>
      <c r="N234" s="12"/>
      <c r="O234" s="119"/>
      <c r="P234" s="95" t="str">
        <f t="shared" si="20"/>
        <v/>
      </c>
      <c r="Q234" s="12"/>
      <c r="S234" s="128"/>
      <c r="T234" s="66"/>
      <c r="U234" s="128"/>
      <c r="W234" s="128"/>
      <c r="X234" s="12"/>
      <c r="Y234" t="str">
        <f t="shared" si="21"/>
        <v/>
      </c>
      <c r="Z234" t="str">
        <f t="shared" si="21"/>
        <v/>
      </c>
      <c r="AA234" s="12"/>
      <c r="AB234" s="95" t="e">
        <f t="shared" si="22"/>
        <v>#VALUE!</v>
      </c>
      <c r="AC234" s="95" t="e">
        <f t="shared" si="23"/>
        <v>#VALUE!</v>
      </c>
      <c r="AD234" s="12"/>
    </row>
    <row r="235" spans="1:30" ht="15.75" thickBot="1" x14ac:dyDescent="0.3">
      <c r="A235" s="12"/>
      <c r="B235" s="22"/>
      <c r="C235" t="str">
        <f>IF(AND('ENTRY DATA'!D235=""),"",('ENTRY DATA'!D235))</f>
        <v/>
      </c>
      <c r="D235" t="str">
        <f>IF(AND('ENTRY DATA'!F235=""),"",('ENTRY DATA'!F235))</f>
        <v/>
      </c>
      <c r="E235" s="34" t="str">
        <f>IF(AND('ENTRY DATA'!B235=""),"",('ENTRY DATA'!B235))</f>
        <v/>
      </c>
      <c r="F235" s="12"/>
      <c r="G235" s="12"/>
      <c r="H235" s="73"/>
      <c r="I235" s="71"/>
      <c r="J235" s="73"/>
      <c r="K235" s="12"/>
      <c r="L235" s="20">
        <f t="shared" si="18"/>
        <v>0</v>
      </c>
      <c r="M235" s="19" t="str">
        <f t="shared" si="19"/>
        <v/>
      </c>
      <c r="N235" s="12"/>
      <c r="O235" s="119"/>
      <c r="P235" s="95" t="str">
        <f t="shared" si="20"/>
        <v/>
      </c>
      <c r="Q235" s="12"/>
      <c r="S235" s="128"/>
      <c r="T235" s="66"/>
      <c r="U235" s="128"/>
      <c r="W235" s="128"/>
      <c r="X235" s="12"/>
      <c r="Y235" t="str">
        <f t="shared" si="21"/>
        <v/>
      </c>
      <c r="Z235" t="str">
        <f t="shared" si="21"/>
        <v/>
      </c>
      <c r="AA235" s="12"/>
      <c r="AB235" s="95" t="e">
        <f t="shared" si="22"/>
        <v>#VALUE!</v>
      </c>
      <c r="AC235" s="95" t="e">
        <f t="shared" si="23"/>
        <v>#VALUE!</v>
      </c>
      <c r="AD235" s="12"/>
    </row>
    <row r="236" spans="1:30" ht="15.75" thickBot="1" x14ac:dyDescent="0.3">
      <c r="A236" s="12"/>
      <c r="B236" s="22"/>
      <c r="C236" t="str">
        <f>IF(AND('ENTRY DATA'!D236=""),"",('ENTRY DATA'!D236))</f>
        <v/>
      </c>
      <c r="D236" t="str">
        <f>IF(AND('ENTRY DATA'!F236=""),"",('ENTRY DATA'!F236))</f>
        <v/>
      </c>
      <c r="E236" s="34" t="str">
        <f>IF(AND('ENTRY DATA'!B236=""),"",('ENTRY DATA'!B236))</f>
        <v/>
      </c>
      <c r="F236" s="12"/>
      <c r="G236" s="12"/>
      <c r="H236" s="73"/>
      <c r="I236" s="71"/>
      <c r="J236" s="73"/>
      <c r="K236" s="12"/>
      <c r="L236" s="20">
        <f t="shared" si="18"/>
        <v>0</v>
      </c>
      <c r="M236" s="19" t="str">
        <f t="shared" si="19"/>
        <v/>
      </c>
      <c r="N236" s="12"/>
      <c r="O236" s="119"/>
      <c r="P236" s="95" t="str">
        <f t="shared" si="20"/>
        <v/>
      </c>
      <c r="Q236" s="12"/>
      <c r="S236" s="128"/>
      <c r="T236" s="66"/>
      <c r="U236" s="128"/>
      <c r="W236" s="128"/>
      <c r="X236" s="12"/>
      <c r="Y236" t="str">
        <f t="shared" si="21"/>
        <v/>
      </c>
      <c r="Z236" t="str">
        <f t="shared" si="21"/>
        <v/>
      </c>
      <c r="AA236" s="12"/>
      <c r="AB236" s="95" t="e">
        <f t="shared" si="22"/>
        <v>#VALUE!</v>
      </c>
      <c r="AC236" s="95" t="e">
        <f t="shared" si="23"/>
        <v>#VALUE!</v>
      </c>
      <c r="AD236" s="12"/>
    </row>
    <row r="237" spans="1:30" ht="15.75" thickBot="1" x14ac:dyDescent="0.3">
      <c r="A237" s="12"/>
      <c r="B237" s="22"/>
      <c r="C237" t="str">
        <f>IF(AND('ENTRY DATA'!D237=""),"",('ENTRY DATA'!D237))</f>
        <v/>
      </c>
      <c r="D237" t="str">
        <f>IF(AND('ENTRY DATA'!F237=""),"",('ENTRY DATA'!F237))</f>
        <v/>
      </c>
      <c r="E237" s="34" t="str">
        <f>IF(AND('ENTRY DATA'!B237=""),"",('ENTRY DATA'!B237))</f>
        <v/>
      </c>
      <c r="F237" s="12"/>
      <c r="G237" s="12"/>
      <c r="H237" s="73"/>
      <c r="I237" s="71"/>
      <c r="J237" s="73"/>
      <c r="K237" s="12"/>
      <c r="L237" s="20">
        <f t="shared" si="18"/>
        <v>0</v>
      </c>
      <c r="M237" s="19" t="str">
        <f t="shared" si="19"/>
        <v/>
      </c>
      <c r="N237" s="12"/>
      <c r="O237" s="119"/>
      <c r="P237" s="95" t="str">
        <f t="shared" si="20"/>
        <v/>
      </c>
      <c r="Q237" s="12"/>
      <c r="S237" s="128"/>
      <c r="T237" s="66"/>
      <c r="U237" s="128"/>
      <c r="W237" s="128"/>
      <c r="X237" s="12"/>
      <c r="Y237" t="str">
        <f t="shared" si="21"/>
        <v/>
      </c>
      <c r="Z237" t="str">
        <f t="shared" si="21"/>
        <v/>
      </c>
      <c r="AA237" s="12"/>
      <c r="AB237" s="95" t="e">
        <f t="shared" si="22"/>
        <v>#VALUE!</v>
      </c>
      <c r="AC237" s="95" t="e">
        <f t="shared" si="23"/>
        <v>#VALUE!</v>
      </c>
      <c r="AD237" s="12"/>
    </row>
    <row r="238" spans="1:30" ht="15.75" thickBot="1" x14ac:dyDescent="0.3">
      <c r="A238" s="12"/>
      <c r="B238" s="22"/>
      <c r="C238" t="str">
        <f>IF(AND('ENTRY DATA'!D238=""),"",('ENTRY DATA'!D238))</f>
        <v/>
      </c>
      <c r="D238" t="str">
        <f>IF(AND('ENTRY DATA'!F238=""),"",('ENTRY DATA'!F238))</f>
        <v/>
      </c>
      <c r="E238" s="34" t="str">
        <f>IF(AND('ENTRY DATA'!B238=""),"",('ENTRY DATA'!B238))</f>
        <v/>
      </c>
      <c r="F238" s="12"/>
      <c r="G238" s="12"/>
      <c r="H238" s="73"/>
      <c r="I238" s="71"/>
      <c r="J238" s="73"/>
      <c r="K238" s="12"/>
      <c r="L238" s="20">
        <f t="shared" si="18"/>
        <v>0</v>
      </c>
      <c r="M238" s="19" t="str">
        <f t="shared" si="19"/>
        <v/>
      </c>
      <c r="N238" s="12"/>
      <c r="O238" s="119"/>
      <c r="P238" s="95" t="str">
        <f t="shared" si="20"/>
        <v/>
      </c>
      <c r="Q238" s="12"/>
      <c r="S238" s="128"/>
      <c r="T238" s="66"/>
      <c r="U238" s="128"/>
      <c r="W238" s="128"/>
      <c r="X238" s="12"/>
      <c r="Y238" t="str">
        <f t="shared" si="21"/>
        <v/>
      </c>
      <c r="Z238" t="str">
        <f t="shared" si="21"/>
        <v/>
      </c>
      <c r="AA238" s="12"/>
      <c r="AB238" s="95" t="e">
        <f t="shared" si="22"/>
        <v>#VALUE!</v>
      </c>
      <c r="AC238" s="95" t="e">
        <f t="shared" si="23"/>
        <v>#VALUE!</v>
      </c>
      <c r="AD238" s="12"/>
    </row>
    <row r="239" spans="1:30" ht="15.75" thickBot="1" x14ac:dyDescent="0.3">
      <c r="A239" s="12"/>
      <c r="B239" s="22"/>
      <c r="C239" t="str">
        <f>IF(AND('ENTRY DATA'!D239=""),"",('ENTRY DATA'!D239))</f>
        <v/>
      </c>
      <c r="D239" t="str">
        <f>IF(AND('ENTRY DATA'!F239=""),"",('ENTRY DATA'!F239))</f>
        <v/>
      </c>
      <c r="E239" s="34" t="str">
        <f>IF(AND('ENTRY DATA'!B239=""),"",('ENTRY DATA'!B239))</f>
        <v/>
      </c>
      <c r="F239" s="12"/>
      <c r="G239" s="12"/>
      <c r="H239" s="73"/>
      <c r="I239" s="71"/>
      <c r="J239" s="73"/>
      <c r="K239" s="12"/>
      <c r="L239" s="20">
        <f t="shared" si="18"/>
        <v>0</v>
      </c>
      <c r="M239" s="19" t="str">
        <f t="shared" si="19"/>
        <v/>
      </c>
      <c r="N239" s="12"/>
      <c r="O239" s="119"/>
      <c r="P239" s="95" t="str">
        <f t="shared" si="20"/>
        <v/>
      </c>
      <c r="Q239" s="12"/>
      <c r="S239" s="128"/>
      <c r="T239" s="66"/>
      <c r="U239" s="128"/>
      <c r="W239" s="128"/>
      <c r="X239" s="12"/>
      <c r="Y239" t="str">
        <f t="shared" si="21"/>
        <v/>
      </c>
      <c r="Z239" t="str">
        <f t="shared" si="21"/>
        <v/>
      </c>
      <c r="AA239" s="12"/>
      <c r="AB239" s="95" t="e">
        <f t="shared" si="22"/>
        <v>#VALUE!</v>
      </c>
      <c r="AC239" s="95" t="e">
        <f t="shared" si="23"/>
        <v>#VALUE!</v>
      </c>
      <c r="AD239" s="12"/>
    </row>
    <row r="240" spans="1:30" ht="15.75" thickBot="1" x14ac:dyDescent="0.3">
      <c r="A240" s="12"/>
      <c r="B240" s="22"/>
      <c r="C240" t="str">
        <f>IF(AND('ENTRY DATA'!D240=""),"",('ENTRY DATA'!D240))</f>
        <v/>
      </c>
      <c r="D240" t="str">
        <f>IF(AND('ENTRY DATA'!F240=""),"",('ENTRY DATA'!F240))</f>
        <v/>
      </c>
      <c r="E240" s="34" t="str">
        <f>IF(AND('ENTRY DATA'!B240=""),"",('ENTRY DATA'!B240))</f>
        <v/>
      </c>
      <c r="F240" s="12"/>
      <c r="G240" s="12"/>
      <c r="H240" s="73"/>
      <c r="I240" s="71"/>
      <c r="J240" s="73"/>
      <c r="K240" s="12"/>
      <c r="L240" s="20">
        <f t="shared" si="18"/>
        <v>0</v>
      </c>
      <c r="M240" s="19" t="str">
        <f t="shared" si="19"/>
        <v/>
      </c>
      <c r="N240" s="12"/>
      <c r="O240" s="119"/>
      <c r="P240" s="95" t="str">
        <f t="shared" si="20"/>
        <v/>
      </c>
      <c r="Q240" s="12"/>
      <c r="S240" s="128"/>
      <c r="T240" s="66"/>
      <c r="U240" s="128"/>
      <c r="W240" s="128"/>
      <c r="X240" s="12"/>
      <c r="Y240" t="str">
        <f t="shared" si="21"/>
        <v/>
      </c>
      <c r="Z240" t="str">
        <f t="shared" si="21"/>
        <v/>
      </c>
      <c r="AA240" s="12"/>
      <c r="AB240" s="95" t="e">
        <f t="shared" si="22"/>
        <v>#VALUE!</v>
      </c>
      <c r="AC240" s="95" t="e">
        <f t="shared" si="23"/>
        <v>#VALUE!</v>
      </c>
      <c r="AD240" s="12"/>
    </row>
    <row r="241" spans="1:30" ht="15.75" thickBot="1" x14ac:dyDescent="0.3">
      <c r="A241" s="12"/>
      <c r="B241" s="22"/>
      <c r="C241" t="str">
        <f>IF(AND('ENTRY DATA'!D241=""),"",('ENTRY DATA'!D241))</f>
        <v/>
      </c>
      <c r="D241" t="str">
        <f>IF(AND('ENTRY DATA'!F241=""),"",('ENTRY DATA'!F241))</f>
        <v/>
      </c>
      <c r="E241" s="34" t="str">
        <f>IF(AND('ENTRY DATA'!B241=""),"",('ENTRY DATA'!B241))</f>
        <v/>
      </c>
      <c r="F241" s="12"/>
      <c r="G241" s="12"/>
      <c r="H241" s="73"/>
      <c r="I241" s="71"/>
      <c r="J241" s="73"/>
      <c r="K241" s="12"/>
      <c r="L241" s="20">
        <f t="shared" si="18"/>
        <v>0</v>
      </c>
      <c r="M241" s="19" t="str">
        <f t="shared" si="19"/>
        <v/>
      </c>
      <c r="N241" s="12"/>
      <c r="O241" s="119"/>
      <c r="P241" s="95" t="str">
        <f t="shared" si="20"/>
        <v/>
      </c>
      <c r="Q241" s="12"/>
      <c r="S241" s="128"/>
      <c r="T241" s="66"/>
      <c r="U241" s="128"/>
      <c r="W241" s="128"/>
      <c r="X241" s="12"/>
      <c r="Y241" t="str">
        <f t="shared" si="21"/>
        <v/>
      </c>
      <c r="Z241" t="str">
        <f t="shared" si="21"/>
        <v/>
      </c>
      <c r="AA241" s="12"/>
      <c r="AB241" s="95" t="e">
        <f t="shared" si="22"/>
        <v>#VALUE!</v>
      </c>
      <c r="AC241" s="95" t="e">
        <f t="shared" si="23"/>
        <v>#VALUE!</v>
      </c>
      <c r="AD241" s="12"/>
    </row>
    <row r="242" spans="1:30" ht="15.75" thickBot="1" x14ac:dyDescent="0.3">
      <c r="A242" s="12"/>
      <c r="B242" s="22"/>
      <c r="C242" t="str">
        <f>IF(AND('ENTRY DATA'!D242=""),"",('ENTRY DATA'!D242))</f>
        <v/>
      </c>
      <c r="D242" t="str">
        <f>IF(AND('ENTRY DATA'!F242=""),"",('ENTRY DATA'!F242))</f>
        <v/>
      </c>
      <c r="E242" s="34" t="str">
        <f>IF(AND('ENTRY DATA'!B242=""),"",('ENTRY DATA'!B242))</f>
        <v/>
      </c>
      <c r="F242" s="12"/>
      <c r="G242" s="12"/>
      <c r="H242" s="73"/>
      <c r="I242" s="71"/>
      <c r="J242" s="73"/>
      <c r="K242" s="12"/>
      <c r="L242" s="20">
        <f t="shared" si="18"/>
        <v>0</v>
      </c>
      <c r="M242" s="19" t="str">
        <f t="shared" si="19"/>
        <v/>
      </c>
      <c r="N242" s="12"/>
      <c r="O242" s="119"/>
      <c r="P242" s="95" t="str">
        <f t="shared" si="20"/>
        <v/>
      </c>
      <c r="Q242" s="12"/>
      <c r="S242" s="128"/>
      <c r="T242" s="66"/>
      <c r="U242" s="128"/>
      <c r="W242" s="128"/>
      <c r="X242" s="12"/>
      <c r="Y242" t="str">
        <f t="shared" si="21"/>
        <v/>
      </c>
      <c r="Z242" t="str">
        <f t="shared" si="21"/>
        <v/>
      </c>
      <c r="AA242" s="12"/>
      <c r="AB242" s="95" t="e">
        <f t="shared" si="22"/>
        <v>#VALUE!</v>
      </c>
      <c r="AC242" s="95" t="e">
        <f t="shared" si="23"/>
        <v>#VALUE!</v>
      </c>
      <c r="AD242" s="12"/>
    </row>
    <row r="243" spans="1:30" ht="15.75" thickBot="1" x14ac:dyDescent="0.3">
      <c r="A243" s="12"/>
      <c r="B243" s="22"/>
      <c r="C243" t="str">
        <f>IF(AND('ENTRY DATA'!D243=""),"",('ENTRY DATA'!D243))</f>
        <v/>
      </c>
      <c r="D243" t="str">
        <f>IF(AND('ENTRY DATA'!F243=""),"",('ENTRY DATA'!F243))</f>
        <v/>
      </c>
      <c r="E243" s="34" t="str">
        <f>IF(AND('ENTRY DATA'!B243=""),"",('ENTRY DATA'!B243))</f>
        <v/>
      </c>
      <c r="F243" s="12"/>
      <c r="G243" s="12"/>
      <c r="H243" s="73"/>
      <c r="I243" s="71"/>
      <c r="J243" s="73"/>
      <c r="K243" s="12"/>
      <c r="L243" s="20">
        <f t="shared" si="18"/>
        <v>0</v>
      </c>
      <c r="M243" s="19" t="str">
        <f t="shared" si="19"/>
        <v/>
      </c>
      <c r="N243" s="12"/>
      <c r="O243" s="119"/>
      <c r="P243" s="95" t="str">
        <f t="shared" si="20"/>
        <v/>
      </c>
      <c r="Q243" s="12"/>
      <c r="S243" s="128"/>
      <c r="T243" s="66"/>
      <c r="U243" s="128"/>
      <c r="W243" s="128"/>
      <c r="X243" s="12"/>
      <c r="Y243" t="str">
        <f t="shared" si="21"/>
        <v/>
      </c>
      <c r="Z243" t="str">
        <f t="shared" si="21"/>
        <v/>
      </c>
      <c r="AA243" s="12"/>
      <c r="AB243" s="95" t="e">
        <f t="shared" si="22"/>
        <v>#VALUE!</v>
      </c>
      <c r="AC243" s="95" t="e">
        <f t="shared" si="23"/>
        <v>#VALUE!</v>
      </c>
      <c r="AD243" s="12"/>
    </row>
    <row r="244" spans="1:30" ht="15.75" thickBot="1" x14ac:dyDescent="0.3">
      <c r="A244" s="12"/>
      <c r="B244" s="22"/>
      <c r="C244" t="str">
        <f>IF(AND('ENTRY DATA'!D244=""),"",('ENTRY DATA'!D244))</f>
        <v/>
      </c>
      <c r="D244" t="str">
        <f>IF(AND('ENTRY DATA'!F244=""),"",('ENTRY DATA'!F244))</f>
        <v/>
      </c>
      <c r="E244" s="34" t="str">
        <f>IF(AND('ENTRY DATA'!B244=""),"",('ENTRY DATA'!B244))</f>
        <v/>
      </c>
      <c r="F244" s="12"/>
      <c r="G244" s="12"/>
      <c r="H244" s="73"/>
      <c r="I244" s="71"/>
      <c r="J244" s="73"/>
      <c r="K244" s="12"/>
      <c r="L244" s="20">
        <f t="shared" si="18"/>
        <v>0</v>
      </c>
      <c r="M244" s="19" t="str">
        <f t="shared" si="19"/>
        <v/>
      </c>
      <c r="N244" s="12"/>
      <c r="O244" s="119"/>
      <c r="P244" s="95" t="str">
        <f t="shared" si="20"/>
        <v/>
      </c>
      <c r="Q244" s="12"/>
      <c r="S244" s="128"/>
      <c r="T244" s="66"/>
      <c r="U244" s="128"/>
      <c r="W244" s="128"/>
      <c r="X244" s="12"/>
      <c r="Y244" t="str">
        <f t="shared" si="21"/>
        <v/>
      </c>
      <c r="Z244" t="str">
        <f t="shared" si="21"/>
        <v/>
      </c>
      <c r="AA244" s="12"/>
      <c r="AB244" s="95" t="e">
        <f t="shared" si="22"/>
        <v>#VALUE!</v>
      </c>
      <c r="AC244" s="95" t="e">
        <f t="shared" si="23"/>
        <v>#VALUE!</v>
      </c>
      <c r="AD244" s="12"/>
    </row>
    <row r="245" spans="1:30" ht="15.75" thickBot="1" x14ac:dyDescent="0.3">
      <c r="A245" s="12"/>
      <c r="B245" s="22"/>
      <c r="C245" t="str">
        <f>IF(AND('ENTRY DATA'!D245=""),"",('ENTRY DATA'!D245))</f>
        <v/>
      </c>
      <c r="D245" t="str">
        <f>IF(AND('ENTRY DATA'!F245=""),"",('ENTRY DATA'!F245))</f>
        <v/>
      </c>
      <c r="E245" s="34" t="str">
        <f>IF(AND('ENTRY DATA'!B245=""),"",('ENTRY DATA'!B245))</f>
        <v/>
      </c>
      <c r="F245" s="12"/>
      <c r="G245" s="12"/>
      <c r="H245" s="73"/>
      <c r="I245" s="71"/>
      <c r="J245" s="73"/>
      <c r="K245" s="12"/>
      <c r="L245" s="20">
        <f t="shared" si="18"/>
        <v>0</v>
      </c>
      <c r="M245" s="19" t="str">
        <f t="shared" si="19"/>
        <v/>
      </c>
      <c r="N245" s="12"/>
      <c r="O245" s="119"/>
      <c r="P245" s="95" t="str">
        <f t="shared" si="20"/>
        <v/>
      </c>
      <c r="Q245" s="12"/>
      <c r="S245" s="128"/>
      <c r="T245" s="66"/>
      <c r="U245" s="128"/>
      <c r="W245" s="128"/>
      <c r="X245" s="12"/>
      <c r="Y245" t="str">
        <f t="shared" si="21"/>
        <v/>
      </c>
      <c r="Z245" t="str">
        <f t="shared" si="21"/>
        <v/>
      </c>
      <c r="AA245" s="12"/>
      <c r="AB245" s="95" t="e">
        <f t="shared" si="22"/>
        <v>#VALUE!</v>
      </c>
      <c r="AC245" s="95" t="e">
        <f t="shared" si="23"/>
        <v>#VALUE!</v>
      </c>
      <c r="AD245" s="12"/>
    </row>
    <row r="246" spans="1:30" ht="15.75" thickBot="1" x14ac:dyDescent="0.3">
      <c r="A246" s="12"/>
      <c r="B246" s="22"/>
      <c r="C246" t="str">
        <f>IF(AND('ENTRY DATA'!D246=""),"",('ENTRY DATA'!D246))</f>
        <v/>
      </c>
      <c r="D246" t="str">
        <f>IF(AND('ENTRY DATA'!F246=""),"",('ENTRY DATA'!F246))</f>
        <v/>
      </c>
      <c r="E246" s="34" t="str">
        <f>IF(AND('ENTRY DATA'!B246=""),"",('ENTRY DATA'!B246))</f>
        <v/>
      </c>
      <c r="F246" s="12"/>
      <c r="G246" s="12"/>
      <c r="H246" s="73"/>
      <c r="I246" s="71"/>
      <c r="J246" s="73"/>
      <c r="K246" s="12"/>
      <c r="L246" s="20">
        <f t="shared" si="18"/>
        <v>0</v>
      </c>
      <c r="M246" s="19" t="str">
        <f t="shared" si="19"/>
        <v/>
      </c>
      <c r="N246" s="12"/>
      <c r="O246" s="119"/>
      <c r="P246" s="95" t="str">
        <f t="shared" si="20"/>
        <v/>
      </c>
      <c r="Q246" s="12"/>
      <c r="S246" s="128"/>
      <c r="T246" s="66"/>
      <c r="U246" s="128"/>
      <c r="W246" s="128"/>
      <c r="X246" s="12"/>
      <c r="Y246" t="str">
        <f t="shared" si="21"/>
        <v/>
      </c>
      <c r="Z246" t="str">
        <f t="shared" si="21"/>
        <v/>
      </c>
      <c r="AA246" s="12"/>
      <c r="AB246" s="95" t="e">
        <f t="shared" si="22"/>
        <v>#VALUE!</v>
      </c>
      <c r="AC246" s="95" t="e">
        <f t="shared" si="23"/>
        <v>#VALUE!</v>
      </c>
      <c r="AD246" s="12"/>
    </row>
    <row r="247" spans="1:30" ht="15.75" thickBot="1" x14ac:dyDescent="0.3">
      <c r="A247" s="12"/>
      <c r="B247" s="22"/>
      <c r="C247" t="str">
        <f>IF(AND('ENTRY DATA'!D247=""),"",('ENTRY DATA'!D247))</f>
        <v/>
      </c>
      <c r="D247" t="str">
        <f>IF(AND('ENTRY DATA'!F247=""),"",('ENTRY DATA'!F247))</f>
        <v/>
      </c>
      <c r="E247" s="34" t="str">
        <f>IF(AND('ENTRY DATA'!B247=""),"",('ENTRY DATA'!B247))</f>
        <v/>
      </c>
      <c r="F247" s="12"/>
      <c r="G247" s="12"/>
      <c r="H247" s="73"/>
      <c r="I247" s="71"/>
      <c r="J247" s="73"/>
      <c r="K247" s="12"/>
      <c r="L247" s="20">
        <f t="shared" si="18"/>
        <v>0</v>
      </c>
      <c r="M247" s="19" t="str">
        <f t="shared" si="19"/>
        <v/>
      </c>
      <c r="N247" s="12"/>
      <c r="O247" s="119"/>
      <c r="P247" s="95" t="str">
        <f t="shared" si="20"/>
        <v/>
      </c>
      <c r="Q247" s="12"/>
      <c r="S247" s="128"/>
      <c r="T247" s="66"/>
      <c r="U247" s="128"/>
      <c r="W247" s="128"/>
      <c r="X247" s="12"/>
      <c r="Y247" t="str">
        <f t="shared" si="21"/>
        <v/>
      </c>
      <c r="Z247" t="str">
        <f t="shared" si="21"/>
        <v/>
      </c>
      <c r="AA247" s="12"/>
      <c r="AB247" s="95" t="e">
        <f t="shared" si="22"/>
        <v>#VALUE!</v>
      </c>
      <c r="AC247" s="95" t="e">
        <f t="shared" si="23"/>
        <v>#VALUE!</v>
      </c>
      <c r="AD247" s="12"/>
    </row>
    <row r="248" spans="1:30" ht="15.75" thickBot="1" x14ac:dyDescent="0.3">
      <c r="A248" s="12"/>
      <c r="B248" s="22"/>
      <c r="C248" t="str">
        <f>IF(AND('ENTRY DATA'!D248=""),"",('ENTRY DATA'!D248))</f>
        <v/>
      </c>
      <c r="D248" t="str">
        <f>IF(AND('ENTRY DATA'!F248=""),"",('ENTRY DATA'!F248))</f>
        <v/>
      </c>
      <c r="E248" s="34" t="str">
        <f>IF(AND('ENTRY DATA'!B248=""),"",('ENTRY DATA'!B248))</f>
        <v/>
      </c>
      <c r="F248" s="12"/>
      <c r="G248" s="12"/>
      <c r="H248" s="73"/>
      <c r="I248" s="71"/>
      <c r="J248" s="73"/>
      <c r="K248" s="12"/>
      <c r="L248" s="20">
        <f t="shared" si="18"/>
        <v>0</v>
      </c>
      <c r="M248" s="19" t="str">
        <f t="shared" si="19"/>
        <v/>
      </c>
      <c r="N248" s="12"/>
      <c r="O248" s="119"/>
      <c r="P248" s="95" t="str">
        <f t="shared" si="20"/>
        <v/>
      </c>
      <c r="Q248" s="12"/>
      <c r="S248" s="128"/>
      <c r="T248" s="66"/>
      <c r="U248" s="128"/>
      <c r="W248" s="128"/>
      <c r="X248" s="12"/>
      <c r="Y248" t="str">
        <f t="shared" si="21"/>
        <v/>
      </c>
      <c r="Z248" t="str">
        <f t="shared" si="21"/>
        <v/>
      </c>
      <c r="AA248" s="12"/>
      <c r="AB248" s="95" t="e">
        <f t="shared" si="22"/>
        <v>#VALUE!</v>
      </c>
      <c r="AC248" s="95" t="e">
        <f t="shared" si="23"/>
        <v>#VALUE!</v>
      </c>
      <c r="AD248" s="12"/>
    </row>
    <row r="249" spans="1:30" ht="15.75" thickBot="1" x14ac:dyDescent="0.3">
      <c r="A249" s="12"/>
      <c r="B249" s="22"/>
      <c r="C249" t="str">
        <f>IF(AND('ENTRY DATA'!D249=""),"",('ENTRY DATA'!D249))</f>
        <v/>
      </c>
      <c r="D249" t="str">
        <f>IF(AND('ENTRY DATA'!F249=""),"",('ENTRY DATA'!F249))</f>
        <v/>
      </c>
      <c r="E249" s="34" t="str">
        <f>IF(AND('ENTRY DATA'!B249=""),"",('ENTRY DATA'!B249))</f>
        <v/>
      </c>
      <c r="F249" s="12"/>
      <c r="G249" s="12"/>
      <c r="H249" s="73"/>
      <c r="I249" s="71"/>
      <c r="J249" s="73"/>
      <c r="K249" s="12"/>
      <c r="L249" s="20">
        <f t="shared" si="18"/>
        <v>0</v>
      </c>
      <c r="M249" s="19" t="str">
        <f t="shared" si="19"/>
        <v/>
      </c>
      <c r="N249" s="12"/>
      <c r="O249" s="119"/>
      <c r="P249" s="95" t="str">
        <f t="shared" si="20"/>
        <v/>
      </c>
      <c r="Q249" s="12"/>
      <c r="S249" s="128"/>
      <c r="T249" s="66"/>
      <c r="U249" s="128"/>
      <c r="W249" s="128"/>
      <c r="X249" s="12"/>
      <c r="Y249" t="str">
        <f t="shared" si="21"/>
        <v/>
      </c>
      <c r="Z249" t="str">
        <f t="shared" si="21"/>
        <v/>
      </c>
      <c r="AA249" s="12"/>
      <c r="AB249" s="95" t="e">
        <f t="shared" si="22"/>
        <v>#VALUE!</v>
      </c>
      <c r="AC249" s="95" t="e">
        <f t="shared" si="23"/>
        <v>#VALUE!</v>
      </c>
      <c r="AD249" s="12"/>
    </row>
    <row r="250" spans="1:30" ht="15.75" thickBot="1" x14ac:dyDescent="0.3">
      <c r="A250" s="12"/>
      <c r="B250" s="22"/>
      <c r="C250" t="str">
        <f>IF(AND('ENTRY DATA'!D250=""),"",('ENTRY DATA'!D250))</f>
        <v/>
      </c>
      <c r="D250" t="str">
        <f>IF(AND('ENTRY DATA'!F250=""),"",('ENTRY DATA'!F250))</f>
        <v/>
      </c>
      <c r="E250" s="34" t="str">
        <f>IF(AND('ENTRY DATA'!B250=""),"",('ENTRY DATA'!B250))</f>
        <v/>
      </c>
      <c r="F250" s="12"/>
      <c r="G250" s="12"/>
      <c r="H250" s="73"/>
      <c r="I250" s="71"/>
      <c r="J250" s="73"/>
      <c r="K250" s="12"/>
      <c r="L250" s="20">
        <f t="shared" si="18"/>
        <v>0</v>
      </c>
      <c r="M250" s="19" t="str">
        <f t="shared" si="19"/>
        <v/>
      </c>
      <c r="N250" s="12"/>
      <c r="O250" s="119"/>
      <c r="P250" s="95" t="str">
        <f t="shared" si="20"/>
        <v/>
      </c>
      <c r="Q250" s="12"/>
      <c r="S250" s="128"/>
      <c r="T250" s="66"/>
      <c r="U250" s="128"/>
      <c r="W250" s="128"/>
      <c r="X250" s="12"/>
      <c r="Y250" t="str">
        <f t="shared" si="21"/>
        <v/>
      </c>
      <c r="Z250" t="str">
        <f t="shared" si="21"/>
        <v/>
      </c>
      <c r="AA250" s="12"/>
      <c r="AB250" s="95" t="e">
        <f t="shared" si="22"/>
        <v>#VALUE!</v>
      </c>
      <c r="AC250" s="95" t="e">
        <f t="shared" si="23"/>
        <v>#VALUE!</v>
      </c>
      <c r="AD250" s="12"/>
    </row>
    <row r="251" spans="1:30" ht="15.75" thickBot="1" x14ac:dyDescent="0.3">
      <c r="A251" s="12"/>
      <c r="B251" s="22"/>
      <c r="C251" t="str">
        <f>IF(AND('ENTRY DATA'!D251=""),"",('ENTRY DATA'!D251))</f>
        <v/>
      </c>
      <c r="D251" t="str">
        <f>IF(AND('ENTRY DATA'!F251=""),"",('ENTRY DATA'!F251))</f>
        <v/>
      </c>
      <c r="E251" s="34" t="str">
        <f>IF(AND('ENTRY DATA'!B251=""),"",('ENTRY DATA'!B251))</f>
        <v/>
      </c>
      <c r="F251" s="12"/>
      <c r="G251" s="12"/>
      <c r="H251" s="73"/>
      <c r="I251" s="71"/>
      <c r="J251" s="73"/>
      <c r="K251" s="12"/>
      <c r="L251" s="20">
        <f t="shared" si="18"/>
        <v>0</v>
      </c>
      <c r="M251" s="19" t="str">
        <f t="shared" si="19"/>
        <v/>
      </c>
      <c r="N251" s="12"/>
      <c r="O251" s="119"/>
      <c r="P251" s="95" t="str">
        <f t="shared" si="20"/>
        <v/>
      </c>
      <c r="Q251" s="12"/>
      <c r="S251" s="128"/>
      <c r="T251" s="66"/>
      <c r="U251" s="128"/>
      <c r="W251" s="128"/>
      <c r="X251" s="12"/>
      <c r="Y251" t="str">
        <f t="shared" si="21"/>
        <v/>
      </c>
      <c r="Z251" t="str">
        <f t="shared" si="21"/>
        <v/>
      </c>
      <c r="AA251" s="12"/>
      <c r="AB251" s="95" t="e">
        <f t="shared" si="22"/>
        <v>#VALUE!</v>
      </c>
      <c r="AC251" s="95" t="e">
        <f t="shared" si="23"/>
        <v>#VALUE!</v>
      </c>
      <c r="AD251" s="12"/>
    </row>
    <row r="252" spans="1:30" ht="15.75" thickBot="1" x14ac:dyDescent="0.3">
      <c r="A252" s="12"/>
      <c r="B252" s="22"/>
      <c r="C252" t="str">
        <f>IF(AND('ENTRY DATA'!D252=""),"",('ENTRY DATA'!D252))</f>
        <v/>
      </c>
      <c r="D252" t="str">
        <f>IF(AND('ENTRY DATA'!F252=""),"",('ENTRY DATA'!F252))</f>
        <v/>
      </c>
      <c r="E252" s="34" t="str">
        <f>IF(AND('ENTRY DATA'!B252=""),"",('ENTRY DATA'!B252))</f>
        <v/>
      </c>
      <c r="F252" s="12"/>
      <c r="G252" s="12"/>
      <c r="H252" s="73"/>
      <c r="I252" s="71"/>
      <c r="J252" s="73"/>
      <c r="K252" s="12"/>
      <c r="L252" s="20">
        <f t="shared" si="18"/>
        <v>0</v>
      </c>
      <c r="M252" s="19" t="str">
        <f t="shared" si="19"/>
        <v/>
      </c>
      <c r="N252" s="12"/>
      <c r="O252" s="119"/>
      <c r="P252" s="95" t="str">
        <f t="shared" si="20"/>
        <v/>
      </c>
      <c r="Q252" s="12"/>
      <c r="S252" s="128"/>
      <c r="T252" s="66"/>
      <c r="U252" s="128"/>
      <c r="W252" s="128"/>
      <c r="X252" s="12"/>
      <c r="Y252" t="str">
        <f t="shared" si="21"/>
        <v/>
      </c>
      <c r="Z252" t="str">
        <f t="shared" si="21"/>
        <v/>
      </c>
      <c r="AA252" s="12"/>
      <c r="AB252" s="95" t="e">
        <f t="shared" si="22"/>
        <v>#VALUE!</v>
      </c>
      <c r="AC252" s="95" t="e">
        <f t="shared" si="23"/>
        <v>#VALUE!</v>
      </c>
      <c r="AD252" s="12"/>
    </row>
    <row r="253" spans="1:30" ht="15.75" thickBot="1" x14ac:dyDescent="0.3">
      <c r="A253" s="12"/>
      <c r="B253" s="22"/>
      <c r="C253" t="str">
        <f>IF(AND('ENTRY DATA'!D253=""),"",('ENTRY DATA'!D253))</f>
        <v/>
      </c>
      <c r="D253" t="str">
        <f>IF(AND('ENTRY DATA'!F253=""),"",('ENTRY DATA'!F253))</f>
        <v/>
      </c>
      <c r="E253" s="34" t="str">
        <f>IF(AND('ENTRY DATA'!B253=""),"",('ENTRY DATA'!B253))</f>
        <v/>
      </c>
      <c r="F253" s="12"/>
      <c r="G253" s="12"/>
      <c r="H253" s="73"/>
      <c r="I253" s="71"/>
      <c r="J253" s="73"/>
      <c r="K253" s="12"/>
      <c r="L253" s="20">
        <f t="shared" si="18"/>
        <v>0</v>
      </c>
      <c r="M253" s="19" t="str">
        <f t="shared" si="19"/>
        <v/>
      </c>
      <c r="N253" s="12"/>
      <c r="O253" s="119"/>
      <c r="P253" s="95" t="str">
        <f t="shared" si="20"/>
        <v/>
      </c>
      <c r="Q253" s="12"/>
      <c r="S253" s="128"/>
      <c r="T253" s="66"/>
      <c r="U253" s="128"/>
      <c r="W253" s="128"/>
      <c r="X253" s="12"/>
      <c r="Y253" t="str">
        <f t="shared" si="21"/>
        <v/>
      </c>
      <c r="Z253" t="str">
        <f t="shared" si="21"/>
        <v/>
      </c>
      <c r="AA253" s="12"/>
      <c r="AB253" s="95" t="e">
        <f t="shared" si="22"/>
        <v>#VALUE!</v>
      </c>
      <c r="AC253" s="95" t="e">
        <f t="shared" si="23"/>
        <v>#VALUE!</v>
      </c>
      <c r="AD253" s="12"/>
    </row>
    <row r="254" spans="1:30" ht="15.75" thickBot="1" x14ac:dyDescent="0.3">
      <c r="A254" s="12"/>
      <c r="B254" s="22"/>
      <c r="C254" t="str">
        <f>IF(AND('ENTRY DATA'!D254=""),"",('ENTRY DATA'!D254))</f>
        <v/>
      </c>
      <c r="D254" t="str">
        <f>IF(AND('ENTRY DATA'!F254=""),"",('ENTRY DATA'!F254))</f>
        <v/>
      </c>
      <c r="E254" s="34" t="str">
        <f>IF(AND('ENTRY DATA'!B254=""),"",('ENTRY DATA'!B254))</f>
        <v/>
      </c>
      <c r="F254" s="12"/>
      <c r="G254" s="12"/>
      <c r="H254" s="73"/>
      <c r="I254" s="71"/>
      <c r="J254" s="73"/>
      <c r="K254" s="12"/>
      <c r="L254" s="20">
        <f t="shared" si="18"/>
        <v>0</v>
      </c>
      <c r="M254" s="19" t="str">
        <f t="shared" si="19"/>
        <v/>
      </c>
      <c r="N254" s="12"/>
      <c r="O254" s="119"/>
      <c r="P254" s="95" t="str">
        <f t="shared" si="20"/>
        <v/>
      </c>
      <c r="Q254" s="12"/>
      <c r="S254" s="128"/>
      <c r="T254" s="66"/>
      <c r="U254" s="128"/>
      <c r="W254" s="128"/>
      <c r="X254" s="12"/>
      <c r="Y254" t="str">
        <f t="shared" si="21"/>
        <v/>
      </c>
      <c r="Z254" t="str">
        <f t="shared" si="21"/>
        <v/>
      </c>
      <c r="AA254" s="12"/>
      <c r="AB254" s="95" t="e">
        <f t="shared" si="22"/>
        <v>#VALUE!</v>
      </c>
      <c r="AC254" s="95" t="e">
        <f t="shared" si="23"/>
        <v>#VALUE!</v>
      </c>
      <c r="AD254" s="12"/>
    </row>
    <row r="255" spans="1:30" ht="15.75" thickBot="1" x14ac:dyDescent="0.3">
      <c r="A255" s="12"/>
      <c r="B255" s="22"/>
      <c r="C255" t="str">
        <f>IF(AND('ENTRY DATA'!D255=""),"",('ENTRY DATA'!D255))</f>
        <v/>
      </c>
      <c r="D255" t="str">
        <f>IF(AND('ENTRY DATA'!F255=""),"",('ENTRY DATA'!F255))</f>
        <v/>
      </c>
      <c r="E255" s="34" t="str">
        <f>IF(AND('ENTRY DATA'!B255=""),"",('ENTRY DATA'!B255))</f>
        <v/>
      </c>
      <c r="F255" s="12"/>
      <c r="G255" s="12"/>
      <c r="H255" s="73"/>
      <c r="I255" s="71"/>
      <c r="J255" s="73"/>
      <c r="K255" s="12"/>
      <c r="L255" s="20">
        <f t="shared" si="18"/>
        <v>0</v>
      </c>
      <c r="M255" s="19" t="str">
        <f t="shared" si="19"/>
        <v/>
      </c>
      <c r="N255" s="12"/>
      <c r="O255" s="119"/>
      <c r="P255" s="95" t="str">
        <f t="shared" si="20"/>
        <v/>
      </c>
      <c r="Q255" s="12"/>
      <c r="S255" s="128"/>
      <c r="T255" s="66"/>
      <c r="U255" s="128"/>
      <c r="W255" s="128"/>
      <c r="X255" s="12"/>
      <c r="Y255" t="str">
        <f t="shared" si="21"/>
        <v/>
      </c>
      <c r="Z255" t="str">
        <f t="shared" si="21"/>
        <v/>
      </c>
      <c r="AA255" s="12"/>
      <c r="AB255" s="95" t="e">
        <f t="shared" si="22"/>
        <v>#VALUE!</v>
      </c>
      <c r="AC255" s="95" t="e">
        <f t="shared" si="23"/>
        <v>#VALUE!</v>
      </c>
      <c r="AD255" s="12"/>
    </row>
    <row r="256" spans="1:30" ht="15.75" thickBot="1" x14ac:dyDescent="0.3">
      <c r="A256" s="12"/>
      <c r="B256" s="22"/>
      <c r="C256" t="str">
        <f>IF(AND('ENTRY DATA'!D256=""),"",('ENTRY DATA'!D256))</f>
        <v/>
      </c>
      <c r="D256" t="str">
        <f>IF(AND('ENTRY DATA'!F256=""),"",('ENTRY DATA'!F256))</f>
        <v/>
      </c>
      <c r="E256" s="34" t="str">
        <f>IF(AND('ENTRY DATA'!B256=""),"",('ENTRY DATA'!B256))</f>
        <v/>
      </c>
      <c r="F256" s="12"/>
      <c r="G256" s="12"/>
      <c r="H256" s="73"/>
      <c r="I256" s="71"/>
      <c r="J256" s="73"/>
      <c r="K256" s="12"/>
      <c r="L256" s="20">
        <f t="shared" si="18"/>
        <v>0</v>
      </c>
      <c r="M256" s="19" t="str">
        <f t="shared" si="19"/>
        <v/>
      </c>
      <c r="N256" s="12"/>
      <c r="O256" s="119"/>
      <c r="P256" s="95" t="str">
        <f t="shared" si="20"/>
        <v/>
      </c>
      <c r="Q256" s="12"/>
      <c r="S256" s="128"/>
      <c r="T256" s="66"/>
      <c r="U256" s="128"/>
      <c r="W256" s="128"/>
      <c r="X256" s="12"/>
      <c r="Y256" t="str">
        <f t="shared" si="21"/>
        <v/>
      </c>
      <c r="Z256" t="str">
        <f t="shared" si="21"/>
        <v/>
      </c>
      <c r="AA256" s="12"/>
      <c r="AB256" s="95" t="e">
        <f t="shared" si="22"/>
        <v>#VALUE!</v>
      </c>
      <c r="AC256" s="95" t="e">
        <f t="shared" si="23"/>
        <v>#VALUE!</v>
      </c>
      <c r="AD256" s="12"/>
    </row>
    <row r="257" spans="1:30" ht="15.75" thickBot="1" x14ac:dyDescent="0.3">
      <c r="A257" s="12"/>
      <c r="B257" s="22"/>
      <c r="C257" t="str">
        <f>IF(AND('ENTRY DATA'!D257=""),"",('ENTRY DATA'!D257))</f>
        <v/>
      </c>
      <c r="D257" t="str">
        <f>IF(AND('ENTRY DATA'!F257=""),"",('ENTRY DATA'!F257))</f>
        <v/>
      </c>
      <c r="E257" s="34" t="str">
        <f>IF(AND('ENTRY DATA'!B257=""),"",('ENTRY DATA'!B257))</f>
        <v/>
      </c>
      <c r="F257" s="12"/>
      <c r="G257" s="12"/>
      <c r="H257" s="73"/>
      <c r="I257" s="71"/>
      <c r="J257" s="73"/>
      <c r="K257" s="12"/>
      <c r="L257" s="20">
        <f t="shared" si="18"/>
        <v>0</v>
      </c>
      <c r="M257" s="19" t="str">
        <f t="shared" si="19"/>
        <v/>
      </c>
      <c r="N257" s="12"/>
      <c r="O257" s="119"/>
      <c r="P257" s="95" t="str">
        <f t="shared" si="20"/>
        <v/>
      </c>
      <c r="Q257" s="12"/>
      <c r="S257" s="128"/>
      <c r="T257" s="66"/>
      <c r="U257" s="128"/>
      <c r="W257" s="128"/>
      <c r="X257" s="12"/>
      <c r="Y257" t="str">
        <f t="shared" si="21"/>
        <v/>
      </c>
      <c r="Z257" t="str">
        <f t="shared" si="21"/>
        <v/>
      </c>
      <c r="AA257" s="12"/>
      <c r="AB257" s="95" t="e">
        <f t="shared" si="22"/>
        <v>#VALUE!</v>
      </c>
      <c r="AC257" s="95" t="e">
        <f t="shared" si="23"/>
        <v>#VALUE!</v>
      </c>
      <c r="AD257" s="12"/>
    </row>
    <row r="258" spans="1:30" ht="15.75" thickBot="1" x14ac:dyDescent="0.3">
      <c r="A258" s="12"/>
      <c r="B258" s="22"/>
      <c r="C258" t="str">
        <f>IF(AND('ENTRY DATA'!D258=""),"",('ENTRY DATA'!D258))</f>
        <v/>
      </c>
      <c r="D258" t="str">
        <f>IF(AND('ENTRY DATA'!F258=""),"",('ENTRY DATA'!F258))</f>
        <v/>
      </c>
      <c r="E258" s="34" t="str">
        <f>IF(AND('ENTRY DATA'!B258=""),"",('ENTRY DATA'!B258))</f>
        <v/>
      </c>
      <c r="F258" s="12"/>
      <c r="G258" s="12"/>
      <c r="H258" s="73"/>
      <c r="I258" s="71"/>
      <c r="J258" s="73"/>
      <c r="K258" s="12"/>
      <c r="L258" s="20">
        <f t="shared" si="18"/>
        <v>0</v>
      </c>
      <c r="M258" s="19" t="str">
        <f t="shared" si="19"/>
        <v/>
      </c>
      <c r="N258" s="12"/>
      <c r="O258" s="119"/>
      <c r="P258" s="95" t="str">
        <f t="shared" si="20"/>
        <v/>
      </c>
      <c r="Q258" s="12"/>
      <c r="S258" s="128"/>
      <c r="T258" s="66"/>
      <c r="U258" s="128"/>
      <c r="W258" s="128"/>
      <c r="X258" s="12"/>
      <c r="Y258" t="str">
        <f t="shared" si="21"/>
        <v/>
      </c>
      <c r="Z258" t="str">
        <f t="shared" si="21"/>
        <v/>
      </c>
      <c r="AA258" s="12"/>
      <c r="AB258" s="95" t="e">
        <f t="shared" si="22"/>
        <v>#VALUE!</v>
      </c>
      <c r="AC258" s="95" t="e">
        <f t="shared" si="23"/>
        <v>#VALUE!</v>
      </c>
      <c r="AD258" s="12"/>
    </row>
    <row r="259" spans="1:30" ht="15.75" thickBot="1" x14ac:dyDescent="0.3">
      <c r="A259" s="12"/>
      <c r="B259" s="22"/>
      <c r="C259" t="str">
        <f>IF(AND('ENTRY DATA'!D259=""),"",('ENTRY DATA'!D259))</f>
        <v/>
      </c>
      <c r="D259" t="str">
        <f>IF(AND('ENTRY DATA'!F259=""),"",('ENTRY DATA'!F259))</f>
        <v/>
      </c>
      <c r="E259" s="34" t="str">
        <f>IF(AND('ENTRY DATA'!B259=""),"",('ENTRY DATA'!B259))</f>
        <v/>
      </c>
      <c r="F259" s="12"/>
      <c r="G259" s="12"/>
      <c r="H259" s="73"/>
      <c r="I259" s="71"/>
      <c r="J259" s="73"/>
      <c r="K259" s="12"/>
      <c r="L259" s="20">
        <f t="shared" si="18"/>
        <v>0</v>
      </c>
      <c r="M259" s="19" t="str">
        <f t="shared" si="19"/>
        <v/>
      </c>
      <c r="N259" s="12"/>
      <c r="O259" s="119"/>
      <c r="P259" s="95" t="str">
        <f t="shared" si="20"/>
        <v/>
      </c>
      <c r="Q259" s="12"/>
      <c r="S259" s="128"/>
      <c r="T259" s="66"/>
      <c r="U259" s="128"/>
      <c r="W259" s="128"/>
      <c r="X259" s="12"/>
      <c r="Y259" t="str">
        <f t="shared" si="21"/>
        <v/>
      </c>
      <c r="Z259" t="str">
        <f t="shared" si="21"/>
        <v/>
      </c>
      <c r="AA259" s="12"/>
      <c r="AB259" s="95" t="e">
        <f t="shared" si="22"/>
        <v>#VALUE!</v>
      </c>
      <c r="AC259" s="95" t="e">
        <f t="shared" si="23"/>
        <v>#VALUE!</v>
      </c>
      <c r="AD259" s="12"/>
    </row>
    <row r="260" spans="1:30" ht="15.75" thickBot="1" x14ac:dyDescent="0.3">
      <c r="A260" s="12"/>
      <c r="B260" s="22"/>
      <c r="C260" t="str">
        <f>IF(AND('ENTRY DATA'!D260=""),"",('ENTRY DATA'!D260))</f>
        <v/>
      </c>
      <c r="D260" t="str">
        <f>IF(AND('ENTRY DATA'!F260=""),"",('ENTRY DATA'!F260))</f>
        <v/>
      </c>
      <c r="E260" s="34" t="str">
        <f>IF(AND('ENTRY DATA'!B260=""),"",('ENTRY DATA'!B260))</f>
        <v/>
      </c>
      <c r="F260" s="12"/>
      <c r="G260" s="12"/>
      <c r="H260" s="73"/>
      <c r="I260" s="71"/>
      <c r="J260" s="73"/>
      <c r="K260" s="12"/>
      <c r="L260" s="20">
        <f t="shared" si="18"/>
        <v>0</v>
      </c>
      <c r="M260" s="19" t="str">
        <f t="shared" si="19"/>
        <v/>
      </c>
      <c r="N260" s="12"/>
      <c r="O260" s="119"/>
      <c r="P260" s="95" t="str">
        <f t="shared" si="20"/>
        <v/>
      </c>
      <c r="Q260" s="12"/>
      <c r="S260" s="128"/>
      <c r="T260" s="66"/>
      <c r="U260" s="128"/>
      <c r="W260" s="128"/>
      <c r="X260" s="12"/>
      <c r="Y260" t="str">
        <f t="shared" si="21"/>
        <v/>
      </c>
      <c r="Z260" t="str">
        <f t="shared" si="21"/>
        <v/>
      </c>
      <c r="AA260" s="12"/>
      <c r="AB260" s="95" t="e">
        <f t="shared" si="22"/>
        <v>#VALUE!</v>
      </c>
      <c r="AC260" s="95" t="e">
        <f t="shared" si="23"/>
        <v>#VALUE!</v>
      </c>
      <c r="AD260" s="12"/>
    </row>
    <row r="261" spans="1:30" ht="15.75" thickBot="1" x14ac:dyDescent="0.3">
      <c r="A261" s="12"/>
      <c r="B261" s="22"/>
      <c r="C261" t="str">
        <f>IF(AND('ENTRY DATA'!D261=""),"",('ENTRY DATA'!D261))</f>
        <v/>
      </c>
      <c r="D261" t="str">
        <f>IF(AND('ENTRY DATA'!F261=""),"",('ENTRY DATA'!F261))</f>
        <v/>
      </c>
      <c r="E261" s="34" t="str">
        <f>IF(AND('ENTRY DATA'!B261=""),"",('ENTRY DATA'!B261))</f>
        <v/>
      </c>
      <c r="F261" s="12"/>
      <c r="G261" s="12"/>
      <c r="H261" s="73"/>
      <c r="I261" s="71"/>
      <c r="J261" s="73"/>
      <c r="K261" s="12"/>
      <c r="L261" s="20">
        <f t="shared" si="18"/>
        <v>0</v>
      </c>
      <c r="M261" s="19" t="str">
        <f t="shared" si="19"/>
        <v/>
      </c>
      <c r="N261" s="12"/>
      <c r="O261" s="119"/>
      <c r="P261" s="95" t="str">
        <f t="shared" si="20"/>
        <v/>
      </c>
      <c r="Q261" s="12"/>
      <c r="S261" s="128"/>
      <c r="T261" s="66"/>
      <c r="U261" s="128"/>
      <c r="W261" s="128"/>
      <c r="X261" s="12"/>
      <c r="Y261" t="str">
        <f t="shared" si="21"/>
        <v/>
      </c>
      <c r="Z261" t="str">
        <f t="shared" si="21"/>
        <v/>
      </c>
      <c r="AA261" s="12"/>
      <c r="AB261" s="95" t="e">
        <f t="shared" si="22"/>
        <v>#VALUE!</v>
      </c>
      <c r="AC261" s="95" t="e">
        <f t="shared" si="23"/>
        <v>#VALUE!</v>
      </c>
      <c r="AD261" s="12"/>
    </row>
    <row r="262" spans="1:30" ht="15.75" thickBot="1" x14ac:dyDescent="0.3">
      <c r="A262" s="12"/>
      <c r="B262" s="22"/>
      <c r="C262" t="str">
        <f>IF(AND('ENTRY DATA'!D262=""),"",('ENTRY DATA'!D262))</f>
        <v/>
      </c>
      <c r="D262" t="str">
        <f>IF(AND('ENTRY DATA'!F262=""),"",('ENTRY DATA'!F262))</f>
        <v/>
      </c>
      <c r="E262" s="34" t="str">
        <f>IF(AND('ENTRY DATA'!B262=""),"",('ENTRY DATA'!B262))</f>
        <v/>
      </c>
      <c r="F262" s="12"/>
      <c r="G262" s="12"/>
      <c r="H262" s="73"/>
      <c r="I262" s="71"/>
      <c r="J262" s="73"/>
      <c r="K262" s="12"/>
      <c r="L262" s="20">
        <f t="shared" ref="L262:L300" si="24">COUNT(H262:J262)</f>
        <v>0</v>
      </c>
      <c r="M262" s="19" t="str">
        <f t="shared" ref="M262:M300" si="25">IF(AND(H262="",I262="",J262=""),"",(H262+I262+J262))</f>
        <v/>
      </c>
      <c r="N262" s="12"/>
      <c r="O262" s="119"/>
      <c r="P262" s="95" t="str">
        <f t="shared" ref="P262:P301" si="26">C262</f>
        <v/>
      </c>
      <c r="Q262" s="12"/>
      <c r="S262" s="128"/>
      <c r="T262" s="66"/>
      <c r="U262" s="128"/>
      <c r="W262" s="128"/>
      <c r="X262" s="12"/>
      <c r="Y262" t="str">
        <f t="shared" ref="Y262:Z302" si="27">IF(AND(R262="",T262="",V262=""),"",SUM(R262,T262,V262))</f>
        <v/>
      </c>
      <c r="Z262" t="str">
        <f t="shared" si="27"/>
        <v/>
      </c>
      <c r="AA262" s="12"/>
      <c r="AB262" s="95" t="e">
        <f t="shared" ref="AB262:AB301" si="28">Y262/L262</f>
        <v>#VALUE!</v>
      </c>
      <c r="AC262" s="95" t="e">
        <f t="shared" ref="AC262:AC301" si="29">Z262/L262</f>
        <v>#VALUE!</v>
      </c>
      <c r="AD262" s="12"/>
    </row>
    <row r="263" spans="1:30" ht="15.75" thickBot="1" x14ac:dyDescent="0.3">
      <c r="A263" s="12"/>
      <c r="B263" s="22"/>
      <c r="C263" t="str">
        <f>IF(AND('ENTRY DATA'!D263=""),"",('ENTRY DATA'!D263))</f>
        <v/>
      </c>
      <c r="D263" t="str">
        <f>IF(AND('ENTRY DATA'!F263=""),"",('ENTRY DATA'!F263))</f>
        <v/>
      </c>
      <c r="E263" s="34" t="str">
        <f>IF(AND('ENTRY DATA'!B263=""),"",('ENTRY DATA'!B263))</f>
        <v/>
      </c>
      <c r="F263" s="12"/>
      <c r="G263" s="12"/>
      <c r="H263" s="73"/>
      <c r="I263" s="71"/>
      <c r="J263" s="73"/>
      <c r="K263" s="12"/>
      <c r="L263" s="20">
        <f t="shared" si="24"/>
        <v>0</v>
      </c>
      <c r="M263" s="19" t="str">
        <f t="shared" si="25"/>
        <v/>
      </c>
      <c r="N263" s="12"/>
      <c r="O263" s="119"/>
      <c r="P263" s="95" t="str">
        <f t="shared" si="26"/>
        <v/>
      </c>
      <c r="Q263" s="12"/>
      <c r="S263" s="128"/>
      <c r="T263" s="66"/>
      <c r="U263" s="128"/>
      <c r="W263" s="128"/>
      <c r="X263" s="12"/>
      <c r="Y263" t="str">
        <f t="shared" si="27"/>
        <v/>
      </c>
      <c r="Z263" t="str">
        <f t="shared" si="27"/>
        <v/>
      </c>
      <c r="AA263" s="12"/>
      <c r="AB263" s="95" t="e">
        <f t="shared" si="28"/>
        <v>#VALUE!</v>
      </c>
      <c r="AC263" s="95" t="e">
        <f t="shared" si="29"/>
        <v>#VALUE!</v>
      </c>
      <c r="AD263" s="12"/>
    </row>
    <row r="264" spans="1:30" ht="15.75" thickBot="1" x14ac:dyDescent="0.3">
      <c r="A264" s="12"/>
      <c r="B264" s="22"/>
      <c r="C264" t="str">
        <f>IF(AND('ENTRY DATA'!D264=""),"",('ENTRY DATA'!D264))</f>
        <v/>
      </c>
      <c r="D264" t="str">
        <f>IF(AND('ENTRY DATA'!F264=""),"",('ENTRY DATA'!F264))</f>
        <v/>
      </c>
      <c r="E264" s="34" t="str">
        <f>IF(AND('ENTRY DATA'!B264=""),"",('ENTRY DATA'!B264))</f>
        <v/>
      </c>
      <c r="F264" s="12"/>
      <c r="G264" s="12"/>
      <c r="H264" s="73"/>
      <c r="I264" s="71"/>
      <c r="J264" s="73"/>
      <c r="K264" s="12"/>
      <c r="L264" s="20">
        <f t="shared" si="24"/>
        <v>0</v>
      </c>
      <c r="M264" s="19" t="str">
        <f t="shared" si="25"/>
        <v/>
      </c>
      <c r="N264" s="12"/>
      <c r="O264" s="119"/>
      <c r="P264" s="95" t="str">
        <f t="shared" si="26"/>
        <v/>
      </c>
      <c r="Q264" s="12"/>
      <c r="S264" s="128"/>
      <c r="T264" s="66"/>
      <c r="U264" s="128"/>
      <c r="W264" s="128"/>
      <c r="X264" s="12"/>
      <c r="Y264" t="str">
        <f t="shared" si="27"/>
        <v/>
      </c>
      <c r="Z264" t="str">
        <f t="shared" si="27"/>
        <v/>
      </c>
      <c r="AA264" s="12"/>
      <c r="AB264" s="95" t="e">
        <f t="shared" si="28"/>
        <v>#VALUE!</v>
      </c>
      <c r="AC264" s="95" t="e">
        <f t="shared" si="29"/>
        <v>#VALUE!</v>
      </c>
      <c r="AD264" s="12"/>
    </row>
    <row r="265" spans="1:30" ht="15.75" thickBot="1" x14ac:dyDescent="0.3">
      <c r="A265" s="12"/>
      <c r="B265" s="22"/>
      <c r="C265" t="str">
        <f>IF(AND('ENTRY DATA'!D265=""),"",('ENTRY DATA'!D265))</f>
        <v/>
      </c>
      <c r="D265" t="str">
        <f>IF(AND('ENTRY DATA'!F265=""),"",('ENTRY DATA'!F265))</f>
        <v/>
      </c>
      <c r="E265" s="34" t="str">
        <f>IF(AND('ENTRY DATA'!B265=""),"",('ENTRY DATA'!B265))</f>
        <v/>
      </c>
      <c r="F265" s="12"/>
      <c r="G265" s="12"/>
      <c r="H265" s="73"/>
      <c r="I265" s="71"/>
      <c r="J265" s="73"/>
      <c r="K265" s="12"/>
      <c r="L265" s="20">
        <f t="shared" si="24"/>
        <v>0</v>
      </c>
      <c r="M265" s="19" t="str">
        <f t="shared" si="25"/>
        <v/>
      </c>
      <c r="N265" s="12"/>
      <c r="O265" s="119"/>
      <c r="P265" s="95" t="str">
        <f t="shared" si="26"/>
        <v/>
      </c>
      <c r="Q265" s="12"/>
      <c r="S265" s="128"/>
      <c r="T265" s="66"/>
      <c r="U265" s="128"/>
      <c r="W265" s="128"/>
      <c r="X265" s="12"/>
      <c r="Y265" t="str">
        <f t="shared" si="27"/>
        <v/>
      </c>
      <c r="Z265" t="str">
        <f t="shared" si="27"/>
        <v/>
      </c>
      <c r="AA265" s="12"/>
      <c r="AB265" s="95" t="e">
        <f t="shared" si="28"/>
        <v>#VALUE!</v>
      </c>
      <c r="AC265" s="95" t="e">
        <f t="shared" si="29"/>
        <v>#VALUE!</v>
      </c>
      <c r="AD265" s="12"/>
    </row>
    <row r="266" spans="1:30" ht="15.75" thickBot="1" x14ac:dyDescent="0.3">
      <c r="A266" s="12"/>
      <c r="B266" s="22"/>
      <c r="C266" t="str">
        <f>IF(AND('ENTRY DATA'!D266=""),"",('ENTRY DATA'!D266))</f>
        <v/>
      </c>
      <c r="D266" t="str">
        <f>IF(AND('ENTRY DATA'!F266=""),"",('ENTRY DATA'!F266))</f>
        <v/>
      </c>
      <c r="E266" s="34" t="str">
        <f>IF(AND('ENTRY DATA'!B266=""),"",('ENTRY DATA'!B266))</f>
        <v/>
      </c>
      <c r="F266" s="12"/>
      <c r="G266" s="12"/>
      <c r="H266" s="73"/>
      <c r="I266" s="71"/>
      <c r="J266" s="73"/>
      <c r="K266" s="12"/>
      <c r="L266" s="20">
        <f t="shared" si="24"/>
        <v>0</v>
      </c>
      <c r="M266" s="19" t="str">
        <f t="shared" si="25"/>
        <v/>
      </c>
      <c r="N266" s="12"/>
      <c r="O266" s="119"/>
      <c r="P266" s="95" t="str">
        <f t="shared" si="26"/>
        <v/>
      </c>
      <c r="Q266" s="12"/>
      <c r="S266" s="128"/>
      <c r="T266" s="66"/>
      <c r="U266" s="128"/>
      <c r="W266" s="128"/>
      <c r="X266" s="12"/>
      <c r="Y266" t="str">
        <f t="shared" si="27"/>
        <v/>
      </c>
      <c r="Z266" t="str">
        <f t="shared" si="27"/>
        <v/>
      </c>
      <c r="AA266" s="12"/>
      <c r="AB266" s="95" t="e">
        <f t="shared" si="28"/>
        <v>#VALUE!</v>
      </c>
      <c r="AC266" s="95" t="e">
        <f t="shared" si="29"/>
        <v>#VALUE!</v>
      </c>
      <c r="AD266" s="12"/>
    </row>
    <row r="267" spans="1:30" ht="15.75" thickBot="1" x14ac:dyDescent="0.3">
      <c r="A267" s="12"/>
      <c r="B267" s="22"/>
      <c r="C267" t="str">
        <f>IF(AND('ENTRY DATA'!D267=""),"",('ENTRY DATA'!D267))</f>
        <v/>
      </c>
      <c r="D267" t="str">
        <f>IF(AND('ENTRY DATA'!F267=""),"",('ENTRY DATA'!F267))</f>
        <v/>
      </c>
      <c r="E267" s="34" t="str">
        <f>IF(AND('ENTRY DATA'!B267=""),"",('ENTRY DATA'!B267))</f>
        <v/>
      </c>
      <c r="F267" s="12"/>
      <c r="G267" s="12"/>
      <c r="H267" s="73"/>
      <c r="I267" s="71"/>
      <c r="J267" s="73"/>
      <c r="K267" s="12"/>
      <c r="L267" s="20">
        <f t="shared" si="24"/>
        <v>0</v>
      </c>
      <c r="M267" s="19" t="str">
        <f t="shared" si="25"/>
        <v/>
      </c>
      <c r="N267" s="12"/>
      <c r="O267" s="119"/>
      <c r="P267" s="95" t="str">
        <f t="shared" si="26"/>
        <v/>
      </c>
      <c r="Q267" s="12"/>
      <c r="S267" s="128"/>
      <c r="T267" s="66"/>
      <c r="U267" s="128"/>
      <c r="W267" s="128"/>
      <c r="X267" s="12"/>
      <c r="Y267" t="str">
        <f t="shared" si="27"/>
        <v/>
      </c>
      <c r="Z267" t="str">
        <f t="shared" si="27"/>
        <v/>
      </c>
      <c r="AA267" s="12"/>
      <c r="AB267" s="95" t="e">
        <f t="shared" si="28"/>
        <v>#VALUE!</v>
      </c>
      <c r="AC267" s="95" t="e">
        <f t="shared" si="29"/>
        <v>#VALUE!</v>
      </c>
      <c r="AD267" s="12"/>
    </row>
    <row r="268" spans="1:30" ht="15.75" thickBot="1" x14ac:dyDescent="0.3">
      <c r="A268" s="12"/>
      <c r="B268" s="22"/>
      <c r="C268" t="str">
        <f>IF(AND('ENTRY DATA'!D268=""),"",('ENTRY DATA'!D268))</f>
        <v/>
      </c>
      <c r="D268" t="str">
        <f>IF(AND('ENTRY DATA'!F268=""),"",('ENTRY DATA'!F268))</f>
        <v/>
      </c>
      <c r="E268" s="34" t="str">
        <f>IF(AND('ENTRY DATA'!B268=""),"",('ENTRY DATA'!B268))</f>
        <v/>
      </c>
      <c r="F268" s="12"/>
      <c r="G268" s="12"/>
      <c r="H268" s="73"/>
      <c r="I268" s="71"/>
      <c r="J268" s="73"/>
      <c r="K268" s="12"/>
      <c r="L268" s="20">
        <f t="shared" si="24"/>
        <v>0</v>
      </c>
      <c r="M268" s="19" t="str">
        <f t="shared" si="25"/>
        <v/>
      </c>
      <c r="N268" s="12"/>
      <c r="O268" s="119"/>
      <c r="P268" s="95" t="str">
        <f t="shared" si="26"/>
        <v/>
      </c>
      <c r="Q268" s="12"/>
      <c r="S268" s="128"/>
      <c r="T268" s="66"/>
      <c r="U268" s="128"/>
      <c r="W268" s="128"/>
      <c r="X268" s="12"/>
      <c r="Y268" t="str">
        <f t="shared" si="27"/>
        <v/>
      </c>
      <c r="Z268" t="str">
        <f t="shared" si="27"/>
        <v/>
      </c>
      <c r="AA268" s="12"/>
      <c r="AB268" s="95" t="e">
        <f t="shared" si="28"/>
        <v>#VALUE!</v>
      </c>
      <c r="AC268" s="95" t="e">
        <f t="shared" si="29"/>
        <v>#VALUE!</v>
      </c>
      <c r="AD268" s="12"/>
    </row>
    <row r="269" spans="1:30" ht="15.75" thickBot="1" x14ac:dyDescent="0.3">
      <c r="A269" s="12"/>
      <c r="B269" s="22"/>
      <c r="C269" t="str">
        <f>IF(AND('ENTRY DATA'!D269=""),"",('ENTRY DATA'!D269))</f>
        <v/>
      </c>
      <c r="D269" t="str">
        <f>IF(AND('ENTRY DATA'!F269=""),"",('ENTRY DATA'!F269))</f>
        <v/>
      </c>
      <c r="E269" s="34" t="str">
        <f>IF(AND('ENTRY DATA'!B269=""),"",('ENTRY DATA'!B269))</f>
        <v/>
      </c>
      <c r="F269" s="12"/>
      <c r="G269" s="12"/>
      <c r="H269" s="73"/>
      <c r="I269" s="71"/>
      <c r="J269" s="73"/>
      <c r="K269" s="12"/>
      <c r="L269" s="20">
        <f t="shared" si="24"/>
        <v>0</v>
      </c>
      <c r="M269" s="19" t="str">
        <f t="shared" si="25"/>
        <v/>
      </c>
      <c r="N269" s="12"/>
      <c r="O269" s="119"/>
      <c r="P269" s="95" t="str">
        <f t="shared" si="26"/>
        <v/>
      </c>
      <c r="Q269" s="12"/>
      <c r="S269" s="128"/>
      <c r="T269" s="66"/>
      <c r="U269" s="128"/>
      <c r="W269" s="128"/>
      <c r="X269" s="12"/>
      <c r="Y269" t="str">
        <f t="shared" si="27"/>
        <v/>
      </c>
      <c r="Z269" t="str">
        <f t="shared" si="27"/>
        <v/>
      </c>
      <c r="AA269" s="12"/>
      <c r="AB269" s="95" t="e">
        <f t="shared" si="28"/>
        <v>#VALUE!</v>
      </c>
      <c r="AC269" s="95" t="e">
        <f t="shared" si="29"/>
        <v>#VALUE!</v>
      </c>
      <c r="AD269" s="12"/>
    </row>
    <row r="270" spans="1:30" ht="15.75" thickBot="1" x14ac:dyDescent="0.3">
      <c r="A270" s="12"/>
      <c r="B270" s="22"/>
      <c r="C270" t="str">
        <f>IF(AND('ENTRY DATA'!D270=""),"",('ENTRY DATA'!D270))</f>
        <v/>
      </c>
      <c r="D270" t="str">
        <f>IF(AND('ENTRY DATA'!F270=""),"",('ENTRY DATA'!F270))</f>
        <v/>
      </c>
      <c r="E270" s="34" t="str">
        <f>IF(AND('ENTRY DATA'!B270=""),"",('ENTRY DATA'!B270))</f>
        <v/>
      </c>
      <c r="F270" s="12"/>
      <c r="G270" s="12"/>
      <c r="H270" s="73"/>
      <c r="I270" s="71"/>
      <c r="J270" s="73"/>
      <c r="K270" s="12"/>
      <c r="L270" s="20">
        <f t="shared" si="24"/>
        <v>0</v>
      </c>
      <c r="M270" s="19" t="str">
        <f t="shared" si="25"/>
        <v/>
      </c>
      <c r="N270" s="12"/>
      <c r="O270" s="119"/>
      <c r="P270" s="95" t="str">
        <f t="shared" si="26"/>
        <v/>
      </c>
      <c r="Q270" s="12"/>
      <c r="S270" s="128"/>
      <c r="T270" s="66"/>
      <c r="U270" s="128"/>
      <c r="W270" s="128"/>
      <c r="X270" s="12"/>
      <c r="Y270" t="str">
        <f t="shared" si="27"/>
        <v/>
      </c>
      <c r="Z270" t="str">
        <f t="shared" si="27"/>
        <v/>
      </c>
      <c r="AA270" s="12"/>
      <c r="AB270" s="95" t="e">
        <f t="shared" si="28"/>
        <v>#VALUE!</v>
      </c>
      <c r="AC270" s="95" t="e">
        <f t="shared" si="29"/>
        <v>#VALUE!</v>
      </c>
      <c r="AD270" s="12"/>
    </row>
    <row r="271" spans="1:30" ht="15.75" thickBot="1" x14ac:dyDescent="0.3">
      <c r="A271" s="12"/>
      <c r="B271" s="22"/>
      <c r="C271" t="str">
        <f>IF(AND('ENTRY DATA'!D271=""),"",('ENTRY DATA'!D271))</f>
        <v/>
      </c>
      <c r="D271" t="str">
        <f>IF(AND('ENTRY DATA'!F271=""),"",('ENTRY DATA'!F271))</f>
        <v/>
      </c>
      <c r="E271" s="34" t="str">
        <f>IF(AND('ENTRY DATA'!B271=""),"",('ENTRY DATA'!B271))</f>
        <v/>
      </c>
      <c r="F271" s="12"/>
      <c r="G271" s="12"/>
      <c r="H271" s="73"/>
      <c r="I271" s="71"/>
      <c r="J271" s="73"/>
      <c r="K271" s="12"/>
      <c r="L271" s="20">
        <f t="shared" si="24"/>
        <v>0</v>
      </c>
      <c r="M271" s="19" t="str">
        <f t="shared" si="25"/>
        <v/>
      </c>
      <c r="N271" s="12"/>
      <c r="O271" s="119"/>
      <c r="P271" s="95" t="str">
        <f t="shared" si="26"/>
        <v/>
      </c>
      <c r="Q271" s="12"/>
      <c r="S271" s="128"/>
      <c r="T271" s="66"/>
      <c r="U271" s="128"/>
      <c r="W271" s="128"/>
      <c r="X271" s="12"/>
      <c r="Y271" t="str">
        <f t="shared" si="27"/>
        <v/>
      </c>
      <c r="Z271" t="str">
        <f t="shared" si="27"/>
        <v/>
      </c>
      <c r="AA271" s="12"/>
      <c r="AB271" s="95" t="e">
        <f t="shared" si="28"/>
        <v>#VALUE!</v>
      </c>
      <c r="AC271" s="95" t="e">
        <f t="shared" si="29"/>
        <v>#VALUE!</v>
      </c>
      <c r="AD271" s="12"/>
    </row>
    <row r="272" spans="1:30" ht="15.75" thickBot="1" x14ac:dyDescent="0.3">
      <c r="A272" s="12"/>
      <c r="B272" s="22"/>
      <c r="C272" t="str">
        <f>IF(AND('ENTRY DATA'!D272=""),"",('ENTRY DATA'!D272))</f>
        <v/>
      </c>
      <c r="D272" t="str">
        <f>IF(AND('ENTRY DATA'!F272=""),"",('ENTRY DATA'!F272))</f>
        <v/>
      </c>
      <c r="E272" s="34" t="str">
        <f>IF(AND('ENTRY DATA'!B272=""),"",('ENTRY DATA'!B272))</f>
        <v/>
      </c>
      <c r="F272" s="12"/>
      <c r="G272" s="12"/>
      <c r="H272" s="73"/>
      <c r="I272" s="71"/>
      <c r="J272" s="73"/>
      <c r="K272" s="12"/>
      <c r="L272" s="20">
        <f t="shared" si="24"/>
        <v>0</v>
      </c>
      <c r="M272" s="19" t="str">
        <f t="shared" si="25"/>
        <v/>
      </c>
      <c r="N272" s="12"/>
      <c r="O272" s="119"/>
      <c r="P272" s="95" t="str">
        <f t="shared" si="26"/>
        <v/>
      </c>
      <c r="Q272" s="12"/>
      <c r="S272" s="128"/>
      <c r="T272" s="66"/>
      <c r="U272" s="128"/>
      <c r="W272" s="128"/>
      <c r="X272" s="12"/>
      <c r="Y272" t="str">
        <f t="shared" si="27"/>
        <v/>
      </c>
      <c r="Z272" t="str">
        <f t="shared" si="27"/>
        <v/>
      </c>
      <c r="AA272" s="12"/>
      <c r="AB272" s="95" t="e">
        <f t="shared" si="28"/>
        <v>#VALUE!</v>
      </c>
      <c r="AC272" s="95" t="e">
        <f t="shared" si="29"/>
        <v>#VALUE!</v>
      </c>
      <c r="AD272" s="12"/>
    </row>
    <row r="273" spans="1:30" ht="15.75" thickBot="1" x14ac:dyDescent="0.3">
      <c r="A273" s="12"/>
      <c r="B273" s="22"/>
      <c r="C273" t="str">
        <f>IF(AND('ENTRY DATA'!D273=""),"",('ENTRY DATA'!D273))</f>
        <v/>
      </c>
      <c r="D273" t="str">
        <f>IF(AND('ENTRY DATA'!F273=""),"",('ENTRY DATA'!F273))</f>
        <v/>
      </c>
      <c r="E273" s="34" t="str">
        <f>IF(AND('ENTRY DATA'!B273=""),"",('ENTRY DATA'!B273))</f>
        <v/>
      </c>
      <c r="F273" s="12"/>
      <c r="G273" s="12"/>
      <c r="H273" s="73"/>
      <c r="I273" s="71"/>
      <c r="J273" s="73"/>
      <c r="K273" s="12"/>
      <c r="L273" s="20">
        <f t="shared" si="24"/>
        <v>0</v>
      </c>
      <c r="M273" s="19" t="str">
        <f t="shared" si="25"/>
        <v/>
      </c>
      <c r="N273" s="12"/>
      <c r="O273" s="119"/>
      <c r="P273" s="95" t="str">
        <f t="shared" si="26"/>
        <v/>
      </c>
      <c r="Q273" s="12"/>
      <c r="S273" s="128"/>
      <c r="T273" s="66"/>
      <c r="U273" s="128"/>
      <c r="W273" s="128"/>
      <c r="X273" s="12"/>
      <c r="Y273" t="str">
        <f t="shared" si="27"/>
        <v/>
      </c>
      <c r="Z273" t="str">
        <f t="shared" si="27"/>
        <v/>
      </c>
      <c r="AA273" s="12"/>
      <c r="AB273" s="95" t="e">
        <f t="shared" si="28"/>
        <v>#VALUE!</v>
      </c>
      <c r="AC273" s="95" t="e">
        <f t="shared" si="29"/>
        <v>#VALUE!</v>
      </c>
      <c r="AD273" s="12"/>
    </row>
    <row r="274" spans="1:30" ht="15.75" thickBot="1" x14ac:dyDescent="0.3">
      <c r="A274" s="12"/>
      <c r="B274" s="22"/>
      <c r="C274" t="str">
        <f>IF(AND('ENTRY DATA'!D274=""),"",('ENTRY DATA'!D274))</f>
        <v/>
      </c>
      <c r="D274" t="str">
        <f>IF(AND('ENTRY DATA'!F274=""),"",('ENTRY DATA'!F274))</f>
        <v/>
      </c>
      <c r="E274" s="34" t="str">
        <f>IF(AND('ENTRY DATA'!B274=""),"",('ENTRY DATA'!B274))</f>
        <v/>
      </c>
      <c r="F274" s="12"/>
      <c r="G274" s="12"/>
      <c r="H274" s="73"/>
      <c r="I274" s="71"/>
      <c r="J274" s="73"/>
      <c r="K274" s="12"/>
      <c r="L274" s="20">
        <f t="shared" si="24"/>
        <v>0</v>
      </c>
      <c r="M274" s="19" t="str">
        <f t="shared" si="25"/>
        <v/>
      </c>
      <c r="N274" s="12"/>
      <c r="O274" s="119"/>
      <c r="P274" s="95" t="str">
        <f t="shared" si="26"/>
        <v/>
      </c>
      <c r="Q274" s="12"/>
      <c r="S274" s="128"/>
      <c r="T274" s="66"/>
      <c r="U274" s="128"/>
      <c r="W274" s="128"/>
      <c r="X274" s="12"/>
      <c r="Y274" t="str">
        <f t="shared" si="27"/>
        <v/>
      </c>
      <c r="Z274" t="str">
        <f t="shared" si="27"/>
        <v/>
      </c>
      <c r="AA274" s="12"/>
      <c r="AB274" s="95" t="e">
        <f t="shared" si="28"/>
        <v>#VALUE!</v>
      </c>
      <c r="AC274" s="95" t="e">
        <f t="shared" si="29"/>
        <v>#VALUE!</v>
      </c>
      <c r="AD274" s="12"/>
    </row>
    <row r="275" spans="1:30" ht="15.75" thickBot="1" x14ac:dyDescent="0.3">
      <c r="A275" s="12"/>
      <c r="B275" s="22"/>
      <c r="C275" t="str">
        <f>IF(AND('ENTRY DATA'!D275=""),"",('ENTRY DATA'!D275))</f>
        <v/>
      </c>
      <c r="D275" t="str">
        <f>IF(AND('ENTRY DATA'!F275=""),"",('ENTRY DATA'!F275))</f>
        <v/>
      </c>
      <c r="E275" s="34" t="str">
        <f>IF(AND('ENTRY DATA'!B275=""),"",('ENTRY DATA'!B275))</f>
        <v/>
      </c>
      <c r="F275" s="12"/>
      <c r="G275" s="12"/>
      <c r="H275" s="73"/>
      <c r="I275" s="71"/>
      <c r="J275" s="73"/>
      <c r="K275" s="12"/>
      <c r="L275" s="20">
        <f t="shared" si="24"/>
        <v>0</v>
      </c>
      <c r="M275" s="19" t="str">
        <f t="shared" si="25"/>
        <v/>
      </c>
      <c r="N275" s="12"/>
      <c r="O275" s="119"/>
      <c r="P275" s="95" t="str">
        <f t="shared" si="26"/>
        <v/>
      </c>
      <c r="Q275" s="12"/>
      <c r="S275" s="128"/>
      <c r="T275" s="66"/>
      <c r="U275" s="128"/>
      <c r="W275" s="128"/>
      <c r="X275" s="12"/>
      <c r="Y275" t="str">
        <f t="shared" si="27"/>
        <v/>
      </c>
      <c r="Z275" t="str">
        <f t="shared" si="27"/>
        <v/>
      </c>
      <c r="AA275" s="12"/>
      <c r="AB275" s="95" t="e">
        <f t="shared" si="28"/>
        <v>#VALUE!</v>
      </c>
      <c r="AC275" s="95" t="e">
        <f t="shared" si="29"/>
        <v>#VALUE!</v>
      </c>
      <c r="AD275" s="12"/>
    </row>
    <row r="276" spans="1:30" ht="15.75" thickBot="1" x14ac:dyDescent="0.3">
      <c r="A276" s="12"/>
      <c r="B276" s="22"/>
      <c r="C276" t="str">
        <f>IF(AND('ENTRY DATA'!D276=""),"",('ENTRY DATA'!D276))</f>
        <v/>
      </c>
      <c r="D276" t="str">
        <f>IF(AND('ENTRY DATA'!F276=""),"",('ENTRY DATA'!F276))</f>
        <v/>
      </c>
      <c r="E276" s="34" t="str">
        <f>IF(AND('ENTRY DATA'!B276=""),"",('ENTRY DATA'!B276))</f>
        <v/>
      </c>
      <c r="F276" s="12"/>
      <c r="G276" s="12"/>
      <c r="H276" s="73"/>
      <c r="I276" s="71"/>
      <c r="J276" s="73"/>
      <c r="K276" s="12"/>
      <c r="L276" s="20">
        <f t="shared" si="24"/>
        <v>0</v>
      </c>
      <c r="M276" s="19" t="str">
        <f t="shared" si="25"/>
        <v/>
      </c>
      <c r="N276" s="12"/>
      <c r="O276" s="119"/>
      <c r="P276" s="95" t="str">
        <f t="shared" si="26"/>
        <v/>
      </c>
      <c r="Q276" s="12"/>
      <c r="S276" s="128"/>
      <c r="T276" s="66"/>
      <c r="U276" s="128"/>
      <c r="W276" s="128"/>
      <c r="X276" s="12"/>
      <c r="Y276" t="str">
        <f t="shared" si="27"/>
        <v/>
      </c>
      <c r="Z276" t="str">
        <f t="shared" si="27"/>
        <v/>
      </c>
      <c r="AA276" s="12"/>
      <c r="AB276" s="95" t="e">
        <f t="shared" si="28"/>
        <v>#VALUE!</v>
      </c>
      <c r="AC276" s="95" t="e">
        <f t="shared" si="29"/>
        <v>#VALUE!</v>
      </c>
      <c r="AD276" s="12"/>
    </row>
    <row r="277" spans="1:30" ht="15.75" thickBot="1" x14ac:dyDescent="0.3">
      <c r="A277" s="12"/>
      <c r="B277" s="22"/>
      <c r="C277" t="str">
        <f>IF(AND('ENTRY DATA'!D277=""),"",('ENTRY DATA'!D277))</f>
        <v/>
      </c>
      <c r="D277" t="str">
        <f>IF(AND('ENTRY DATA'!F277=""),"",('ENTRY DATA'!F277))</f>
        <v/>
      </c>
      <c r="E277" s="34" t="str">
        <f>IF(AND('ENTRY DATA'!B277=""),"",('ENTRY DATA'!B277))</f>
        <v/>
      </c>
      <c r="F277" s="12"/>
      <c r="G277" s="12"/>
      <c r="H277" s="73"/>
      <c r="I277" s="71"/>
      <c r="J277" s="73"/>
      <c r="K277" s="12"/>
      <c r="L277" s="20">
        <f t="shared" si="24"/>
        <v>0</v>
      </c>
      <c r="M277" s="19" t="str">
        <f t="shared" si="25"/>
        <v/>
      </c>
      <c r="N277" s="12"/>
      <c r="O277" s="119"/>
      <c r="P277" s="95" t="str">
        <f t="shared" si="26"/>
        <v/>
      </c>
      <c r="Q277" s="12"/>
      <c r="S277" s="128"/>
      <c r="T277" s="66"/>
      <c r="U277" s="128"/>
      <c r="W277" s="128"/>
      <c r="X277" s="12"/>
      <c r="Y277" t="str">
        <f t="shared" si="27"/>
        <v/>
      </c>
      <c r="Z277" t="str">
        <f t="shared" si="27"/>
        <v/>
      </c>
      <c r="AA277" s="12"/>
      <c r="AB277" s="95" t="e">
        <f t="shared" si="28"/>
        <v>#VALUE!</v>
      </c>
      <c r="AC277" s="95" t="e">
        <f t="shared" si="29"/>
        <v>#VALUE!</v>
      </c>
      <c r="AD277" s="12"/>
    </row>
    <row r="278" spans="1:30" ht="15.75" thickBot="1" x14ac:dyDescent="0.3">
      <c r="A278" s="12"/>
      <c r="B278" s="22"/>
      <c r="C278" t="str">
        <f>IF(AND('ENTRY DATA'!D278=""),"",('ENTRY DATA'!D278))</f>
        <v/>
      </c>
      <c r="D278" t="str">
        <f>IF(AND('ENTRY DATA'!F278=""),"",('ENTRY DATA'!F278))</f>
        <v/>
      </c>
      <c r="E278" s="34" t="str">
        <f>IF(AND('ENTRY DATA'!B278=""),"",('ENTRY DATA'!B278))</f>
        <v/>
      </c>
      <c r="F278" s="12"/>
      <c r="G278" s="12"/>
      <c r="H278" s="73"/>
      <c r="I278" s="71"/>
      <c r="J278" s="73"/>
      <c r="K278" s="12"/>
      <c r="L278" s="20">
        <f t="shared" si="24"/>
        <v>0</v>
      </c>
      <c r="M278" s="19" t="str">
        <f t="shared" si="25"/>
        <v/>
      </c>
      <c r="N278" s="12"/>
      <c r="O278" s="119"/>
      <c r="P278" s="95" t="str">
        <f t="shared" si="26"/>
        <v/>
      </c>
      <c r="Q278" s="12"/>
      <c r="S278" s="128"/>
      <c r="T278" s="66"/>
      <c r="U278" s="128"/>
      <c r="W278" s="128"/>
      <c r="X278" s="12"/>
      <c r="Y278" t="str">
        <f t="shared" si="27"/>
        <v/>
      </c>
      <c r="Z278" t="str">
        <f t="shared" si="27"/>
        <v/>
      </c>
      <c r="AA278" s="12"/>
      <c r="AB278" s="95" t="e">
        <f t="shared" si="28"/>
        <v>#VALUE!</v>
      </c>
      <c r="AC278" s="95" t="e">
        <f t="shared" si="29"/>
        <v>#VALUE!</v>
      </c>
      <c r="AD278" s="12"/>
    </row>
    <row r="279" spans="1:30" ht="15.75" thickBot="1" x14ac:dyDescent="0.3">
      <c r="A279" s="12"/>
      <c r="B279" s="22"/>
      <c r="C279" t="str">
        <f>IF(AND('ENTRY DATA'!D279=""),"",('ENTRY DATA'!D279))</f>
        <v/>
      </c>
      <c r="D279" t="str">
        <f>IF(AND('ENTRY DATA'!F279=""),"",('ENTRY DATA'!F279))</f>
        <v/>
      </c>
      <c r="E279" s="34" t="str">
        <f>IF(AND('ENTRY DATA'!B279=""),"",('ENTRY DATA'!B279))</f>
        <v/>
      </c>
      <c r="F279" s="12"/>
      <c r="G279" s="12"/>
      <c r="H279" s="73"/>
      <c r="I279" s="71"/>
      <c r="J279" s="73"/>
      <c r="K279" s="12"/>
      <c r="L279" s="20">
        <f t="shared" si="24"/>
        <v>0</v>
      </c>
      <c r="M279" s="19" t="str">
        <f t="shared" si="25"/>
        <v/>
      </c>
      <c r="N279" s="12"/>
      <c r="O279" s="119"/>
      <c r="P279" s="95" t="str">
        <f t="shared" si="26"/>
        <v/>
      </c>
      <c r="Q279" s="12"/>
      <c r="S279" s="128"/>
      <c r="T279" s="66"/>
      <c r="U279" s="128"/>
      <c r="W279" s="128"/>
      <c r="X279" s="12"/>
      <c r="Y279" t="str">
        <f t="shared" si="27"/>
        <v/>
      </c>
      <c r="Z279" t="str">
        <f t="shared" si="27"/>
        <v/>
      </c>
      <c r="AA279" s="12"/>
      <c r="AB279" s="95" t="e">
        <f t="shared" si="28"/>
        <v>#VALUE!</v>
      </c>
      <c r="AC279" s="95" t="e">
        <f t="shared" si="29"/>
        <v>#VALUE!</v>
      </c>
      <c r="AD279" s="12"/>
    </row>
    <row r="280" spans="1:30" ht="15.75" thickBot="1" x14ac:dyDescent="0.3">
      <c r="A280" s="12"/>
      <c r="B280" s="22"/>
      <c r="C280" t="str">
        <f>IF(AND('ENTRY DATA'!D280=""),"",('ENTRY DATA'!D280))</f>
        <v/>
      </c>
      <c r="D280" t="str">
        <f>IF(AND('ENTRY DATA'!F280=""),"",('ENTRY DATA'!F280))</f>
        <v/>
      </c>
      <c r="E280" s="34" t="str">
        <f>IF(AND('ENTRY DATA'!B280=""),"",('ENTRY DATA'!B280))</f>
        <v/>
      </c>
      <c r="F280" s="12"/>
      <c r="G280" s="12"/>
      <c r="H280" s="73"/>
      <c r="I280" s="71"/>
      <c r="J280" s="73"/>
      <c r="K280" s="12"/>
      <c r="L280" s="20">
        <f t="shared" si="24"/>
        <v>0</v>
      </c>
      <c r="M280" s="19" t="str">
        <f t="shared" si="25"/>
        <v/>
      </c>
      <c r="N280" s="12"/>
      <c r="O280" s="119"/>
      <c r="P280" s="95" t="str">
        <f t="shared" si="26"/>
        <v/>
      </c>
      <c r="Q280" s="12"/>
      <c r="S280" s="128"/>
      <c r="T280" s="66"/>
      <c r="U280" s="128"/>
      <c r="W280" s="128"/>
      <c r="X280" s="12"/>
      <c r="Y280" t="str">
        <f t="shared" si="27"/>
        <v/>
      </c>
      <c r="Z280" t="str">
        <f t="shared" si="27"/>
        <v/>
      </c>
      <c r="AA280" s="12"/>
      <c r="AB280" s="95" t="e">
        <f t="shared" si="28"/>
        <v>#VALUE!</v>
      </c>
      <c r="AC280" s="95" t="e">
        <f t="shared" si="29"/>
        <v>#VALUE!</v>
      </c>
      <c r="AD280" s="12"/>
    </row>
    <row r="281" spans="1:30" ht="15.75" thickBot="1" x14ac:dyDescent="0.3">
      <c r="A281" s="12"/>
      <c r="B281" s="22"/>
      <c r="C281" t="str">
        <f>IF(AND('ENTRY DATA'!D281=""),"",('ENTRY DATA'!D281))</f>
        <v/>
      </c>
      <c r="D281" t="str">
        <f>IF(AND('ENTRY DATA'!F281=""),"",('ENTRY DATA'!F281))</f>
        <v/>
      </c>
      <c r="E281" s="34" t="str">
        <f>IF(AND('ENTRY DATA'!B281=""),"",('ENTRY DATA'!B281))</f>
        <v/>
      </c>
      <c r="F281" s="12"/>
      <c r="G281" s="12"/>
      <c r="H281" s="73"/>
      <c r="I281" s="71"/>
      <c r="J281" s="73"/>
      <c r="K281" s="12"/>
      <c r="L281" s="20">
        <f t="shared" si="24"/>
        <v>0</v>
      </c>
      <c r="M281" s="19" t="str">
        <f t="shared" si="25"/>
        <v/>
      </c>
      <c r="N281" s="12"/>
      <c r="O281" s="119"/>
      <c r="P281" s="95" t="str">
        <f t="shared" si="26"/>
        <v/>
      </c>
      <c r="Q281" s="12"/>
      <c r="S281" s="128"/>
      <c r="T281" s="66"/>
      <c r="U281" s="128"/>
      <c r="W281" s="128"/>
      <c r="X281" s="12"/>
      <c r="Y281" t="str">
        <f t="shared" si="27"/>
        <v/>
      </c>
      <c r="Z281" t="str">
        <f t="shared" si="27"/>
        <v/>
      </c>
      <c r="AA281" s="12"/>
      <c r="AB281" s="95" t="e">
        <f t="shared" si="28"/>
        <v>#VALUE!</v>
      </c>
      <c r="AC281" s="95" t="e">
        <f t="shared" si="29"/>
        <v>#VALUE!</v>
      </c>
      <c r="AD281" s="12"/>
    </row>
    <row r="282" spans="1:30" ht="15.75" thickBot="1" x14ac:dyDescent="0.3">
      <c r="A282" s="12"/>
      <c r="B282" s="22"/>
      <c r="C282" t="str">
        <f>IF(AND('ENTRY DATA'!D282=""),"",('ENTRY DATA'!D282))</f>
        <v/>
      </c>
      <c r="D282" t="str">
        <f>IF(AND('ENTRY DATA'!F282=""),"",('ENTRY DATA'!F282))</f>
        <v/>
      </c>
      <c r="E282" s="34" t="str">
        <f>IF(AND('ENTRY DATA'!B282=""),"",('ENTRY DATA'!B282))</f>
        <v/>
      </c>
      <c r="F282" s="12"/>
      <c r="G282" s="12"/>
      <c r="H282" s="73"/>
      <c r="I282" s="71"/>
      <c r="J282" s="73"/>
      <c r="K282" s="12"/>
      <c r="L282" s="20">
        <f t="shared" si="24"/>
        <v>0</v>
      </c>
      <c r="M282" s="19" t="str">
        <f t="shared" si="25"/>
        <v/>
      </c>
      <c r="N282" s="12"/>
      <c r="O282" s="119"/>
      <c r="P282" s="95" t="str">
        <f t="shared" si="26"/>
        <v/>
      </c>
      <c r="Q282" s="12"/>
      <c r="S282" s="128"/>
      <c r="T282" s="66"/>
      <c r="U282" s="128"/>
      <c r="W282" s="128"/>
      <c r="X282" s="12"/>
      <c r="Y282" t="str">
        <f t="shared" si="27"/>
        <v/>
      </c>
      <c r="Z282" t="str">
        <f t="shared" si="27"/>
        <v/>
      </c>
      <c r="AA282" s="12"/>
      <c r="AB282" s="95" t="e">
        <f t="shared" si="28"/>
        <v>#VALUE!</v>
      </c>
      <c r="AC282" s="95" t="e">
        <f t="shared" si="29"/>
        <v>#VALUE!</v>
      </c>
      <c r="AD282" s="12"/>
    </row>
    <row r="283" spans="1:30" ht="15.75" thickBot="1" x14ac:dyDescent="0.3">
      <c r="A283" s="12"/>
      <c r="B283" s="22"/>
      <c r="C283" t="str">
        <f>IF(AND('ENTRY DATA'!D283=""),"",('ENTRY DATA'!D283))</f>
        <v/>
      </c>
      <c r="D283" t="str">
        <f>IF(AND('ENTRY DATA'!F283=""),"",('ENTRY DATA'!F283))</f>
        <v/>
      </c>
      <c r="E283" s="34" t="str">
        <f>IF(AND('ENTRY DATA'!B283=""),"",('ENTRY DATA'!B283))</f>
        <v/>
      </c>
      <c r="F283" s="12"/>
      <c r="G283" s="12"/>
      <c r="H283" s="73"/>
      <c r="I283" s="71"/>
      <c r="J283" s="73"/>
      <c r="K283" s="12"/>
      <c r="L283" s="20">
        <f t="shared" si="24"/>
        <v>0</v>
      </c>
      <c r="M283" s="19" t="str">
        <f t="shared" si="25"/>
        <v/>
      </c>
      <c r="N283" s="12"/>
      <c r="O283" s="119"/>
      <c r="P283" s="95" t="str">
        <f t="shared" si="26"/>
        <v/>
      </c>
      <c r="Q283" s="12"/>
      <c r="S283" s="128"/>
      <c r="T283" s="66"/>
      <c r="U283" s="128"/>
      <c r="W283" s="128"/>
      <c r="X283" s="12"/>
      <c r="Y283" t="str">
        <f t="shared" si="27"/>
        <v/>
      </c>
      <c r="Z283" t="str">
        <f t="shared" si="27"/>
        <v/>
      </c>
      <c r="AA283" s="12"/>
      <c r="AB283" s="95" t="e">
        <f t="shared" si="28"/>
        <v>#VALUE!</v>
      </c>
      <c r="AC283" s="95" t="e">
        <f t="shared" si="29"/>
        <v>#VALUE!</v>
      </c>
      <c r="AD283" s="12"/>
    </row>
    <row r="284" spans="1:30" ht="15.75" thickBot="1" x14ac:dyDescent="0.3">
      <c r="A284" s="12"/>
      <c r="B284" s="22"/>
      <c r="C284" t="str">
        <f>IF(AND('ENTRY DATA'!D284=""),"",('ENTRY DATA'!D284))</f>
        <v/>
      </c>
      <c r="D284" t="str">
        <f>IF(AND('ENTRY DATA'!F284=""),"",('ENTRY DATA'!F284))</f>
        <v/>
      </c>
      <c r="E284" s="34" t="str">
        <f>IF(AND('ENTRY DATA'!B284=""),"",('ENTRY DATA'!B284))</f>
        <v/>
      </c>
      <c r="F284" s="12"/>
      <c r="G284" s="12"/>
      <c r="H284" s="73"/>
      <c r="I284" s="71"/>
      <c r="J284" s="73"/>
      <c r="K284" s="12"/>
      <c r="L284" s="20">
        <f t="shared" si="24"/>
        <v>0</v>
      </c>
      <c r="M284" s="19" t="str">
        <f t="shared" si="25"/>
        <v/>
      </c>
      <c r="N284" s="12"/>
      <c r="O284" s="119"/>
      <c r="P284" s="95" t="str">
        <f t="shared" si="26"/>
        <v/>
      </c>
      <c r="Q284" s="12"/>
      <c r="S284" s="128"/>
      <c r="T284" s="66"/>
      <c r="U284" s="128"/>
      <c r="W284" s="128"/>
      <c r="X284" s="12"/>
      <c r="Y284" t="str">
        <f t="shared" si="27"/>
        <v/>
      </c>
      <c r="Z284" t="str">
        <f t="shared" si="27"/>
        <v/>
      </c>
      <c r="AA284" s="12"/>
      <c r="AB284" s="95" t="e">
        <f t="shared" si="28"/>
        <v>#VALUE!</v>
      </c>
      <c r="AC284" s="95" t="e">
        <f t="shared" si="29"/>
        <v>#VALUE!</v>
      </c>
      <c r="AD284" s="12"/>
    </row>
    <row r="285" spans="1:30" ht="15.75" thickBot="1" x14ac:dyDescent="0.3">
      <c r="A285" s="12"/>
      <c r="B285" s="22"/>
      <c r="C285" t="str">
        <f>IF(AND('ENTRY DATA'!D285=""),"",('ENTRY DATA'!D285))</f>
        <v/>
      </c>
      <c r="D285" t="str">
        <f>IF(AND('ENTRY DATA'!F285=""),"",('ENTRY DATA'!F285))</f>
        <v/>
      </c>
      <c r="E285" s="34" t="str">
        <f>IF(AND('ENTRY DATA'!B285=""),"",('ENTRY DATA'!B285))</f>
        <v/>
      </c>
      <c r="F285" s="12"/>
      <c r="G285" s="12"/>
      <c r="H285" s="73"/>
      <c r="I285" s="71"/>
      <c r="J285" s="73"/>
      <c r="K285" s="12"/>
      <c r="L285" s="20">
        <f t="shared" si="24"/>
        <v>0</v>
      </c>
      <c r="M285" s="19" t="str">
        <f t="shared" si="25"/>
        <v/>
      </c>
      <c r="N285" s="12"/>
      <c r="O285" s="119"/>
      <c r="P285" s="95" t="str">
        <f t="shared" si="26"/>
        <v/>
      </c>
      <c r="Q285" s="12"/>
      <c r="S285" s="128"/>
      <c r="T285" s="66"/>
      <c r="U285" s="128"/>
      <c r="W285" s="128"/>
      <c r="X285" s="12"/>
      <c r="Y285" t="str">
        <f t="shared" si="27"/>
        <v/>
      </c>
      <c r="Z285" t="str">
        <f t="shared" si="27"/>
        <v/>
      </c>
      <c r="AA285" s="12"/>
      <c r="AB285" s="95" t="e">
        <f t="shared" si="28"/>
        <v>#VALUE!</v>
      </c>
      <c r="AC285" s="95" t="e">
        <f t="shared" si="29"/>
        <v>#VALUE!</v>
      </c>
      <c r="AD285" s="12"/>
    </row>
    <row r="286" spans="1:30" ht="15.75" thickBot="1" x14ac:dyDescent="0.3">
      <c r="A286" s="12"/>
      <c r="B286" s="22"/>
      <c r="C286" t="str">
        <f>IF(AND('ENTRY DATA'!D286=""),"",('ENTRY DATA'!D286))</f>
        <v/>
      </c>
      <c r="D286" t="str">
        <f>IF(AND('ENTRY DATA'!F286=""),"",('ENTRY DATA'!F286))</f>
        <v/>
      </c>
      <c r="E286" s="34" t="str">
        <f>IF(AND('ENTRY DATA'!B286=""),"",('ENTRY DATA'!B286))</f>
        <v/>
      </c>
      <c r="F286" s="12"/>
      <c r="G286" s="12"/>
      <c r="H286" s="73"/>
      <c r="I286" s="71"/>
      <c r="J286" s="73"/>
      <c r="K286" s="12"/>
      <c r="L286" s="20">
        <f t="shared" si="24"/>
        <v>0</v>
      </c>
      <c r="M286" s="19" t="str">
        <f t="shared" si="25"/>
        <v/>
      </c>
      <c r="N286" s="12"/>
      <c r="O286" s="119"/>
      <c r="P286" s="95" t="str">
        <f t="shared" si="26"/>
        <v/>
      </c>
      <c r="Q286" s="12"/>
      <c r="S286" s="128"/>
      <c r="T286" s="66"/>
      <c r="U286" s="128"/>
      <c r="W286" s="128"/>
      <c r="X286" s="12"/>
      <c r="Y286" t="str">
        <f t="shared" si="27"/>
        <v/>
      </c>
      <c r="Z286" t="str">
        <f t="shared" si="27"/>
        <v/>
      </c>
      <c r="AA286" s="12"/>
      <c r="AB286" s="95" t="e">
        <f t="shared" si="28"/>
        <v>#VALUE!</v>
      </c>
      <c r="AC286" s="95" t="e">
        <f t="shared" si="29"/>
        <v>#VALUE!</v>
      </c>
      <c r="AD286" s="12"/>
    </row>
    <row r="287" spans="1:30" ht="15.75" thickBot="1" x14ac:dyDescent="0.3">
      <c r="A287" s="12"/>
      <c r="B287" s="22"/>
      <c r="C287" t="str">
        <f>IF(AND('ENTRY DATA'!D287=""),"",('ENTRY DATA'!D287))</f>
        <v/>
      </c>
      <c r="D287" t="str">
        <f>IF(AND('ENTRY DATA'!F287=""),"",('ENTRY DATA'!F287))</f>
        <v/>
      </c>
      <c r="E287" s="34" t="str">
        <f>IF(AND('ENTRY DATA'!B287=""),"",('ENTRY DATA'!B287))</f>
        <v/>
      </c>
      <c r="F287" s="12"/>
      <c r="G287" s="12"/>
      <c r="H287" s="73"/>
      <c r="I287" s="71"/>
      <c r="J287" s="73"/>
      <c r="K287" s="12"/>
      <c r="L287" s="20">
        <f t="shared" si="24"/>
        <v>0</v>
      </c>
      <c r="M287" s="19" t="str">
        <f t="shared" si="25"/>
        <v/>
      </c>
      <c r="N287" s="12"/>
      <c r="O287" s="119"/>
      <c r="P287" s="95" t="str">
        <f t="shared" si="26"/>
        <v/>
      </c>
      <c r="Q287" s="12"/>
      <c r="S287" s="128"/>
      <c r="T287" s="66"/>
      <c r="U287" s="128"/>
      <c r="W287" s="128"/>
      <c r="X287" s="12"/>
      <c r="Y287" t="str">
        <f t="shared" si="27"/>
        <v/>
      </c>
      <c r="Z287" t="str">
        <f t="shared" si="27"/>
        <v/>
      </c>
      <c r="AA287" s="12"/>
      <c r="AB287" s="95" t="e">
        <f t="shared" si="28"/>
        <v>#VALUE!</v>
      </c>
      <c r="AC287" s="95" t="e">
        <f t="shared" si="29"/>
        <v>#VALUE!</v>
      </c>
      <c r="AD287" s="12"/>
    </row>
    <row r="288" spans="1:30" ht="15.75" thickBot="1" x14ac:dyDescent="0.3">
      <c r="A288" s="12"/>
      <c r="B288" s="22"/>
      <c r="C288" t="str">
        <f>IF(AND('ENTRY DATA'!D288=""),"",('ENTRY DATA'!D288))</f>
        <v/>
      </c>
      <c r="D288" t="str">
        <f>IF(AND('ENTRY DATA'!F288=""),"",('ENTRY DATA'!F288))</f>
        <v/>
      </c>
      <c r="E288" s="34" t="str">
        <f>IF(AND('ENTRY DATA'!B288=""),"",('ENTRY DATA'!B288))</f>
        <v/>
      </c>
      <c r="F288" s="12"/>
      <c r="G288" s="12"/>
      <c r="H288" s="73"/>
      <c r="I288" s="71"/>
      <c r="J288" s="73"/>
      <c r="K288" s="12"/>
      <c r="L288" s="20">
        <f t="shared" si="24"/>
        <v>0</v>
      </c>
      <c r="M288" s="19" t="str">
        <f t="shared" si="25"/>
        <v/>
      </c>
      <c r="N288" s="12"/>
      <c r="O288" s="119"/>
      <c r="P288" s="95" t="str">
        <f t="shared" si="26"/>
        <v/>
      </c>
      <c r="Q288" s="12"/>
      <c r="S288" s="128"/>
      <c r="T288" s="66"/>
      <c r="U288" s="128"/>
      <c r="W288" s="128"/>
      <c r="X288" s="12"/>
      <c r="Y288" t="str">
        <f t="shared" si="27"/>
        <v/>
      </c>
      <c r="Z288" t="str">
        <f t="shared" si="27"/>
        <v/>
      </c>
      <c r="AA288" s="12"/>
      <c r="AB288" s="95" t="e">
        <f t="shared" si="28"/>
        <v>#VALUE!</v>
      </c>
      <c r="AC288" s="95" t="e">
        <f t="shared" si="29"/>
        <v>#VALUE!</v>
      </c>
      <c r="AD288" s="12"/>
    </row>
    <row r="289" spans="1:30" ht="15.75" thickBot="1" x14ac:dyDescent="0.3">
      <c r="A289" s="12"/>
      <c r="B289" s="22"/>
      <c r="C289" t="str">
        <f>IF(AND('ENTRY DATA'!D289=""),"",('ENTRY DATA'!D289))</f>
        <v/>
      </c>
      <c r="D289" t="str">
        <f>IF(AND('ENTRY DATA'!F289=""),"",('ENTRY DATA'!F289))</f>
        <v/>
      </c>
      <c r="E289" s="34" t="str">
        <f>IF(AND('ENTRY DATA'!B289=""),"",('ENTRY DATA'!B289))</f>
        <v/>
      </c>
      <c r="F289" s="12"/>
      <c r="G289" s="12"/>
      <c r="H289" s="73"/>
      <c r="I289" s="71"/>
      <c r="J289" s="73"/>
      <c r="K289" s="12"/>
      <c r="L289" s="20">
        <f t="shared" si="24"/>
        <v>0</v>
      </c>
      <c r="M289" s="19" t="str">
        <f t="shared" si="25"/>
        <v/>
      </c>
      <c r="N289" s="12"/>
      <c r="O289" s="119"/>
      <c r="P289" s="95" t="str">
        <f t="shared" si="26"/>
        <v/>
      </c>
      <c r="Q289" s="12"/>
      <c r="S289" s="128"/>
      <c r="T289" s="66"/>
      <c r="U289" s="128"/>
      <c r="W289" s="128"/>
      <c r="X289" s="12"/>
      <c r="Y289" t="str">
        <f t="shared" si="27"/>
        <v/>
      </c>
      <c r="Z289" t="str">
        <f t="shared" si="27"/>
        <v/>
      </c>
      <c r="AA289" s="12"/>
      <c r="AB289" s="95" t="e">
        <f t="shared" si="28"/>
        <v>#VALUE!</v>
      </c>
      <c r="AC289" s="95" t="e">
        <f t="shared" si="29"/>
        <v>#VALUE!</v>
      </c>
      <c r="AD289" s="12"/>
    </row>
    <row r="290" spans="1:30" ht="15.75" thickBot="1" x14ac:dyDescent="0.3">
      <c r="A290" s="12"/>
      <c r="B290" s="22"/>
      <c r="C290" t="str">
        <f>IF(AND('ENTRY DATA'!D290=""),"",('ENTRY DATA'!D290))</f>
        <v/>
      </c>
      <c r="D290" t="str">
        <f>IF(AND('ENTRY DATA'!F290=""),"",('ENTRY DATA'!F290))</f>
        <v/>
      </c>
      <c r="E290" s="34" t="str">
        <f>IF(AND('ENTRY DATA'!B290=""),"",('ENTRY DATA'!B290))</f>
        <v/>
      </c>
      <c r="F290" s="12"/>
      <c r="G290" s="12"/>
      <c r="H290" s="73"/>
      <c r="I290" s="71"/>
      <c r="J290" s="73"/>
      <c r="K290" s="12"/>
      <c r="L290" s="20">
        <f t="shared" si="24"/>
        <v>0</v>
      </c>
      <c r="M290" s="19" t="str">
        <f t="shared" si="25"/>
        <v/>
      </c>
      <c r="N290" s="12"/>
      <c r="O290" s="119"/>
      <c r="P290" s="95" t="str">
        <f t="shared" si="26"/>
        <v/>
      </c>
      <c r="Q290" s="12"/>
      <c r="S290" s="128"/>
      <c r="T290" s="66"/>
      <c r="U290" s="128"/>
      <c r="W290" s="128"/>
      <c r="X290" s="12"/>
      <c r="Y290" t="str">
        <f t="shared" si="27"/>
        <v/>
      </c>
      <c r="Z290" t="str">
        <f t="shared" si="27"/>
        <v/>
      </c>
      <c r="AA290" s="12"/>
      <c r="AB290" s="95" t="e">
        <f t="shared" si="28"/>
        <v>#VALUE!</v>
      </c>
      <c r="AC290" s="95" t="e">
        <f t="shared" si="29"/>
        <v>#VALUE!</v>
      </c>
      <c r="AD290" s="12"/>
    </row>
    <row r="291" spans="1:30" ht="15.75" thickBot="1" x14ac:dyDescent="0.3">
      <c r="A291" s="12"/>
      <c r="B291" s="22"/>
      <c r="C291" t="str">
        <f>IF(AND('ENTRY DATA'!D291=""),"",('ENTRY DATA'!D291))</f>
        <v/>
      </c>
      <c r="D291" t="str">
        <f>IF(AND('ENTRY DATA'!F291=""),"",('ENTRY DATA'!F291))</f>
        <v/>
      </c>
      <c r="E291" s="34" t="str">
        <f>IF(AND('ENTRY DATA'!B291=""),"",('ENTRY DATA'!B291))</f>
        <v/>
      </c>
      <c r="F291" s="12"/>
      <c r="G291" s="12"/>
      <c r="H291" s="73"/>
      <c r="I291" s="71"/>
      <c r="J291" s="73"/>
      <c r="K291" s="12"/>
      <c r="L291" s="20">
        <f t="shared" si="24"/>
        <v>0</v>
      </c>
      <c r="M291" s="19" t="str">
        <f t="shared" si="25"/>
        <v/>
      </c>
      <c r="N291" s="12"/>
      <c r="O291" s="119"/>
      <c r="P291" s="95" t="str">
        <f t="shared" si="26"/>
        <v/>
      </c>
      <c r="Q291" s="12"/>
      <c r="S291" s="128"/>
      <c r="T291" s="66"/>
      <c r="U291" s="128"/>
      <c r="W291" s="128"/>
      <c r="X291" s="12"/>
      <c r="Y291" t="str">
        <f t="shared" si="27"/>
        <v/>
      </c>
      <c r="Z291" t="str">
        <f t="shared" si="27"/>
        <v/>
      </c>
      <c r="AA291" s="12"/>
      <c r="AB291" s="95" t="e">
        <f t="shared" si="28"/>
        <v>#VALUE!</v>
      </c>
      <c r="AC291" s="95" t="e">
        <f t="shared" si="29"/>
        <v>#VALUE!</v>
      </c>
      <c r="AD291" s="12"/>
    </row>
    <row r="292" spans="1:30" ht="15.75" thickBot="1" x14ac:dyDescent="0.3">
      <c r="A292" s="12"/>
      <c r="B292" s="22"/>
      <c r="C292" t="str">
        <f>IF(AND('ENTRY DATA'!D292=""),"",('ENTRY DATA'!D292))</f>
        <v/>
      </c>
      <c r="D292" t="str">
        <f>IF(AND('ENTRY DATA'!F292=""),"",('ENTRY DATA'!F292))</f>
        <v/>
      </c>
      <c r="E292" s="34" t="str">
        <f>IF(AND('ENTRY DATA'!B292=""),"",('ENTRY DATA'!B292))</f>
        <v/>
      </c>
      <c r="F292" s="12"/>
      <c r="G292" s="12"/>
      <c r="H292" s="73"/>
      <c r="I292" s="71"/>
      <c r="J292" s="73"/>
      <c r="K292" s="12"/>
      <c r="L292" s="20">
        <f t="shared" si="24"/>
        <v>0</v>
      </c>
      <c r="M292" s="19" t="str">
        <f t="shared" si="25"/>
        <v/>
      </c>
      <c r="N292" s="12"/>
      <c r="O292" s="119"/>
      <c r="P292" s="95" t="str">
        <f t="shared" si="26"/>
        <v/>
      </c>
      <c r="Q292" s="12"/>
      <c r="S292" s="128"/>
      <c r="T292" s="66"/>
      <c r="U292" s="128"/>
      <c r="W292" s="128"/>
      <c r="X292" s="12"/>
      <c r="Y292" t="str">
        <f t="shared" si="27"/>
        <v/>
      </c>
      <c r="Z292" t="str">
        <f t="shared" si="27"/>
        <v/>
      </c>
      <c r="AA292" s="12"/>
      <c r="AB292" s="95" t="e">
        <f t="shared" si="28"/>
        <v>#VALUE!</v>
      </c>
      <c r="AC292" s="95" t="e">
        <f t="shared" si="29"/>
        <v>#VALUE!</v>
      </c>
      <c r="AD292" s="12"/>
    </row>
    <row r="293" spans="1:30" ht="15.75" thickBot="1" x14ac:dyDescent="0.3">
      <c r="A293" s="12"/>
      <c r="B293" s="22"/>
      <c r="C293" t="str">
        <f>IF(AND('ENTRY DATA'!D293=""),"",('ENTRY DATA'!D293))</f>
        <v/>
      </c>
      <c r="D293" t="str">
        <f>IF(AND('ENTRY DATA'!F293=""),"",('ENTRY DATA'!F293))</f>
        <v/>
      </c>
      <c r="E293" s="34" t="str">
        <f>IF(AND('ENTRY DATA'!B293=""),"",('ENTRY DATA'!B293))</f>
        <v/>
      </c>
      <c r="F293" s="12"/>
      <c r="G293" s="12"/>
      <c r="H293" s="73"/>
      <c r="I293" s="71"/>
      <c r="J293" s="73"/>
      <c r="K293" s="12"/>
      <c r="L293" s="20">
        <f t="shared" si="24"/>
        <v>0</v>
      </c>
      <c r="M293" s="19" t="str">
        <f t="shared" si="25"/>
        <v/>
      </c>
      <c r="N293" s="12"/>
      <c r="O293" s="119"/>
      <c r="P293" s="95" t="str">
        <f t="shared" si="26"/>
        <v/>
      </c>
      <c r="Q293" s="12"/>
      <c r="S293" s="128"/>
      <c r="T293" s="66"/>
      <c r="U293" s="128"/>
      <c r="W293" s="128"/>
      <c r="X293" s="12"/>
      <c r="Y293" t="str">
        <f t="shared" si="27"/>
        <v/>
      </c>
      <c r="Z293" t="str">
        <f t="shared" si="27"/>
        <v/>
      </c>
      <c r="AA293" s="12"/>
      <c r="AB293" s="95" t="e">
        <f t="shared" si="28"/>
        <v>#VALUE!</v>
      </c>
      <c r="AC293" s="95" t="e">
        <f t="shared" si="29"/>
        <v>#VALUE!</v>
      </c>
      <c r="AD293" s="12"/>
    </row>
    <row r="294" spans="1:30" ht="15.75" thickBot="1" x14ac:dyDescent="0.3">
      <c r="A294" s="12"/>
      <c r="B294" s="22"/>
      <c r="C294" t="str">
        <f>IF(AND('ENTRY DATA'!D294=""),"",('ENTRY DATA'!D294))</f>
        <v/>
      </c>
      <c r="D294" t="str">
        <f>IF(AND('ENTRY DATA'!F294=""),"",('ENTRY DATA'!F294))</f>
        <v/>
      </c>
      <c r="E294" s="34" t="str">
        <f>IF(AND('ENTRY DATA'!B294=""),"",('ENTRY DATA'!B294))</f>
        <v/>
      </c>
      <c r="F294" s="12"/>
      <c r="G294" s="12"/>
      <c r="H294" s="73"/>
      <c r="I294" s="71"/>
      <c r="J294" s="73"/>
      <c r="K294" s="12"/>
      <c r="L294" s="20">
        <f t="shared" si="24"/>
        <v>0</v>
      </c>
      <c r="M294" s="19" t="str">
        <f t="shared" si="25"/>
        <v/>
      </c>
      <c r="N294" s="12"/>
      <c r="O294" s="119"/>
      <c r="P294" s="95" t="str">
        <f t="shared" si="26"/>
        <v/>
      </c>
      <c r="Q294" s="12"/>
      <c r="S294" s="128"/>
      <c r="T294" s="66"/>
      <c r="U294" s="128"/>
      <c r="W294" s="128"/>
      <c r="X294" s="12"/>
      <c r="Y294" t="str">
        <f t="shared" si="27"/>
        <v/>
      </c>
      <c r="Z294" t="str">
        <f t="shared" si="27"/>
        <v/>
      </c>
      <c r="AA294" s="12"/>
      <c r="AB294" s="95" t="e">
        <f t="shared" si="28"/>
        <v>#VALUE!</v>
      </c>
      <c r="AC294" s="95" t="e">
        <f t="shared" si="29"/>
        <v>#VALUE!</v>
      </c>
      <c r="AD294" s="12"/>
    </row>
    <row r="295" spans="1:30" ht="15.75" thickBot="1" x14ac:dyDescent="0.3">
      <c r="A295" s="12"/>
      <c r="B295" s="22"/>
      <c r="C295" t="str">
        <f>IF(AND('ENTRY DATA'!D295=""),"",('ENTRY DATA'!D295))</f>
        <v/>
      </c>
      <c r="D295" t="str">
        <f>IF(AND('ENTRY DATA'!F295=""),"",('ENTRY DATA'!F295))</f>
        <v/>
      </c>
      <c r="E295" s="34" t="str">
        <f>IF(AND('ENTRY DATA'!B295=""),"",('ENTRY DATA'!B295))</f>
        <v/>
      </c>
      <c r="F295" s="12"/>
      <c r="G295" s="12"/>
      <c r="H295" s="73"/>
      <c r="I295" s="71"/>
      <c r="J295" s="73"/>
      <c r="K295" s="12"/>
      <c r="L295" s="20">
        <f t="shared" si="24"/>
        <v>0</v>
      </c>
      <c r="M295" s="19" t="str">
        <f t="shared" si="25"/>
        <v/>
      </c>
      <c r="N295" s="12"/>
      <c r="O295" s="119"/>
      <c r="P295" s="95" t="str">
        <f t="shared" si="26"/>
        <v/>
      </c>
      <c r="Q295" s="12"/>
      <c r="S295" s="128"/>
      <c r="T295" s="66"/>
      <c r="U295" s="128"/>
      <c r="W295" s="128"/>
      <c r="X295" s="12"/>
      <c r="Y295" t="str">
        <f t="shared" si="27"/>
        <v/>
      </c>
      <c r="Z295" t="str">
        <f t="shared" si="27"/>
        <v/>
      </c>
      <c r="AA295" s="12"/>
      <c r="AB295" s="95" t="e">
        <f t="shared" si="28"/>
        <v>#VALUE!</v>
      </c>
      <c r="AC295" s="95" t="e">
        <f t="shared" si="29"/>
        <v>#VALUE!</v>
      </c>
      <c r="AD295" s="12"/>
    </row>
    <row r="296" spans="1:30" ht="15.75" thickBot="1" x14ac:dyDescent="0.3">
      <c r="A296" s="12"/>
      <c r="B296" s="22"/>
      <c r="C296" t="str">
        <f>IF(AND('ENTRY DATA'!D296=""),"",('ENTRY DATA'!D296))</f>
        <v/>
      </c>
      <c r="D296" t="str">
        <f>IF(AND('ENTRY DATA'!F296=""),"",('ENTRY DATA'!F296))</f>
        <v/>
      </c>
      <c r="E296" s="34" t="str">
        <f>IF(AND('ENTRY DATA'!B296=""),"",('ENTRY DATA'!B296))</f>
        <v/>
      </c>
      <c r="F296" s="12"/>
      <c r="G296" s="12"/>
      <c r="H296" s="73"/>
      <c r="I296" s="71"/>
      <c r="J296" s="73"/>
      <c r="K296" s="12"/>
      <c r="L296" s="20">
        <f t="shared" si="24"/>
        <v>0</v>
      </c>
      <c r="M296" s="19" t="str">
        <f t="shared" si="25"/>
        <v/>
      </c>
      <c r="N296" s="12"/>
      <c r="O296" s="119"/>
      <c r="P296" s="95" t="str">
        <f t="shared" si="26"/>
        <v/>
      </c>
      <c r="Q296" s="12"/>
      <c r="S296" s="128"/>
      <c r="T296" s="66"/>
      <c r="U296" s="128"/>
      <c r="W296" s="128"/>
      <c r="X296" s="12"/>
      <c r="Y296" t="str">
        <f t="shared" si="27"/>
        <v/>
      </c>
      <c r="Z296" t="str">
        <f t="shared" si="27"/>
        <v/>
      </c>
      <c r="AA296" s="12"/>
      <c r="AB296" s="95" t="e">
        <f t="shared" si="28"/>
        <v>#VALUE!</v>
      </c>
      <c r="AC296" s="95" t="e">
        <f t="shared" si="29"/>
        <v>#VALUE!</v>
      </c>
      <c r="AD296" s="12"/>
    </row>
    <row r="297" spans="1:30" ht="15.75" thickBot="1" x14ac:dyDescent="0.3">
      <c r="A297" s="12"/>
      <c r="B297" s="22"/>
      <c r="C297" t="str">
        <f>IF(AND('ENTRY DATA'!D297=""),"",('ENTRY DATA'!D297))</f>
        <v/>
      </c>
      <c r="D297" t="str">
        <f>IF(AND('ENTRY DATA'!F297=""),"",('ENTRY DATA'!F297))</f>
        <v/>
      </c>
      <c r="E297" s="34" t="str">
        <f>IF(AND('ENTRY DATA'!B297=""),"",('ENTRY DATA'!B297))</f>
        <v/>
      </c>
      <c r="F297" s="12"/>
      <c r="G297" s="12"/>
      <c r="H297" s="73"/>
      <c r="I297" s="71"/>
      <c r="J297" s="73"/>
      <c r="K297" s="12"/>
      <c r="L297" s="20">
        <f t="shared" si="24"/>
        <v>0</v>
      </c>
      <c r="M297" s="19" t="str">
        <f t="shared" si="25"/>
        <v/>
      </c>
      <c r="N297" s="12"/>
      <c r="O297" s="119"/>
      <c r="P297" s="95" t="str">
        <f t="shared" si="26"/>
        <v/>
      </c>
      <c r="Q297" s="12"/>
      <c r="S297" s="128"/>
      <c r="T297" s="66"/>
      <c r="U297" s="128"/>
      <c r="W297" s="128"/>
      <c r="X297" s="12"/>
      <c r="Y297" t="str">
        <f t="shared" si="27"/>
        <v/>
      </c>
      <c r="Z297" t="str">
        <f t="shared" si="27"/>
        <v/>
      </c>
      <c r="AA297" s="12"/>
      <c r="AB297" s="95" t="e">
        <f t="shared" si="28"/>
        <v>#VALUE!</v>
      </c>
      <c r="AC297" s="95" t="e">
        <f t="shared" si="29"/>
        <v>#VALUE!</v>
      </c>
      <c r="AD297" s="12"/>
    </row>
    <row r="298" spans="1:30" ht="15.75" thickBot="1" x14ac:dyDescent="0.3">
      <c r="A298" s="12"/>
      <c r="B298" s="22"/>
      <c r="C298" t="str">
        <f>IF(AND('ENTRY DATA'!D298=""),"",('ENTRY DATA'!D298))</f>
        <v/>
      </c>
      <c r="D298" t="str">
        <f>IF(AND('ENTRY DATA'!F298=""),"",('ENTRY DATA'!F298))</f>
        <v/>
      </c>
      <c r="E298" s="34" t="str">
        <f>IF(AND('ENTRY DATA'!B298=""),"",('ENTRY DATA'!B298))</f>
        <v/>
      </c>
      <c r="F298" s="12"/>
      <c r="G298" s="12"/>
      <c r="H298" s="73"/>
      <c r="I298" s="71"/>
      <c r="J298" s="73"/>
      <c r="K298" s="12"/>
      <c r="L298" s="20">
        <f t="shared" si="24"/>
        <v>0</v>
      </c>
      <c r="M298" s="19" t="str">
        <f t="shared" si="25"/>
        <v/>
      </c>
      <c r="N298" s="12"/>
      <c r="O298" s="119"/>
      <c r="P298" s="95" t="str">
        <f t="shared" si="26"/>
        <v/>
      </c>
      <c r="Q298" s="12"/>
      <c r="S298" s="128"/>
      <c r="T298" s="66"/>
      <c r="U298" s="128"/>
      <c r="W298" s="128"/>
      <c r="X298" s="12"/>
      <c r="Y298" t="str">
        <f t="shared" si="27"/>
        <v/>
      </c>
      <c r="Z298" t="str">
        <f t="shared" si="27"/>
        <v/>
      </c>
      <c r="AA298" s="12"/>
      <c r="AB298" s="95" t="e">
        <f t="shared" si="28"/>
        <v>#VALUE!</v>
      </c>
      <c r="AC298" s="95" t="e">
        <f t="shared" si="29"/>
        <v>#VALUE!</v>
      </c>
      <c r="AD298" s="12"/>
    </row>
    <row r="299" spans="1:30" ht="15.75" thickBot="1" x14ac:dyDescent="0.3">
      <c r="A299" s="12"/>
      <c r="B299" s="22"/>
      <c r="C299" t="str">
        <f>IF(AND('ENTRY DATA'!D299=""),"",('ENTRY DATA'!D299))</f>
        <v/>
      </c>
      <c r="D299" t="str">
        <f>IF(AND('ENTRY DATA'!F299=""),"",('ENTRY DATA'!F299))</f>
        <v/>
      </c>
      <c r="E299" s="34" t="str">
        <f>IF(AND('ENTRY DATA'!B299=""),"",('ENTRY DATA'!B299))</f>
        <v/>
      </c>
      <c r="F299" s="12"/>
      <c r="G299" s="12"/>
      <c r="H299" s="73"/>
      <c r="I299" s="71"/>
      <c r="J299" s="73"/>
      <c r="K299" s="12"/>
      <c r="L299" s="20">
        <f t="shared" si="24"/>
        <v>0</v>
      </c>
      <c r="M299" s="19" t="str">
        <f t="shared" si="25"/>
        <v/>
      </c>
      <c r="N299" s="12"/>
      <c r="O299" s="119"/>
      <c r="P299" s="95" t="str">
        <f t="shared" si="26"/>
        <v/>
      </c>
      <c r="Q299" s="12"/>
      <c r="S299" s="128"/>
      <c r="T299" s="66"/>
      <c r="U299" s="128"/>
      <c r="W299" s="128"/>
      <c r="X299" s="12"/>
      <c r="Y299" t="str">
        <f t="shared" si="27"/>
        <v/>
      </c>
      <c r="Z299" t="str">
        <f t="shared" si="27"/>
        <v/>
      </c>
      <c r="AA299" s="12"/>
      <c r="AB299" s="95" t="e">
        <f t="shared" si="28"/>
        <v>#VALUE!</v>
      </c>
      <c r="AC299" s="95" t="e">
        <f t="shared" si="29"/>
        <v>#VALUE!</v>
      </c>
      <c r="AD299" s="12"/>
    </row>
    <row r="300" spans="1:30" ht="15.75" thickBot="1" x14ac:dyDescent="0.3">
      <c r="A300" s="12"/>
      <c r="B300" s="22"/>
      <c r="C300" t="str">
        <f>IF(AND('ENTRY DATA'!D300=""),"",('ENTRY DATA'!D300))</f>
        <v/>
      </c>
      <c r="D300" t="str">
        <f>IF(AND('ENTRY DATA'!F300=""),"",('ENTRY DATA'!F300))</f>
        <v/>
      </c>
      <c r="E300" s="34" t="str">
        <f>IF(AND('ENTRY DATA'!B300=""),"",('ENTRY DATA'!B300))</f>
        <v/>
      </c>
      <c r="F300" s="12"/>
      <c r="G300" s="12"/>
      <c r="H300" s="73"/>
      <c r="I300" s="71"/>
      <c r="J300" s="73"/>
      <c r="K300" s="12"/>
      <c r="L300" s="20">
        <f t="shared" si="24"/>
        <v>0</v>
      </c>
      <c r="M300" s="19" t="str">
        <f t="shared" si="25"/>
        <v/>
      </c>
      <c r="N300" s="12"/>
      <c r="O300" s="119"/>
      <c r="P300" s="96" t="str">
        <f t="shared" si="26"/>
        <v/>
      </c>
      <c r="Q300" s="12"/>
      <c r="S300" s="128"/>
      <c r="T300" s="68"/>
      <c r="U300" s="128"/>
      <c r="W300" s="128"/>
      <c r="X300" s="12"/>
      <c r="Y300" t="str">
        <f t="shared" si="27"/>
        <v/>
      </c>
      <c r="Z300" t="str">
        <f t="shared" si="27"/>
        <v/>
      </c>
      <c r="AA300" s="12"/>
      <c r="AB300" s="96" t="e">
        <f t="shared" si="28"/>
        <v>#VALUE!</v>
      </c>
      <c r="AC300" s="96" t="e">
        <f t="shared" si="29"/>
        <v>#VALUE!</v>
      </c>
      <c r="AD300" s="12"/>
    </row>
    <row r="301" spans="1:30" x14ac:dyDescent="0.25">
      <c r="A301" s="12"/>
      <c r="B301" s="12"/>
      <c r="C301" s="12"/>
      <c r="D301" s="12"/>
      <c r="E301" s="33"/>
      <c r="F301" s="12"/>
      <c r="G301" s="12"/>
      <c r="H301" s="33"/>
      <c r="I301" s="33"/>
      <c r="J301" s="33"/>
      <c r="K301" s="12"/>
      <c r="L301" s="13"/>
      <c r="M301" s="13"/>
      <c r="N301" s="12"/>
      <c r="O301" s="119"/>
      <c r="P301" s="12">
        <f t="shared" si="26"/>
        <v>0</v>
      </c>
      <c r="Q301" s="12"/>
      <c r="R301" s="12"/>
      <c r="S301" s="12"/>
      <c r="T301" s="12"/>
      <c r="U301" s="12"/>
      <c r="V301" s="12"/>
      <c r="W301" s="12"/>
      <c r="X301" s="12"/>
      <c r="Y301" s="12" t="str">
        <f t="shared" si="27"/>
        <v/>
      </c>
      <c r="Z301" s="12" t="str">
        <f t="shared" si="27"/>
        <v/>
      </c>
      <c r="AA301" s="12"/>
      <c r="AB301" s="12" t="e">
        <f t="shared" si="28"/>
        <v>#VALUE!</v>
      </c>
      <c r="AC301" s="12" t="e">
        <f t="shared" si="29"/>
        <v>#VALUE!</v>
      </c>
      <c r="AD301" s="12"/>
    </row>
    <row r="302" spans="1:30" x14ac:dyDescent="0.25">
      <c r="A302" s="12"/>
      <c r="B302" s="12"/>
      <c r="C302" s="12"/>
      <c r="D302" s="12"/>
      <c r="E302" s="33"/>
      <c r="F302" s="12"/>
      <c r="G302" s="12"/>
      <c r="H302" s="33"/>
      <c r="I302" s="33"/>
      <c r="J302" s="33"/>
      <c r="K302" s="12"/>
      <c r="L302" s="13"/>
      <c r="M302" s="13"/>
      <c r="N302" s="12"/>
      <c r="O302" s="119"/>
      <c r="P302" s="12"/>
      <c r="Q302" s="12"/>
      <c r="R302" s="12"/>
      <c r="S302" s="12"/>
      <c r="T302" s="12"/>
      <c r="U302" s="12"/>
      <c r="V302" s="12"/>
      <c r="W302" s="12"/>
      <c r="X302" s="12"/>
      <c r="Y302" s="12" t="str">
        <f t="shared" si="27"/>
        <v/>
      </c>
      <c r="Z302" s="12" t="str">
        <f t="shared" si="27"/>
        <v/>
      </c>
      <c r="AA302" s="12"/>
      <c r="AB302" s="12"/>
      <c r="AC302" s="12"/>
      <c r="AD302" s="12"/>
    </row>
  </sheetData>
  <mergeCells count="9">
    <mergeCell ref="V3:W3"/>
    <mergeCell ref="Y3:Z3"/>
    <mergeCell ref="AB3:AC3"/>
    <mergeCell ref="R2:T2"/>
    <mergeCell ref="C3:D3"/>
    <mergeCell ref="H3:J3"/>
    <mergeCell ref="L3:M3"/>
    <mergeCell ref="R3:S3"/>
    <mergeCell ref="T3:U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2"/>
  <sheetViews>
    <sheetView topLeftCell="J1" workbookViewId="0">
      <selection activeCell="H22" sqref="H22"/>
    </sheetView>
  </sheetViews>
  <sheetFormatPr defaultRowHeight="15" x14ac:dyDescent="0.25"/>
  <cols>
    <col min="2" max="2" width="4.85546875" customWidth="1"/>
    <col min="3" max="3" width="26.28515625" customWidth="1"/>
    <col min="4" max="4" width="24.7109375" customWidth="1"/>
    <col min="5" max="5" width="10" style="1" customWidth="1"/>
    <col min="6" max="6" width="5.42578125" customWidth="1"/>
    <col min="7" max="7" width="5.28515625" customWidth="1"/>
    <col min="8" max="8" width="18.85546875" style="1" customWidth="1"/>
    <col min="9" max="9" width="18.5703125" style="1" customWidth="1"/>
    <col min="10" max="10" width="17.85546875" style="1" customWidth="1"/>
    <col min="11" max="11" width="13" customWidth="1"/>
    <col min="12" max="12" width="11.85546875" style="2" customWidth="1"/>
    <col min="13" max="13" width="11.7109375" style="2" customWidth="1"/>
    <col min="14" max="14" width="11.42578125" customWidth="1"/>
    <col min="15" max="15" width="3.7109375" style="122" customWidth="1"/>
    <col min="16" max="16" width="16.7109375" customWidth="1"/>
    <col min="17" max="17" width="3.28515625" customWidth="1"/>
    <col min="18" max="18" width="16.42578125" customWidth="1"/>
    <col min="20" max="20" width="13.28515625" customWidth="1"/>
    <col min="22" max="22" width="11.7109375" customWidth="1"/>
    <col min="25" max="25" width="13.140625" customWidth="1"/>
    <col min="26" max="26" width="13.42578125" customWidth="1"/>
    <col min="28" max="28" width="11" customWidth="1"/>
    <col min="29" max="29" width="10.85546875" customWidth="1"/>
  </cols>
  <sheetData>
    <row r="1" spans="1:30" ht="15.75" thickBot="1" x14ac:dyDescent="0.3">
      <c r="A1" s="12"/>
      <c r="B1" s="12"/>
      <c r="C1" s="12"/>
      <c r="D1" s="12"/>
      <c r="E1" s="33"/>
      <c r="F1" s="12"/>
      <c r="G1" s="12"/>
      <c r="H1" s="33"/>
      <c r="I1" s="33"/>
      <c r="J1" s="33"/>
      <c r="K1" s="12"/>
      <c r="L1" s="13"/>
      <c r="M1" s="13"/>
      <c r="N1" s="12"/>
      <c r="O1" s="11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thickBot="1" x14ac:dyDescent="0.3">
      <c r="A2" s="12"/>
      <c r="B2" s="12"/>
      <c r="C2" s="12"/>
      <c r="D2" s="12"/>
      <c r="E2" s="33"/>
      <c r="F2" s="12"/>
      <c r="G2" s="12"/>
      <c r="H2" s="33"/>
      <c r="I2" s="33"/>
      <c r="J2" s="33"/>
      <c r="K2" s="12"/>
      <c r="L2" s="13"/>
      <c r="M2" s="13"/>
      <c r="N2" s="12"/>
      <c r="O2" s="119"/>
      <c r="P2" s="12"/>
      <c r="Q2" s="12"/>
      <c r="R2" s="159" t="s">
        <v>53</v>
      </c>
      <c r="S2" s="160"/>
      <c r="T2" s="16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6.5" thickTop="1" thickBot="1" x14ac:dyDescent="0.3">
      <c r="A3" s="12"/>
      <c r="B3" s="30"/>
      <c r="C3" s="164"/>
      <c r="D3" s="165"/>
      <c r="E3" s="15"/>
      <c r="F3" s="16"/>
      <c r="G3" s="17"/>
      <c r="H3" s="166" t="s">
        <v>15</v>
      </c>
      <c r="I3" s="167"/>
      <c r="J3" s="168"/>
      <c r="K3" s="14"/>
      <c r="L3" s="169" t="s">
        <v>18</v>
      </c>
      <c r="M3" s="170"/>
      <c r="N3" s="14"/>
      <c r="O3" s="120"/>
      <c r="P3" s="12"/>
      <c r="Q3" s="12"/>
      <c r="R3" s="158" t="s">
        <v>12</v>
      </c>
      <c r="S3" s="156"/>
      <c r="T3" s="159" t="s">
        <v>13</v>
      </c>
      <c r="U3" s="161"/>
      <c r="V3" s="156" t="s">
        <v>14</v>
      </c>
      <c r="W3" s="157"/>
      <c r="X3" s="12"/>
      <c r="Y3" s="158" t="s">
        <v>56</v>
      </c>
      <c r="Z3" s="157"/>
      <c r="AA3" s="12"/>
      <c r="AB3" s="162" t="s">
        <v>58</v>
      </c>
      <c r="AC3" s="163"/>
      <c r="AD3" s="12"/>
    </row>
    <row r="4" spans="1:30" ht="15.75" thickBot="1" x14ac:dyDescent="0.3">
      <c r="A4" s="12"/>
      <c r="B4" s="29"/>
      <c r="C4" s="23" t="s">
        <v>9</v>
      </c>
      <c r="D4" s="23" t="s">
        <v>3</v>
      </c>
      <c r="E4" s="31" t="s">
        <v>0</v>
      </c>
      <c r="F4" s="18"/>
      <c r="G4" s="18"/>
      <c r="H4" s="24" t="s">
        <v>12</v>
      </c>
      <c r="I4" s="25" t="s">
        <v>13</v>
      </c>
      <c r="J4" s="26" t="s">
        <v>14</v>
      </c>
      <c r="K4" s="15"/>
      <c r="L4" s="27" t="s">
        <v>16</v>
      </c>
      <c r="M4" s="28" t="s">
        <v>17</v>
      </c>
      <c r="N4" s="15"/>
      <c r="O4" s="121"/>
      <c r="P4" s="123" t="s">
        <v>9</v>
      </c>
      <c r="Q4" s="12"/>
      <c r="R4" s="124" t="s">
        <v>54</v>
      </c>
      <c r="S4" s="125" t="s">
        <v>55</v>
      </c>
      <c r="T4" s="129" t="s">
        <v>54</v>
      </c>
      <c r="U4" s="130" t="s">
        <v>55</v>
      </c>
      <c r="V4" s="125" t="s">
        <v>54</v>
      </c>
      <c r="W4" s="126" t="s">
        <v>55</v>
      </c>
      <c r="X4" s="12"/>
      <c r="Y4" s="129" t="s">
        <v>54</v>
      </c>
      <c r="Z4" s="130" t="s">
        <v>57</v>
      </c>
      <c r="AA4" s="12"/>
      <c r="AB4" s="131" t="s">
        <v>54</v>
      </c>
      <c r="AC4" s="132" t="s">
        <v>57</v>
      </c>
      <c r="AD4" s="12"/>
    </row>
    <row r="5" spans="1:30" ht="15.75" thickBot="1" x14ac:dyDescent="0.3">
      <c r="A5" s="12"/>
      <c r="B5" s="22"/>
      <c r="C5" t="str">
        <f>IF(AND('ENTRY DATA'!D5=""),"",('ENTRY DATA'!D5))</f>
        <v/>
      </c>
      <c r="D5" t="str">
        <f>IF(AND('ENTRY DATA'!F5=""),"",('ENTRY DATA'!F5))</f>
        <v/>
      </c>
      <c r="E5" s="34">
        <f>IF(AND('ENTRY DATA'!B5=""),"",('ENTRY DATA'!B5))</f>
        <v>1</v>
      </c>
      <c r="F5" s="12"/>
      <c r="G5" s="12"/>
      <c r="H5" s="70"/>
      <c r="I5" s="71"/>
      <c r="J5" s="70"/>
      <c r="K5" s="12"/>
      <c r="L5" s="20">
        <f>COUNT(H5:J5)</f>
        <v>0</v>
      </c>
      <c r="M5" s="19" t="str">
        <f>IF(AND(H5="",I5="",J5=""),"",(H5+I5+J5))</f>
        <v/>
      </c>
      <c r="N5" s="12"/>
      <c r="O5" s="119"/>
      <c r="P5" s="95" t="str">
        <f>C5</f>
        <v/>
      </c>
      <c r="Q5" s="12"/>
      <c r="S5" s="128"/>
      <c r="T5" s="66"/>
      <c r="U5" s="128"/>
      <c r="W5" s="128"/>
      <c r="X5" s="12"/>
      <c r="Y5" t="str">
        <f>IF(AND(R5="",T5="",V5=""),"",SUM(R5,T5,V5))</f>
        <v/>
      </c>
      <c r="Z5" t="str">
        <f>IF(AND(S5="",U5="",W5=""),"",SUM(S5,U5,W5))</f>
        <v/>
      </c>
      <c r="AA5" s="12"/>
      <c r="AB5" s="94" t="e">
        <f>Y5/L5</f>
        <v>#VALUE!</v>
      </c>
      <c r="AC5" s="94" t="e">
        <f>Z5/L5</f>
        <v>#VALUE!</v>
      </c>
      <c r="AD5" s="12"/>
    </row>
    <row r="6" spans="1:30" ht="15.75" thickBot="1" x14ac:dyDescent="0.3">
      <c r="A6" s="12"/>
      <c r="B6" s="22"/>
      <c r="C6" t="str">
        <f>IF(AND('ENTRY DATA'!D6=""),"",('ENTRY DATA'!D6))</f>
        <v/>
      </c>
      <c r="D6" t="str">
        <f>IF(AND('ENTRY DATA'!F6=""),"",('ENTRY DATA'!F6))</f>
        <v/>
      </c>
      <c r="E6" s="34" t="str">
        <f>IF(AND('ENTRY DATA'!B6=""),"",('ENTRY DATA'!B6))</f>
        <v/>
      </c>
      <c r="F6" s="12"/>
      <c r="G6" s="12"/>
      <c r="H6" s="72"/>
      <c r="I6" s="71"/>
      <c r="J6" s="72"/>
      <c r="K6" s="12"/>
      <c r="L6" s="20">
        <f t="shared" ref="L6:L69" si="0">COUNT(H6:J6)</f>
        <v>0</v>
      </c>
      <c r="M6" s="19" t="str">
        <f t="shared" ref="M6:M69" si="1">IF(AND(H6="",I6="",J6=""),"",(H6+I6+J6))</f>
        <v/>
      </c>
      <c r="N6" s="12"/>
      <c r="O6" s="119"/>
      <c r="P6" s="95" t="str">
        <f t="shared" ref="P6:P69" si="2">C6</f>
        <v/>
      </c>
      <c r="Q6" s="12"/>
      <c r="S6" s="128"/>
      <c r="T6" s="66"/>
      <c r="U6" s="128"/>
      <c r="W6" s="128"/>
      <c r="X6" s="12"/>
      <c r="Y6" t="str">
        <f t="shared" ref="Y6:Z69" si="3">IF(AND(R6="",T6="",V6=""),"",SUM(R6,T6,V6))</f>
        <v/>
      </c>
      <c r="Z6" t="str">
        <f t="shared" si="3"/>
        <v/>
      </c>
      <c r="AA6" s="12"/>
      <c r="AB6" s="95" t="e">
        <f t="shared" ref="AB6:AB69" si="4">Y6/L6</f>
        <v>#VALUE!</v>
      </c>
      <c r="AC6" s="95" t="e">
        <f t="shared" ref="AC6:AC69" si="5">Z6/L6</f>
        <v>#VALUE!</v>
      </c>
      <c r="AD6" s="12"/>
    </row>
    <row r="7" spans="1:30" ht="15.75" thickBot="1" x14ac:dyDescent="0.3">
      <c r="A7" s="12"/>
      <c r="B7" s="22"/>
      <c r="C7" t="str">
        <f>IF(AND('ENTRY DATA'!D7=""),"",('ENTRY DATA'!D7))</f>
        <v/>
      </c>
      <c r="D7" t="str">
        <f>IF(AND('ENTRY DATA'!F7=""),"",('ENTRY DATA'!F7))</f>
        <v/>
      </c>
      <c r="E7" s="34" t="str">
        <f>IF(AND('ENTRY DATA'!B7=""),"",('ENTRY DATA'!B7))</f>
        <v/>
      </c>
      <c r="F7" s="12"/>
      <c r="G7" s="12"/>
      <c r="H7" s="72"/>
      <c r="I7" s="71"/>
      <c r="J7" s="72"/>
      <c r="K7" s="12"/>
      <c r="L7" s="20">
        <f t="shared" si="0"/>
        <v>0</v>
      </c>
      <c r="M7" s="19" t="str">
        <f t="shared" si="1"/>
        <v/>
      </c>
      <c r="N7" s="12"/>
      <c r="O7" s="119"/>
      <c r="P7" s="95" t="str">
        <f t="shared" si="2"/>
        <v/>
      </c>
      <c r="Q7" s="12"/>
      <c r="S7" s="128"/>
      <c r="T7" s="66"/>
      <c r="U7" s="128"/>
      <c r="W7" s="128"/>
      <c r="X7" s="12"/>
      <c r="Y7" t="str">
        <f t="shared" si="3"/>
        <v/>
      </c>
      <c r="Z7" t="str">
        <f t="shared" si="3"/>
        <v/>
      </c>
      <c r="AA7" s="12"/>
      <c r="AB7" s="95" t="e">
        <f t="shared" si="4"/>
        <v>#VALUE!</v>
      </c>
      <c r="AC7" s="95" t="e">
        <f t="shared" si="5"/>
        <v>#VALUE!</v>
      </c>
      <c r="AD7" s="12"/>
    </row>
    <row r="8" spans="1:30" ht="15.75" thickBot="1" x14ac:dyDescent="0.3">
      <c r="A8" s="12"/>
      <c r="B8" s="22"/>
      <c r="C8" t="str">
        <f>IF(AND('ENTRY DATA'!D8=""),"",('ENTRY DATA'!D8))</f>
        <v/>
      </c>
      <c r="D8" t="str">
        <f>IF(AND('ENTRY DATA'!F8=""),"",('ENTRY DATA'!F8))</f>
        <v/>
      </c>
      <c r="E8" s="34" t="str">
        <f>IF(AND('ENTRY DATA'!B8=""),"",('ENTRY DATA'!B8))</f>
        <v/>
      </c>
      <c r="F8" s="12"/>
      <c r="G8" s="12"/>
      <c r="H8" s="72"/>
      <c r="I8" s="71"/>
      <c r="J8" s="72"/>
      <c r="K8" s="12"/>
      <c r="L8" s="20">
        <f t="shared" si="0"/>
        <v>0</v>
      </c>
      <c r="M8" s="19" t="str">
        <f t="shared" si="1"/>
        <v/>
      </c>
      <c r="N8" s="12"/>
      <c r="O8" s="119"/>
      <c r="P8" s="95" t="str">
        <f t="shared" si="2"/>
        <v/>
      </c>
      <c r="Q8" s="12"/>
      <c r="S8" s="128"/>
      <c r="T8" s="66"/>
      <c r="U8" s="128"/>
      <c r="W8" s="128"/>
      <c r="X8" s="12"/>
      <c r="Y8" t="str">
        <f t="shared" si="3"/>
        <v/>
      </c>
      <c r="Z8" t="str">
        <f t="shared" si="3"/>
        <v/>
      </c>
      <c r="AA8" s="12"/>
      <c r="AB8" s="95" t="e">
        <f t="shared" si="4"/>
        <v>#VALUE!</v>
      </c>
      <c r="AC8" s="95" t="e">
        <f t="shared" si="5"/>
        <v>#VALUE!</v>
      </c>
      <c r="AD8" s="12"/>
    </row>
    <row r="9" spans="1:30" ht="15.75" thickBot="1" x14ac:dyDescent="0.3">
      <c r="A9" s="12"/>
      <c r="B9" s="22"/>
      <c r="C9" t="str">
        <f>IF(AND('ENTRY DATA'!D9=""),"",('ENTRY DATA'!D9))</f>
        <v/>
      </c>
      <c r="D9" t="str">
        <f>IF(AND('ENTRY DATA'!F9=""),"",('ENTRY DATA'!F9))</f>
        <v/>
      </c>
      <c r="E9" s="34" t="str">
        <f>IF(AND('ENTRY DATA'!B9=""),"",('ENTRY DATA'!B9))</f>
        <v/>
      </c>
      <c r="F9" s="12"/>
      <c r="G9" s="12"/>
      <c r="H9" s="72"/>
      <c r="I9" s="71"/>
      <c r="J9" s="72"/>
      <c r="K9" s="12"/>
      <c r="L9" s="20">
        <f t="shared" si="0"/>
        <v>0</v>
      </c>
      <c r="M9" s="19" t="str">
        <f t="shared" si="1"/>
        <v/>
      </c>
      <c r="N9" s="12"/>
      <c r="O9" s="119"/>
      <c r="P9" s="95" t="str">
        <f t="shared" si="2"/>
        <v/>
      </c>
      <c r="Q9" s="12"/>
      <c r="S9" s="128"/>
      <c r="T9" s="66"/>
      <c r="U9" s="128"/>
      <c r="W9" s="128"/>
      <c r="X9" s="12"/>
      <c r="Y9" t="str">
        <f t="shared" si="3"/>
        <v/>
      </c>
      <c r="Z9" t="str">
        <f t="shared" si="3"/>
        <v/>
      </c>
      <c r="AA9" s="12"/>
      <c r="AB9" s="95" t="e">
        <f t="shared" si="4"/>
        <v>#VALUE!</v>
      </c>
      <c r="AC9" s="95" t="e">
        <f t="shared" si="5"/>
        <v>#VALUE!</v>
      </c>
      <c r="AD9" s="12"/>
    </row>
    <row r="10" spans="1:30" ht="15.75" thickBot="1" x14ac:dyDescent="0.3">
      <c r="A10" s="12"/>
      <c r="B10" s="22"/>
      <c r="C10" t="str">
        <f>IF(AND('ENTRY DATA'!D10=""),"",('ENTRY DATA'!D10))</f>
        <v/>
      </c>
      <c r="D10" t="str">
        <f>IF(AND('ENTRY DATA'!F10=""),"",('ENTRY DATA'!F10))</f>
        <v/>
      </c>
      <c r="E10" s="34" t="str">
        <f>IF(AND('ENTRY DATA'!B10=""),"",('ENTRY DATA'!B10))</f>
        <v/>
      </c>
      <c r="F10" s="12"/>
      <c r="G10" s="12"/>
      <c r="H10" s="72"/>
      <c r="I10" s="71"/>
      <c r="J10" s="72"/>
      <c r="K10" s="12"/>
      <c r="L10" s="20">
        <f t="shared" si="0"/>
        <v>0</v>
      </c>
      <c r="M10" s="19" t="str">
        <f t="shared" si="1"/>
        <v/>
      </c>
      <c r="N10" s="12"/>
      <c r="O10" s="119"/>
      <c r="P10" s="95" t="str">
        <f t="shared" si="2"/>
        <v/>
      </c>
      <c r="Q10" s="12"/>
      <c r="S10" s="128"/>
      <c r="T10" s="66"/>
      <c r="U10" s="128"/>
      <c r="W10" s="128"/>
      <c r="X10" s="12"/>
      <c r="Y10" t="str">
        <f t="shared" si="3"/>
        <v/>
      </c>
      <c r="Z10" t="str">
        <f t="shared" si="3"/>
        <v/>
      </c>
      <c r="AA10" s="12"/>
      <c r="AB10" s="95" t="e">
        <f t="shared" si="4"/>
        <v>#VALUE!</v>
      </c>
      <c r="AC10" s="95" t="e">
        <f t="shared" si="5"/>
        <v>#VALUE!</v>
      </c>
      <c r="AD10" s="12"/>
    </row>
    <row r="11" spans="1:30" ht="15.75" thickBot="1" x14ac:dyDescent="0.3">
      <c r="A11" s="12"/>
      <c r="B11" s="22"/>
      <c r="C11" t="str">
        <f>IF(AND('ENTRY DATA'!D11=""),"",('ENTRY DATA'!D11))</f>
        <v/>
      </c>
      <c r="D11" t="str">
        <f>IF(AND('ENTRY DATA'!F11=""),"",('ENTRY DATA'!F11))</f>
        <v/>
      </c>
      <c r="E11" s="34" t="str">
        <f>IF(AND('ENTRY DATA'!B11=""),"",('ENTRY DATA'!B11))</f>
        <v/>
      </c>
      <c r="F11" s="12"/>
      <c r="G11" s="12"/>
      <c r="H11" s="72"/>
      <c r="I11" s="71"/>
      <c r="J11" s="72"/>
      <c r="K11" s="12"/>
      <c r="L11" s="20">
        <f t="shared" si="0"/>
        <v>0</v>
      </c>
      <c r="M11" s="19" t="str">
        <f t="shared" si="1"/>
        <v/>
      </c>
      <c r="N11" s="12"/>
      <c r="O11" s="119"/>
      <c r="P11" s="95" t="str">
        <f t="shared" si="2"/>
        <v/>
      </c>
      <c r="Q11" s="12"/>
      <c r="S11" s="128"/>
      <c r="T11" s="66"/>
      <c r="U11" s="128"/>
      <c r="W11" s="128"/>
      <c r="X11" s="12"/>
      <c r="Y11" t="str">
        <f t="shared" si="3"/>
        <v/>
      </c>
      <c r="Z11" t="str">
        <f t="shared" si="3"/>
        <v/>
      </c>
      <c r="AA11" s="12"/>
      <c r="AB11" s="95" t="e">
        <f t="shared" si="4"/>
        <v>#VALUE!</v>
      </c>
      <c r="AC11" s="95" t="e">
        <f t="shared" si="5"/>
        <v>#VALUE!</v>
      </c>
      <c r="AD11" s="12"/>
    </row>
    <row r="12" spans="1:30" ht="15.75" thickBot="1" x14ac:dyDescent="0.3">
      <c r="A12" s="12"/>
      <c r="B12" s="22"/>
      <c r="C12" t="str">
        <f>IF(AND('ENTRY DATA'!D12=""),"",('ENTRY DATA'!D12))</f>
        <v/>
      </c>
      <c r="D12" t="str">
        <f>IF(AND('ENTRY DATA'!F12=""),"",('ENTRY DATA'!F12))</f>
        <v/>
      </c>
      <c r="E12" s="34" t="str">
        <f>IF(AND('ENTRY DATA'!B12=""),"",('ENTRY DATA'!B12))</f>
        <v/>
      </c>
      <c r="F12" s="12"/>
      <c r="G12" s="12"/>
      <c r="H12" s="72"/>
      <c r="I12" s="71"/>
      <c r="J12" s="72"/>
      <c r="K12" s="12"/>
      <c r="L12" s="20">
        <f t="shared" si="0"/>
        <v>0</v>
      </c>
      <c r="M12" s="19" t="str">
        <f t="shared" si="1"/>
        <v/>
      </c>
      <c r="N12" s="12"/>
      <c r="O12" s="119"/>
      <c r="P12" s="95" t="str">
        <f t="shared" si="2"/>
        <v/>
      </c>
      <c r="Q12" s="12"/>
      <c r="S12" s="128"/>
      <c r="T12" s="66"/>
      <c r="U12" s="128"/>
      <c r="W12" s="128"/>
      <c r="X12" s="12"/>
      <c r="Y12" t="str">
        <f t="shared" si="3"/>
        <v/>
      </c>
      <c r="Z12" t="str">
        <f t="shared" si="3"/>
        <v/>
      </c>
      <c r="AA12" s="12"/>
      <c r="AB12" s="95" t="e">
        <f t="shared" si="4"/>
        <v>#VALUE!</v>
      </c>
      <c r="AC12" s="95" t="e">
        <f t="shared" si="5"/>
        <v>#VALUE!</v>
      </c>
      <c r="AD12" s="12"/>
    </row>
    <row r="13" spans="1:30" ht="15.75" thickBot="1" x14ac:dyDescent="0.3">
      <c r="A13" s="12"/>
      <c r="B13" s="22"/>
      <c r="C13" t="str">
        <f>IF(AND('ENTRY DATA'!D13=""),"",('ENTRY DATA'!D13))</f>
        <v/>
      </c>
      <c r="D13" t="str">
        <f>IF(AND('ENTRY DATA'!F13=""),"",('ENTRY DATA'!F13))</f>
        <v/>
      </c>
      <c r="E13" s="34">
        <f>IF(AND('ENTRY DATA'!B13=""),"",('ENTRY DATA'!B13))</f>
        <v>2</v>
      </c>
      <c r="F13" s="12"/>
      <c r="G13" s="12"/>
      <c r="H13" s="72"/>
      <c r="I13" s="71"/>
      <c r="J13" s="72"/>
      <c r="K13" s="12"/>
      <c r="L13" s="20">
        <f t="shared" si="0"/>
        <v>0</v>
      </c>
      <c r="M13" s="19" t="str">
        <f t="shared" si="1"/>
        <v/>
      </c>
      <c r="N13" s="12"/>
      <c r="O13" s="119"/>
      <c r="P13" s="95" t="str">
        <f t="shared" si="2"/>
        <v/>
      </c>
      <c r="Q13" s="12"/>
      <c r="S13" s="128"/>
      <c r="T13" s="66"/>
      <c r="U13" s="128"/>
      <c r="W13" s="128"/>
      <c r="X13" s="12"/>
      <c r="Y13" t="str">
        <f t="shared" si="3"/>
        <v/>
      </c>
      <c r="Z13" t="str">
        <f t="shared" si="3"/>
        <v/>
      </c>
      <c r="AA13" s="12"/>
      <c r="AB13" s="95" t="e">
        <f t="shared" si="4"/>
        <v>#VALUE!</v>
      </c>
      <c r="AC13" s="95" t="e">
        <f t="shared" si="5"/>
        <v>#VALUE!</v>
      </c>
      <c r="AD13" s="12"/>
    </row>
    <row r="14" spans="1:30" ht="15.75" thickBot="1" x14ac:dyDescent="0.3">
      <c r="A14" s="12"/>
      <c r="B14" s="22"/>
      <c r="C14" t="str">
        <f>IF(AND('ENTRY DATA'!D14=""),"",('ENTRY DATA'!D14))</f>
        <v/>
      </c>
      <c r="D14" t="str">
        <f>IF(AND('ENTRY DATA'!F14=""),"",('ENTRY DATA'!F14))</f>
        <v/>
      </c>
      <c r="E14" s="34" t="str">
        <f>IF(AND('ENTRY DATA'!B14=""),"",('ENTRY DATA'!B14))</f>
        <v/>
      </c>
      <c r="F14" s="12"/>
      <c r="G14" s="12"/>
      <c r="H14" s="72"/>
      <c r="I14" s="71"/>
      <c r="J14" s="72"/>
      <c r="K14" s="12"/>
      <c r="L14" s="20">
        <f t="shared" si="0"/>
        <v>0</v>
      </c>
      <c r="M14" s="19" t="str">
        <f t="shared" si="1"/>
        <v/>
      </c>
      <c r="N14" s="12"/>
      <c r="O14" s="119"/>
      <c r="P14" s="95" t="str">
        <f t="shared" si="2"/>
        <v/>
      </c>
      <c r="Q14" s="12"/>
      <c r="S14" s="128"/>
      <c r="T14" s="66"/>
      <c r="U14" s="128"/>
      <c r="W14" s="128"/>
      <c r="X14" s="12"/>
      <c r="Y14" t="str">
        <f t="shared" si="3"/>
        <v/>
      </c>
      <c r="Z14" t="str">
        <f t="shared" si="3"/>
        <v/>
      </c>
      <c r="AA14" s="12"/>
      <c r="AB14" s="95" t="e">
        <f t="shared" si="4"/>
        <v>#VALUE!</v>
      </c>
      <c r="AC14" s="95" t="e">
        <f t="shared" si="5"/>
        <v>#VALUE!</v>
      </c>
      <c r="AD14" s="12"/>
    </row>
    <row r="15" spans="1:30" ht="15.75" thickBot="1" x14ac:dyDescent="0.3">
      <c r="A15" s="12"/>
      <c r="B15" s="22"/>
      <c r="C15" t="str">
        <f>IF(AND('ENTRY DATA'!D15=""),"",('ENTRY DATA'!D15))</f>
        <v/>
      </c>
      <c r="D15" t="str">
        <f>IF(AND('ENTRY DATA'!F15=""),"",('ENTRY DATA'!F15))</f>
        <v/>
      </c>
      <c r="E15" s="34" t="str">
        <f>IF(AND('ENTRY DATA'!B15=""),"",('ENTRY DATA'!B15))</f>
        <v/>
      </c>
      <c r="F15" s="12"/>
      <c r="G15" s="12"/>
      <c r="H15" s="72"/>
      <c r="I15" s="71"/>
      <c r="J15" s="72"/>
      <c r="K15" s="12"/>
      <c r="L15" s="20">
        <f t="shared" si="0"/>
        <v>0</v>
      </c>
      <c r="M15" s="19" t="str">
        <f t="shared" si="1"/>
        <v/>
      </c>
      <c r="N15" s="12"/>
      <c r="O15" s="119"/>
      <c r="P15" s="95" t="str">
        <f t="shared" si="2"/>
        <v/>
      </c>
      <c r="Q15" s="12"/>
      <c r="S15" s="128"/>
      <c r="T15" s="66"/>
      <c r="U15" s="128"/>
      <c r="W15" s="128"/>
      <c r="X15" s="12"/>
      <c r="Y15" t="str">
        <f t="shared" si="3"/>
        <v/>
      </c>
      <c r="Z15" t="str">
        <f t="shared" si="3"/>
        <v/>
      </c>
      <c r="AA15" s="12"/>
      <c r="AB15" s="95" t="e">
        <f t="shared" si="4"/>
        <v>#VALUE!</v>
      </c>
      <c r="AC15" s="95" t="e">
        <f t="shared" si="5"/>
        <v>#VALUE!</v>
      </c>
      <c r="AD15" s="12"/>
    </row>
    <row r="16" spans="1:30" ht="15.75" thickBot="1" x14ac:dyDescent="0.3">
      <c r="A16" s="12"/>
      <c r="B16" s="22"/>
      <c r="C16" t="str">
        <f>IF(AND('ENTRY DATA'!D16=""),"",('ENTRY DATA'!D16))</f>
        <v/>
      </c>
      <c r="D16" t="str">
        <f>IF(AND('ENTRY DATA'!F16=""),"",('ENTRY DATA'!F16))</f>
        <v/>
      </c>
      <c r="E16" s="34" t="str">
        <f>IF(AND('ENTRY DATA'!B16=""),"",('ENTRY DATA'!B16))</f>
        <v/>
      </c>
      <c r="F16" s="12"/>
      <c r="G16" s="12"/>
      <c r="H16" s="72"/>
      <c r="I16" s="71"/>
      <c r="J16" s="72"/>
      <c r="K16" s="12"/>
      <c r="L16" s="20">
        <f t="shared" si="0"/>
        <v>0</v>
      </c>
      <c r="M16" s="19" t="str">
        <f t="shared" si="1"/>
        <v/>
      </c>
      <c r="N16" s="12"/>
      <c r="O16" s="119"/>
      <c r="P16" s="95" t="str">
        <f t="shared" si="2"/>
        <v/>
      </c>
      <c r="Q16" s="12"/>
      <c r="S16" s="128"/>
      <c r="T16" s="66"/>
      <c r="U16" s="128"/>
      <c r="W16" s="128"/>
      <c r="X16" s="12"/>
      <c r="Y16" t="str">
        <f t="shared" si="3"/>
        <v/>
      </c>
      <c r="Z16" t="str">
        <f t="shared" si="3"/>
        <v/>
      </c>
      <c r="AA16" s="12"/>
      <c r="AB16" s="95" t="e">
        <f t="shared" si="4"/>
        <v>#VALUE!</v>
      </c>
      <c r="AC16" s="95" t="e">
        <f t="shared" si="5"/>
        <v>#VALUE!</v>
      </c>
      <c r="AD16" s="12"/>
    </row>
    <row r="17" spans="1:30" ht="15.75" thickBot="1" x14ac:dyDescent="0.3">
      <c r="A17" s="12"/>
      <c r="B17" s="22"/>
      <c r="C17" t="str">
        <f>IF(AND('ENTRY DATA'!D17=""),"",('ENTRY DATA'!D17))</f>
        <v/>
      </c>
      <c r="D17" t="str">
        <f>IF(AND('ENTRY DATA'!F17=""),"",('ENTRY DATA'!F17))</f>
        <v/>
      </c>
      <c r="E17" s="34" t="str">
        <f>IF(AND('ENTRY DATA'!B17=""),"",('ENTRY DATA'!B17))</f>
        <v/>
      </c>
      <c r="F17" s="12"/>
      <c r="G17" s="12"/>
      <c r="H17" s="72"/>
      <c r="I17" s="71"/>
      <c r="J17" s="72"/>
      <c r="K17" s="12"/>
      <c r="L17" s="20">
        <f t="shared" si="0"/>
        <v>0</v>
      </c>
      <c r="M17" s="19" t="str">
        <f t="shared" si="1"/>
        <v/>
      </c>
      <c r="N17" s="12"/>
      <c r="O17" s="119"/>
      <c r="P17" s="95" t="str">
        <f t="shared" si="2"/>
        <v/>
      </c>
      <c r="Q17" s="12"/>
      <c r="S17" s="128"/>
      <c r="T17" s="66"/>
      <c r="U17" s="128"/>
      <c r="W17" s="128"/>
      <c r="X17" s="12"/>
      <c r="Y17" t="str">
        <f t="shared" si="3"/>
        <v/>
      </c>
      <c r="Z17" t="str">
        <f t="shared" si="3"/>
        <v/>
      </c>
      <c r="AA17" s="12"/>
      <c r="AB17" s="95" t="e">
        <f t="shared" si="4"/>
        <v>#VALUE!</v>
      </c>
      <c r="AC17" s="95" t="e">
        <f t="shared" si="5"/>
        <v>#VALUE!</v>
      </c>
      <c r="AD17" s="12"/>
    </row>
    <row r="18" spans="1:30" ht="15.75" thickBot="1" x14ac:dyDescent="0.3">
      <c r="A18" s="12"/>
      <c r="B18" s="22"/>
      <c r="C18" t="str">
        <f>IF(AND('ENTRY DATA'!D18=""),"",('ENTRY DATA'!D18))</f>
        <v/>
      </c>
      <c r="D18" t="str">
        <f>IF(AND('ENTRY DATA'!F18=""),"",('ENTRY DATA'!F18))</f>
        <v/>
      </c>
      <c r="E18" s="34" t="str">
        <f>IF(AND('ENTRY DATA'!B18=""),"",('ENTRY DATA'!B18))</f>
        <v/>
      </c>
      <c r="F18" s="12"/>
      <c r="G18" s="12"/>
      <c r="H18" s="72"/>
      <c r="I18" s="71"/>
      <c r="J18" s="72"/>
      <c r="K18" s="12"/>
      <c r="L18" s="20">
        <f t="shared" si="0"/>
        <v>0</v>
      </c>
      <c r="M18" s="19" t="str">
        <f t="shared" si="1"/>
        <v/>
      </c>
      <c r="N18" s="12"/>
      <c r="O18" s="119"/>
      <c r="P18" s="95" t="str">
        <f t="shared" si="2"/>
        <v/>
      </c>
      <c r="Q18" s="12"/>
      <c r="S18" s="128"/>
      <c r="T18" s="66"/>
      <c r="U18" s="128"/>
      <c r="W18" s="128"/>
      <c r="X18" s="12"/>
      <c r="Y18" t="str">
        <f t="shared" si="3"/>
        <v/>
      </c>
      <c r="Z18" t="str">
        <f t="shared" si="3"/>
        <v/>
      </c>
      <c r="AA18" s="12"/>
      <c r="AB18" s="95" t="e">
        <f t="shared" si="4"/>
        <v>#VALUE!</v>
      </c>
      <c r="AC18" s="95" t="e">
        <f t="shared" si="5"/>
        <v>#VALUE!</v>
      </c>
      <c r="AD18" s="12"/>
    </row>
    <row r="19" spans="1:30" ht="15.75" thickBot="1" x14ac:dyDescent="0.3">
      <c r="A19" s="12"/>
      <c r="B19" s="22"/>
      <c r="C19" t="str">
        <f>IF(AND('ENTRY DATA'!D19=""),"",('ENTRY DATA'!D19))</f>
        <v/>
      </c>
      <c r="D19" t="str">
        <f>IF(AND('ENTRY DATA'!F19=""),"",('ENTRY DATA'!F19))</f>
        <v/>
      </c>
      <c r="E19" s="34" t="str">
        <f>IF(AND('ENTRY DATA'!B19=""),"",('ENTRY DATA'!B19))</f>
        <v/>
      </c>
      <c r="F19" s="12"/>
      <c r="G19" s="12"/>
      <c r="H19" s="72"/>
      <c r="I19" s="71"/>
      <c r="J19" s="72"/>
      <c r="K19" s="12"/>
      <c r="L19" s="20">
        <f t="shared" si="0"/>
        <v>0</v>
      </c>
      <c r="M19" s="19" t="str">
        <f t="shared" si="1"/>
        <v/>
      </c>
      <c r="N19" s="12"/>
      <c r="O19" s="119"/>
      <c r="P19" s="95" t="str">
        <f t="shared" si="2"/>
        <v/>
      </c>
      <c r="Q19" s="12"/>
      <c r="S19" s="128"/>
      <c r="T19" s="66"/>
      <c r="U19" s="128"/>
      <c r="W19" s="128"/>
      <c r="X19" s="12"/>
      <c r="Y19" t="str">
        <f t="shared" si="3"/>
        <v/>
      </c>
      <c r="Z19" t="str">
        <f t="shared" si="3"/>
        <v/>
      </c>
      <c r="AA19" s="12"/>
      <c r="AB19" s="95" t="e">
        <f t="shared" si="4"/>
        <v>#VALUE!</v>
      </c>
      <c r="AC19" s="95" t="e">
        <f t="shared" si="5"/>
        <v>#VALUE!</v>
      </c>
      <c r="AD19" s="12"/>
    </row>
    <row r="20" spans="1:30" ht="15.75" thickBot="1" x14ac:dyDescent="0.3">
      <c r="A20" s="12"/>
      <c r="B20" s="22"/>
      <c r="C20" t="str">
        <f>IF(AND('ENTRY DATA'!D20=""),"",('ENTRY DATA'!D20))</f>
        <v/>
      </c>
      <c r="D20" t="str">
        <f>IF(AND('ENTRY DATA'!F20=""),"",('ENTRY DATA'!F20))</f>
        <v/>
      </c>
      <c r="E20" s="34" t="str">
        <f>IF(AND('ENTRY DATA'!B20=""),"",('ENTRY DATA'!B20))</f>
        <v/>
      </c>
      <c r="F20" s="12"/>
      <c r="G20" s="12"/>
      <c r="H20" s="72"/>
      <c r="I20" s="71"/>
      <c r="J20" s="72"/>
      <c r="K20" s="12"/>
      <c r="L20" s="20">
        <f t="shared" si="0"/>
        <v>0</v>
      </c>
      <c r="M20" s="19" t="str">
        <f t="shared" si="1"/>
        <v/>
      </c>
      <c r="N20" s="12"/>
      <c r="O20" s="119"/>
      <c r="P20" s="95" t="str">
        <f t="shared" si="2"/>
        <v/>
      </c>
      <c r="Q20" s="12"/>
      <c r="S20" s="128"/>
      <c r="T20" s="66"/>
      <c r="U20" s="128"/>
      <c r="W20" s="128"/>
      <c r="X20" s="12"/>
      <c r="Y20" t="str">
        <f t="shared" si="3"/>
        <v/>
      </c>
      <c r="Z20" t="str">
        <f t="shared" si="3"/>
        <v/>
      </c>
      <c r="AA20" s="12"/>
      <c r="AB20" s="95" t="e">
        <f t="shared" si="4"/>
        <v>#VALUE!</v>
      </c>
      <c r="AC20" s="95" t="e">
        <f t="shared" si="5"/>
        <v>#VALUE!</v>
      </c>
      <c r="AD20" s="12"/>
    </row>
    <row r="21" spans="1:30" ht="15.75" thickBot="1" x14ac:dyDescent="0.3">
      <c r="A21" s="12"/>
      <c r="B21" s="22"/>
      <c r="C21" t="str">
        <f>IF(AND('ENTRY DATA'!D21=""),"",('ENTRY DATA'!D21))</f>
        <v/>
      </c>
      <c r="D21" t="str">
        <f>IF(AND('ENTRY DATA'!F21=""),"",('ENTRY DATA'!F21))</f>
        <v/>
      </c>
      <c r="E21" s="34">
        <f>IF(AND('ENTRY DATA'!B21=""),"",('ENTRY DATA'!B21))</f>
        <v>3</v>
      </c>
      <c r="F21" s="12"/>
      <c r="G21" s="12"/>
      <c r="H21" s="72"/>
      <c r="I21" s="71"/>
      <c r="J21" s="72"/>
      <c r="K21" s="12"/>
      <c r="L21" s="20">
        <f t="shared" si="0"/>
        <v>0</v>
      </c>
      <c r="M21" s="19" t="str">
        <f t="shared" si="1"/>
        <v/>
      </c>
      <c r="N21" s="12"/>
      <c r="O21" s="119"/>
      <c r="P21" s="95" t="str">
        <f t="shared" si="2"/>
        <v/>
      </c>
      <c r="Q21" s="12"/>
      <c r="S21" s="128"/>
      <c r="T21" s="66"/>
      <c r="U21" s="128"/>
      <c r="W21" s="128"/>
      <c r="X21" s="12"/>
      <c r="Y21" t="str">
        <f t="shared" si="3"/>
        <v/>
      </c>
      <c r="Z21" t="str">
        <f t="shared" si="3"/>
        <v/>
      </c>
      <c r="AA21" s="12"/>
      <c r="AB21" s="95" t="e">
        <f t="shared" si="4"/>
        <v>#VALUE!</v>
      </c>
      <c r="AC21" s="95" t="e">
        <f t="shared" si="5"/>
        <v>#VALUE!</v>
      </c>
      <c r="AD21" s="12"/>
    </row>
    <row r="22" spans="1:30" ht="15.75" thickBot="1" x14ac:dyDescent="0.3">
      <c r="A22" s="12"/>
      <c r="B22" s="22"/>
      <c r="C22" t="str">
        <f>IF(AND('ENTRY DATA'!D22=""),"",('ENTRY DATA'!D22))</f>
        <v/>
      </c>
      <c r="D22" t="str">
        <f>IF(AND('ENTRY DATA'!F22=""),"",('ENTRY DATA'!F22))</f>
        <v/>
      </c>
      <c r="E22" s="34" t="str">
        <f>IF(AND('ENTRY DATA'!B22=""),"",('ENTRY DATA'!B22))</f>
        <v/>
      </c>
      <c r="F22" s="12"/>
      <c r="G22" s="12"/>
      <c r="H22" s="72"/>
      <c r="I22" s="71"/>
      <c r="J22" s="72"/>
      <c r="K22" s="12"/>
      <c r="L22" s="20">
        <f t="shared" si="0"/>
        <v>0</v>
      </c>
      <c r="M22" s="19" t="str">
        <f t="shared" si="1"/>
        <v/>
      </c>
      <c r="N22" s="12"/>
      <c r="O22" s="119"/>
      <c r="P22" s="95" t="str">
        <f t="shared" si="2"/>
        <v/>
      </c>
      <c r="Q22" s="12"/>
      <c r="S22" s="128"/>
      <c r="T22" s="66"/>
      <c r="U22" s="128"/>
      <c r="W22" s="128"/>
      <c r="X22" s="12"/>
      <c r="Y22" t="str">
        <f t="shared" si="3"/>
        <v/>
      </c>
      <c r="Z22" t="str">
        <f t="shared" si="3"/>
        <v/>
      </c>
      <c r="AA22" s="12"/>
      <c r="AB22" s="95" t="e">
        <f t="shared" si="4"/>
        <v>#VALUE!</v>
      </c>
      <c r="AC22" s="95" t="e">
        <f t="shared" si="5"/>
        <v>#VALUE!</v>
      </c>
      <c r="AD22" s="12"/>
    </row>
    <row r="23" spans="1:30" ht="15.75" thickBot="1" x14ac:dyDescent="0.3">
      <c r="A23" s="12"/>
      <c r="B23" s="22"/>
      <c r="C23" t="str">
        <f>IF(AND('ENTRY DATA'!D23=""),"",('ENTRY DATA'!D23))</f>
        <v/>
      </c>
      <c r="D23" t="str">
        <f>IF(AND('ENTRY DATA'!F23=""),"",('ENTRY DATA'!F23))</f>
        <v/>
      </c>
      <c r="E23" s="34" t="str">
        <f>IF(AND('ENTRY DATA'!B23=""),"",('ENTRY DATA'!B23))</f>
        <v/>
      </c>
      <c r="F23" s="12"/>
      <c r="G23" s="12"/>
      <c r="H23" s="72"/>
      <c r="I23" s="71"/>
      <c r="J23" s="72"/>
      <c r="K23" s="12"/>
      <c r="L23" s="20">
        <f t="shared" si="0"/>
        <v>0</v>
      </c>
      <c r="M23" s="19" t="str">
        <f t="shared" si="1"/>
        <v/>
      </c>
      <c r="N23" s="12"/>
      <c r="O23" s="119"/>
      <c r="P23" s="95" t="str">
        <f t="shared" si="2"/>
        <v/>
      </c>
      <c r="Q23" s="12"/>
      <c r="S23" s="128"/>
      <c r="T23" s="66"/>
      <c r="U23" s="128"/>
      <c r="W23" s="128"/>
      <c r="X23" s="12"/>
      <c r="Y23" t="str">
        <f t="shared" si="3"/>
        <v/>
      </c>
      <c r="Z23" t="str">
        <f t="shared" si="3"/>
        <v/>
      </c>
      <c r="AA23" s="12"/>
      <c r="AB23" s="95" t="e">
        <f t="shared" si="4"/>
        <v>#VALUE!</v>
      </c>
      <c r="AC23" s="95" t="e">
        <f t="shared" si="5"/>
        <v>#VALUE!</v>
      </c>
      <c r="AD23" s="12"/>
    </row>
    <row r="24" spans="1:30" ht="15.75" thickBot="1" x14ac:dyDescent="0.3">
      <c r="A24" s="12"/>
      <c r="B24" s="22"/>
      <c r="C24" t="str">
        <f>IF(AND('ENTRY DATA'!D24=""),"",('ENTRY DATA'!D24))</f>
        <v/>
      </c>
      <c r="D24" t="str">
        <f>IF(AND('ENTRY DATA'!F24=""),"",('ENTRY DATA'!F24))</f>
        <v/>
      </c>
      <c r="E24" s="34" t="str">
        <f>IF(AND('ENTRY DATA'!B24=""),"",('ENTRY DATA'!B24))</f>
        <v/>
      </c>
      <c r="F24" s="12"/>
      <c r="G24" s="12"/>
      <c r="H24" s="72"/>
      <c r="I24" s="71"/>
      <c r="J24" s="72"/>
      <c r="K24" s="12"/>
      <c r="L24" s="20">
        <f t="shared" si="0"/>
        <v>0</v>
      </c>
      <c r="M24" s="19" t="str">
        <f t="shared" si="1"/>
        <v/>
      </c>
      <c r="N24" s="12"/>
      <c r="O24" s="119"/>
      <c r="P24" s="95" t="str">
        <f t="shared" si="2"/>
        <v/>
      </c>
      <c r="Q24" s="12"/>
      <c r="S24" s="128"/>
      <c r="T24" s="66"/>
      <c r="U24" s="128"/>
      <c r="W24" s="128"/>
      <c r="X24" s="12"/>
      <c r="Y24" t="str">
        <f t="shared" si="3"/>
        <v/>
      </c>
      <c r="Z24" t="str">
        <f t="shared" si="3"/>
        <v/>
      </c>
      <c r="AA24" s="12"/>
      <c r="AB24" s="95" t="e">
        <f t="shared" si="4"/>
        <v>#VALUE!</v>
      </c>
      <c r="AC24" s="95" t="e">
        <f t="shared" si="5"/>
        <v>#VALUE!</v>
      </c>
      <c r="AD24" s="12"/>
    </row>
    <row r="25" spans="1:30" ht="15.75" thickBot="1" x14ac:dyDescent="0.3">
      <c r="A25" s="12"/>
      <c r="B25" s="22"/>
      <c r="C25" t="str">
        <f>IF(AND('ENTRY DATA'!D25=""),"",('ENTRY DATA'!D25))</f>
        <v/>
      </c>
      <c r="D25" t="str">
        <f>IF(AND('ENTRY DATA'!F25=""),"",('ENTRY DATA'!F25))</f>
        <v/>
      </c>
      <c r="E25" s="34" t="str">
        <f>IF(AND('ENTRY DATA'!B25=""),"",('ENTRY DATA'!B25))</f>
        <v/>
      </c>
      <c r="F25" s="12"/>
      <c r="G25" s="12"/>
      <c r="H25" s="72"/>
      <c r="I25" s="71"/>
      <c r="J25" s="72"/>
      <c r="K25" s="12"/>
      <c r="L25" s="20">
        <f t="shared" si="0"/>
        <v>0</v>
      </c>
      <c r="M25" s="19" t="str">
        <f t="shared" si="1"/>
        <v/>
      </c>
      <c r="N25" s="12"/>
      <c r="O25" s="119"/>
      <c r="P25" s="95" t="str">
        <f t="shared" si="2"/>
        <v/>
      </c>
      <c r="Q25" s="12"/>
      <c r="S25" s="128"/>
      <c r="T25" s="66"/>
      <c r="U25" s="128"/>
      <c r="W25" s="128"/>
      <c r="X25" s="12"/>
      <c r="Y25" t="str">
        <f t="shared" si="3"/>
        <v/>
      </c>
      <c r="Z25" t="str">
        <f t="shared" si="3"/>
        <v/>
      </c>
      <c r="AA25" s="12"/>
      <c r="AB25" s="95" t="e">
        <f t="shared" si="4"/>
        <v>#VALUE!</v>
      </c>
      <c r="AC25" s="95" t="e">
        <f t="shared" si="5"/>
        <v>#VALUE!</v>
      </c>
      <c r="AD25" s="12"/>
    </row>
    <row r="26" spans="1:30" ht="15.75" thickBot="1" x14ac:dyDescent="0.3">
      <c r="A26" s="12"/>
      <c r="B26" s="22"/>
      <c r="C26" t="str">
        <f>IF(AND('ENTRY DATA'!D26=""),"",('ENTRY DATA'!D26))</f>
        <v/>
      </c>
      <c r="D26" t="str">
        <f>IF(AND('ENTRY DATA'!F26=""),"",('ENTRY DATA'!F26))</f>
        <v/>
      </c>
      <c r="E26" s="34" t="str">
        <f>IF(AND('ENTRY DATA'!B26=""),"",('ENTRY DATA'!B26))</f>
        <v/>
      </c>
      <c r="F26" s="12"/>
      <c r="G26" s="12"/>
      <c r="H26" s="72"/>
      <c r="I26" s="71"/>
      <c r="J26" s="72"/>
      <c r="K26" s="12"/>
      <c r="L26" s="20">
        <f t="shared" si="0"/>
        <v>0</v>
      </c>
      <c r="M26" s="19" t="str">
        <f t="shared" si="1"/>
        <v/>
      </c>
      <c r="N26" s="12"/>
      <c r="O26" s="119"/>
      <c r="P26" s="95" t="str">
        <f t="shared" si="2"/>
        <v/>
      </c>
      <c r="Q26" s="12"/>
      <c r="S26" s="128"/>
      <c r="T26" s="66"/>
      <c r="U26" s="128"/>
      <c r="W26" s="128"/>
      <c r="X26" s="12"/>
      <c r="Y26" t="str">
        <f t="shared" si="3"/>
        <v/>
      </c>
      <c r="Z26" t="str">
        <f t="shared" si="3"/>
        <v/>
      </c>
      <c r="AA26" s="12"/>
      <c r="AB26" s="95" t="e">
        <f t="shared" si="4"/>
        <v>#VALUE!</v>
      </c>
      <c r="AC26" s="95" t="e">
        <f t="shared" si="5"/>
        <v>#VALUE!</v>
      </c>
      <c r="AD26" s="12"/>
    </row>
    <row r="27" spans="1:30" ht="15.75" thickBot="1" x14ac:dyDescent="0.3">
      <c r="A27" s="12"/>
      <c r="B27" s="22"/>
      <c r="C27" t="str">
        <f>IF(AND('ENTRY DATA'!D27=""),"",('ENTRY DATA'!D27))</f>
        <v/>
      </c>
      <c r="D27" t="str">
        <f>IF(AND('ENTRY DATA'!F27=""),"",('ENTRY DATA'!F27))</f>
        <v/>
      </c>
      <c r="E27" s="34" t="str">
        <f>IF(AND('ENTRY DATA'!B27=""),"",('ENTRY DATA'!B27))</f>
        <v/>
      </c>
      <c r="F27" s="12"/>
      <c r="G27" s="12"/>
      <c r="H27" s="72"/>
      <c r="I27" s="71"/>
      <c r="J27" s="72"/>
      <c r="K27" s="12"/>
      <c r="L27" s="20">
        <f t="shared" si="0"/>
        <v>0</v>
      </c>
      <c r="M27" s="19" t="str">
        <f t="shared" si="1"/>
        <v/>
      </c>
      <c r="N27" s="12"/>
      <c r="O27" s="119"/>
      <c r="P27" s="95" t="str">
        <f t="shared" si="2"/>
        <v/>
      </c>
      <c r="Q27" s="12"/>
      <c r="S27" s="128"/>
      <c r="T27" s="66"/>
      <c r="U27" s="128"/>
      <c r="W27" s="128"/>
      <c r="X27" s="12"/>
      <c r="Y27" t="str">
        <f t="shared" si="3"/>
        <v/>
      </c>
      <c r="Z27" t="str">
        <f t="shared" si="3"/>
        <v/>
      </c>
      <c r="AA27" s="12"/>
      <c r="AB27" s="95" t="e">
        <f t="shared" si="4"/>
        <v>#VALUE!</v>
      </c>
      <c r="AC27" s="95" t="e">
        <f t="shared" si="5"/>
        <v>#VALUE!</v>
      </c>
      <c r="AD27" s="12"/>
    </row>
    <row r="28" spans="1:30" ht="15.75" thickBot="1" x14ac:dyDescent="0.3">
      <c r="A28" s="12"/>
      <c r="B28" s="22"/>
      <c r="C28" t="str">
        <f>IF(AND('ENTRY DATA'!D28=""),"",('ENTRY DATA'!D28))</f>
        <v/>
      </c>
      <c r="D28" t="str">
        <f>IF(AND('ENTRY DATA'!F28=""),"",('ENTRY DATA'!F28))</f>
        <v/>
      </c>
      <c r="E28" s="34" t="str">
        <f>IF(AND('ENTRY DATA'!B28=""),"",('ENTRY DATA'!B28))</f>
        <v/>
      </c>
      <c r="F28" s="12"/>
      <c r="G28" s="12"/>
      <c r="H28" s="72"/>
      <c r="I28" s="71"/>
      <c r="J28" s="72"/>
      <c r="K28" s="12"/>
      <c r="L28" s="20">
        <f t="shared" si="0"/>
        <v>0</v>
      </c>
      <c r="M28" s="19" t="str">
        <f t="shared" si="1"/>
        <v/>
      </c>
      <c r="N28" s="12"/>
      <c r="O28" s="119"/>
      <c r="P28" s="95" t="str">
        <f t="shared" si="2"/>
        <v/>
      </c>
      <c r="Q28" s="12"/>
      <c r="S28" s="128"/>
      <c r="T28" s="66"/>
      <c r="U28" s="128"/>
      <c r="W28" s="128"/>
      <c r="X28" s="12"/>
      <c r="Y28" t="str">
        <f t="shared" si="3"/>
        <v/>
      </c>
      <c r="Z28" t="str">
        <f t="shared" si="3"/>
        <v/>
      </c>
      <c r="AA28" s="12"/>
      <c r="AB28" s="95" t="e">
        <f t="shared" si="4"/>
        <v>#VALUE!</v>
      </c>
      <c r="AC28" s="95" t="e">
        <f t="shared" si="5"/>
        <v>#VALUE!</v>
      </c>
      <c r="AD28" s="12"/>
    </row>
    <row r="29" spans="1:30" ht="15.75" thickBot="1" x14ac:dyDescent="0.3">
      <c r="A29" s="12"/>
      <c r="B29" s="22"/>
      <c r="C29" t="str">
        <f>IF(AND('ENTRY DATA'!D29=""),"",('ENTRY DATA'!D29))</f>
        <v/>
      </c>
      <c r="D29" t="str">
        <f>IF(AND('ENTRY DATA'!F29=""),"",('ENTRY DATA'!F29))</f>
        <v/>
      </c>
      <c r="E29" s="34">
        <f>IF(AND('ENTRY DATA'!B29=""),"",('ENTRY DATA'!B29))</f>
        <v>4</v>
      </c>
      <c r="F29" s="12"/>
      <c r="G29" s="12"/>
      <c r="H29" s="72"/>
      <c r="I29" s="71"/>
      <c r="J29" s="72"/>
      <c r="K29" s="12"/>
      <c r="L29" s="20">
        <f t="shared" si="0"/>
        <v>0</v>
      </c>
      <c r="M29" s="19" t="str">
        <f t="shared" si="1"/>
        <v/>
      </c>
      <c r="N29" s="12"/>
      <c r="O29" s="119"/>
      <c r="P29" s="95" t="str">
        <f t="shared" si="2"/>
        <v/>
      </c>
      <c r="Q29" s="12"/>
      <c r="S29" s="128"/>
      <c r="T29" s="66"/>
      <c r="U29" s="128"/>
      <c r="W29" s="128"/>
      <c r="X29" s="12"/>
      <c r="Y29" t="str">
        <f t="shared" si="3"/>
        <v/>
      </c>
      <c r="Z29" t="str">
        <f t="shared" si="3"/>
        <v/>
      </c>
      <c r="AA29" s="12"/>
      <c r="AB29" s="95" t="e">
        <f t="shared" si="4"/>
        <v>#VALUE!</v>
      </c>
      <c r="AC29" s="95" t="e">
        <f t="shared" si="5"/>
        <v>#VALUE!</v>
      </c>
      <c r="AD29" s="12"/>
    </row>
    <row r="30" spans="1:30" ht="15.75" thickBot="1" x14ac:dyDescent="0.3">
      <c r="A30" s="12"/>
      <c r="B30" s="22"/>
      <c r="C30" t="str">
        <f>IF(AND('ENTRY DATA'!D30=""),"",('ENTRY DATA'!D30))</f>
        <v/>
      </c>
      <c r="D30" t="str">
        <f>IF(AND('ENTRY DATA'!F30=""),"",('ENTRY DATA'!F30))</f>
        <v/>
      </c>
      <c r="E30" s="34" t="str">
        <f>IF(AND('ENTRY DATA'!B30=""),"",('ENTRY DATA'!B30))</f>
        <v/>
      </c>
      <c r="F30" s="12"/>
      <c r="G30" s="12"/>
      <c r="H30" s="72"/>
      <c r="I30" s="71"/>
      <c r="J30" s="72"/>
      <c r="K30" s="12"/>
      <c r="L30" s="20">
        <f t="shared" si="0"/>
        <v>0</v>
      </c>
      <c r="M30" s="19" t="str">
        <f t="shared" si="1"/>
        <v/>
      </c>
      <c r="N30" s="12"/>
      <c r="O30" s="119"/>
      <c r="P30" s="95" t="str">
        <f t="shared" si="2"/>
        <v/>
      </c>
      <c r="Q30" s="12"/>
      <c r="S30" s="128"/>
      <c r="T30" s="66"/>
      <c r="U30" s="128"/>
      <c r="W30" s="128"/>
      <c r="X30" s="12"/>
      <c r="Y30" t="str">
        <f t="shared" si="3"/>
        <v/>
      </c>
      <c r="Z30" t="str">
        <f t="shared" si="3"/>
        <v/>
      </c>
      <c r="AA30" s="12"/>
      <c r="AB30" s="95" t="e">
        <f t="shared" si="4"/>
        <v>#VALUE!</v>
      </c>
      <c r="AC30" s="95" t="e">
        <f t="shared" si="5"/>
        <v>#VALUE!</v>
      </c>
      <c r="AD30" s="12"/>
    </row>
    <row r="31" spans="1:30" ht="15.75" thickBot="1" x14ac:dyDescent="0.3">
      <c r="A31" s="12"/>
      <c r="B31" s="22"/>
      <c r="C31" t="str">
        <f>IF(AND('ENTRY DATA'!D31=""),"",('ENTRY DATA'!D31))</f>
        <v/>
      </c>
      <c r="D31" t="str">
        <f>IF(AND('ENTRY DATA'!F31=""),"",('ENTRY DATA'!F31))</f>
        <v/>
      </c>
      <c r="E31" s="34" t="str">
        <f>IF(AND('ENTRY DATA'!B31=""),"",('ENTRY DATA'!B31))</f>
        <v/>
      </c>
      <c r="F31" s="12"/>
      <c r="G31" s="12"/>
      <c r="H31" s="72"/>
      <c r="I31" s="71"/>
      <c r="J31" s="72"/>
      <c r="K31" s="12"/>
      <c r="L31" s="20">
        <f t="shared" si="0"/>
        <v>0</v>
      </c>
      <c r="M31" s="19" t="str">
        <f t="shared" si="1"/>
        <v/>
      </c>
      <c r="N31" s="12"/>
      <c r="O31" s="119"/>
      <c r="P31" s="95" t="str">
        <f t="shared" si="2"/>
        <v/>
      </c>
      <c r="Q31" s="12"/>
      <c r="S31" s="128"/>
      <c r="T31" s="66"/>
      <c r="U31" s="128"/>
      <c r="W31" s="128"/>
      <c r="X31" s="12"/>
      <c r="Y31" t="str">
        <f t="shared" si="3"/>
        <v/>
      </c>
      <c r="Z31" t="str">
        <f t="shared" si="3"/>
        <v/>
      </c>
      <c r="AA31" s="12"/>
      <c r="AB31" s="95" t="e">
        <f t="shared" si="4"/>
        <v>#VALUE!</v>
      </c>
      <c r="AC31" s="95" t="e">
        <f t="shared" si="5"/>
        <v>#VALUE!</v>
      </c>
      <c r="AD31" s="12"/>
    </row>
    <row r="32" spans="1:30" ht="15.75" thickBot="1" x14ac:dyDescent="0.3">
      <c r="A32" s="12"/>
      <c r="B32" s="22"/>
      <c r="C32" t="str">
        <f>IF(AND('ENTRY DATA'!D32=""),"",('ENTRY DATA'!D32))</f>
        <v/>
      </c>
      <c r="D32" t="str">
        <f>IF(AND('ENTRY DATA'!F32=""),"",('ENTRY DATA'!F32))</f>
        <v/>
      </c>
      <c r="E32" s="34" t="str">
        <f>IF(AND('ENTRY DATA'!B32=""),"",('ENTRY DATA'!B32))</f>
        <v/>
      </c>
      <c r="F32" s="12"/>
      <c r="G32" s="12"/>
      <c r="H32" s="72"/>
      <c r="I32" s="71"/>
      <c r="J32" s="72"/>
      <c r="K32" s="12"/>
      <c r="L32" s="20">
        <f t="shared" si="0"/>
        <v>0</v>
      </c>
      <c r="M32" s="19" t="str">
        <f t="shared" si="1"/>
        <v/>
      </c>
      <c r="N32" s="12"/>
      <c r="O32" s="119"/>
      <c r="P32" s="95" t="str">
        <f t="shared" si="2"/>
        <v/>
      </c>
      <c r="Q32" s="12"/>
      <c r="S32" s="128"/>
      <c r="T32" s="66"/>
      <c r="U32" s="128"/>
      <c r="W32" s="128"/>
      <c r="X32" s="12"/>
      <c r="Y32" t="str">
        <f t="shared" si="3"/>
        <v/>
      </c>
      <c r="Z32" t="str">
        <f t="shared" si="3"/>
        <v/>
      </c>
      <c r="AA32" s="12"/>
      <c r="AB32" s="95" t="e">
        <f t="shared" si="4"/>
        <v>#VALUE!</v>
      </c>
      <c r="AC32" s="95" t="e">
        <f t="shared" si="5"/>
        <v>#VALUE!</v>
      </c>
      <c r="AD32" s="12"/>
    </row>
    <row r="33" spans="1:30" ht="15.75" thickBot="1" x14ac:dyDescent="0.3">
      <c r="A33" s="12"/>
      <c r="B33" s="22"/>
      <c r="C33" t="str">
        <f>IF(AND('ENTRY DATA'!D33=""),"",('ENTRY DATA'!D33))</f>
        <v/>
      </c>
      <c r="D33" t="str">
        <f>IF(AND('ENTRY DATA'!F33=""),"",('ENTRY DATA'!F33))</f>
        <v/>
      </c>
      <c r="E33" s="34" t="str">
        <f>IF(AND('ENTRY DATA'!B33=""),"",('ENTRY DATA'!B33))</f>
        <v/>
      </c>
      <c r="F33" s="12"/>
      <c r="G33" s="12"/>
      <c r="H33" s="72"/>
      <c r="I33" s="71"/>
      <c r="J33" s="72"/>
      <c r="K33" s="12"/>
      <c r="L33" s="20">
        <f t="shared" si="0"/>
        <v>0</v>
      </c>
      <c r="M33" s="19" t="str">
        <f t="shared" si="1"/>
        <v/>
      </c>
      <c r="N33" s="12"/>
      <c r="O33" s="119"/>
      <c r="P33" s="95" t="str">
        <f t="shared" si="2"/>
        <v/>
      </c>
      <c r="Q33" s="12"/>
      <c r="S33" s="128"/>
      <c r="T33" s="66"/>
      <c r="U33" s="128"/>
      <c r="W33" s="128"/>
      <c r="X33" s="12"/>
      <c r="Y33" t="str">
        <f t="shared" si="3"/>
        <v/>
      </c>
      <c r="Z33" t="str">
        <f t="shared" si="3"/>
        <v/>
      </c>
      <c r="AA33" s="12"/>
      <c r="AB33" s="95" t="e">
        <f t="shared" si="4"/>
        <v>#VALUE!</v>
      </c>
      <c r="AC33" s="95" t="e">
        <f t="shared" si="5"/>
        <v>#VALUE!</v>
      </c>
      <c r="AD33" s="12"/>
    </row>
    <row r="34" spans="1:30" ht="15.75" thickBot="1" x14ac:dyDescent="0.3">
      <c r="A34" s="12"/>
      <c r="B34" s="22"/>
      <c r="C34" t="str">
        <f>IF(AND('ENTRY DATA'!D34=""),"",('ENTRY DATA'!D34))</f>
        <v/>
      </c>
      <c r="D34" t="str">
        <f>IF(AND('ENTRY DATA'!F34=""),"",('ENTRY DATA'!F34))</f>
        <v/>
      </c>
      <c r="E34" s="34" t="str">
        <f>IF(AND('ENTRY DATA'!B34=""),"",('ENTRY DATA'!B34))</f>
        <v/>
      </c>
      <c r="F34" s="12"/>
      <c r="G34" s="12"/>
      <c r="H34" s="72"/>
      <c r="I34" s="71"/>
      <c r="J34" s="72"/>
      <c r="K34" s="12"/>
      <c r="L34" s="20">
        <f t="shared" si="0"/>
        <v>0</v>
      </c>
      <c r="M34" s="19" t="str">
        <f t="shared" si="1"/>
        <v/>
      </c>
      <c r="N34" s="12"/>
      <c r="O34" s="119"/>
      <c r="P34" s="95" t="str">
        <f t="shared" si="2"/>
        <v/>
      </c>
      <c r="Q34" s="12"/>
      <c r="S34" s="128"/>
      <c r="T34" s="66"/>
      <c r="U34" s="128"/>
      <c r="W34" s="128"/>
      <c r="X34" s="12"/>
      <c r="Y34" t="str">
        <f t="shared" si="3"/>
        <v/>
      </c>
      <c r="Z34" t="str">
        <f t="shared" si="3"/>
        <v/>
      </c>
      <c r="AA34" s="12"/>
      <c r="AB34" s="95" t="e">
        <f t="shared" si="4"/>
        <v>#VALUE!</v>
      </c>
      <c r="AC34" s="95" t="e">
        <f t="shared" si="5"/>
        <v>#VALUE!</v>
      </c>
      <c r="AD34" s="12"/>
    </row>
    <row r="35" spans="1:30" ht="15.75" thickBot="1" x14ac:dyDescent="0.3">
      <c r="A35" s="12"/>
      <c r="B35" s="22"/>
      <c r="C35" t="str">
        <f>IF(AND('ENTRY DATA'!D35=""),"",('ENTRY DATA'!D35))</f>
        <v/>
      </c>
      <c r="D35" t="str">
        <f>IF(AND('ENTRY DATA'!F35=""),"",('ENTRY DATA'!F35))</f>
        <v/>
      </c>
      <c r="E35" s="34" t="str">
        <f>IF(AND('ENTRY DATA'!B35=""),"",('ENTRY DATA'!B35))</f>
        <v/>
      </c>
      <c r="F35" s="12"/>
      <c r="G35" s="12"/>
      <c r="H35" s="72"/>
      <c r="I35" s="71"/>
      <c r="J35" s="72"/>
      <c r="K35" s="12"/>
      <c r="L35" s="20">
        <f t="shared" si="0"/>
        <v>0</v>
      </c>
      <c r="M35" s="19" t="str">
        <f t="shared" si="1"/>
        <v/>
      </c>
      <c r="N35" s="12"/>
      <c r="O35" s="119"/>
      <c r="P35" s="95" t="str">
        <f t="shared" si="2"/>
        <v/>
      </c>
      <c r="Q35" s="12"/>
      <c r="S35" s="128"/>
      <c r="T35" s="66"/>
      <c r="U35" s="128"/>
      <c r="W35" s="128"/>
      <c r="X35" s="12"/>
      <c r="Y35" t="str">
        <f t="shared" si="3"/>
        <v/>
      </c>
      <c r="Z35" t="str">
        <f t="shared" si="3"/>
        <v/>
      </c>
      <c r="AA35" s="12"/>
      <c r="AB35" s="95" t="e">
        <f t="shared" si="4"/>
        <v>#VALUE!</v>
      </c>
      <c r="AC35" s="95" t="e">
        <f t="shared" si="5"/>
        <v>#VALUE!</v>
      </c>
      <c r="AD35" s="12"/>
    </row>
    <row r="36" spans="1:30" ht="15.75" thickBot="1" x14ac:dyDescent="0.3">
      <c r="A36" s="12"/>
      <c r="B36" s="22"/>
      <c r="C36" t="str">
        <f>IF(AND('ENTRY DATA'!D36=""),"",('ENTRY DATA'!D36))</f>
        <v/>
      </c>
      <c r="D36" t="str">
        <f>IF(AND('ENTRY DATA'!F36=""),"",('ENTRY DATA'!F36))</f>
        <v/>
      </c>
      <c r="E36" s="34" t="str">
        <f>IF(AND('ENTRY DATA'!B36=""),"",('ENTRY DATA'!B36))</f>
        <v/>
      </c>
      <c r="F36" s="12"/>
      <c r="G36" s="12"/>
      <c r="H36" s="72"/>
      <c r="I36" s="71"/>
      <c r="J36" s="72"/>
      <c r="K36" s="12"/>
      <c r="L36" s="20">
        <f t="shared" si="0"/>
        <v>0</v>
      </c>
      <c r="M36" s="19" t="str">
        <f t="shared" si="1"/>
        <v/>
      </c>
      <c r="N36" s="12"/>
      <c r="O36" s="119"/>
      <c r="P36" s="95" t="str">
        <f t="shared" si="2"/>
        <v/>
      </c>
      <c r="Q36" s="12"/>
      <c r="S36" s="128"/>
      <c r="T36" s="66"/>
      <c r="U36" s="128"/>
      <c r="W36" s="128"/>
      <c r="X36" s="12"/>
      <c r="Y36" t="str">
        <f t="shared" si="3"/>
        <v/>
      </c>
      <c r="Z36" t="str">
        <f t="shared" si="3"/>
        <v/>
      </c>
      <c r="AA36" s="12"/>
      <c r="AB36" s="95" t="e">
        <f t="shared" si="4"/>
        <v>#VALUE!</v>
      </c>
      <c r="AC36" s="95" t="e">
        <f t="shared" si="5"/>
        <v>#VALUE!</v>
      </c>
      <c r="AD36" s="12"/>
    </row>
    <row r="37" spans="1:30" ht="15.75" thickBot="1" x14ac:dyDescent="0.3">
      <c r="A37" s="12"/>
      <c r="B37" s="22"/>
      <c r="C37" t="str">
        <f>IF(AND('ENTRY DATA'!D37=""),"",('ENTRY DATA'!D37))</f>
        <v/>
      </c>
      <c r="D37" t="str">
        <f>IF(AND('ENTRY DATA'!F37=""),"",('ENTRY DATA'!F37))</f>
        <v/>
      </c>
      <c r="E37" s="34">
        <f>IF(AND('ENTRY DATA'!B37=""),"",('ENTRY DATA'!B37))</f>
        <v>5</v>
      </c>
      <c r="F37" s="12"/>
      <c r="G37" s="12"/>
      <c r="H37" s="72"/>
      <c r="I37" s="71"/>
      <c r="J37" s="72"/>
      <c r="K37" s="12"/>
      <c r="L37" s="20">
        <f t="shared" si="0"/>
        <v>0</v>
      </c>
      <c r="M37" s="19" t="str">
        <f t="shared" si="1"/>
        <v/>
      </c>
      <c r="N37" s="12"/>
      <c r="O37" s="119"/>
      <c r="P37" s="95" t="str">
        <f t="shared" si="2"/>
        <v/>
      </c>
      <c r="Q37" s="12"/>
      <c r="S37" s="128"/>
      <c r="T37" s="66"/>
      <c r="U37" s="128"/>
      <c r="W37" s="128"/>
      <c r="X37" s="12"/>
      <c r="Y37" t="str">
        <f t="shared" si="3"/>
        <v/>
      </c>
      <c r="Z37" t="str">
        <f t="shared" si="3"/>
        <v/>
      </c>
      <c r="AA37" s="12"/>
      <c r="AB37" s="95" t="e">
        <f t="shared" si="4"/>
        <v>#VALUE!</v>
      </c>
      <c r="AC37" s="95" t="e">
        <f t="shared" si="5"/>
        <v>#VALUE!</v>
      </c>
      <c r="AD37" s="12"/>
    </row>
    <row r="38" spans="1:30" ht="15.75" thickBot="1" x14ac:dyDescent="0.3">
      <c r="A38" s="12"/>
      <c r="B38" s="22"/>
      <c r="C38" t="str">
        <f>IF(AND('ENTRY DATA'!D38=""),"",('ENTRY DATA'!D38))</f>
        <v/>
      </c>
      <c r="D38" t="str">
        <f>IF(AND('ENTRY DATA'!F38=""),"",('ENTRY DATA'!F38))</f>
        <v/>
      </c>
      <c r="E38" s="34" t="str">
        <f>IF(AND('ENTRY DATA'!B38=""),"",('ENTRY DATA'!B38))</f>
        <v/>
      </c>
      <c r="F38" s="12"/>
      <c r="G38" s="12"/>
      <c r="H38" s="72"/>
      <c r="I38" s="71"/>
      <c r="J38" s="72"/>
      <c r="K38" s="12"/>
      <c r="L38" s="20">
        <f t="shared" si="0"/>
        <v>0</v>
      </c>
      <c r="M38" s="19" t="str">
        <f t="shared" si="1"/>
        <v/>
      </c>
      <c r="N38" s="12"/>
      <c r="O38" s="119"/>
      <c r="P38" s="95" t="str">
        <f t="shared" si="2"/>
        <v/>
      </c>
      <c r="Q38" s="12"/>
      <c r="S38" s="128"/>
      <c r="T38" s="66"/>
      <c r="U38" s="128"/>
      <c r="W38" s="128"/>
      <c r="X38" s="12"/>
      <c r="Y38" t="str">
        <f t="shared" si="3"/>
        <v/>
      </c>
      <c r="Z38" t="str">
        <f t="shared" si="3"/>
        <v/>
      </c>
      <c r="AA38" s="12"/>
      <c r="AB38" s="95" t="e">
        <f t="shared" si="4"/>
        <v>#VALUE!</v>
      </c>
      <c r="AC38" s="95" t="e">
        <f t="shared" si="5"/>
        <v>#VALUE!</v>
      </c>
      <c r="AD38" s="12"/>
    </row>
    <row r="39" spans="1:30" ht="15.75" thickBot="1" x14ac:dyDescent="0.3">
      <c r="A39" s="12"/>
      <c r="B39" s="22"/>
      <c r="C39" t="str">
        <f>IF(AND('ENTRY DATA'!D39=""),"",('ENTRY DATA'!D39))</f>
        <v/>
      </c>
      <c r="D39" t="str">
        <f>IF(AND('ENTRY DATA'!F39=""),"",('ENTRY DATA'!F39))</f>
        <v/>
      </c>
      <c r="E39" s="34" t="str">
        <f>IF(AND('ENTRY DATA'!B39=""),"",('ENTRY DATA'!B39))</f>
        <v/>
      </c>
      <c r="F39" s="12"/>
      <c r="G39" s="12"/>
      <c r="H39" s="72"/>
      <c r="I39" s="71"/>
      <c r="J39" s="72"/>
      <c r="K39" s="12"/>
      <c r="L39" s="20">
        <f t="shared" si="0"/>
        <v>0</v>
      </c>
      <c r="M39" s="19" t="str">
        <f t="shared" si="1"/>
        <v/>
      </c>
      <c r="N39" s="12"/>
      <c r="O39" s="119"/>
      <c r="P39" s="95" t="str">
        <f t="shared" si="2"/>
        <v/>
      </c>
      <c r="Q39" s="12"/>
      <c r="S39" s="128"/>
      <c r="T39" s="66"/>
      <c r="U39" s="128"/>
      <c r="W39" s="128"/>
      <c r="X39" s="12"/>
      <c r="Y39" t="str">
        <f t="shared" si="3"/>
        <v/>
      </c>
      <c r="Z39" t="str">
        <f t="shared" si="3"/>
        <v/>
      </c>
      <c r="AA39" s="12"/>
      <c r="AB39" s="95" t="e">
        <f t="shared" si="4"/>
        <v>#VALUE!</v>
      </c>
      <c r="AC39" s="95" t="e">
        <f t="shared" si="5"/>
        <v>#VALUE!</v>
      </c>
      <c r="AD39" s="12"/>
    </row>
    <row r="40" spans="1:30" ht="15.75" thickBot="1" x14ac:dyDescent="0.3">
      <c r="A40" s="12"/>
      <c r="B40" s="22"/>
      <c r="C40" t="str">
        <f>IF(AND('ENTRY DATA'!D40=""),"",('ENTRY DATA'!D40))</f>
        <v/>
      </c>
      <c r="D40" t="str">
        <f>IF(AND('ENTRY DATA'!F40=""),"",('ENTRY DATA'!F40))</f>
        <v/>
      </c>
      <c r="E40" s="34" t="str">
        <f>IF(AND('ENTRY DATA'!B40=""),"",('ENTRY DATA'!B40))</f>
        <v/>
      </c>
      <c r="F40" s="12"/>
      <c r="G40" s="12"/>
      <c r="H40" s="72"/>
      <c r="I40" s="71"/>
      <c r="J40" s="72"/>
      <c r="K40" s="12"/>
      <c r="L40" s="20">
        <f t="shared" si="0"/>
        <v>0</v>
      </c>
      <c r="M40" s="19" t="str">
        <f t="shared" si="1"/>
        <v/>
      </c>
      <c r="N40" s="12"/>
      <c r="O40" s="119"/>
      <c r="P40" s="95" t="str">
        <f t="shared" si="2"/>
        <v/>
      </c>
      <c r="Q40" s="12"/>
      <c r="S40" s="128"/>
      <c r="T40" s="66"/>
      <c r="U40" s="128"/>
      <c r="W40" s="128"/>
      <c r="X40" s="12"/>
      <c r="Y40" t="str">
        <f t="shared" si="3"/>
        <v/>
      </c>
      <c r="Z40" t="str">
        <f t="shared" si="3"/>
        <v/>
      </c>
      <c r="AA40" s="12"/>
      <c r="AB40" s="95" t="e">
        <f t="shared" si="4"/>
        <v>#VALUE!</v>
      </c>
      <c r="AC40" s="95" t="e">
        <f t="shared" si="5"/>
        <v>#VALUE!</v>
      </c>
      <c r="AD40" s="12"/>
    </row>
    <row r="41" spans="1:30" ht="15.75" thickBot="1" x14ac:dyDescent="0.3">
      <c r="A41" s="12"/>
      <c r="B41" s="22"/>
      <c r="C41" t="str">
        <f>IF(AND('ENTRY DATA'!D41=""),"",('ENTRY DATA'!D41))</f>
        <v/>
      </c>
      <c r="D41" t="str">
        <f>IF(AND('ENTRY DATA'!F41=""),"",('ENTRY DATA'!F41))</f>
        <v/>
      </c>
      <c r="E41" s="34" t="str">
        <f>IF(AND('ENTRY DATA'!B41=""),"",('ENTRY DATA'!B41))</f>
        <v/>
      </c>
      <c r="F41" s="12"/>
      <c r="G41" s="12"/>
      <c r="H41" s="72"/>
      <c r="I41" s="71"/>
      <c r="J41" s="72"/>
      <c r="K41" s="12"/>
      <c r="L41" s="20">
        <f t="shared" si="0"/>
        <v>0</v>
      </c>
      <c r="M41" s="19" t="str">
        <f t="shared" si="1"/>
        <v/>
      </c>
      <c r="N41" s="12"/>
      <c r="O41" s="119"/>
      <c r="P41" s="95" t="str">
        <f t="shared" si="2"/>
        <v/>
      </c>
      <c r="Q41" s="12"/>
      <c r="S41" s="128"/>
      <c r="T41" s="66"/>
      <c r="U41" s="128"/>
      <c r="W41" s="128"/>
      <c r="X41" s="12"/>
      <c r="Y41" t="str">
        <f t="shared" si="3"/>
        <v/>
      </c>
      <c r="Z41" t="str">
        <f t="shared" si="3"/>
        <v/>
      </c>
      <c r="AA41" s="12"/>
      <c r="AB41" s="95" t="e">
        <f t="shared" si="4"/>
        <v>#VALUE!</v>
      </c>
      <c r="AC41" s="95" t="e">
        <f t="shared" si="5"/>
        <v>#VALUE!</v>
      </c>
      <c r="AD41" s="12"/>
    </row>
    <row r="42" spans="1:30" ht="15.75" thickBot="1" x14ac:dyDescent="0.3">
      <c r="A42" s="12"/>
      <c r="B42" s="22"/>
      <c r="C42" t="str">
        <f>IF(AND('ENTRY DATA'!D42=""),"",('ENTRY DATA'!D42))</f>
        <v/>
      </c>
      <c r="D42" t="str">
        <f>IF(AND('ENTRY DATA'!F42=""),"",('ENTRY DATA'!F42))</f>
        <v/>
      </c>
      <c r="E42" s="34" t="str">
        <f>IF(AND('ENTRY DATA'!B42=""),"",('ENTRY DATA'!B42))</f>
        <v/>
      </c>
      <c r="F42" s="12"/>
      <c r="G42" s="12"/>
      <c r="H42" s="72"/>
      <c r="I42" s="71"/>
      <c r="J42" s="72"/>
      <c r="K42" s="12"/>
      <c r="L42" s="20">
        <f t="shared" si="0"/>
        <v>0</v>
      </c>
      <c r="M42" s="19" t="str">
        <f t="shared" si="1"/>
        <v/>
      </c>
      <c r="N42" s="12"/>
      <c r="O42" s="119"/>
      <c r="P42" s="95" t="str">
        <f t="shared" si="2"/>
        <v/>
      </c>
      <c r="Q42" s="12"/>
      <c r="S42" s="128"/>
      <c r="T42" s="66"/>
      <c r="U42" s="128"/>
      <c r="W42" s="128"/>
      <c r="X42" s="12"/>
      <c r="Y42" t="str">
        <f t="shared" si="3"/>
        <v/>
      </c>
      <c r="Z42" t="str">
        <f t="shared" si="3"/>
        <v/>
      </c>
      <c r="AA42" s="12"/>
      <c r="AB42" s="95" t="e">
        <f t="shared" si="4"/>
        <v>#VALUE!</v>
      </c>
      <c r="AC42" s="95" t="e">
        <f t="shared" si="5"/>
        <v>#VALUE!</v>
      </c>
      <c r="AD42" s="12"/>
    </row>
    <row r="43" spans="1:30" ht="15.75" thickBot="1" x14ac:dyDescent="0.3">
      <c r="A43" s="12"/>
      <c r="B43" s="22"/>
      <c r="C43" t="str">
        <f>IF(AND('ENTRY DATA'!D43=""),"",('ENTRY DATA'!D43))</f>
        <v/>
      </c>
      <c r="D43" t="str">
        <f>IF(AND('ENTRY DATA'!F43=""),"",('ENTRY DATA'!F43))</f>
        <v/>
      </c>
      <c r="E43" s="34" t="str">
        <f>IF(AND('ENTRY DATA'!B43=""),"",('ENTRY DATA'!B43))</f>
        <v/>
      </c>
      <c r="F43" s="12"/>
      <c r="G43" s="12"/>
      <c r="H43" s="72"/>
      <c r="I43" s="71"/>
      <c r="J43" s="72"/>
      <c r="K43" s="12"/>
      <c r="L43" s="20">
        <f t="shared" si="0"/>
        <v>0</v>
      </c>
      <c r="M43" s="19" t="str">
        <f t="shared" si="1"/>
        <v/>
      </c>
      <c r="N43" s="12"/>
      <c r="O43" s="119"/>
      <c r="P43" s="95" t="str">
        <f t="shared" si="2"/>
        <v/>
      </c>
      <c r="Q43" s="12"/>
      <c r="S43" s="128"/>
      <c r="T43" s="66"/>
      <c r="U43" s="128"/>
      <c r="W43" s="128"/>
      <c r="X43" s="12"/>
      <c r="Y43" t="str">
        <f t="shared" si="3"/>
        <v/>
      </c>
      <c r="Z43" t="str">
        <f t="shared" si="3"/>
        <v/>
      </c>
      <c r="AA43" s="12"/>
      <c r="AB43" s="95" t="e">
        <f t="shared" si="4"/>
        <v>#VALUE!</v>
      </c>
      <c r="AC43" s="95" t="e">
        <f t="shared" si="5"/>
        <v>#VALUE!</v>
      </c>
      <c r="AD43" s="12"/>
    </row>
    <row r="44" spans="1:30" ht="15.75" thickBot="1" x14ac:dyDescent="0.3">
      <c r="A44" s="12"/>
      <c r="B44" s="22"/>
      <c r="C44" t="str">
        <f>IF(AND('ENTRY DATA'!D44=""),"",('ENTRY DATA'!D44))</f>
        <v/>
      </c>
      <c r="D44" t="str">
        <f>IF(AND('ENTRY DATA'!F44=""),"",('ENTRY DATA'!F44))</f>
        <v/>
      </c>
      <c r="E44" s="34" t="str">
        <f>IF(AND('ENTRY DATA'!B44=""),"",('ENTRY DATA'!B44))</f>
        <v/>
      </c>
      <c r="F44" s="12"/>
      <c r="G44" s="12"/>
      <c r="H44" s="72"/>
      <c r="I44" s="71"/>
      <c r="J44" s="72"/>
      <c r="K44" s="12"/>
      <c r="L44" s="20">
        <f t="shared" si="0"/>
        <v>0</v>
      </c>
      <c r="M44" s="19" t="str">
        <f t="shared" si="1"/>
        <v/>
      </c>
      <c r="N44" s="12"/>
      <c r="O44" s="119"/>
      <c r="P44" s="95" t="str">
        <f t="shared" si="2"/>
        <v/>
      </c>
      <c r="Q44" s="12"/>
      <c r="S44" s="128"/>
      <c r="T44" s="66"/>
      <c r="U44" s="128"/>
      <c r="W44" s="128"/>
      <c r="X44" s="12"/>
      <c r="Y44" t="str">
        <f t="shared" si="3"/>
        <v/>
      </c>
      <c r="Z44" t="str">
        <f t="shared" si="3"/>
        <v/>
      </c>
      <c r="AA44" s="12"/>
      <c r="AB44" s="95" t="e">
        <f t="shared" si="4"/>
        <v>#VALUE!</v>
      </c>
      <c r="AC44" s="95" t="e">
        <f t="shared" si="5"/>
        <v>#VALUE!</v>
      </c>
      <c r="AD44" s="12"/>
    </row>
    <row r="45" spans="1:30" ht="15.75" thickBot="1" x14ac:dyDescent="0.3">
      <c r="A45" s="12"/>
      <c r="B45" s="22"/>
      <c r="C45" t="str">
        <f>IF(AND('ENTRY DATA'!D45=""),"",('ENTRY DATA'!D45))</f>
        <v/>
      </c>
      <c r="D45" t="str">
        <f>IF(AND('ENTRY DATA'!F45=""),"",('ENTRY DATA'!F45))</f>
        <v/>
      </c>
      <c r="E45" s="34" t="str">
        <f>IF(AND('ENTRY DATA'!B45=""),"",('ENTRY DATA'!B45))</f>
        <v/>
      </c>
      <c r="F45" s="12"/>
      <c r="G45" s="12"/>
      <c r="H45" s="72"/>
      <c r="I45" s="71"/>
      <c r="J45" s="72"/>
      <c r="K45" s="12"/>
      <c r="L45" s="20">
        <f t="shared" si="0"/>
        <v>0</v>
      </c>
      <c r="M45" s="19" t="str">
        <f t="shared" si="1"/>
        <v/>
      </c>
      <c r="N45" s="12"/>
      <c r="O45" s="119"/>
      <c r="P45" s="95" t="str">
        <f t="shared" si="2"/>
        <v/>
      </c>
      <c r="Q45" s="12"/>
      <c r="S45" s="128"/>
      <c r="T45" s="66"/>
      <c r="U45" s="128"/>
      <c r="W45" s="128"/>
      <c r="X45" s="12"/>
      <c r="Y45" t="str">
        <f t="shared" si="3"/>
        <v/>
      </c>
      <c r="Z45" t="str">
        <f t="shared" si="3"/>
        <v/>
      </c>
      <c r="AA45" s="12"/>
      <c r="AB45" s="95" t="e">
        <f t="shared" si="4"/>
        <v>#VALUE!</v>
      </c>
      <c r="AC45" s="95" t="e">
        <f t="shared" si="5"/>
        <v>#VALUE!</v>
      </c>
      <c r="AD45" s="12"/>
    </row>
    <row r="46" spans="1:30" ht="15.75" thickBot="1" x14ac:dyDescent="0.3">
      <c r="A46" s="12"/>
      <c r="B46" s="22"/>
      <c r="C46" t="str">
        <f>IF(AND('ENTRY DATA'!D46=""),"",('ENTRY DATA'!D46))</f>
        <v/>
      </c>
      <c r="D46" t="str">
        <f>IF(AND('ENTRY DATA'!F46=""),"",('ENTRY DATA'!F46))</f>
        <v/>
      </c>
      <c r="E46" s="34" t="str">
        <f>IF(AND('ENTRY DATA'!B46=""),"",('ENTRY DATA'!B46))</f>
        <v/>
      </c>
      <c r="F46" s="12"/>
      <c r="G46" s="12"/>
      <c r="H46" s="72"/>
      <c r="I46" s="71"/>
      <c r="J46" s="72"/>
      <c r="K46" s="12"/>
      <c r="L46" s="20">
        <f t="shared" si="0"/>
        <v>0</v>
      </c>
      <c r="M46" s="19" t="str">
        <f t="shared" si="1"/>
        <v/>
      </c>
      <c r="N46" s="12"/>
      <c r="O46" s="119"/>
      <c r="P46" s="95" t="str">
        <f t="shared" si="2"/>
        <v/>
      </c>
      <c r="Q46" s="12"/>
      <c r="S46" s="128"/>
      <c r="T46" s="66"/>
      <c r="U46" s="128"/>
      <c r="W46" s="128"/>
      <c r="X46" s="12"/>
      <c r="Y46" t="str">
        <f t="shared" si="3"/>
        <v/>
      </c>
      <c r="Z46" t="str">
        <f t="shared" si="3"/>
        <v/>
      </c>
      <c r="AA46" s="12"/>
      <c r="AB46" s="95" t="e">
        <f t="shared" si="4"/>
        <v>#VALUE!</v>
      </c>
      <c r="AC46" s="95" t="e">
        <f t="shared" si="5"/>
        <v>#VALUE!</v>
      </c>
      <c r="AD46" s="12"/>
    </row>
    <row r="47" spans="1:30" ht="15.75" thickBot="1" x14ac:dyDescent="0.3">
      <c r="A47" s="12"/>
      <c r="B47" s="22"/>
      <c r="C47" t="str">
        <f>IF(AND('ENTRY DATA'!D47=""),"",('ENTRY DATA'!D47))</f>
        <v/>
      </c>
      <c r="D47" t="str">
        <f>IF(AND('ENTRY DATA'!F47=""),"",('ENTRY DATA'!F47))</f>
        <v/>
      </c>
      <c r="E47" s="34" t="str">
        <f>IF(AND('ENTRY DATA'!B47=""),"",('ENTRY DATA'!B47))</f>
        <v/>
      </c>
      <c r="F47" s="12"/>
      <c r="G47" s="12"/>
      <c r="H47" s="72"/>
      <c r="I47" s="71"/>
      <c r="J47" s="72"/>
      <c r="K47" s="12"/>
      <c r="L47" s="20">
        <f t="shared" si="0"/>
        <v>0</v>
      </c>
      <c r="M47" s="19" t="str">
        <f t="shared" si="1"/>
        <v/>
      </c>
      <c r="N47" s="12"/>
      <c r="O47" s="119"/>
      <c r="P47" s="95" t="str">
        <f t="shared" si="2"/>
        <v/>
      </c>
      <c r="Q47" s="12"/>
      <c r="S47" s="128"/>
      <c r="T47" s="66"/>
      <c r="U47" s="128"/>
      <c r="W47" s="128"/>
      <c r="X47" s="12"/>
      <c r="Y47" t="str">
        <f t="shared" si="3"/>
        <v/>
      </c>
      <c r="Z47" t="str">
        <f t="shared" si="3"/>
        <v/>
      </c>
      <c r="AA47" s="12"/>
      <c r="AB47" s="95" t="e">
        <f t="shared" si="4"/>
        <v>#VALUE!</v>
      </c>
      <c r="AC47" s="95" t="e">
        <f t="shared" si="5"/>
        <v>#VALUE!</v>
      </c>
      <c r="AD47" s="12"/>
    </row>
    <row r="48" spans="1:30" ht="15.75" thickBot="1" x14ac:dyDescent="0.3">
      <c r="A48" s="12"/>
      <c r="B48" s="22"/>
      <c r="C48" t="str">
        <f>IF(AND('ENTRY DATA'!D48=""),"",('ENTRY DATA'!D48))</f>
        <v/>
      </c>
      <c r="D48" t="str">
        <f>IF(AND('ENTRY DATA'!F48=""),"",('ENTRY DATA'!F48))</f>
        <v/>
      </c>
      <c r="E48" s="34" t="str">
        <f>IF(AND('ENTRY DATA'!B48=""),"",('ENTRY DATA'!B48))</f>
        <v/>
      </c>
      <c r="F48" s="12"/>
      <c r="G48" s="12"/>
      <c r="H48" s="72"/>
      <c r="I48" s="71"/>
      <c r="J48" s="72"/>
      <c r="K48" s="12"/>
      <c r="L48" s="20">
        <f t="shared" si="0"/>
        <v>0</v>
      </c>
      <c r="M48" s="19" t="str">
        <f t="shared" si="1"/>
        <v/>
      </c>
      <c r="N48" s="12"/>
      <c r="O48" s="119"/>
      <c r="P48" s="95" t="str">
        <f t="shared" si="2"/>
        <v/>
      </c>
      <c r="Q48" s="12"/>
      <c r="S48" s="128"/>
      <c r="T48" s="66"/>
      <c r="U48" s="128"/>
      <c r="W48" s="128"/>
      <c r="X48" s="12"/>
      <c r="Y48" t="str">
        <f t="shared" si="3"/>
        <v/>
      </c>
      <c r="Z48" t="str">
        <f t="shared" si="3"/>
        <v/>
      </c>
      <c r="AA48" s="12"/>
      <c r="AB48" s="95" t="e">
        <f t="shared" si="4"/>
        <v>#VALUE!</v>
      </c>
      <c r="AC48" s="95" t="e">
        <f t="shared" si="5"/>
        <v>#VALUE!</v>
      </c>
      <c r="AD48" s="12"/>
    </row>
    <row r="49" spans="1:30" ht="15.75" thickBot="1" x14ac:dyDescent="0.3">
      <c r="A49" s="12"/>
      <c r="B49" s="22"/>
      <c r="C49" t="str">
        <f>IF(AND('ENTRY DATA'!D49=""),"",('ENTRY DATA'!D49))</f>
        <v/>
      </c>
      <c r="D49" t="str">
        <f>IF(AND('ENTRY DATA'!F49=""),"",('ENTRY DATA'!F49))</f>
        <v/>
      </c>
      <c r="E49" s="34" t="str">
        <f>IF(AND('ENTRY DATA'!B49=""),"",('ENTRY DATA'!B49))</f>
        <v/>
      </c>
      <c r="F49" s="12"/>
      <c r="G49" s="12"/>
      <c r="H49" s="72"/>
      <c r="I49" s="71"/>
      <c r="J49" s="72"/>
      <c r="K49" s="12"/>
      <c r="L49" s="20">
        <f t="shared" si="0"/>
        <v>0</v>
      </c>
      <c r="M49" s="19" t="str">
        <f t="shared" si="1"/>
        <v/>
      </c>
      <c r="N49" s="12"/>
      <c r="O49" s="119"/>
      <c r="P49" s="95" t="str">
        <f t="shared" si="2"/>
        <v/>
      </c>
      <c r="Q49" s="12"/>
      <c r="S49" s="128"/>
      <c r="T49" s="66"/>
      <c r="U49" s="128"/>
      <c r="W49" s="128"/>
      <c r="X49" s="12"/>
      <c r="Y49" t="str">
        <f t="shared" si="3"/>
        <v/>
      </c>
      <c r="Z49" t="str">
        <f t="shared" si="3"/>
        <v/>
      </c>
      <c r="AA49" s="12"/>
      <c r="AB49" s="95" t="e">
        <f t="shared" si="4"/>
        <v>#VALUE!</v>
      </c>
      <c r="AC49" s="95" t="e">
        <f t="shared" si="5"/>
        <v>#VALUE!</v>
      </c>
      <c r="AD49" s="12"/>
    </row>
    <row r="50" spans="1:30" ht="15.75" thickBot="1" x14ac:dyDescent="0.3">
      <c r="A50" s="12"/>
      <c r="B50" s="22"/>
      <c r="C50" t="str">
        <f>IF(AND('ENTRY DATA'!D50=""),"",('ENTRY DATA'!D50))</f>
        <v/>
      </c>
      <c r="D50" t="str">
        <f>IF(AND('ENTRY DATA'!F50=""),"",('ENTRY DATA'!F50))</f>
        <v/>
      </c>
      <c r="E50" s="34" t="str">
        <f>IF(AND('ENTRY DATA'!B50=""),"",('ENTRY DATA'!B50))</f>
        <v/>
      </c>
      <c r="F50" s="12"/>
      <c r="G50" s="12"/>
      <c r="H50" s="72"/>
      <c r="I50" s="71"/>
      <c r="J50" s="72"/>
      <c r="K50" s="12"/>
      <c r="L50" s="20">
        <f t="shared" si="0"/>
        <v>0</v>
      </c>
      <c r="M50" s="19" t="str">
        <f t="shared" si="1"/>
        <v/>
      </c>
      <c r="N50" s="12"/>
      <c r="O50" s="119"/>
      <c r="P50" s="95" t="str">
        <f t="shared" si="2"/>
        <v/>
      </c>
      <c r="Q50" s="12"/>
      <c r="S50" s="128"/>
      <c r="T50" s="66"/>
      <c r="U50" s="128"/>
      <c r="W50" s="128"/>
      <c r="X50" s="12"/>
      <c r="Y50" t="str">
        <f t="shared" si="3"/>
        <v/>
      </c>
      <c r="Z50" t="str">
        <f t="shared" si="3"/>
        <v/>
      </c>
      <c r="AA50" s="12"/>
      <c r="AB50" s="95" t="e">
        <f t="shared" si="4"/>
        <v>#VALUE!</v>
      </c>
      <c r="AC50" s="95" t="e">
        <f t="shared" si="5"/>
        <v>#VALUE!</v>
      </c>
      <c r="AD50" s="12"/>
    </row>
    <row r="51" spans="1:30" ht="15.75" thickBot="1" x14ac:dyDescent="0.3">
      <c r="A51" s="12"/>
      <c r="B51" s="22"/>
      <c r="C51" t="str">
        <f>IF(AND('ENTRY DATA'!D51=""),"",('ENTRY DATA'!D51))</f>
        <v/>
      </c>
      <c r="D51" t="str">
        <f>IF(AND('ENTRY DATA'!F51=""),"",('ENTRY DATA'!F51))</f>
        <v/>
      </c>
      <c r="E51" s="34" t="str">
        <f>IF(AND('ENTRY DATA'!B51=""),"",('ENTRY DATA'!B51))</f>
        <v/>
      </c>
      <c r="F51" s="12"/>
      <c r="G51" s="12"/>
      <c r="H51" s="72"/>
      <c r="I51" s="71"/>
      <c r="J51" s="72"/>
      <c r="K51" s="12"/>
      <c r="L51" s="20">
        <f t="shared" si="0"/>
        <v>0</v>
      </c>
      <c r="M51" s="19" t="str">
        <f t="shared" si="1"/>
        <v/>
      </c>
      <c r="N51" s="12"/>
      <c r="O51" s="119"/>
      <c r="P51" s="95" t="str">
        <f t="shared" si="2"/>
        <v/>
      </c>
      <c r="Q51" s="12"/>
      <c r="S51" s="128"/>
      <c r="T51" s="66"/>
      <c r="U51" s="128"/>
      <c r="W51" s="128"/>
      <c r="X51" s="12"/>
      <c r="Y51" t="str">
        <f t="shared" si="3"/>
        <v/>
      </c>
      <c r="Z51" t="str">
        <f t="shared" si="3"/>
        <v/>
      </c>
      <c r="AA51" s="12"/>
      <c r="AB51" s="95" t="e">
        <f t="shared" si="4"/>
        <v>#VALUE!</v>
      </c>
      <c r="AC51" s="95" t="e">
        <f t="shared" si="5"/>
        <v>#VALUE!</v>
      </c>
      <c r="AD51" s="12"/>
    </row>
    <row r="52" spans="1:30" ht="15.75" thickBot="1" x14ac:dyDescent="0.3">
      <c r="A52" s="12"/>
      <c r="B52" s="22"/>
      <c r="C52" t="str">
        <f>IF(AND('ENTRY DATA'!D52=""),"",('ENTRY DATA'!D52))</f>
        <v/>
      </c>
      <c r="D52" t="str">
        <f>IF(AND('ENTRY DATA'!F52=""),"",('ENTRY DATA'!F52))</f>
        <v/>
      </c>
      <c r="E52" s="34" t="str">
        <f>IF(AND('ENTRY DATA'!B52=""),"",('ENTRY DATA'!B52))</f>
        <v/>
      </c>
      <c r="F52" s="12"/>
      <c r="G52" s="12"/>
      <c r="H52" s="72"/>
      <c r="I52" s="71"/>
      <c r="J52" s="72"/>
      <c r="K52" s="12"/>
      <c r="L52" s="20">
        <f t="shared" si="0"/>
        <v>0</v>
      </c>
      <c r="M52" s="19" t="str">
        <f t="shared" si="1"/>
        <v/>
      </c>
      <c r="N52" s="12"/>
      <c r="O52" s="119"/>
      <c r="P52" s="95" t="str">
        <f t="shared" si="2"/>
        <v/>
      </c>
      <c r="Q52" s="12"/>
      <c r="S52" s="128"/>
      <c r="T52" s="66"/>
      <c r="U52" s="128"/>
      <c r="W52" s="128"/>
      <c r="X52" s="12"/>
      <c r="Y52" t="str">
        <f t="shared" si="3"/>
        <v/>
      </c>
      <c r="Z52" t="str">
        <f t="shared" si="3"/>
        <v/>
      </c>
      <c r="AA52" s="12"/>
      <c r="AB52" s="95" t="e">
        <f t="shared" si="4"/>
        <v>#VALUE!</v>
      </c>
      <c r="AC52" s="95" t="e">
        <f t="shared" si="5"/>
        <v>#VALUE!</v>
      </c>
      <c r="AD52" s="12"/>
    </row>
    <row r="53" spans="1:30" ht="15.75" thickBot="1" x14ac:dyDescent="0.3">
      <c r="A53" s="12"/>
      <c r="B53" s="22"/>
      <c r="C53" t="str">
        <f>IF(AND('ENTRY DATA'!D53=""),"",('ENTRY DATA'!D53))</f>
        <v/>
      </c>
      <c r="D53" t="str">
        <f>IF(AND('ENTRY DATA'!F53=""),"",('ENTRY DATA'!F53))</f>
        <v/>
      </c>
      <c r="E53" s="34" t="str">
        <f>IF(AND('ENTRY DATA'!B53=""),"",('ENTRY DATA'!B53))</f>
        <v/>
      </c>
      <c r="F53" s="12"/>
      <c r="G53" s="12"/>
      <c r="H53" s="72"/>
      <c r="I53" s="71"/>
      <c r="J53" s="72"/>
      <c r="K53" s="12"/>
      <c r="L53" s="20">
        <f t="shared" si="0"/>
        <v>0</v>
      </c>
      <c r="M53" s="19" t="str">
        <f t="shared" si="1"/>
        <v/>
      </c>
      <c r="N53" s="12"/>
      <c r="O53" s="119"/>
      <c r="P53" s="95" t="str">
        <f t="shared" si="2"/>
        <v/>
      </c>
      <c r="Q53" s="12"/>
      <c r="S53" s="128"/>
      <c r="T53" s="66"/>
      <c r="U53" s="128"/>
      <c r="W53" s="128"/>
      <c r="X53" s="12"/>
      <c r="Y53" t="str">
        <f t="shared" si="3"/>
        <v/>
      </c>
      <c r="Z53" t="str">
        <f t="shared" si="3"/>
        <v/>
      </c>
      <c r="AA53" s="12"/>
      <c r="AB53" s="95" t="e">
        <f t="shared" si="4"/>
        <v>#VALUE!</v>
      </c>
      <c r="AC53" s="95" t="e">
        <f t="shared" si="5"/>
        <v>#VALUE!</v>
      </c>
      <c r="AD53" s="12"/>
    </row>
    <row r="54" spans="1:30" ht="15.75" thickBot="1" x14ac:dyDescent="0.3">
      <c r="A54" s="12"/>
      <c r="B54" s="22"/>
      <c r="C54" t="str">
        <f>IF(AND('ENTRY DATA'!D54=""),"",('ENTRY DATA'!D54))</f>
        <v/>
      </c>
      <c r="D54" t="str">
        <f>IF(AND('ENTRY DATA'!F54=""),"",('ENTRY DATA'!F54))</f>
        <v/>
      </c>
      <c r="E54" s="34" t="str">
        <f>IF(AND('ENTRY DATA'!B54=""),"",('ENTRY DATA'!B54))</f>
        <v/>
      </c>
      <c r="F54" s="12"/>
      <c r="G54" s="12"/>
      <c r="H54" s="72"/>
      <c r="I54" s="71"/>
      <c r="J54" s="72"/>
      <c r="K54" s="12"/>
      <c r="L54" s="20">
        <f t="shared" si="0"/>
        <v>0</v>
      </c>
      <c r="M54" s="19" t="str">
        <f t="shared" si="1"/>
        <v/>
      </c>
      <c r="N54" s="12"/>
      <c r="O54" s="119"/>
      <c r="P54" s="95" t="str">
        <f t="shared" si="2"/>
        <v/>
      </c>
      <c r="Q54" s="12"/>
      <c r="S54" s="128"/>
      <c r="T54" s="66"/>
      <c r="U54" s="128"/>
      <c r="W54" s="128"/>
      <c r="X54" s="12"/>
      <c r="Y54" t="str">
        <f t="shared" si="3"/>
        <v/>
      </c>
      <c r="Z54" t="str">
        <f t="shared" si="3"/>
        <v/>
      </c>
      <c r="AA54" s="12"/>
      <c r="AB54" s="95" t="e">
        <f t="shared" si="4"/>
        <v>#VALUE!</v>
      </c>
      <c r="AC54" s="95" t="e">
        <f t="shared" si="5"/>
        <v>#VALUE!</v>
      </c>
      <c r="AD54" s="12"/>
    </row>
    <row r="55" spans="1:30" ht="15.75" thickBot="1" x14ac:dyDescent="0.3">
      <c r="A55" s="12"/>
      <c r="B55" s="22"/>
      <c r="C55" t="str">
        <f>IF(AND('ENTRY DATA'!D55=""),"",('ENTRY DATA'!D55))</f>
        <v/>
      </c>
      <c r="D55" t="str">
        <f>IF(AND('ENTRY DATA'!F55=""),"",('ENTRY DATA'!F55))</f>
        <v/>
      </c>
      <c r="E55" s="34" t="str">
        <f>IF(AND('ENTRY DATA'!B55=""),"",('ENTRY DATA'!B55))</f>
        <v/>
      </c>
      <c r="F55" s="12"/>
      <c r="G55" s="12"/>
      <c r="H55" s="72"/>
      <c r="I55" s="71"/>
      <c r="J55" s="72"/>
      <c r="K55" s="12"/>
      <c r="L55" s="20">
        <f t="shared" si="0"/>
        <v>0</v>
      </c>
      <c r="M55" s="19" t="str">
        <f t="shared" si="1"/>
        <v/>
      </c>
      <c r="N55" s="12"/>
      <c r="O55" s="119"/>
      <c r="P55" s="95" t="str">
        <f t="shared" si="2"/>
        <v/>
      </c>
      <c r="Q55" s="12"/>
      <c r="S55" s="128"/>
      <c r="T55" s="66"/>
      <c r="U55" s="128"/>
      <c r="W55" s="128"/>
      <c r="X55" s="12"/>
      <c r="Y55" t="str">
        <f t="shared" si="3"/>
        <v/>
      </c>
      <c r="Z55" t="str">
        <f t="shared" si="3"/>
        <v/>
      </c>
      <c r="AA55" s="12"/>
      <c r="AB55" s="95" t="e">
        <f t="shared" si="4"/>
        <v>#VALUE!</v>
      </c>
      <c r="AC55" s="95" t="e">
        <f t="shared" si="5"/>
        <v>#VALUE!</v>
      </c>
      <c r="AD55" s="12"/>
    </row>
    <row r="56" spans="1:30" ht="15.75" thickBot="1" x14ac:dyDescent="0.3">
      <c r="A56" s="12"/>
      <c r="B56" s="22"/>
      <c r="C56" t="str">
        <f>IF(AND('ENTRY DATA'!D56=""),"",('ENTRY DATA'!D56))</f>
        <v/>
      </c>
      <c r="D56" t="str">
        <f>IF(AND('ENTRY DATA'!F56=""),"",('ENTRY DATA'!F56))</f>
        <v/>
      </c>
      <c r="E56" s="34" t="str">
        <f>IF(AND('ENTRY DATA'!B56=""),"",('ENTRY DATA'!B56))</f>
        <v/>
      </c>
      <c r="F56" s="12"/>
      <c r="G56" s="12"/>
      <c r="H56" s="72"/>
      <c r="I56" s="71"/>
      <c r="J56" s="72"/>
      <c r="K56" s="12"/>
      <c r="L56" s="20">
        <f t="shared" si="0"/>
        <v>0</v>
      </c>
      <c r="M56" s="19" t="str">
        <f t="shared" si="1"/>
        <v/>
      </c>
      <c r="N56" s="12"/>
      <c r="O56" s="119"/>
      <c r="P56" s="95" t="str">
        <f t="shared" si="2"/>
        <v/>
      </c>
      <c r="Q56" s="12"/>
      <c r="S56" s="128"/>
      <c r="T56" s="66"/>
      <c r="U56" s="128"/>
      <c r="W56" s="128"/>
      <c r="X56" s="12"/>
      <c r="Y56" t="str">
        <f t="shared" si="3"/>
        <v/>
      </c>
      <c r="Z56" t="str">
        <f t="shared" si="3"/>
        <v/>
      </c>
      <c r="AA56" s="12"/>
      <c r="AB56" s="95" t="e">
        <f t="shared" si="4"/>
        <v>#VALUE!</v>
      </c>
      <c r="AC56" s="95" t="e">
        <f t="shared" si="5"/>
        <v>#VALUE!</v>
      </c>
      <c r="AD56" s="12"/>
    </row>
    <row r="57" spans="1:30" ht="15.75" thickBot="1" x14ac:dyDescent="0.3">
      <c r="A57" s="12"/>
      <c r="B57" s="22"/>
      <c r="C57" t="str">
        <f>IF(AND('ENTRY DATA'!D57=""),"",('ENTRY DATA'!D57))</f>
        <v/>
      </c>
      <c r="D57" t="str">
        <f>IF(AND('ENTRY DATA'!F57=""),"",('ENTRY DATA'!F57))</f>
        <v/>
      </c>
      <c r="E57" s="34" t="str">
        <f>IF(AND('ENTRY DATA'!B57=""),"",('ENTRY DATA'!B57))</f>
        <v/>
      </c>
      <c r="F57" s="12"/>
      <c r="G57" s="12"/>
      <c r="H57" s="72"/>
      <c r="I57" s="71"/>
      <c r="J57" s="72"/>
      <c r="K57" s="12"/>
      <c r="L57" s="20">
        <f t="shared" si="0"/>
        <v>0</v>
      </c>
      <c r="M57" s="19" t="str">
        <f t="shared" si="1"/>
        <v/>
      </c>
      <c r="N57" s="12"/>
      <c r="O57" s="119"/>
      <c r="P57" s="95" t="str">
        <f t="shared" si="2"/>
        <v/>
      </c>
      <c r="Q57" s="12"/>
      <c r="S57" s="128"/>
      <c r="T57" s="66"/>
      <c r="U57" s="128"/>
      <c r="W57" s="128"/>
      <c r="X57" s="12"/>
      <c r="Y57" t="str">
        <f t="shared" si="3"/>
        <v/>
      </c>
      <c r="Z57" t="str">
        <f t="shared" si="3"/>
        <v/>
      </c>
      <c r="AA57" s="12"/>
      <c r="AB57" s="95" t="e">
        <f t="shared" si="4"/>
        <v>#VALUE!</v>
      </c>
      <c r="AC57" s="95" t="e">
        <f t="shared" si="5"/>
        <v>#VALUE!</v>
      </c>
      <c r="AD57" s="12"/>
    </row>
    <row r="58" spans="1:30" ht="15.75" thickBot="1" x14ac:dyDescent="0.3">
      <c r="A58" s="12"/>
      <c r="B58" s="22"/>
      <c r="C58" t="str">
        <f>IF(AND('ENTRY DATA'!D58=""),"",('ENTRY DATA'!D58))</f>
        <v/>
      </c>
      <c r="D58" t="str">
        <f>IF(AND('ENTRY DATA'!F58=""),"",('ENTRY DATA'!F58))</f>
        <v/>
      </c>
      <c r="E58" s="34" t="str">
        <f>IF(AND('ENTRY DATA'!B58=""),"",('ENTRY DATA'!B58))</f>
        <v/>
      </c>
      <c r="F58" s="12"/>
      <c r="G58" s="12"/>
      <c r="H58" s="72"/>
      <c r="I58" s="71"/>
      <c r="J58" s="72"/>
      <c r="K58" s="12"/>
      <c r="L58" s="20">
        <f t="shared" si="0"/>
        <v>0</v>
      </c>
      <c r="M58" s="19" t="str">
        <f t="shared" si="1"/>
        <v/>
      </c>
      <c r="N58" s="12"/>
      <c r="O58" s="119"/>
      <c r="P58" s="95" t="str">
        <f t="shared" si="2"/>
        <v/>
      </c>
      <c r="Q58" s="12"/>
      <c r="S58" s="128"/>
      <c r="T58" s="66"/>
      <c r="U58" s="128"/>
      <c r="W58" s="128"/>
      <c r="X58" s="12"/>
      <c r="Y58" t="str">
        <f t="shared" si="3"/>
        <v/>
      </c>
      <c r="Z58" t="str">
        <f t="shared" si="3"/>
        <v/>
      </c>
      <c r="AA58" s="12"/>
      <c r="AB58" s="95" t="e">
        <f t="shared" si="4"/>
        <v>#VALUE!</v>
      </c>
      <c r="AC58" s="95" t="e">
        <f t="shared" si="5"/>
        <v>#VALUE!</v>
      </c>
      <c r="AD58" s="12"/>
    </row>
    <row r="59" spans="1:30" ht="15.75" thickBot="1" x14ac:dyDescent="0.3">
      <c r="A59" s="12"/>
      <c r="B59" s="22"/>
      <c r="C59" t="str">
        <f>IF(AND('ENTRY DATA'!D59=""),"",('ENTRY DATA'!D59))</f>
        <v/>
      </c>
      <c r="D59" t="str">
        <f>IF(AND('ENTRY DATA'!F59=""),"",('ENTRY DATA'!F59))</f>
        <v/>
      </c>
      <c r="E59" s="34" t="str">
        <f>IF(AND('ENTRY DATA'!B59=""),"",('ENTRY DATA'!B59))</f>
        <v/>
      </c>
      <c r="F59" s="12"/>
      <c r="G59" s="12"/>
      <c r="H59" s="72"/>
      <c r="I59" s="71"/>
      <c r="J59" s="72"/>
      <c r="K59" s="12"/>
      <c r="L59" s="20">
        <f t="shared" si="0"/>
        <v>0</v>
      </c>
      <c r="M59" s="19" t="str">
        <f t="shared" si="1"/>
        <v/>
      </c>
      <c r="N59" s="12"/>
      <c r="O59" s="119"/>
      <c r="P59" s="95" t="str">
        <f t="shared" si="2"/>
        <v/>
      </c>
      <c r="Q59" s="12"/>
      <c r="S59" s="128"/>
      <c r="T59" s="66"/>
      <c r="U59" s="128"/>
      <c r="W59" s="128"/>
      <c r="X59" s="12"/>
      <c r="Y59" t="str">
        <f t="shared" si="3"/>
        <v/>
      </c>
      <c r="Z59" t="str">
        <f t="shared" si="3"/>
        <v/>
      </c>
      <c r="AA59" s="12"/>
      <c r="AB59" s="95" t="e">
        <f t="shared" si="4"/>
        <v>#VALUE!</v>
      </c>
      <c r="AC59" s="95" t="e">
        <f t="shared" si="5"/>
        <v>#VALUE!</v>
      </c>
      <c r="AD59" s="12"/>
    </row>
    <row r="60" spans="1:30" ht="15.75" thickBot="1" x14ac:dyDescent="0.3">
      <c r="A60" s="12"/>
      <c r="B60" s="22"/>
      <c r="C60" t="str">
        <f>IF(AND('ENTRY DATA'!D60=""),"",('ENTRY DATA'!D60))</f>
        <v/>
      </c>
      <c r="D60" t="str">
        <f>IF(AND('ENTRY DATA'!F60=""),"",('ENTRY DATA'!F60))</f>
        <v/>
      </c>
      <c r="E60" s="34" t="str">
        <f>IF(AND('ENTRY DATA'!B60=""),"",('ENTRY DATA'!B60))</f>
        <v/>
      </c>
      <c r="F60" s="12"/>
      <c r="G60" s="12"/>
      <c r="H60" s="72"/>
      <c r="I60" s="71"/>
      <c r="J60" s="72"/>
      <c r="K60" s="12"/>
      <c r="L60" s="20">
        <f t="shared" si="0"/>
        <v>0</v>
      </c>
      <c r="M60" s="19" t="str">
        <f t="shared" si="1"/>
        <v/>
      </c>
      <c r="N60" s="12"/>
      <c r="O60" s="119"/>
      <c r="P60" s="95" t="str">
        <f t="shared" si="2"/>
        <v/>
      </c>
      <c r="Q60" s="12"/>
      <c r="S60" s="128"/>
      <c r="T60" s="66"/>
      <c r="U60" s="128"/>
      <c r="W60" s="128"/>
      <c r="X60" s="12"/>
      <c r="Y60" t="str">
        <f t="shared" si="3"/>
        <v/>
      </c>
      <c r="Z60" t="str">
        <f t="shared" si="3"/>
        <v/>
      </c>
      <c r="AA60" s="12"/>
      <c r="AB60" s="95" t="e">
        <f t="shared" si="4"/>
        <v>#VALUE!</v>
      </c>
      <c r="AC60" s="95" t="e">
        <f t="shared" si="5"/>
        <v>#VALUE!</v>
      </c>
      <c r="AD60" s="12"/>
    </row>
    <row r="61" spans="1:30" ht="15.75" thickBot="1" x14ac:dyDescent="0.3">
      <c r="A61" s="12"/>
      <c r="B61" s="22"/>
      <c r="C61" t="str">
        <f>IF(AND('ENTRY DATA'!D61=""),"",('ENTRY DATA'!D61))</f>
        <v/>
      </c>
      <c r="D61" t="str">
        <f>IF(AND('ENTRY DATA'!F61=""),"",('ENTRY DATA'!F61))</f>
        <v/>
      </c>
      <c r="E61" s="34" t="str">
        <f>IF(AND('ENTRY DATA'!B61=""),"",('ENTRY DATA'!B61))</f>
        <v/>
      </c>
      <c r="F61" s="12"/>
      <c r="G61" s="12"/>
      <c r="H61" s="72"/>
      <c r="I61" s="71"/>
      <c r="J61" s="72"/>
      <c r="K61" s="12"/>
      <c r="L61" s="20">
        <f t="shared" si="0"/>
        <v>0</v>
      </c>
      <c r="M61" s="19" t="str">
        <f t="shared" si="1"/>
        <v/>
      </c>
      <c r="N61" s="12"/>
      <c r="O61" s="119"/>
      <c r="P61" s="95" t="str">
        <f t="shared" si="2"/>
        <v/>
      </c>
      <c r="Q61" s="12"/>
      <c r="S61" s="128"/>
      <c r="T61" s="66"/>
      <c r="U61" s="128"/>
      <c r="W61" s="128"/>
      <c r="X61" s="12"/>
      <c r="Y61" t="str">
        <f t="shared" si="3"/>
        <v/>
      </c>
      <c r="Z61" t="str">
        <f t="shared" si="3"/>
        <v/>
      </c>
      <c r="AA61" s="12"/>
      <c r="AB61" s="95" t="e">
        <f t="shared" si="4"/>
        <v>#VALUE!</v>
      </c>
      <c r="AC61" s="95" t="e">
        <f t="shared" si="5"/>
        <v>#VALUE!</v>
      </c>
      <c r="AD61" s="12"/>
    </row>
    <row r="62" spans="1:30" ht="15.75" thickBot="1" x14ac:dyDescent="0.3">
      <c r="A62" s="12"/>
      <c r="B62" s="22"/>
      <c r="C62" t="str">
        <f>IF(AND('ENTRY DATA'!D62=""),"",('ENTRY DATA'!D62))</f>
        <v/>
      </c>
      <c r="D62" t="str">
        <f>IF(AND('ENTRY DATA'!F62=""),"",('ENTRY DATA'!F62))</f>
        <v/>
      </c>
      <c r="E62" s="34" t="str">
        <f>IF(AND('ENTRY DATA'!B62=""),"",('ENTRY DATA'!B62))</f>
        <v/>
      </c>
      <c r="F62" s="12"/>
      <c r="G62" s="12"/>
      <c r="H62" s="72"/>
      <c r="I62" s="71"/>
      <c r="J62" s="72"/>
      <c r="K62" s="12"/>
      <c r="L62" s="20">
        <f t="shared" si="0"/>
        <v>0</v>
      </c>
      <c r="M62" s="19" t="str">
        <f t="shared" si="1"/>
        <v/>
      </c>
      <c r="N62" s="12"/>
      <c r="O62" s="119"/>
      <c r="P62" s="95" t="str">
        <f t="shared" si="2"/>
        <v/>
      </c>
      <c r="Q62" s="12"/>
      <c r="S62" s="128"/>
      <c r="T62" s="66"/>
      <c r="U62" s="128"/>
      <c r="W62" s="128"/>
      <c r="X62" s="12"/>
      <c r="Y62" t="str">
        <f t="shared" si="3"/>
        <v/>
      </c>
      <c r="Z62" t="str">
        <f t="shared" si="3"/>
        <v/>
      </c>
      <c r="AA62" s="12"/>
      <c r="AB62" s="95" t="e">
        <f t="shared" si="4"/>
        <v>#VALUE!</v>
      </c>
      <c r="AC62" s="95" t="e">
        <f t="shared" si="5"/>
        <v>#VALUE!</v>
      </c>
      <c r="AD62" s="12"/>
    </row>
    <row r="63" spans="1:30" ht="15.75" thickBot="1" x14ac:dyDescent="0.3">
      <c r="A63" s="12"/>
      <c r="B63" s="22"/>
      <c r="C63" t="str">
        <f>IF(AND('ENTRY DATA'!D63=""),"",('ENTRY DATA'!D63))</f>
        <v/>
      </c>
      <c r="D63" t="str">
        <f>IF(AND('ENTRY DATA'!F63=""),"",('ENTRY DATA'!F63))</f>
        <v/>
      </c>
      <c r="E63" s="34" t="str">
        <f>IF(AND('ENTRY DATA'!B63=""),"",('ENTRY DATA'!B63))</f>
        <v/>
      </c>
      <c r="F63" s="12"/>
      <c r="G63" s="12"/>
      <c r="H63" s="72"/>
      <c r="I63" s="71"/>
      <c r="J63" s="72"/>
      <c r="K63" s="12"/>
      <c r="L63" s="20">
        <f t="shared" si="0"/>
        <v>0</v>
      </c>
      <c r="M63" s="19" t="str">
        <f t="shared" si="1"/>
        <v/>
      </c>
      <c r="N63" s="12"/>
      <c r="O63" s="119"/>
      <c r="P63" s="95" t="str">
        <f t="shared" si="2"/>
        <v/>
      </c>
      <c r="Q63" s="12"/>
      <c r="S63" s="128"/>
      <c r="T63" s="66"/>
      <c r="U63" s="128"/>
      <c r="W63" s="128"/>
      <c r="X63" s="12"/>
      <c r="Y63" t="str">
        <f t="shared" si="3"/>
        <v/>
      </c>
      <c r="Z63" t="str">
        <f t="shared" si="3"/>
        <v/>
      </c>
      <c r="AA63" s="12"/>
      <c r="AB63" s="95" t="e">
        <f t="shared" si="4"/>
        <v>#VALUE!</v>
      </c>
      <c r="AC63" s="95" t="e">
        <f t="shared" si="5"/>
        <v>#VALUE!</v>
      </c>
      <c r="AD63" s="12"/>
    </row>
    <row r="64" spans="1:30" ht="15.75" thickBot="1" x14ac:dyDescent="0.3">
      <c r="A64" s="12"/>
      <c r="B64" s="22"/>
      <c r="C64" t="str">
        <f>IF(AND('ENTRY DATA'!D64=""),"",('ENTRY DATA'!D64))</f>
        <v/>
      </c>
      <c r="D64" t="str">
        <f>IF(AND('ENTRY DATA'!F64=""),"",('ENTRY DATA'!F64))</f>
        <v/>
      </c>
      <c r="E64" s="34" t="str">
        <f>IF(AND('ENTRY DATA'!B64=""),"",('ENTRY DATA'!B64))</f>
        <v/>
      </c>
      <c r="F64" s="12"/>
      <c r="G64" s="12"/>
      <c r="H64" s="72"/>
      <c r="I64" s="71"/>
      <c r="J64" s="72"/>
      <c r="K64" s="12"/>
      <c r="L64" s="20">
        <f t="shared" si="0"/>
        <v>0</v>
      </c>
      <c r="M64" s="19" t="str">
        <f t="shared" si="1"/>
        <v/>
      </c>
      <c r="N64" s="12"/>
      <c r="O64" s="119"/>
      <c r="P64" s="95" t="str">
        <f t="shared" si="2"/>
        <v/>
      </c>
      <c r="Q64" s="12"/>
      <c r="S64" s="128"/>
      <c r="T64" s="66"/>
      <c r="U64" s="128"/>
      <c r="W64" s="128"/>
      <c r="X64" s="12"/>
      <c r="Y64" t="str">
        <f t="shared" si="3"/>
        <v/>
      </c>
      <c r="Z64" t="str">
        <f t="shared" si="3"/>
        <v/>
      </c>
      <c r="AA64" s="12"/>
      <c r="AB64" s="95" t="e">
        <f t="shared" si="4"/>
        <v>#VALUE!</v>
      </c>
      <c r="AC64" s="95" t="e">
        <f t="shared" si="5"/>
        <v>#VALUE!</v>
      </c>
      <c r="AD64" s="12"/>
    </row>
    <row r="65" spans="1:30" ht="15.75" thickBot="1" x14ac:dyDescent="0.3">
      <c r="A65" s="12"/>
      <c r="B65" s="22"/>
      <c r="C65" t="str">
        <f>IF(AND('ENTRY DATA'!D65=""),"",('ENTRY DATA'!D65))</f>
        <v/>
      </c>
      <c r="D65" t="str">
        <f>IF(AND('ENTRY DATA'!F65=""),"",('ENTRY DATA'!F65))</f>
        <v/>
      </c>
      <c r="E65" s="34" t="str">
        <f>IF(AND('ENTRY DATA'!B65=""),"",('ENTRY DATA'!B65))</f>
        <v/>
      </c>
      <c r="F65" s="12"/>
      <c r="G65" s="12"/>
      <c r="H65" s="72"/>
      <c r="I65" s="71"/>
      <c r="J65" s="72"/>
      <c r="K65" s="12"/>
      <c r="L65" s="20">
        <f t="shared" si="0"/>
        <v>0</v>
      </c>
      <c r="M65" s="19" t="str">
        <f t="shared" si="1"/>
        <v/>
      </c>
      <c r="N65" s="12"/>
      <c r="O65" s="119"/>
      <c r="P65" s="95" t="str">
        <f t="shared" si="2"/>
        <v/>
      </c>
      <c r="Q65" s="12"/>
      <c r="S65" s="128"/>
      <c r="T65" s="66"/>
      <c r="U65" s="128"/>
      <c r="W65" s="128"/>
      <c r="X65" s="12"/>
      <c r="Y65" t="str">
        <f t="shared" si="3"/>
        <v/>
      </c>
      <c r="Z65" t="str">
        <f t="shared" si="3"/>
        <v/>
      </c>
      <c r="AA65" s="12"/>
      <c r="AB65" s="95" t="e">
        <f t="shared" si="4"/>
        <v>#VALUE!</v>
      </c>
      <c r="AC65" s="95" t="e">
        <f t="shared" si="5"/>
        <v>#VALUE!</v>
      </c>
      <c r="AD65" s="12"/>
    </row>
    <row r="66" spans="1:30" ht="15.75" thickBot="1" x14ac:dyDescent="0.3">
      <c r="A66" s="12"/>
      <c r="B66" s="22"/>
      <c r="C66" t="str">
        <f>IF(AND('ENTRY DATA'!D66=""),"",('ENTRY DATA'!D66))</f>
        <v/>
      </c>
      <c r="D66" t="str">
        <f>IF(AND('ENTRY DATA'!F66=""),"",('ENTRY DATA'!F66))</f>
        <v/>
      </c>
      <c r="E66" s="34" t="str">
        <f>IF(AND('ENTRY DATA'!B66=""),"",('ENTRY DATA'!B66))</f>
        <v/>
      </c>
      <c r="F66" s="12"/>
      <c r="G66" s="12"/>
      <c r="H66" s="72"/>
      <c r="I66" s="71"/>
      <c r="J66" s="72"/>
      <c r="K66" s="12"/>
      <c r="L66" s="20">
        <f t="shared" si="0"/>
        <v>0</v>
      </c>
      <c r="M66" s="19" t="str">
        <f t="shared" si="1"/>
        <v/>
      </c>
      <c r="N66" s="12"/>
      <c r="O66" s="119"/>
      <c r="P66" s="95" t="str">
        <f t="shared" si="2"/>
        <v/>
      </c>
      <c r="Q66" s="12"/>
      <c r="S66" s="128"/>
      <c r="T66" s="66"/>
      <c r="U66" s="128"/>
      <c r="W66" s="128"/>
      <c r="X66" s="12"/>
      <c r="Y66" t="str">
        <f t="shared" si="3"/>
        <v/>
      </c>
      <c r="Z66" t="str">
        <f t="shared" si="3"/>
        <v/>
      </c>
      <c r="AA66" s="12"/>
      <c r="AB66" s="95" t="e">
        <f t="shared" si="4"/>
        <v>#VALUE!</v>
      </c>
      <c r="AC66" s="95" t="e">
        <f t="shared" si="5"/>
        <v>#VALUE!</v>
      </c>
      <c r="AD66" s="12"/>
    </row>
    <row r="67" spans="1:30" ht="15.75" thickBot="1" x14ac:dyDescent="0.3">
      <c r="A67" s="12"/>
      <c r="B67" s="22"/>
      <c r="C67" t="str">
        <f>IF(AND('ENTRY DATA'!D67=""),"",('ENTRY DATA'!D67))</f>
        <v/>
      </c>
      <c r="D67" t="str">
        <f>IF(AND('ENTRY DATA'!F67=""),"",('ENTRY DATA'!F67))</f>
        <v/>
      </c>
      <c r="E67" s="34" t="str">
        <f>IF(AND('ENTRY DATA'!B67=""),"",('ENTRY DATA'!B67))</f>
        <v/>
      </c>
      <c r="F67" s="12"/>
      <c r="G67" s="12"/>
      <c r="H67" s="72"/>
      <c r="I67" s="71"/>
      <c r="J67" s="72"/>
      <c r="K67" s="12"/>
      <c r="L67" s="20">
        <f t="shared" si="0"/>
        <v>0</v>
      </c>
      <c r="M67" s="19" t="str">
        <f t="shared" si="1"/>
        <v/>
      </c>
      <c r="N67" s="12"/>
      <c r="O67" s="119"/>
      <c r="P67" s="95" t="str">
        <f t="shared" si="2"/>
        <v/>
      </c>
      <c r="Q67" s="12"/>
      <c r="S67" s="128"/>
      <c r="T67" s="66"/>
      <c r="U67" s="128"/>
      <c r="W67" s="128"/>
      <c r="X67" s="12"/>
      <c r="Y67" t="str">
        <f t="shared" si="3"/>
        <v/>
      </c>
      <c r="Z67" t="str">
        <f t="shared" si="3"/>
        <v/>
      </c>
      <c r="AA67" s="12"/>
      <c r="AB67" s="95" t="e">
        <f t="shared" si="4"/>
        <v>#VALUE!</v>
      </c>
      <c r="AC67" s="95" t="e">
        <f t="shared" si="5"/>
        <v>#VALUE!</v>
      </c>
      <c r="AD67" s="12"/>
    </row>
    <row r="68" spans="1:30" ht="15.75" thickBot="1" x14ac:dyDescent="0.3">
      <c r="A68" s="12"/>
      <c r="B68" s="22"/>
      <c r="C68" t="str">
        <f>IF(AND('ENTRY DATA'!D68=""),"",('ENTRY DATA'!D68))</f>
        <v/>
      </c>
      <c r="D68" t="str">
        <f>IF(AND('ENTRY DATA'!F68=""),"",('ENTRY DATA'!F68))</f>
        <v/>
      </c>
      <c r="E68" s="34" t="str">
        <f>IF(AND('ENTRY DATA'!B68=""),"",('ENTRY DATA'!B68))</f>
        <v/>
      </c>
      <c r="F68" s="12"/>
      <c r="G68" s="12"/>
      <c r="H68" s="72"/>
      <c r="I68" s="71"/>
      <c r="J68" s="72"/>
      <c r="K68" s="12"/>
      <c r="L68" s="20">
        <f t="shared" si="0"/>
        <v>0</v>
      </c>
      <c r="M68" s="19" t="str">
        <f t="shared" si="1"/>
        <v/>
      </c>
      <c r="N68" s="12"/>
      <c r="O68" s="119"/>
      <c r="P68" s="95" t="str">
        <f t="shared" si="2"/>
        <v/>
      </c>
      <c r="Q68" s="12"/>
      <c r="S68" s="128"/>
      <c r="T68" s="66"/>
      <c r="U68" s="128"/>
      <c r="W68" s="128"/>
      <c r="X68" s="12"/>
      <c r="Y68" t="str">
        <f t="shared" si="3"/>
        <v/>
      </c>
      <c r="Z68" t="str">
        <f t="shared" si="3"/>
        <v/>
      </c>
      <c r="AA68" s="12"/>
      <c r="AB68" s="95" t="e">
        <f t="shared" si="4"/>
        <v>#VALUE!</v>
      </c>
      <c r="AC68" s="95" t="e">
        <f t="shared" si="5"/>
        <v>#VALUE!</v>
      </c>
      <c r="AD68" s="12"/>
    </row>
    <row r="69" spans="1:30" ht="15.75" thickBot="1" x14ac:dyDescent="0.3">
      <c r="A69" s="12"/>
      <c r="B69" s="22"/>
      <c r="C69" t="str">
        <f>IF(AND('ENTRY DATA'!D69=""),"",('ENTRY DATA'!D69))</f>
        <v/>
      </c>
      <c r="D69" t="str">
        <f>IF(AND('ENTRY DATA'!F69=""),"",('ENTRY DATA'!F69))</f>
        <v/>
      </c>
      <c r="E69" s="34" t="str">
        <f>IF(AND('ENTRY DATA'!B69=""),"",('ENTRY DATA'!B69))</f>
        <v/>
      </c>
      <c r="F69" s="12"/>
      <c r="G69" s="12"/>
      <c r="H69" s="72"/>
      <c r="I69" s="71"/>
      <c r="J69" s="72"/>
      <c r="K69" s="12"/>
      <c r="L69" s="20">
        <f t="shared" si="0"/>
        <v>0</v>
      </c>
      <c r="M69" s="19" t="str">
        <f t="shared" si="1"/>
        <v/>
      </c>
      <c r="N69" s="12"/>
      <c r="O69" s="119"/>
      <c r="P69" s="95" t="str">
        <f t="shared" si="2"/>
        <v/>
      </c>
      <c r="Q69" s="12"/>
      <c r="S69" s="128"/>
      <c r="T69" s="66"/>
      <c r="U69" s="128"/>
      <c r="W69" s="128"/>
      <c r="X69" s="12"/>
      <c r="Y69" t="str">
        <f t="shared" si="3"/>
        <v/>
      </c>
      <c r="Z69" t="str">
        <f t="shared" si="3"/>
        <v/>
      </c>
      <c r="AA69" s="12"/>
      <c r="AB69" s="95" t="e">
        <f t="shared" si="4"/>
        <v>#VALUE!</v>
      </c>
      <c r="AC69" s="95" t="e">
        <f t="shared" si="5"/>
        <v>#VALUE!</v>
      </c>
      <c r="AD69" s="12"/>
    </row>
    <row r="70" spans="1:30" ht="15.75" thickBot="1" x14ac:dyDescent="0.3">
      <c r="A70" s="12"/>
      <c r="B70" s="22"/>
      <c r="C70" t="str">
        <f>IF(AND('ENTRY DATA'!D70=""),"",('ENTRY DATA'!D70))</f>
        <v/>
      </c>
      <c r="D70" t="str">
        <f>IF(AND('ENTRY DATA'!F70=""),"",('ENTRY DATA'!F70))</f>
        <v/>
      </c>
      <c r="E70" s="34" t="str">
        <f>IF(AND('ENTRY DATA'!B70=""),"",('ENTRY DATA'!B70))</f>
        <v/>
      </c>
      <c r="F70" s="12"/>
      <c r="G70" s="12"/>
      <c r="H70" s="72"/>
      <c r="I70" s="71"/>
      <c r="J70" s="72"/>
      <c r="K70" s="12"/>
      <c r="L70" s="20">
        <f t="shared" ref="L70:L133" si="6">COUNT(H70:J70)</f>
        <v>0</v>
      </c>
      <c r="M70" s="19" t="str">
        <f t="shared" ref="M70:M133" si="7">IF(AND(H70="",I70="",J70=""),"",(H70+I70+J70))</f>
        <v/>
      </c>
      <c r="N70" s="12"/>
      <c r="O70" s="119"/>
      <c r="P70" s="95" t="str">
        <f t="shared" ref="P70:P133" si="8">C70</f>
        <v/>
      </c>
      <c r="Q70" s="12"/>
      <c r="S70" s="128"/>
      <c r="T70" s="66"/>
      <c r="U70" s="128"/>
      <c r="W70" s="128"/>
      <c r="X70" s="12"/>
      <c r="Y70" t="str">
        <f t="shared" ref="Y70:Z133" si="9">IF(AND(R70="",T70="",V70=""),"",SUM(R70,T70,V70))</f>
        <v/>
      </c>
      <c r="Z70" t="str">
        <f t="shared" si="9"/>
        <v/>
      </c>
      <c r="AA70" s="12"/>
      <c r="AB70" s="95" t="e">
        <f t="shared" ref="AB70:AB133" si="10">Y70/L70</f>
        <v>#VALUE!</v>
      </c>
      <c r="AC70" s="95" t="e">
        <f t="shared" ref="AC70:AC133" si="11">Z70/L70</f>
        <v>#VALUE!</v>
      </c>
      <c r="AD70" s="12"/>
    </row>
    <row r="71" spans="1:30" ht="15.75" thickBot="1" x14ac:dyDescent="0.3">
      <c r="A71" s="12"/>
      <c r="B71" s="22"/>
      <c r="C71" t="str">
        <f>IF(AND('ENTRY DATA'!D71=""),"",('ENTRY DATA'!D71))</f>
        <v/>
      </c>
      <c r="D71" t="str">
        <f>IF(AND('ENTRY DATA'!F71=""),"",('ENTRY DATA'!F71))</f>
        <v/>
      </c>
      <c r="E71" s="34" t="str">
        <f>IF(AND('ENTRY DATA'!B71=""),"",('ENTRY DATA'!B71))</f>
        <v/>
      </c>
      <c r="F71" s="12"/>
      <c r="G71" s="12"/>
      <c r="H71" s="72"/>
      <c r="I71" s="71"/>
      <c r="J71" s="72"/>
      <c r="K71" s="12"/>
      <c r="L71" s="20">
        <f t="shared" si="6"/>
        <v>0</v>
      </c>
      <c r="M71" s="19" t="str">
        <f t="shared" si="7"/>
        <v/>
      </c>
      <c r="N71" s="12"/>
      <c r="O71" s="119"/>
      <c r="P71" s="95" t="str">
        <f t="shared" si="8"/>
        <v/>
      </c>
      <c r="Q71" s="12"/>
      <c r="S71" s="128"/>
      <c r="T71" s="66"/>
      <c r="U71" s="128"/>
      <c r="W71" s="128"/>
      <c r="X71" s="12"/>
      <c r="Y71" t="str">
        <f t="shared" si="9"/>
        <v/>
      </c>
      <c r="Z71" t="str">
        <f t="shared" si="9"/>
        <v/>
      </c>
      <c r="AA71" s="12"/>
      <c r="AB71" s="95" t="e">
        <f t="shared" si="10"/>
        <v>#VALUE!</v>
      </c>
      <c r="AC71" s="95" t="e">
        <f t="shared" si="11"/>
        <v>#VALUE!</v>
      </c>
      <c r="AD71" s="12"/>
    </row>
    <row r="72" spans="1:30" ht="15.75" thickBot="1" x14ac:dyDescent="0.3">
      <c r="A72" s="12"/>
      <c r="B72" s="22"/>
      <c r="C72" t="str">
        <f>IF(AND('ENTRY DATA'!D72=""),"",('ENTRY DATA'!D72))</f>
        <v/>
      </c>
      <c r="D72" t="str">
        <f>IF(AND('ENTRY DATA'!F72=""),"",('ENTRY DATA'!F72))</f>
        <v/>
      </c>
      <c r="E72" s="34" t="str">
        <f>IF(AND('ENTRY DATA'!B72=""),"",('ENTRY DATA'!B72))</f>
        <v/>
      </c>
      <c r="F72" s="12"/>
      <c r="G72" s="12"/>
      <c r="H72" s="72"/>
      <c r="I72" s="71"/>
      <c r="J72" s="72"/>
      <c r="K72" s="12"/>
      <c r="L72" s="20">
        <f t="shared" si="6"/>
        <v>0</v>
      </c>
      <c r="M72" s="19" t="str">
        <f t="shared" si="7"/>
        <v/>
      </c>
      <c r="N72" s="12"/>
      <c r="O72" s="119"/>
      <c r="P72" s="95" t="str">
        <f t="shared" si="8"/>
        <v/>
      </c>
      <c r="Q72" s="12"/>
      <c r="S72" s="128"/>
      <c r="T72" s="66"/>
      <c r="U72" s="128"/>
      <c r="W72" s="128"/>
      <c r="X72" s="12"/>
      <c r="Y72" t="str">
        <f t="shared" si="9"/>
        <v/>
      </c>
      <c r="Z72" t="str">
        <f t="shared" si="9"/>
        <v/>
      </c>
      <c r="AA72" s="12"/>
      <c r="AB72" s="95" t="e">
        <f t="shared" si="10"/>
        <v>#VALUE!</v>
      </c>
      <c r="AC72" s="95" t="e">
        <f t="shared" si="11"/>
        <v>#VALUE!</v>
      </c>
      <c r="AD72" s="12"/>
    </row>
    <row r="73" spans="1:30" ht="15.75" thickBot="1" x14ac:dyDescent="0.3">
      <c r="A73" s="12"/>
      <c r="B73" s="22"/>
      <c r="C73" t="str">
        <f>IF(AND('ENTRY DATA'!D73=""),"",('ENTRY DATA'!D73))</f>
        <v/>
      </c>
      <c r="D73" t="str">
        <f>IF(AND('ENTRY DATA'!F73=""),"",('ENTRY DATA'!F73))</f>
        <v/>
      </c>
      <c r="E73" s="34" t="str">
        <f>IF(AND('ENTRY DATA'!B73=""),"",('ENTRY DATA'!B73))</f>
        <v/>
      </c>
      <c r="F73" s="12"/>
      <c r="G73" s="12"/>
      <c r="H73" s="72"/>
      <c r="I73" s="71"/>
      <c r="J73" s="72"/>
      <c r="K73" s="12"/>
      <c r="L73" s="20">
        <f t="shared" si="6"/>
        <v>0</v>
      </c>
      <c r="M73" s="19" t="str">
        <f t="shared" si="7"/>
        <v/>
      </c>
      <c r="N73" s="12"/>
      <c r="O73" s="119"/>
      <c r="P73" s="95" t="str">
        <f t="shared" si="8"/>
        <v/>
      </c>
      <c r="Q73" s="12"/>
      <c r="S73" s="128"/>
      <c r="T73" s="66"/>
      <c r="U73" s="128"/>
      <c r="W73" s="128"/>
      <c r="X73" s="12"/>
      <c r="Y73" t="str">
        <f t="shared" si="9"/>
        <v/>
      </c>
      <c r="Z73" t="str">
        <f t="shared" si="9"/>
        <v/>
      </c>
      <c r="AA73" s="12"/>
      <c r="AB73" s="95" t="e">
        <f t="shared" si="10"/>
        <v>#VALUE!</v>
      </c>
      <c r="AC73" s="95" t="e">
        <f t="shared" si="11"/>
        <v>#VALUE!</v>
      </c>
      <c r="AD73" s="12"/>
    </row>
    <row r="74" spans="1:30" ht="15.75" thickBot="1" x14ac:dyDescent="0.3">
      <c r="A74" s="12"/>
      <c r="B74" s="22"/>
      <c r="C74" t="str">
        <f>IF(AND('ENTRY DATA'!D74=""),"",('ENTRY DATA'!D74))</f>
        <v/>
      </c>
      <c r="D74" t="str">
        <f>IF(AND('ENTRY DATA'!F74=""),"",('ENTRY DATA'!F74))</f>
        <v/>
      </c>
      <c r="E74" s="34" t="str">
        <f>IF(AND('ENTRY DATA'!B74=""),"",('ENTRY DATA'!B74))</f>
        <v/>
      </c>
      <c r="F74" s="12"/>
      <c r="G74" s="12"/>
      <c r="H74" s="72"/>
      <c r="I74" s="71"/>
      <c r="J74" s="72"/>
      <c r="K74" s="12"/>
      <c r="L74" s="20">
        <f t="shared" si="6"/>
        <v>0</v>
      </c>
      <c r="M74" s="19" t="str">
        <f t="shared" si="7"/>
        <v/>
      </c>
      <c r="N74" s="12"/>
      <c r="O74" s="119"/>
      <c r="P74" s="95" t="str">
        <f t="shared" si="8"/>
        <v/>
      </c>
      <c r="Q74" s="12"/>
      <c r="S74" s="128"/>
      <c r="T74" s="66"/>
      <c r="U74" s="128"/>
      <c r="W74" s="128"/>
      <c r="X74" s="12"/>
      <c r="Y74" t="str">
        <f t="shared" si="9"/>
        <v/>
      </c>
      <c r="Z74" t="str">
        <f t="shared" si="9"/>
        <v/>
      </c>
      <c r="AA74" s="12"/>
      <c r="AB74" s="95" t="e">
        <f t="shared" si="10"/>
        <v>#VALUE!</v>
      </c>
      <c r="AC74" s="95" t="e">
        <f t="shared" si="11"/>
        <v>#VALUE!</v>
      </c>
      <c r="AD74" s="12"/>
    </row>
    <row r="75" spans="1:30" ht="15.75" thickBot="1" x14ac:dyDescent="0.3">
      <c r="A75" s="12"/>
      <c r="B75" s="22"/>
      <c r="C75" t="str">
        <f>IF(AND('ENTRY DATA'!D75=""),"",('ENTRY DATA'!D75))</f>
        <v/>
      </c>
      <c r="D75" t="str">
        <f>IF(AND('ENTRY DATA'!F75=""),"",('ENTRY DATA'!F75))</f>
        <v/>
      </c>
      <c r="E75" s="34" t="str">
        <f>IF(AND('ENTRY DATA'!B75=""),"",('ENTRY DATA'!B75))</f>
        <v/>
      </c>
      <c r="F75" s="12"/>
      <c r="G75" s="12"/>
      <c r="H75" s="72"/>
      <c r="I75" s="71"/>
      <c r="J75" s="72"/>
      <c r="K75" s="12"/>
      <c r="L75" s="20">
        <f t="shared" si="6"/>
        <v>0</v>
      </c>
      <c r="M75" s="19" t="str">
        <f t="shared" si="7"/>
        <v/>
      </c>
      <c r="N75" s="12"/>
      <c r="O75" s="119"/>
      <c r="P75" s="95" t="str">
        <f t="shared" si="8"/>
        <v/>
      </c>
      <c r="Q75" s="12"/>
      <c r="S75" s="128"/>
      <c r="T75" s="66"/>
      <c r="U75" s="128"/>
      <c r="W75" s="128"/>
      <c r="X75" s="12"/>
      <c r="Y75" t="str">
        <f t="shared" si="9"/>
        <v/>
      </c>
      <c r="Z75" t="str">
        <f t="shared" si="9"/>
        <v/>
      </c>
      <c r="AA75" s="12"/>
      <c r="AB75" s="95" t="e">
        <f t="shared" si="10"/>
        <v>#VALUE!</v>
      </c>
      <c r="AC75" s="95" t="e">
        <f t="shared" si="11"/>
        <v>#VALUE!</v>
      </c>
      <c r="AD75" s="12"/>
    </row>
    <row r="76" spans="1:30" ht="15.75" thickBot="1" x14ac:dyDescent="0.3">
      <c r="A76" s="12"/>
      <c r="B76" s="22"/>
      <c r="C76" t="str">
        <f>IF(AND('ENTRY DATA'!D76=""),"",('ENTRY DATA'!D76))</f>
        <v/>
      </c>
      <c r="D76" t="str">
        <f>IF(AND('ENTRY DATA'!F76=""),"",('ENTRY DATA'!F76))</f>
        <v/>
      </c>
      <c r="E76" s="34" t="str">
        <f>IF(AND('ENTRY DATA'!B76=""),"",('ENTRY DATA'!B76))</f>
        <v/>
      </c>
      <c r="F76" s="12"/>
      <c r="G76" s="12"/>
      <c r="H76" s="72"/>
      <c r="I76" s="71"/>
      <c r="J76" s="72"/>
      <c r="K76" s="12"/>
      <c r="L76" s="20">
        <f t="shared" si="6"/>
        <v>0</v>
      </c>
      <c r="M76" s="19" t="str">
        <f t="shared" si="7"/>
        <v/>
      </c>
      <c r="N76" s="12"/>
      <c r="O76" s="119"/>
      <c r="P76" s="95" t="str">
        <f t="shared" si="8"/>
        <v/>
      </c>
      <c r="Q76" s="12"/>
      <c r="S76" s="128"/>
      <c r="T76" s="66"/>
      <c r="U76" s="128"/>
      <c r="W76" s="128"/>
      <c r="X76" s="12"/>
      <c r="Y76" t="str">
        <f t="shared" si="9"/>
        <v/>
      </c>
      <c r="Z76" t="str">
        <f t="shared" si="9"/>
        <v/>
      </c>
      <c r="AA76" s="12"/>
      <c r="AB76" s="95" t="e">
        <f t="shared" si="10"/>
        <v>#VALUE!</v>
      </c>
      <c r="AC76" s="95" t="e">
        <f t="shared" si="11"/>
        <v>#VALUE!</v>
      </c>
      <c r="AD76" s="12"/>
    </row>
    <row r="77" spans="1:30" ht="15.75" thickBot="1" x14ac:dyDescent="0.3">
      <c r="A77" s="12"/>
      <c r="B77" s="22"/>
      <c r="C77" t="str">
        <f>IF(AND('ENTRY DATA'!D77=""),"",('ENTRY DATA'!D77))</f>
        <v/>
      </c>
      <c r="D77" t="str">
        <f>IF(AND('ENTRY DATA'!F77=""),"",('ENTRY DATA'!F77))</f>
        <v/>
      </c>
      <c r="E77" s="34" t="str">
        <f>IF(AND('ENTRY DATA'!B77=""),"",('ENTRY DATA'!B77))</f>
        <v/>
      </c>
      <c r="F77" s="12"/>
      <c r="G77" s="12"/>
      <c r="H77" s="72"/>
      <c r="I77" s="71"/>
      <c r="J77" s="72"/>
      <c r="K77" s="12"/>
      <c r="L77" s="20">
        <f t="shared" si="6"/>
        <v>0</v>
      </c>
      <c r="M77" s="19" t="str">
        <f t="shared" si="7"/>
        <v/>
      </c>
      <c r="N77" s="12"/>
      <c r="O77" s="119"/>
      <c r="P77" s="95" t="str">
        <f t="shared" si="8"/>
        <v/>
      </c>
      <c r="Q77" s="12"/>
      <c r="S77" s="128"/>
      <c r="T77" s="66"/>
      <c r="U77" s="128"/>
      <c r="W77" s="128"/>
      <c r="X77" s="12"/>
      <c r="Y77" t="str">
        <f t="shared" si="9"/>
        <v/>
      </c>
      <c r="Z77" t="str">
        <f t="shared" si="9"/>
        <v/>
      </c>
      <c r="AA77" s="12"/>
      <c r="AB77" s="95" t="e">
        <f t="shared" si="10"/>
        <v>#VALUE!</v>
      </c>
      <c r="AC77" s="95" t="e">
        <f t="shared" si="11"/>
        <v>#VALUE!</v>
      </c>
      <c r="AD77" s="12"/>
    </row>
    <row r="78" spans="1:30" ht="15.75" thickBot="1" x14ac:dyDescent="0.3">
      <c r="A78" s="12"/>
      <c r="B78" s="22"/>
      <c r="C78" t="str">
        <f>IF(AND('ENTRY DATA'!D78=""),"",('ENTRY DATA'!D78))</f>
        <v/>
      </c>
      <c r="D78" t="str">
        <f>IF(AND('ENTRY DATA'!F78=""),"",('ENTRY DATA'!F78))</f>
        <v/>
      </c>
      <c r="E78" s="34" t="str">
        <f>IF(AND('ENTRY DATA'!B78=""),"",('ENTRY DATA'!B78))</f>
        <v/>
      </c>
      <c r="F78" s="12"/>
      <c r="G78" s="12"/>
      <c r="H78" s="72"/>
      <c r="I78" s="71"/>
      <c r="J78" s="72"/>
      <c r="K78" s="12"/>
      <c r="L78" s="20">
        <f t="shared" si="6"/>
        <v>0</v>
      </c>
      <c r="M78" s="19" t="str">
        <f t="shared" si="7"/>
        <v/>
      </c>
      <c r="N78" s="12"/>
      <c r="O78" s="119"/>
      <c r="P78" s="95" t="str">
        <f t="shared" si="8"/>
        <v/>
      </c>
      <c r="Q78" s="12"/>
      <c r="S78" s="128"/>
      <c r="T78" s="66"/>
      <c r="U78" s="128"/>
      <c r="W78" s="128"/>
      <c r="X78" s="12"/>
      <c r="Y78" t="str">
        <f t="shared" si="9"/>
        <v/>
      </c>
      <c r="Z78" t="str">
        <f t="shared" si="9"/>
        <v/>
      </c>
      <c r="AA78" s="12"/>
      <c r="AB78" s="95" t="e">
        <f t="shared" si="10"/>
        <v>#VALUE!</v>
      </c>
      <c r="AC78" s="95" t="e">
        <f t="shared" si="11"/>
        <v>#VALUE!</v>
      </c>
      <c r="AD78" s="12"/>
    </row>
    <row r="79" spans="1:30" ht="15.75" thickBot="1" x14ac:dyDescent="0.3">
      <c r="A79" s="12"/>
      <c r="B79" s="22"/>
      <c r="C79" t="str">
        <f>IF(AND('ENTRY DATA'!D79=""),"",('ENTRY DATA'!D79))</f>
        <v/>
      </c>
      <c r="D79" t="str">
        <f>IF(AND('ENTRY DATA'!F79=""),"",('ENTRY DATA'!F79))</f>
        <v/>
      </c>
      <c r="E79" s="34" t="str">
        <f>IF(AND('ENTRY DATA'!B79=""),"",('ENTRY DATA'!B79))</f>
        <v/>
      </c>
      <c r="F79" s="12"/>
      <c r="G79" s="12"/>
      <c r="H79" s="72"/>
      <c r="I79" s="71"/>
      <c r="J79" s="72"/>
      <c r="K79" s="12"/>
      <c r="L79" s="20">
        <f t="shared" si="6"/>
        <v>0</v>
      </c>
      <c r="M79" s="19" t="str">
        <f t="shared" si="7"/>
        <v/>
      </c>
      <c r="N79" s="12"/>
      <c r="O79" s="119"/>
      <c r="P79" s="95" t="str">
        <f t="shared" si="8"/>
        <v/>
      </c>
      <c r="Q79" s="12"/>
      <c r="S79" s="128"/>
      <c r="T79" s="66"/>
      <c r="U79" s="128"/>
      <c r="W79" s="128"/>
      <c r="X79" s="12"/>
      <c r="Y79" t="str">
        <f t="shared" si="9"/>
        <v/>
      </c>
      <c r="Z79" t="str">
        <f t="shared" si="9"/>
        <v/>
      </c>
      <c r="AA79" s="12"/>
      <c r="AB79" s="95" t="e">
        <f t="shared" si="10"/>
        <v>#VALUE!</v>
      </c>
      <c r="AC79" s="95" t="e">
        <f t="shared" si="11"/>
        <v>#VALUE!</v>
      </c>
      <c r="AD79" s="12"/>
    </row>
    <row r="80" spans="1:30" ht="15.75" thickBot="1" x14ac:dyDescent="0.3">
      <c r="A80" s="12"/>
      <c r="B80" s="22"/>
      <c r="C80" t="str">
        <f>IF(AND('ENTRY DATA'!D80=""),"",('ENTRY DATA'!D80))</f>
        <v/>
      </c>
      <c r="D80" t="str">
        <f>IF(AND('ENTRY DATA'!F80=""),"",('ENTRY DATA'!F80))</f>
        <v/>
      </c>
      <c r="E80" s="34" t="str">
        <f>IF(AND('ENTRY DATA'!B80=""),"",('ENTRY DATA'!B80))</f>
        <v/>
      </c>
      <c r="F80" s="12"/>
      <c r="G80" s="12"/>
      <c r="H80" s="72"/>
      <c r="I80" s="71"/>
      <c r="J80" s="72"/>
      <c r="K80" s="12"/>
      <c r="L80" s="20">
        <f t="shared" si="6"/>
        <v>0</v>
      </c>
      <c r="M80" s="19" t="str">
        <f t="shared" si="7"/>
        <v/>
      </c>
      <c r="N80" s="12"/>
      <c r="O80" s="119"/>
      <c r="P80" s="95" t="str">
        <f t="shared" si="8"/>
        <v/>
      </c>
      <c r="Q80" s="12"/>
      <c r="S80" s="128"/>
      <c r="T80" s="66"/>
      <c r="U80" s="128"/>
      <c r="W80" s="128"/>
      <c r="X80" s="12"/>
      <c r="Y80" t="str">
        <f t="shared" si="9"/>
        <v/>
      </c>
      <c r="Z80" t="str">
        <f t="shared" si="9"/>
        <v/>
      </c>
      <c r="AA80" s="12"/>
      <c r="AB80" s="95" t="e">
        <f t="shared" si="10"/>
        <v>#VALUE!</v>
      </c>
      <c r="AC80" s="95" t="e">
        <f t="shared" si="11"/>
        <v>#VALUE!</v>
      </c>
      <c r="AD80" s="12"/>
    </row>
    <row r="81" spans="1:30" ht="15.75" thickBot="1" x14ac:dyDescent="0.3">
      <c r="A81" s="12"/>
      <c r="B81" s="22"/>
      <c r="C81" t="str">
        <f>IF(AND('ENTRY DATA'!D81=""),"",('ENTRY DATA'!D81))</f>
        <v/>
      </c>
      <c r="D81" t="str">
        <f>IF(AND('ENTRY DATA'!F81=""),"",('ENTRY DATA'!F81))</f>
        <v/>
      </c>
      <c r="E81" s="34" t="str">
        <f>IF(AND('ENTRY DATA'!B81=""),"",('ENTRY DATA'!B81))</f>
        <v/>
      </c>
      <c r="F81" s="12"/>
      <c r="G81" s="12"/>
      <c r="H81" s="72"/>
      <c r="I81" s="71"/>
      <c r="J81" s="72"/>
      <c r="K81" s="12"/>
      <c r="L81" s="20">
        <f t="shared" si="6"/>
        <v>0</v>
      </c>
      <c r="M81" s="19" t="str">
        <f t="shared" si="7"/>
        <v/>
      </c>
      <c r="N81" s="12"/>
      <c r="O81" s="119"/>
      <c r="P81" s="95" t="str">
        <f t="shared" si="8"/>
        <v/>
      </c>
      <c r="Q81" s="12"/>
      <c r="S81" s="128"/>
      <c r="T81" s="66"/>
      <c r="U81" s="128"/>
      <c r="W81" s="128"/>
      <c r="X81" s="12"/>
      <c r="Y81" t="str">
        <f t="shared" si="9"/>
        <v/>
      </c>
      <c r="Z81" t="str">
        <f t="shared" si="9"/>
        <v/>
      </c>
      <c r="AA81" s="12"/>
      <c r="AB81" s="95" t="e">
        <f t="shared" si="10"/>
        <v>#VALUE!</v>
      </c>
      <c r="AC81" s="95" t="e">
        <f t="shared" si="11"/>
        <v>#VALUE!</v>
      </c>
      <c r="AD81" s="12"/>
    </row>
    <row r="82" spans="1:30" ht="15.75" thickBot="1" x14ac:dyDescent="0.3">
      <c r="A82" s="12"/>
      <c r="B82" s="22"/>
      <c r="C82" t="str">
        <f>IF(AND('ENTRY DATA'!D82=""),"",('ENTRY DATA'!D82))</f>
        <v/>
      </c>
      <c r="D82" t="str">
        <f>IF(AND('ENTRY DATA'!F82=""),"",('ENTRY DATA'!F82))</f>
        <v/>
      </c>
      <c r="E82" s="34" t="str">
        <f>IF(AND('ENTRY DATA'!B82=""),"",('ENTRY DATA'!B82))</f>
        <v/>
      </c>
      <c r="F82" s="12"/>
      <c r="G82" s="12"/>
      <c r="H82" s="72"/>
      <c r="I82" s="71"/>
      <c r="J82" s="72"/>
      <c r="K82" s="12"/>
      <c r="L82" s="20">
        <f t="shared" si="6"/>
        <v>0</v>
      </c>
      <c r="M82" s="19" t="str">
        <f t="shared" si="7"/>
        <v/>
      </c>
      <c r="N82" s="12"/>
      <c r="O82" s="119"/>
      <c r="P82" s="95" t="str">
        <f t="shared" si="8"/>
        <v/>
      </c>
      <c r="Q82" s="12"/>
      <c r="S82" s="128"/>
      <c r="T82" s="66"/>
      <c r="U82" s="128"/>
      <c r="W82" s="128"/>
      <c r="X82" s="12"/>
      <c r="Y82" t="str">
        <f t="shared" si="9"/>
        <v/>
      </c>
      <c r="Z82" t="str">
        <f t="shared" si="9"/>
        <v/>
      </c>
      <c r="AA82" s="12"/>
      <c r="AB82" s="95" t="e">
        <f t="shared" si="10"/>
        <v>#VALUE!</v>
      </c>
      <c r="AC82" s="95" t="e">
        <f t="shared" si="11"/>
        <v>#VALUE!</v>
      </c>
      <c r="AD82" s="12"/>
    </row>
    <row r="83" spans="1:30" ht="15.75" thickBot="1" x14ac:dyDescent="0.3">
      <c r="A83" s="12"/>
      <c r="B83" s="22"/>
      <c r="C83" t="str">
        <f>IF(AND('ENTRY DATA'!D83=""),"",('ENTRY DATA'!D83))</f>
        <v/>
      </c>
      <c r="D83" t="str">
        <f>IF(AND('ENTRY DATA'!F83=""),"",('ENTRY DATA'!F83))</f>
        <v/>
      </c>
      <c r="E83" s="34" t="str">
        <f>IF(AND('ENTRY DATA'!B83=""),"",('ENTRY DATA'!B83))</f>
        <v/>
      </c>
      <c r="F83" s="12"/>
      <c r="G83" s="12"/>
      <c r="H83" s="72"/>
      <c r="I83" s="71"/>
      <c r="J83" s="72"/>
      <c r="K83" s="12"/>
      <c r="L83" s="20">
        <f t="shared" si="6"/>
        <v>0</v>
      </c>
      <c r="M83" s="19" t="str">
        <f t="shared" si="7"/>
        <v/>
      </c>
      <c r="N83" s="12"/>
      <c r="O83" s="119"/>
      <c r="P83" s="95" t="str">
        <f t="shared" si="8"/>
        <v/>
      </c>
      <c r="Q83" s="12"/>
      <c r="S83" s="128"/>
      <c r="T83" s="66"/>
      <c r="U83" s="128"/>
      <c r="W83" s="128"/>
      <c r="X83" s="12"/>
      <c r="Y83" t="str">
        <f t="shared" si="9"/>
        <v/>
      </c>
      <c r="Z83" t="str">
        <f t="shared" si="9"/>
        <v/>
      </c>
      <c r="AA83" s="12"/>
      <c r="AB83" s="95" t="e">
        <f t="shared" si="10"/>
        <v>#VALUE!</v>
      </c>
      <c r="AC83" s="95" t="e">
        <f t="shared" si="11"/>
        <v>#VALUE!</v>
      </c>
      <c r="AD83" s="12"/>
    </row>
    <row r="84" spans="1:30" ht="15.75" thickBot="1" x14ac:dyDescent="0.3">
      <c r="A84" s="12"/>
      <c r="B84" s="22"/>
      <c r="C84" t="str">
        <f>IF(AND('ENTRY DATA'!D84=""),"",('ENTRY DATA'!D84))</f>
        <v/>
      </c>
      <c r="D84" t="str">
        <f>IF(AND('ENTRY DATA'!F84=""),"",('ENTRY DATA'!F84))</f>
        <v/>
      </c>
      <c r="E84" s="34" t="str">
        <f>IF(AND('ENTRY DATA'!B84=""),"",('ENTRY DATA'!B84))</f>
        <v/>
      </c>
      <c r="F84" s="12"/>
      <c r="G84" s="12"/>
      <c r="H84" s="72"/>
      <c r="I84" s="71"/>
      <c r="J84" s="72"/>
      <c r="K84" s="12"/>
      <c r="L84" s="20">
        <f t="shared" si="6"/>
        <v>0</v>
      </c>
      <c r="M84" s="19" t="str">
        <f t="shared" si="7"/>
        <v/>
      </c>
      <c r="N84" s="12"/>
      <c r="O84" s="119"/>
      <c r="P84" s="95" t="str">
        <f t="shared" si="8"/>
        <v/>
      </c>
      <c r="Q84" s="12"/>
      <c r="S84" s="128"/>
      <c r="T84" s="66"/>
      <c r="U84" s="128"/>
      <c r="W84" s="128"/>
      <c r="X84" s="12"/>
      <c r="Y84" t="str">
        <f t="shared" si="9"/>
        <v/>
      </c>
      <c r="Z84" t="str">
        <f t="shared" si="9"/>
        <v/>
      </c>
      <c r="AA84" s="12"/>
      <c r="AB84" s="95" t="e">
        <f t="shared" si="10"/>
        <v>#VALUE!</v>
      </c>
      <c r="AC84" s="95" t="e">
        <f t="shared" si="11"/>
        <v>#VALUE!</v>
      </c>
      <c r="AD84" s="12"/>
    </row>
    <row r="85" spans="1:30" ht="15.75" thickBot="1" x14ac:dyDescent="0.3">
      <c r="A85" s="12"/>
      <c r="B85" s="22"/>
      <c r="C85" t="str">
        <f>IF(AND('ENTRY DATA'!D85=""),"",('ENTRY DATA'!D85))</f>
        <v/>
      </c>
      <c r="D85" t="str">
        <f>IF(AND('ENTRY DATA'!F85=""),"",('ENTRY DATA'!F85))</f>
        <v/>
      </c>
      <c r="E85" s="34" t="str">
        <f>IF(AND('ENTRY DATA'!B85=""),"",('ENTRY DATA'!B85))</f>
        <v/>
      </c>
      <c r="F85" s="12"/>
      <c r="G85" s="12"/>
      <c r="H85" s="72"/>
      <c r="I85" s="71"/>
      <c r="J85" s="72"/>
      <c r="K85" s="12"/>
      <c r="L85" s="20">
        <f t="shared" si="6"/>
        <v>0</v>
      </c>
      <c r="M85" s="19" t="str">
        <f t="shared" si="7"/>
        <v/>
      </c>
      <c r="N85" s="12"/>
      <c r="O85" s="119"/>
      <c r="P85" s="95" t="str">
        <f t="shared" si="8"/>
        <v/>
      </c>
      <c r="Q85" s="12"/>
      <c r="S85" s="128"/>
      <c r="T85" s="66"/>
      <c r="U85" s="128"/>
      <c r="W85" s="128"/>
      <c r="X85" s="12"/>
      <c r="Y85" t="str">
        <f t="shared" si="9"/>
        <v/>
      </c>
      <c r="Z85" t="str">
        <f t="shared" si="9"/>
        <v/>
      </c>
      <c r="AA85" s="12"/>
      <c r="AB85" s="95" t="e">
        <f t="shared" si="10"/>
        <v>#VALUE!</v>
      </c>
      <c r="AC85" s="95" t="e">
        <f t="shared" si="11"/>
        <v>#VALUE!</v>
      </c>
      <c r="AD85" s="12"/>
    </row>
    <row r="86" spans="1:30" ht="15.75" thickBot="1" x14ac:dyDescent="0.3">
      <c r="A86" s="12"/>
      <c r="B86" s="22"/>
      <c r="C86" t="str">
        <f>IF(AND('ENTRY DATA'!D86=""),"",('ENTRY DATA'!D86))</f>
        <v/>
      </c>
      <c r="D86" t="str">
        <f>IF(AND('ENTRY DATA'!F86=""),"",('ENTRY DATA'!F86))</f>
        <v/>
      </c>
      <c r="E86" s="34" t="str">
        <f>IF(AND('ENTRY DATA'!B86=""),"",('ENTRY DATA'!B86))</f>
        <v/>
      </c>
      <c r="F86" s="12"/>
      <c r="G86" s="12"/>
      <c r="H86" s="72"/>
      <c r="I86" s="71"/>
      <c r="J86" s="72"/>
      <c r="K86" s="12"/>
      <c r="L86" s="20">
        <f t="shared" si="6"/>
        <v>0</v>
      </c>
      <c r="M86" s="19" t="str">
        <f t="shared" si="7"/>
        <v/>
      </c>
      <c r="N86" s="12"/>
      <c r="O86" s="119"/>
      <c r="P86" s="95" t="str">
        <f t="shared" si="8"/>
        <v/>
      </c>
      <c r="Q86" s="12"/>
      <c r="S86" s="128"/>
      <c r="T86" s="66"/>
      <c r="U86" s="128"/>
      <c r="W86" s="128"/>
      <c r="X86" s="12"/>
      <c r="Y86" t="str">
        <f t="shared" si="9"/>
        <v/>
      </c>
      <c r="Z86" t="str">
        <f t="shared" si="9"/>
        <v/>
      </c>
      <c r="AA86" s="12"/>
      <c r="AB86" s="95" t="e">
        <f t="shared" si="10"/>
        <v>#VALUE!</v>
      </c>
      <c r="AC86" s="95" t="e">
        <f t="shared" si="11"/>
        <v>#VALUE!</v>
      </c>
      <c r="AD86" s="12"/>
    </row>
    <row r="87" spans="1:30" ht="15.75" thickBot="1" x14ac:dyDescent="0.3">
      <c r="A87" s="12"/>
      <c r="B87" s="22"/>
      <c r="C87" t="str">
        <f>IF(AND('ENTRY DATA'!D87=""),"",('ENTRY DATA'!D87))</f>
        <v/>
      </c>
      <c r="D87" t="str">
        <f>IF(AND('ENTRY DATA'!F87=""),"",('ENTRY DATA'!F87))</f>
        <v/>
      </c>
      <c r="E87" s="34" t="str">
        <f>IF(AND('ENTRY DATA'!B87=""),"",('ENTRY DATA'!B87))</f>
        <v/>
      </c>
      <c r="F87" s="12"/>
      <c r="G87" s="12"/>
      <c r="H87" s="72"/>
      <c r="I87" s="71"/>
      <c r="J87" s="72"/>
      <c r="K87" s="12"/>
      <c r="L87" s="20">
        <f t="shared" si="6"/>
        <v>0</v>
      </c>
      <c r="M87" s="19" t="str">
        <f t="shared" si="7"/>
        <v/>
      </c>
      <c r="N87" s="12"/>
      <c r="O87" s="119"/>
      <c r="P87" s="95" t="str">
        <f t="shared" si="8"/>
        <v/>
      </c>
      <c r="Q87" s="12"/>
      <c r="S87" s="128"/>
      <c r="T87" s="66"/>
      <c r="U87" s="128"/>
      <c r="W87" s="128"/>
      <c r="X87" s="12"/>
      <c r="Y87" t="str">
        <f t="shared" si="9"/>
        <v/>
      </c>
      <c r="Z87" t="str">
        <f t="shared" si="9"/>
        <v/>
      </c>
      <c r="AA87" s="12"/>
      <c r="AB87" s="95" t="e">
        <f t="shared" si="10"/>
        <v>#VALUE!</v>
      </c>
      <c r="AC87" s="95" t="e">
        <f t="shared" si="11"/>
        <v>#VALUE!</v>
      </c>
      <c r="AD87" s="12"/>
    </row>
    <row r="88" spans="1:30" ht="15.75" thickBot="1" x14ac:dyDescent="0.3">
      <c r="A88" s="12"/>
      <c r="B88" s="22"/>
      <c r="C88" t="str">
        <f>IF(AND('ENTRY DATA'!D88=""),"",('ENTRY DATA'!D88))</f>
        <v/>
      </c>
      <c r="D88" t="str">
        <f>IF(AND('ENTRY DATA'!F88=""),"",('ENTRY DATA'!F88))</f>
        <v/>
      </c>
      <c r="E88" s="34" t="str">
        <f>IF(AND('ENTRY DATA'!B88=""),"",('ENTRY DATA'!B88))</f>
        <v/>
      </c>
      <c r="F88" s="12"/>
      <c r="G88" s="12"/>
      <c r="H88" s="72"/>
      <c r="I88" s="71"/>
      <c r="J88" s="72"/>
      <c r="K88" s="12"/>
      <c r="L88" s="20">
        <f t="shared" si="6"/>
        <v>0</v>
      </c>
      <c r="M88" s="19" t="str">
        <f t="shared" si="7"/>
        <v/>
      </c>
      <c r="N88" s="12"/>
      <c r="O88" s="119"/>
      <c r="P88" s="95" t="str">
        <f t="shared" si="8"/>
        <v/>
      </c>
      <c r="Q88" s="12"/>
      <c r="S88" s="128"/>
      <c r="T88" s="66"/>
      <c r="U88" s="128"/>
      <c r="W88" s="128"/>
      <c r="X88" s="12"/>
      <c r="Y88" t="str">
        <f t="shared" si="9"/>
        <v/>
      </c>
      <c r="Z88" t="str">
        <f t="shared" si="9"/>
        <v/>
      </c>
      <c r="AA88" s="12"/>
      <c r="AB88" s="95" t="e">
        <f t="shared" si="10"/>
        <v>#VALUE!</v>
      </c>
      <c r="AC88" s="95" t="e">
        <f t="shared" si="11"/>
        <v>#VALUE!</v>
      </c>
      <c r="AD88" s="12"/>
    </row>
    <row r="89" spans="1:30" ht="15.75" thickBot="1" x14ac:dyDescent="0.3">
      <c r="A89" s="12"/>
      <c r="B89" s="22"/>
      <c r="C89" t="str">
        <f>IF(AND('ENTRY DATA'!D89=""),"",('ENTRY DATA'!D89))</f>
        <v/>
      </c>
      <c r="D89" t="str">
        <f>IF(AND('ENTRY DATA'!F89=""),"",('ENTRY DATA'!F89))</f>
        <v/>
      </c>
      <c r="E89" s="34" t="str">
        <f>IF(AND('ENTRY DATA'!B89=""),"",('ENTRY DATA'!B89))</f>
        <v/>
      </c>
      <c r="F89" s="12"/>
      <c r="G89" s="12"/>
      <c r="H89" s="72"/>
      <c r="I89" s="71"/>
      <c r="J89" s="72"/>
      <c r="K89" s="12"/>
      <c r="L89" s="20">
        <f t="shared" si="6"/>
        <v>0</v>
      </c>
      <c r="M89" s="19" t="str">
        <f t="shared" si="7"/>
        <v/>
      </c>
      <c r="N89" s="12"/>
      <c r="O89" s="119"/>
      <c r="P89" s="95" t="str">
        <f t="shared" si="8"/>
        <v/>
      </c>
      <c r="Q89" s="12"/>
      <c r="S89" s="128"/>
      <c r="T89" s="66"/>
      <c r="U89" s="128"/>
      <c r="W89" s="128"/>
      <c r="X89" s="12"/>
      <c r="Y89" t="str">
        <f t="shared" si="9"/>
        <v/>
      </c>
      <c r="Z89" t="str">
        <f t="shared" si="9"/>
        <v/>
      </c>
      <c r="AA89" s="12"/>
      <c r="AB89" s="95" t="e">
        <f t="shared" si="10"/>
        <v>#VALUE!</v>
      </c>
      <c r="AC89" s="95" t="e">
        <f t="shared" si="11"/>
        <v>#VALUE!</v>
      </c>
      <c r="AD89" s="12"/>
    </row>
    <row r="90" spans="1:30" ht="15.75" thickBot="1" x14ac:dyDescent="0.3">
      <c r="A90" s="12"/>
      <c r="B90" s="22"/>
      <c r="C90" t="str">
        <f>IF(AND('ENTRY DATA'!D90=""),"",('ENTRY DATA'!D90))</f>
        <v/>
      </c>
      <c r="D90" t="str">
        <f>IF(AND('ENTRY DATA'!F90=""),"",('ENTRY DATA'!F90))</f>
        <v/>
      </c>
      <c r="E90" s="34" t="str">
        <f>IF(AND('ENTRY DATA'!B90=""),"",('ENTRY DATA'!B90))</f>
        <v/>
      </c>
      <c r="F90" s="12"/>
      <c r="G90" s="12"/>
      <c r="H90" s="72"/>
      <c r="I90" s="71"/>
      <c r="J90" s="72"/>
      <c r="K90" s="12"/>
      <c r="L90" s="20">
        <f t="shared" si="6"/>
        <v>0</v>
      </c>
      <c r="M90" s="19" t="str">
        <f t="shared" si="7"/>
        <v/>
      </c>
      <c r="N90" s="12"/>
      <c r="O90" s="119"/>
      <c r="P90" s="95" t="str">
        <f t="shared" si="8"/>
        <v/>
      </c>
      <c r="Q90" s="12"/>
      <c r="S90" s="128"/>
      <c r="T90" s="66"/>
      <c r="U90" s="128"/>
      <c r="W90" s="128"/>
      <c r="X90" s="12"/>
      <c r="Y90" t="str">
        <f t="shared" si="9"/>
        <v/>
      </c>
      <c r="Z90" t="str">
        <f t="shared" si="9"/>
        <v/>
      </c>
      <c r="AA90" s="12"/>
      <c r="AB90" s="95" t="e">
        <f t="shared" si="10"/>
        <v>#VALUE!</v>
      </c>
      <c r="AC90" s="95" t="e">
        <f t="shared" si="11"/>
        <v>#VALUE!</v>
      </c>
      <c r="AD90" s="12"/>
    </row>
    <row r="91" spans="1:30" ht="15.75" thickBot="1" x14ac:dyDescent="0.3">
      <c r="A91" s="12"/>
      <c r="B91" s="22"/>
      <c r="C91" t="str">
        <f>IF(AND('ENTRY DATA'!D91=""),"",('ENTRY DATA'!D91))</f>
        <v/>
      </c>
      <c r="D91" t="str">
        <f>IF(AND('ENTRY DATA'!F91=""),"",('ENTRY DATA'!F91))</f>
        <v/>
      </c>
      <c r="E91" s="34" t="str">
        <f>IF(AND('ENTRY DATA'!B91=""),"",('ENTRY DATA'!B91))</f>
        <v/>
      </c>
      <c r="F91" s="12"/>
      <c r="G91" s="12"/>
      <c r="H91" s="72"/>
      <c r="I91" s="71"/>
      <c r="J91" s="72"/>
      <c r="K91" s="12"/>
      <c r="L91" s="20">
        <f t="shared" si="6"/>
        <v>0</v>
      </c>
      <c r="M91" s="19" t="str">
        <f t="shared" si="7"/>
        <v/>
      </c>
      <c r="N91" s="12"/>
      <c r="O91" s="119"/>
      <c r="P91" s="95" t="str">
        <f t="shared" si="8"/>
        <v/>
      </c>
      <c r="Q91" s="12"/>
      <c r="S91" s="128"/>
      <c r="T91" s="66"/>
      <c r="U91" s="128"/>
      <c r="W91" s="128"/>
      <c r="X91" s="12"/>
      <c r="Y91" t="str">
        <f t="shared" si="9"/>
        <v/>
      </c>
      <c r="Z91" t="str">
        <f t="shared" si="9"/>
        <v/>
      </c>
      <c r="AA91" s="12"/>
      <c r="AB91" s="95" t="e">
        <f t="shared" si="10"/>
        <v>#VALUE!</v>
      </c>
      <c r="AC91" s="95" t="e">
        <f t="shared" si="11"/>
        <v>#VALUE!</v>
      </c>
      <c r="AD91" s="12"/>
    </row>
    <row r="92" spans="1:30" ht="15.75" thickBot="1" x14ac:dyDescent="0.3">
      <c r="A92" s="12"/>
      <c r="B92" s="22"/>
      <c r="C92" t="str">
        <f>IF(AND('ENTRY DATA'!D92=""),"",('ENTRY DATA'!D92))</f>
        <v/>
      </c>
      <c r="D92" t="str">
        <f>IF(AND('ENTRY DATA'!F92=""),"",('ENTRY DATA'!F92))</f>
        <v/>
      </c>
      <c r="E92" s="34" t="str">
        <f>IF(AND('ENTRY DATA'!B92=""),"",('ENTRY DATA'!B92))</f>
        <v/>
      </c>
      <c r="F92" s="12"/>
      <c r="G92" s="12"/>
      <c r="H92" s="72"/>
      <c r="I92" s="71"/>
      <c r="J92" s="72"/>
      <c r="K92" s="12"/>
      <c r="L92" s="20">
        <f t="shared" si="6"/>
        <v>0</v>
      </c>
      <c r="M92" s="19" t="str">
        <f t="shared" si="7"/>
        <v/>
      </c>
      <c r="N92" s="12"/>
      <c r="O92" s="119"/>
      <c r="P92" s="95" t="str">
        <f t="shared" si="8"/>
        <v/>
      </c>
      <c r="Q92" s="12"/>
      <c r="S92" s="128"/>
      <c r="T92" s="66"/>
      <c r="U92" s="128"/>
      <c r="W92" s="128"/>
      <c r="X92" s="12"/>
      <c r="Y92" t="str">
        <f t="shared" si="9"/>
        <v/>
      </c>
      <c r="Z92" t="str">
        <f t="shared" si="9"/>
        <v/>
      </c>
      <c r="AA92" s="12"/>
      <c r="AB92" s="95" t="e">
        <f t="shared" si="10"/>
        <v>#VALUE!</v>
      </c>
      <c r="AC92" s="95" t="e">
        <f t="shared" si="11"/>
        <v>#VALUE!</v>
      </c>
      <c r="AD92" s="12"/>
    </row>
    <row r="93" spans="1:30" ht="15.75" thickBot="1" x14ac:dyDescent="0.3">
      <c r="A93" s="12"/>
      <c r="B93" s="22"/>
      <c r="C93" t="str">
        <f>IF(AND('ENTRY DATA'!D93=""),"",('ENTRY DATA'!D93))</f>
        <v/>
      </c>
      <c r="D93" t="str">
        <f>IF(AND('ENTRY DATA'!F93=""),"",('ENTRY DATA'!F93))</f>
        <v/>
      </c>
      <c r="E93" s="34" t="str">
        <f>IF(AND('ENTRY DATA'!B93=""),"",('ENTRY DATA'!B93))</f>
        <v/>
      </c>
      <c r="F93" s="12"/>
      <c r="G93" s="12"/>
      <c r="H93" s="72"/>
      <c r="I93" s="71"/>
      <c r="J93" s="72"/>
      <c r="K93" s="12"/>
      <c r="L93" s="20">
        <f t="shared" si="6"/>
        <v>0</v>
      </c>
      <c r="M93" s="19" t="str">
        <f t="shared" si="7"/>
        <v/>
      </c>
      <c r="N93" s="12"/>
      <c r="O93" s="119"/>
      <c r="P93" s="95" t="str">
        <f t="shared" si="8"/>
        <v/>
      </c>
      <c r="Q93" s="12"/>
      <c r="S93" s="128"/>
      <c r="T93" s="66"/>
      <c r="U93" s="128"/>
      <c r="W93" s="128"/>
      <c r="X93" s="12"/>
      <c r="Y93" t="str">
        <f t="shared" si="9"/>
        <v/>
      </c>
      <c r="Z93" t="str">
        <f t="shared" si="9"/>
        <v/>
      </c>
      <c r="AA93" s="12"/>
      <c r="AB93" s="95" t="e">
        <f t="shared" si="10"/>
        <v>#VALUE!</v>
      </c>
      <c r="AC93" s="95" t="e">
        <f t="shared" si="11"/>
        <v>#VALUE!</v>
      </c>
      <c r="AD93" s="12"/>
    </row>
    <row r="94" spans="1:30" ht="15.75" thickBot="1" x14ac:dyDescent="0.3">
      <c r="A94" s="12"/>
      <c r="B94" s="22"/>
      <c r="C94" t="str">
        <f>IF(AND('ENTRY DATA'!D94=""),"",('ENTRY DATA'!D94))</f>
        <v/>
      </c>
      <c r="D94" t="str">
        <f>IF(AND('ENTRY DATA'!F94=""),"",('ENTRY DATA'!F94))</f>
        <v/>
      </c>
      <c r="E94" s="34" t="str">
        <f>IF(AND('ENTRY DATA'!B94=""),"",('ENTRY DATA'!B94))</f>
        <v/>
      </c>
      <c r="F94" s="12"/>
      <c r="G94" s="12"/>
      <c r="H94" s="72"/>
      <c r="I94" s="71"/>
      <c r="J94" s="72"/>
      <c r="K94" s="12"/>
      <c r="L94" s="20">
        <f t="shared" si="6"/>
        <v>0</v>
      </c>
      <c r="M94" s="19" t="str">
        <f t="shared" si="7"/>
        <v/>
      </c>
      <c r="N94" s="12"/>
      <c r="O94" s="119"/>
      <c r="P94" s="95" t="str">
        <f t="shared" si="8"/>
        <v/>
      </c>
      <c r="Q94" s="12"/>
      <c r="S94" s="128"/>
      <c r="T94" s="66"/>
      <c r="U94" s="128"/>
      <c r="W94" s="128"/>
      <c r="X94" s="12"/>
      <c r="Y94" t="str">
        <f t="shared" si="9"/>
        <v/>
      </c>
      <c r="Z94" t="str">
        <f t="shared" si="9"/>
        <v/>
      </c>
      <c r="AA94" s="12"/>
      <c r="AB94" s="95" t="e">
        <f t="shared" si="10"/>
        <v>#VALUE!</v>
      </c>
      <c r="AC94" s="95" t="e">
        <f t="shared" si="11"/>
        <v>#VALUE!</v>
      </c>
      <c r="AD94" s="12"/>
    </row>
    <row r="95" spans="1:30" ht="15.75" thickBot="1" x14ac:dyDescent="0.3">
      <c r="A95" s="12"/>
      <c r="B95" s="22"/>
      <c r="C95" t="str">
        <f>IF(AND('ENTRY DATA'!D95=""),"",('ENTRY DATA'!D95))</f>
        <v/>
      </c>
      <c r="D95" t="str">
        <f>IF(AND('ENTRY DATA'!F95=""),"",('ENTRY DATA'!F95))</f>
        <v/>
      </c>
      <c r="E95" s="34" t="str">
        <f>IF(AND('ENTRY DATA'!B95=""),"",('ENTRY DATA'!B95))</f>
        <v/>
      </c>
      <c r="F95" s="12"/>
      <c r="G95" s="12"/>
      <c r="H95" s="72"/>
      <c r="I95" s="71"/>
      <c r="J95" s="72"/>
      <c r="K95" s="12"/>
      <c r="L95" s="20">
        <f t="shared" si="6"/>
        <v>0</v>
      </c>
      <c r="M95" s="19" t="str">
        <f t="shared" si="7"/>
        <v/>
      </c>
      <c r="N95" s="12"/>
      <c r="O95" s="119"/>
      <c r="P95" s="95" t="str">
        <f t="shared" si="8"/>
        <v/>
      </c>
      <c r="Q95" s="12"/>
      <c r="S95" s="128"/>
      <c r="T95" s="66"/>
      <c r="U95" s="128"/>
      <c r="W95" s="128"/>
      <c r="X95" s="12"/>
      <c r="Y95" t="str">
        <f t="shared" si="9"/>
        <v/>
      </c>
      <c r="Z95" t="str">
        <f t="shared" si="9"/>
        <v/>
      </c>
      <c r="AA95" s="12"/>
      <c r="AB95" s="95" t="e">
        <f t="shared" si="10"/>
        <v>#VALUE!</v>
      </c>
      <c r="AC95" s="95" t="e">
        <f t="shared" si="11"/>
        <v>#VALUE!</v>
      </c>
      <c r="AD95" s="12"/>
    </row>
    <row r="96" spans="1:30" ht="15.75" thickBot="1" x14ac:dyDescent="0.3">
      <c r="A96" s="12"/>
      <c r="B96" s="22"/>
      <c r="C96" t="str">
        <f>IF(AND('ENTRY DATA'!D96=""),"",('ENTRY DATA'!D96))</f>
        <v/>
      </c>
      <c r="D96" t="str">
        <f>IF(AND('ENTRY DATA'!F96=""),"",('ENTRY DATA'!F96))</f>
        <v/>
      </c>
      <c r="E96" s="34" t="str">
        <f>IF(AND('ENTRY DATA'!B96=""),"",('ENTRY DATA'!B96))</f>
        <v/>
      </c>
      <c r="F96" s="12"/>
      <c r="G96" s="12"/>
      <c r="H96" s="72"/>
      <c r="I96" s="71"/>
      <c r="J96" s="72"/>
      <c r="K96" s="12"/>
      <c r="L96" s="20">
        <f t="shared" si="6"/>
        <v>0</v>
      </c>
      <c r="M96" s="19" t="str">
        <f t="shared" si="7"/>
        <v/>
      </c>
      <c r="N96" s="12"/>
      <c r="O96" s="119"/>
      <c r="P96" s="95" t="str">
        <f t="shared" si="8"/>
        <v/>
      </c>
      <c r="Q96" s="12"/>
      <c r="S96" s="128"/>
      <c r="T96" s="66"/>
      <c r="U96" s="128"/>
      <c r="W96" s="128"/>
      <c r="X96" s="12"/>
      <c r="Y96" t="str">
        <f t="shared" si="9"/>
        <v/>
      </c>
      <c r="Z96" t="str">
        <f t="shared" si="9"/>
        <v/>
      </c>
      <c r="AA96" s="12"/>
      <c r="AB96" s="95" t="e">
        <f t="shared" si="10"/>
        <v>#VALUE!</v>
      </c>
      <c r="AC96" s="95" t="e">
        <f t="shared" si="11"/>
        <v>#VALUE!</v>
      </c>
      <c r="AD96" s="12"/>
    </row>
    <row r="97" spans="1:30" ht="15.75" thickBot="1" x14ac:dyDescent="0.3">
      <c r="A97" s="12"/>
      <c r="B97" s="22"/>
      <c r="C97" t="str">
        <f>IF(AND('ENTRY DATA'!D97=""),"",('ENTRY DATA'!D97))</f>
        <v/>
      </c>
      <c r="D97" t="str">
        <f>IF(AND('ENTRY DATA'!F97=""),"",('ENTRY DATA'!F97))</f>
        <v/>
      </c>
      <c r="E97" s="34" t="str">
        <f>IF(AND('ENTRY DATA'!B97=""),"",('ENTRY DATA'!B97))</f>
        <v/>
      </c>
      <c r="F97" s="12"/>
      <c r="G97" s="12"/>
      <c r="H97" s="72"/>
      <c r="I97" s="71"/>
      <c r="J97" s="72"/>
      <c r="K97" s="12"/>
      <c r="L97" s="20">
        <f t="shared" si="6"/>
        <v>0</v>
      </c>
      <c r="M97" s="19" t="str">
        <f t="shared" si="7"/>
        <v/>
      </c>
      <c r="N97" s="12"/>
      <c r="O97" s="119"/>
      <c r="P97" s="95" t="str">
        <f t="shared" si="8"/>
        <v/>
      </c>
      <c r="Q97" s="12"/>
      <c r="S97" s="128"/>
      <c r="T97" s="66"/>
      <c r="U97" s="128"/>
      <c r="W97" s="128"/>
      <c r="X97" s="12"/>
      <c r="Y97" t="str">
        <f t="shared" si="9"/>
        <v/>
      </c>
      <c r="Z97" t="str">
        <f t="shared" si="9"/>
        <v/>
      </c>
      <c r="AA97" s="12"/>
      <c r="AB97" s="95" t="e">
        <f t="shared" si="10"/>
        <v>#VALUE!</v>
      </c>
      <c r="AC97" s="95" t="e">
        <f t="shared" si="11"/>
        <v>#VALUE!</v>
      </c>
      <c r="AD97" s="12"/>
    </row>
    <row r="98" spans="1:30" ht="15.75" thickBot="1" x14ac:dyDescent="0.3">
      <c r="A98" s="12"/>
      <c r="B98" s="22"/>
      <c r="C98" t="str">
        <f>IF(AND('ENTRY DATA'!D98=""),"",('ENTRY DATA'!D98))</f>
        <v/>
      </c>
      <c r="D98" t="str">
        <f>IF(AND('ENTRY DATA'!F98=""),"",('ENTRY DATA'!F98))</f>
        <v/>
      </c>
      <c r="E98" s="34" t="str">
        <f>IF(AND('ENTRY DATA'!B98=""),"",('ENTRY DATA'!B98))</f>
        <v/>
      </c>
      <c r="F98" s="12"/>
      <c r="G98" s="12"/>
      <c r="H98" s="72"/>
      <c r="I98" s="71"/>
      <c r="J98" s="72"/>
      <c r="K98" s="12"/>
      <c r="L98" s="20">
        <f t="shared" si="6"/>
        <v>0</v>
      </c>
      <c r="M98" s="19" t="str">
        <f t="shared" si="7"/>
        <v/>
      </c>
      <c r="N98" s="12"/>
      <c r="O98" s="119"/>
      <c r="P98" s="95" t="str">
        <f t="shared" si="8"/>
        <v/>
      </c>
      <c r="Q98" s="12"/>
      <c r="S98" s="128"/>
      <c r="T98" s="66"/>
      <c r="U98" s="128"/>
      <c r="W98" s="128"/>
      <c r="X98" s="12"/>
      <c r="Y98" t="str">
        <f t="shared" si="9"/>
        <v/>
      </c>
      <c r="Z98" t="str">
        <f t="shared" si="9"/>
        <v/>
      </c>
      <c r="AA98" s="12"/>
      <c r="AB98" s="95" t="e">
        <f t="shared" si="10"/>
        <v>#VALUE!</v>
      </c>
      <c r="AC98" s="95" t="e">
        <f t="shared" si="11"/>
        <v>#VALUE!</v>
      </c>
      <c r="AD98" s="12"/>
    </row>
    <row r="99" spans="1:30" ht="15.75" thickBot="1" x14ac:dyDescent="0.3">
      <c r="A99" s="12"/>
      <c r="B99" s="22"/>
      <c r="C99" t="str">
        <f>IF(AND('ENTRY DATA'!D99=""),"",('ENTRY DATA'!D99))</f>
        <v/>
      </c>
      <c r="D99" t="str">
        <f>IF(AND('ENTRY DATA'!F99=""),"",('ENTRY DATA'!F99))</f>
        <v/>
      </c>
      <c r="E99" s="34" t="str">
        <f>IF(AND('ENTRY DATA'!B99=""),"",('ENTRY DATA'!B99))</f>
        <v/>
      </c>
      <c r="F99" s="12"/>
      <c r="G99" s="12"/>
      <c r="H99" s="72"/>
      <c r="I99" s="71"/>
      <c r="J99" s="72"/>
      <c r="K99" s="12"/>
      <c r="L99" s="20">
        <f t="shared" si="6"/>
        <v>0</v>
      </c>
      <c r="M99" s="19" t="str">
        <f t="shared" si="7"/>
        <v/>
      </c>
      <c r="N99" s="12"/>
      <c r="O99" s="119"/>
      <c r="P99" s="95" t="str">
        <f t="shared" si="8"/>
        <v/>
      </c>
      <c r="Q99" s="12"/>
      <c r="S99" s="128"/>
      <c r="T99" s="66"/>
      <c r="U99" s="128"/>
      <c r="W99" s="128"/>
      <c r="X99" s="12"/>
      <c r="Y99" t="str">
        <f t="shared" si="9"/>
        <v/>
      </c>
      <c r="Z99" t="str">
        <f t="shared" si="9"/>
        <v/>
      </c>
      <c r="AA99" s="12"/>
      <c r="AB99" s="95" t="e">
        <f t="shared" si="10"/>
        <v>#VALUE!</v>
      </c>
      <c r="AC99" s="95" t="e">
        <f t="shared" si="11"/>
        <v>#VALUE!</v>
      </c>
      <c r="AD99" s="12"/>
    </row>
    <row r="100" spans="1:30" ht="15.75" thickBot="1" x14ac:dyDescent="0.3">
      <c r="A100" s="12"/>
      <c r="B100" s="22"/>
      <c r="C100" t="str">
        <f>IF(AND('ENTRY DATA'!D100=""),"",('ENTRY DATA'!D100))</f>
        <v/>
      </c>
      <c r="D100" t="str">
        <f>IF(AND('ENTRY DATA'!F100=""),"",('ENTRY DATA'!F100))</f>
        <v/>
      </c>
      <c r="E100" s="34" t="str">
        <f>IF(AND('ENTRY DATA'!B100=""),"",('ENTRY DATA'!B100))</f>
        <v/>
      </c>
      <c r="F100" s="12"/>
      <c r="G100" s="12"/>
      <c r="H100" s="72"/>
      <c r="I100" s="71"/>
      <c r="J100" s="72"/>
      <c r="K100" s="12"/>
      <c r="L100" s="20">
        <f t="shared" si="6"/>
        <v>0</v>
      </c>
      <c r="M100" s="19" t="str">
        <f t="shared" si="7"/>
        <v/>
      </c>
      <c r="N100" s="12"/>
      <c r="O100" s="119"/>
      <c r="P100" s="95" t="str">
        <f t="shared" si="8"/>
        <v/>
      </c>
      <c r="Q100" s="12"/>
      <c r="S100" s="128"/>
      <c r="T100" s="66"/>
      <c r="U100" s="128"/>
      <c r="W100" s="128"/>
      <c r="X100" s="12"/>
      <c r="Y100" t="str">
        <f t="shared" si="9"/>
        <v/>
      </c>
      <c r="Z100" t="str">
        <f t="shared" si="9"/>
        <v/>
      </c>
      <c r="AA100" s="12"/>
      <c r="AB100" s="95" t="e">
        <f t="shared" si="10"/>
        <v>#VALUE!</v>
      </c>
      <c r="AC100" s="95" t="e">
        <f t="shared" si="11"/>
        <v>#VALUE!</v>
      </c>
      <c r="AD100" s="12"/>
    </row>
    <row r="101" spans="1:30" ht="15.75" thickBot="1" x14ac:dyDescent="0.3">
      <c r="A101" s="12"/>
      <c r="B101" s="22"/>
      <c r="C101" t="str">
        <f>IF(AND('ENTRY DATA'!D101=""),"",('ENTRY DATA'!D101))</f>
        <v/>
      </c>
      <c r="D101" t="str">
        <f>IF(AND('ENTRY DATA'!F101=""),"",('ENTRY DATA'!F101))</f>
        <v/>
      </c>
      <c r="E101" s="34" t="str">
        <f>IF(AND('ENTRY DATA'!B101=""),"",('ENTRY DATA'!B101))</f>
        <v/>
      </c>
      <c r="F101" s="12"/>
      <c r="G101" s="12"/>
      <c r="H101" s="72"/>
      <c r="I101" s="71"/>
      <c r="J101" s="72"/>
      <c r="K101" s="12"/>
      <c r="L101" s="20">
        <f t="shared" si="6"/>
        <v>0</v>
      </c>
      <c r="M101" s="19" t="str">
        <f t="shared" si="7"/>
        <v/>
      </c>
      <c r="N101" s="12"/>
      <c r="O101" s="119"/>
      <c r="P101" s="95" t="str">
        <f t="shared" si="8"/>
        <v/>
      </c>
      <c r="Q101" s="12"/>
      <c r="S101" s="128"/>
      <c r="T101" s="66"/>
      <c r="U101" s="128"/>
      <c r="W101" s="128"/>
      <c r="X101" s="12"/>
      <c r="Y101" t="str">
        <f t="shared" si="9"/>
        <v/>
      </c>
      <c r="Z101" t="str">
        <f t="shared" si="9"/>
        <v/>
      </c>
      <c r="AA101" s="12"/>
      <c r="AB101" s="95" t="e">
        <f t="shared" si="10"/>
        <v>#VALUE!</v>
      </c>
      <c r="AC101" s="95" t="e">
        <f t="shared" si="11"/>
        <v>#VALUE!</v>
      </c>
      <c r="AD101" s="12"/>
    </row>
    <row r="102" spans="1:30" ht="15.75" thickBot="1" x14ac:dyDescent="0.3">
      <c r="A102" s="12"/>
      <c r="B102" s="22"/>
      <c r="C102" t="str">
        <f>IF(AND('ENTRY DATA'!D102=""),"",('ENTRY DATA'!D102))</f>
        <v/>
      </c>
      <c r="D102" t="str">
        <f>IF(AND('ENTRY DATA'!F102=""),"",('ENTRY DATA'!F102))</f>
        <v/>
      </c>
      <c r="E102" s="34" t="str">
        <f>IF(AND('ENTRY DATA'!B102=""),"",('ENTRY DATA'!B102))</f>
        <v/>
      </c>
      <c r="F102" s="12"/>
      <c r="G102" s="12"/>
      <c r="H102" s="72"/>
      <c r="I102" s="71"/>
      <c r="J102" s="72"/>
      <c r="K102" s="12"/>
      <c r="L102" s="20">
        <f t="shared" si="6"/>
        <v>0</v>
      </c>
      <c r="M102" s="19" t="str">
        <f t="shared" si="7"/>
        <v/>
      </c>
      <c r="N102" s="12"/>
      <c r="O102" s="119"/>
      <c r="P102" s="95" t="str">
        <f t="shared" si="8"/>
        <v/>
      </c>
      <c r="Q102" s="12"/>
      <c r="S102" s="128"/>
      <c r="T102" s="66"/>
      <c r="U102" s="128"/>
      <c r="W102" s="128"/>
      <c r="X102" s="12"/>
      <c r="Y102" t="str">
        <f t="shared" si="9"/>
        <v/>
      </c>
      <c r="Z102" t="str">
        <f t="shared" si="9"/>
        <v/>
      </c>
      <c r="AA102" s="12"/>
      <c r="AB102" s="95" t="e">
        <f t="shared" si="10"/>
        <v>#VALUE!</v>
      </c>
      <c r="AC102" s="95" t="e">
        <f t="shared" si="11"/>
        <v>#VALUE!</v>
      </c>
      <c r="AD102" s="12"/>
    </row>
    <row r="103" spans="1:30" ht="15.75" thickBot="1" x14ac:dyDescent="0.3">
      <c r="A103" s="12"/>
      <c r="B103" s="22"/>
      <c r="C103" t="str">
        <f>IF(AND('ENTRY DATA'!D103=""),"",('ENTRY DATA'!D103))</f>
        <v/>
      </c>
      <c r="D103" t="str">
        <f>IF(AND('ENTRY DATA'!F103=""),"",('ENTRY DATA'!F103))</f>
        <v/>
      </c>
      <c r="E103" s="34" t="str">
        <f>IF(AND('ENTRY DATA'!B103=""),"",('ENTRY DATA'!B103))</f>
        <v/>
      </c>
      <c r="F103" s="12"/>
      <c r="G103" s="12"/>
      <c r="H103" s="72"/>
      <c r="I103" s="71"/>
      <c r="J103" s="72"/>
      <c r="K103" s="12"/>
      <c r="L103" s="20">
        <f t="shared" si="6"/>
        <v>0</v>
      </c>
      <c r="M103" s="19" t="str">
        <f t="shared" si="7"/>
        <v/>
      </c>
      <c r="N103" s="12"/>
      <c r="O103" s="119"/>
      <c r="P103" s="95" t="str">
        <f t="shared" si="8"/>
        <v/>
      </c>
      <c r="Q103" s="12"/>
      <c r="S103" s="128"/>
      <c r="T103" s="66"/>
      <c r="U103" s="128"/>
      <c r="W103" s="128"/>
      <c r="X103" s="12"/>
      <c r="Y103" t="str">
        <f t="shared" si="9"/>
        <v/>
      </c>
      <c r="Z103" t="str">
        <f t="shared" si="9"/>
        <v/>
      </c>
      <c r="AA103" s="12"/>
      <c r="AB103" s="95" t="e">
        <f t="shared" si="10"/>
        <v>#VALUE!</v>
      </c>
      <c r="AC103" s="95" t="e">
        <f t="shared" si="11"/>
        <v>#VALUE!</v>
      </c>
      <c r="AD103" s="12"/>
    </row>
    <row r="104" spans="1:30" ht="15.75" thickBot="1" x14ac:dyDescent="0.3">
      <c r="A104" s="12"/>
      <c r="B104" s="22"/>
      <c r="C104" t="str">
        <f>IF(AND('ENTRY DATA'!D104=""),"",('ENTRY DATA'!D104))</f>
        <v/>
      </c>
      <c r="D104" t="str">
        <f>IF(AND('ENTRY DATA'!F104=""),"",('ENTRY DATA'!F104))</f>
        <v/>
      </c>
      <c r="E104" s="34" t="str">
        <f>IF(AND('ENTRY DATA'!B104=""),"",('ENTRY DATA'!B104))</f>
        <v/>
      </c>
      <c r="F104" s="12"/>
      <c r="G104" s="12"/>
      <c r="H104" s="72"/>
      <c r="I104" s="71"/>
      <c r="J104" s="72"/>
      <c r="K104" s="12"/>
      <c r="L104" s="20">
        <f t="shared" si="6"/>
        <v>0</v>
      </c>
      <c r="M104" s="19" t="str">
        <f t="shared" si="7"/>
        <v/>
      </c>
      <c r="N104" s="12"/>
      <c r="O104" s="119"/>
      <c r="P104" s="95" t="str">
        <f t="shared" si="8"/>
        <v/>
      </c>
      <c r="Q104" s="12"/>
      <c r="S104" s="128"/>
      <c r="T104" s="66"/>
      <c r="U104" s="128"/>
      <c r="W104" s="128"/>
      <c r="X104" s="12"/>
      <c r="Y104" t="str">
        <f t="shared" si="9"/>
        <v/>
      </c>
      <c r="Z104" t="str">
        <f t="shared" si="9"/>
        <v/>
      </c>
      <c r="AA104" s="12"/>
      <c r="AB104" s="95" t="e">
        <f t="shared" si="10"/>
        <v>#VALUE!</v>
      </c>
      <c r="AC104" s="95" t="e">
        <f t="shared" si="11"/>
        <v>#VALUE!</v>
      </c>
      <c r="AD104" s="12"/>
    </row>
    <row r="105" spans="1:30" ht="15.75" thickBot="1" x14ac:dyDescent="0.3">
      <c r="A105" s="12"/>
      <c r="B105" s="22"/>
      <c r="C105" t="str">
        <f>IF(AND('ENTRY DATA'!D105=""),"",('ENTRY DATA'!D105))</f>
        <v/>
      </c>
      <c r="D105" t="str">
        <f>IF(AND('ENTRY DATA'!F105=""),"",('ENTRY DATA'!F105))</f>
        <v/>
      </c>
      <c r="E105" s="34" t="str">
        <f>IF(AND('ENTRY DATA'!B105=""),"",('ENTRY DATA'!B105))</f>
        <v/>
      </c>
      <c r="F105" s="12"/>
      <c r="G105" s="12"/>
      <c r="H105" s="72"/>
      <c r="I105" s="71"/>
      <c r="J105" s="72"/>
      <c r="K105" s="12"/>
      <c r="L105" s="20">
        <f t="shared" si="6"/>
        <v>0</v>
      </c>
      <c r="M105" s="19" t="str">
        <f t="shared" si="7"/>
        <v/>
      </c>
      <c r="N105" s="12"/>
      <c r="O105" s="119"/>
      <c r="P105" s="95" t="str">
        <f t="shared" si="8"/>
        <v/>
      </c>
      <c r="Q105" s="12"/>
      <c r="S105" s="128"/>
      <c r="T105" s="66"/>
      <c r="U105" s="128"/>
      <c r="W105" s="128"/>
      <c r="X105" s="12"/>
      <c r="Y105" t="str">
        <f t="shared" si="9"/>
        <v/>
      </c>
      <c r="Z105" t="str">
        <f t="shared" si="9"/>
        <v/>
      </c>
      <c r="AA105" s="12"/>
      <c r="AB105" s="95" t="e">
        <f t="shared" si="10"/>
        <v>#VALUE!</v>
      </c>
      <c r="AC105" s="95" t="e">
        <f t="shared" si="11"/>
        <v>#VALUE!</v>
      </c>
      <c r="AD105" s="12"/>
    </row>
    <row r="106" spans="1:30" ht="15.75" thickBot="1" x14ac:dyDescent="0.3">
      <c r="A106" s="12"/>
      <c r="B106" s="22"/>
      <c r="C106" t="str">
        <f>IF(AND('ENTRY DATA'!D106=""),"",('ENTRY DATA'!D106))</f>
        <v/>
      </c>
      <c r="D106" t="str">
        <f>IF(AND('ENTRY DATA'!F106=""),"",('ENTRY DATA'!F106))</f>
        <v/>
      </c>
      <c r="E106" s="34" t="str">
        <f>IF(AND('ENTRY DATA'!B106=""),"",('ENTRY DATA'!B106))</f>
        <v/>
      </c>
      <c r="F106" s="12"/>
      <c r="G106" s="12"/>
      <c r="H106" s="72"/>
      <c r="I106" s="71"/>
      <c r="J106" s="72"/>
      <c r="K106" s="12"/>
      <c r="L106" s="20">
        <f t="shared" si="6"/>
        <v>0</v>
      </c>
      <c r="M106" s="19" t="str">
        <f t="shared" si="7"/>
        <v/>
      </c>
      <c r="N106" s="12"/>
      <c r="O106" s="119"/>
      <c r="P106" s="95" t="str">
        <f t="shared" si="8"/>
        <v/>
      </c>
      <c r="Q106" s="12"/>
      <c r="S106" s="128"/>
      <c r="T106" s="66"/>
      <c r="U106" s="128"/>
      <c r="W106" s="128"/>
      <c r="X106" s="12"/>
      <c r="Y106" t="str">
        <f t="shared" si="9"/>
        <v/>
      </c>
      <c r="Z106" t="str">
        <f t="shared" si="9"/>
        <v/>
      </c>
      <c r="AA106" s="12"/>
      <c r="AB106" s="95" t="e">
        <f t="shared" si="10"/>
        <v>#VALUE!</v>
      </c>
      <c r="AC106" s="95" t="e">
        <f t="shared" si="11"/>
        <v>#VALUE!</v>
      </c>
      <c r="AD106" s="12"/>
    </row>
    <row r="107" spans="1:30" ht="15.75" thickBot="1" x14ac:dyDescent="0.3">
      <c r="A107" s="12"/>
      <c r="B107" s="22"/>
      <c r="C107" t="str">
        <f>IF(AND('ENTRY DATA'!D107=""),"",('ENTRY DATA'!D107))</f>
        <v/>
      </c>
      <c r="D107" t="str">
        <f>IF(AND('ENTRY DATA'!F107=""),"",('ENTRY DATA'!F107))</f>
        <v/>
      </c>
      <c r="E107" s="34" t="str">
        <f>IF(AND('ENTRY DATA'!B107=""),"",('ENTRY DATA'!B107))</f>
        <v/>
      </c>
      <c r="F107" s="12"/>
      <c r="G107" s="12"/>
      <c r="H107" s="72"/>
      <c r="I107" s="71"/>
      <c r="J107" s="72"/>
      <c r="K107" s="12"/>
      <c r="L107" s="20">
        <f t="shared" si="6"/>
        <v>0</v>
      </c>
      <c r="M107" s="19" t="str">
        <f t="shared" si="7"/>
        <v/>
      </c>
      <c r="N107" s="12"/>
      <c r="O107" s="119"/>
      <c r="P107" s="95" t="str">
        <f t="shared" si="8"/>
        <v/>
      </c>
      <c r="Q107" s="12"/>
      <c r="S107" s="128"/>
      <c r="T107" s="66"/>
      <c r="U107" s="128"/>
      <c r="W107" s="128"/>
      <c r="X107" s="12"/>
      <c r="Y107" t="str">
        <f t="shared" si="9"/>
        <v/>
      </c>
      <c r="Z107" t="str">
        <f t="shared" si="9"/>
        <v/>
      </c>
      <c r="AA107" s="12"/>
      <c r="AB107" s="95" t="e">
        <f t="shared" si="10"/>
        <v>#VALUE!</v>
      </c>
      <c r="AC107" s="95" t="e">
        <f t="shared" si="11"/>
        <v>#VALUE!</v>
      </c>
      <c r="AD107" s="12"/>
    </row>
    <row r="108" spans="1:30" ht="15.75" thickBot="1" x14ac:dyDescent="0.3">
      <c r="A108" s="12"/>
      <c r="B108" s="22"/>
      <c r="C108" t="str">
        <f>IF(AND('ENTRY DATA'!D108=""),"",('ENTRY DATA'!D108))</f>
        <v/>
      </c>
      <c r="D108" t="str">
        <f>IF(AND('ENTRY DATA'!F108=""),"",('ENTRY DATA'!F108))</f>
        <v/>
      </c>
      <c r="E108" s="34" t="str">
        <f>IF(AND('ENTRY DATA'!B108=""),"",('ENTRY DATA'!B108))</f>
        <v/>
      </c>
      <c r="F108" s="12"/>
      <c r="G108" s="12"/>
      <c r="H108" s="72"/>
      <c r="I108" s="71"/>
      <c r="J108" s="72"/>
      <c r="K108" s="12"/>
      <c r="L108" s="20">
        <f t="shared" si="6"/>
        <v>0</v>
      </c>
      <c r="M108" s="19" t="str">
        <f t="shared" si="7"/>
        <v/>
      </c>
      <c r="N108" s="12"/>
      <c r="O108" s="119"/>
      <c r="P108" s="95" t="str">
        <f t="shared" si="8"/>
        <v/>
      </c>
      <c r="Q108" s="12"/>
      <c r="S108" s="128"/>
      <c r="T108" s="66"/>
      <c r="U108" s="128"/>
      <c r="W108" s="128"/>
      <c r="X108" s="12"/>
      <c r="Y108" t="str">
        <f t="shared" si="9"/>
        <v/>
      </c>
      <c r="Z108" t="str">
        <f t="shared" si="9"/>
        <v/>
      </c>
      <c r="AA108" s="12"/>
      <c r="AB108" s="95" t="e">
        <f t="shared" si="10"/>
        <v>#VALUE!</v>
      </c>
      <c r="AC108" s="95" t="e">
        <f t="shared" si="11"/>
        <v>#VALUE!</v>
      </c>
      <c r="AD108" s="12"/>
    </row>
    <row r="109" spans="1:30" ht="15.75" thickBot="1" x14ac:dyDescent="0.3">
      <c r="A109" s="12"/>
      <c r="B109" s="22"/>
      <c r="C109" t="str">
        <f>IF(AND('ENTRY DATA'!D109=""),"",('ENTRY DATA'!D109))</f>
        <v/>
      </c>
      <c r="D109" t="str">
        <f>IF(AND('ENTRY DATA'!F109=""),"",('ENTRY DATA'!F109))</f>
        <v/>
      </c>
      <c r="E109" s="34" t="str">
        <f>IF(AND('ENTRY DATA'!B109=""),"",('ENTRY DATA'!B109))</f>
        <v/>
      </c>
      <c r="F109" s="12"/>
      <c r="G109" s="12"/>
      <c r="H109" s="72"/>
      <c r="I109" s="71"/>
      <c r="J109" s="72"/>
      <c r="K109" s="12"/>
      <c r="L109" s="20">
        <f t="shared" si="6"/>
        <v>0</v>
      </c>
      <c r="M109" s="19" t="str">
        <f t="shared" si="7"/>
        <v/>
      </c>
      <c r="N109" s="12"/>
      <c r="O109" s="119"/>
      <c r="P109" s="95" t="str">
        <f t="shared" si="8"/>
        <v/>
      </c>
      <c r="Q109" s="12"/>
      <c r="S109" s="128"/>
      <c r="T109" s="66"/>
      <c r="U109" s="128"/>
      <c r="W109" s="128"/>
      <c r="X109" s="12"/>
      <c r="Y109" t="str">
        <f t="shared" si="9"/>
        <v/>
      </c>
      <c r="Z109" t="str">
        <f t="shared" si="9"/>
        <v/>
      </c>
      <c r="AA109" s="12"/>
      <c r="AB109" s="95" t="e">
        <f t="shared" si="10"/>
        <v>#VALUE!</v>
      </c>
      <c r="AC109" s="95" t="e">
        <f t="shared" si="11"/>
        <v>#VALUE!</v>
      </c>
      <c r="AD109" s="12"/>
    </row>
    <row r="110" spans="1:30" ht="15.75" thickBot="1" x14ac:dyDescent="0.3">
      <c r="A110" s="12"/>
      <c r="B110" s="22"/>
      <c r="C110" t="str">
        <f>IF(AND('ENTRY DATA'!D110=""),"",('ENTRY DATA'!D110))</f>
        <v/>
      </c>
      <c r="D110" t="str">
        <f>IF(AND('ENTRY DATA'!F110=""),"",('ENTRY DATA'!F110))</f>
        <v/>
      </c>
      <c r="E110" s="34" t="str">
        <f>IF(AND('ENTRY DATA'!B110=""),"",('ENTRY DATA'!B110))</f>
        <v/>
      </c>
      <c r="F110" s="12"/>
      <c r="G110" s="12"/>
      <c r="H110" s="72"/>
      <c r="I110" s="71"/>
      <c r="J110" s="72"/>
      <c r="K110" s="12"/>
      <c r="L110" s="20">
        <f t="shared" si="6"/>
        <v>0</v>
      </c>
      <c r="M110" s="19" t="str">
        <f t="shared" si="7"/>
        <v/>
      </c>
      <c r="N110" s="12"/>
      <c r="O110" s="119"/>
      <c r="P110" s="95" t="str">
        <f t="shared" si="8"/>
        <v/>
      </c>
      <c r="Q110" s="12"/>
      <c r="S110" s="128"/>
      <c r="T110" s="66"/>
      <c r="U110" s="128"/>
      <c r="W110" s="128"/>
      <c r="X110" s="12"/>
      <c r="Y110" t="str">
        <f t="shared" si="9"/>
        <v/>
      </c>
      <c r="Z110" t="str">
        <f t="shared" si="9"/>
        <v/>
      </c>
      <c r="AA110" s="12"/>
      <c r="AB110" s="95" t="e">
        <f t="shared" si="10"/>
        <v>#VALUE!</v>
      </c>
      <c r="AC110" s="95" t="e">
        <f t="shared" si="11"/>
        <v>#VALUE!</v>
      </c>
      <c r="AD110" s="12"/>
    </row>
    <row r="111" spans="1:30" ht="15.75" thickBot="1" x14ac:dyDescent="0.3">
      <c r="A111" s="12"/>
      <c r="B111" s="22"/>
      <c r="C111" t="str">
        <f>IF(AND('ENTRY DATA'!D111=""),"",('ENTRY DATA'!D111))</f>
        <v/>
      </c>
      <c r="D111" t="str">
        <f>IF(AND('ENTRY DATA'!F111=""),"",('ENTRY DATA'!F111))</f>
        <v/>
      </c>
      <c r="E111" s="34" t="str">
        <f>IF(AND('ENTRY DATA'!B111=""),"",('ENTRY DATA'!B111))</f>
        <v/>
      </c>
      <c r="F111" s="12"/>
      <c r="G111" s="12"/>
      <c r="H111" s="72"/>
      <c r="I111" s="71"/>
      <c r="J111" s="72"/>
      <c r="K111" s="12"/>
      <c r="L111" s="20">
        <f t="shared" si="6"/>
        <v>0</v>
      </c>
      <c r="M111" s="19" t="str">
        <f t="shared" si="7"/>
        <v/>
      </c>
      <c r="N111" s="12"/>
      <c r="O111" s="119"/>
      <c r="P111" s="95" t="str">
        <f t="shared" si="8"/>
        <v/>
      </c>
      <c r="Q111" s="12"/>
      <c r="S111" s="128"/>
      <c r="T111" s="66"/>
      <c r="U111" s="128"/>
      <c r="W111" s="128"/>
      <c r="X111" s="12"/>
      <c r="Y111" t="str">
        <f t="shared" si="9"/>
        <v/>
      </c>
      <c r="Z111" t="str">
        <f t="shared" si="9"/>
        <v/>
      </c>
      <c r="AA111" s="12"/>
      <c r="AB111" s="95" t="e">
        <f t="shared" si="10"/>
        <v>#VALUE!</v>
      </c>
      <c r="AC111" s="95" t="e">
        <f t="shared" si="11"/>
        <v>#VALUE!</v>
      </c>
      <c r="AD111" s="12"/>
    </row>
    <row r="112" spans="1:30" ht="15.75" thickBot="1" x14ac:dyDescent="0.3">
      <c r="A112" s="12"/>
      <c r="B112" s="22"/>
      <c r="C112" t="str">
        <f>IF(AND('ENTRY DATA'!D112=""),"",('ENTRY DATA'!D112))</f>
        <v/>
      </c>
      <c r="D112" t="str">
        <f>IF(AND('ENTRY DATA'!F112=""),"",('ENTRY DATA'!F112))</f>
        <v/>
      </c>
      <c r="E112" s="34" t="str">
        <f>IF(AND('ENTRY DATA'!B112=""),"",('ENTRY DATA'!B112))</f>
        <v/>
      </c>
      <c r="F112" s="12"/>
      <c r="G112" s="12"/>
      <c r="H112" s="72"/>
      <c r="I112" s="71"/>
      <c r="J112" s="72"/>
      <c r="K112" s="12"/>
      <c r="L112" s="20">
        <f t="shared" si="6"/>
        <v>0</v>
      </c>
      <c r="M112" s="19" t="str">
        <f t="shared" si="7"/>
        <v/>
      </c>
      <c r="N112" s="12"/>
      <c r="O112" s="119"/>
      <c r="P112" s="95" t="str">
        <f t="shared" si="8"/>
        <v/>
      </c>
      <c r="Q112" s="12"/>
      <c r="S112" s="128"/>
      <c r="T112" s="66"/>
      <c r="U112" s="128"/>
      <c r="W112" s="128"/>
      <c r="X112" s="12"/>
      <c r="Y112" t="str">
        <f t="shared" si="9"/>
        <v/>
      </c>
      <c r="Z112" t="str">
        <f t="shared" si="9"/>
        <v/>
      </c>
      <c r="AA112" s="12"/>
      <c r="AB112" s="95" t="e">
        <f t="shared" si="10"/>
        <v>#VALUE!</v>
      </c>
      <c r="AC112" s="95" t="e">
        <f t="shared" si="11"/>
        <v>#VALUE!</v>
      </c>
      <c r="AD112" s="12"/>
    </row>
    <row r="113" spans="1:30" ht="15.75" thickBot="1" x14ac:dyDescent="0.3">
      <c r="A113" s="12"/>
      <c r="B113" s="22"/>
      <c r="C113" t="str">
        <f>IF(AND('ENTRY DATA'!D113=""),"",('ENTRY DATA'!D113))</f>
        <v/>
      </c>
      <c r="D113" t="str">
        <f>IF(AND('ENTRY DATA'!F113=""),"",('ENTRY DATA'!F113))</f>
        <v/>
      </c>
      <c r="E113" s="34" t="str">
        <f>IF(AND('ENTRY DATA'!B113=""),"",('ENTRY DATA'!B113))</f>
        <v/>
      </c>
      <c r="F113" s="12"/>
      <c r="G113" s="12"/>
      <c r="H113" s="72"/>
      <c r="I113" s="71"/>
      <c r="J113" s="72"/>
      <c r="K113" s="12"/>
      <c r="L113" s="20">
        <f t="shared" si="6"/>
        <v>0</v>
      </c>
      <c r="M113" s="19" t="str">
        <f t="shared" si="7"/>
        <v/>
      </c>
      <c r="N113" s="12"/>
      <c r="O113" s="119"/>
      <c r="P113" s="95" t="str">
        <f t="shared" si="8"/>
        <v/>
      </c>
      <c r="Q113" s="12"/>
      <c r="S113" s="128"/>
      <c r="T113" s="66"/>
      <c r="U113" s="128"/>
      <c r="W113" s="128"/>
      <c r="X113" s="12"/>
      <c r="Y113" t="str">
        <f t="shared" si="9"/>
        <v/>
      </c>
      <c r="Z113" t="str">
        <f t="shared" si="9"/>
        <v/>
      </c>
      <c r="AA113" s="12"/>
      <c r="AB113" s="95" t="e">
        <f t="shared" si="10"/>
        <v>#VALUE!</v>
      </c>
      <c r="AC113" s="95" t="e">
        <f t="shared" si="11"/>
        <v>#VALUE!</v>
      </c>
      <c r="AD113" s="12"/>
    </row>
    <row r="114" spans="1:30" ht="15.75" thickBot="1" x14ac:dyDescent="0.3">
      <c r="A114" s="12"/>
      <c r="B114" s="22"/>
      <c r="C114" t="str">
        <f>IF(AND('ENTRY DATA'!D114=""),"",('ENTRY DATA'!D114))</f>
        <v/>
      </c>
      <c r="D114" t="str">
        <f>IF(AND('ENTRY DATA'!F114=""),"",('ENTRY DATA'!F114))</f>
        <v/>
      </c>
      <c r="E114" s="34" t="str">
        <f>IF(AND('ENTRY DATA'!B114=""),"",('ENTRY DATA'!B114))</f>
        <v/>
      </c>
      <c r="F114" s="12"/>
      <c r="G114" s="12"/>
      <c r="H114" s="72"/>
      <c r="I114" s="71"/>
      <c r="J114" s="72"/>
      <c r="K114" s="12"/>
      <c r="L114" s="20">
        <f t="shared" si="6"/>
        <v>0</v>
      </c>
      <c r="M114" s="19" t="str">
        <f t="shared" si="7"/>
        <v/>
      </c>
      <c r="N114" s="12"/>
      <c r="O114" s="119"/>
      <c r="P114" s="95" t="str">
        <f t="shared" si="8"/>
        <v/>
      </c>
      <c r="Q114" s="12"/>
      <c r="S114" s="128"/>
      <c r="T114" s="66"/>
      <c r="U114" s="128"/>
      <c r="W114" s="128"/>
      <c r="X114" s="12"/>
      <c r="Y114" t="str">
        <f t="shared" si="9"/>
        <v/>
      </c>
      <c r="Z114" t="str">
        <f t="shared" si="9"/>
        <v/>
      </c>
      <c r="AA114" s="12"/>
      <c r="AB114" s="95" t="e">
        <f t="shared" si="10"/>
        <v>#VALUE!</v>
      </c>
      <c r="AC114" s="95" t="e">
        <f t="shared" si="11"/>
        <v>#VALUE!</v>
      </c>
      <c r="AD114" s="12"/>
    </row>
    <row r="115" spans="1:30" ht="15.75" thickBot="1" x14ac:dyDescent="0.3">
      <c r="A115" s="12"/>
      <c r="B115" s="22"/>
      <c r="C115" t="str">
        <f>IF(AND('ENTRY DATA'!D115=""),"",('ENTRY DATA'!D115))</f>
        <v/>
      </c>
      <c r="D115" t="str">
        <f>IF(AND('ENTRY DATA'!F115=""),"",('ENTRY DATA'!F115))</f>
        <v/>
      </c>
      <c r="E115" s="34" t="str">
        <f>IF(AND('ENTRY DATA'!B115=""),"",('ENTRY DATA'!B115))</f>
        <v/>
      </c>
      <c r="F115" s="12"/>
      <c r="G115" s="12"/>
      <c r="H115" s="72"/>
      <c r="I115" s="71"/>
      <c r="J115" s="72"/>
      <c r="K115" s="12"/>
      <c r="L115" s="20">
        <f t="shared" si="6"/>
        <v>0</v>
      </c>
      <c r="M115" s="19" t="str">
        <f t="shared" si="7"/>
        <v/>
      </c>
      <c r="N115" s="12"/>
      <c r="O115" s="119"/>
      <c r="P115" s="95" t="str">
        <f t="shared" si="8"/>
        <v/>
      </c>
      <c r="Q115" s="12"/>
      <c r="S115" s="128"/>
      <c r="T115" s="66"/>
      <c r="U115" s="128"/>
      <c r="W115" s="128"/>
      <c r="X115" s="12"/>
      <c r="Y115" t="str">
        <f t="shared" si="9"/>
        <v/>
      </c>
      <c r="Z115" t="str">
        <f t="shared" si="9"/>
        <v/>
      </c>
      <c r="AA115" s="12"/>
      <c r="AB115" s="95" t="e">
        <f t="shared" si="10"/>
        <v>#VALUE!</v>
      </c>
      <c r="AC115" s="95" t="e">
        <f t="shared" si="11"/>
        <v>#VALUE!</v>
      </c>
      <c r="AD115" s="12"/>
    </row>
    <row r="116" spans="1:30" ht="15.75" thickBot="1" x14ac:dyDescent="0.3">
      <c r="A116" s="12"/>
      <c r="B116" s="22"/>
      <c r="C116" t="str">
        <f>IF(AND('ENTRY DATA'!D116=""),"",('ENTRY DATA'!D116))</f>
        <v/>
      </c>
      <c r="D116" t="str">
        <f>IF(AND('ENTRY DATA'!F116=""),"",('ENTRY DATA'!F116))</f>
        <v/>
      </c>
      <c r="E116" s="34" t="str">
        <f>IF(AND('ENTRY DATA'!B116=""),"",('ENTRY DATA'!B116))</f>
        <v/>
      </c>
      <c r="F116" s="12"/>
      <c r="G116" s="12"/>
      <c r="H116" s="72"/>
      <c r="I116" s="71"/>
      <c r="J116" s="72"/>
      <c r="K116" s="12"/>
      <c r="L116" s="20">
        <f t="shared" si="6"/>
        <v>0</v>
      </c>
      <c r="M116" s="19" t="str">
        <f t="shared" si="7"/>
        <v/>
      </c>
      <c r="N116" s="12"/>
      <c r="O116" s="119"/>
      <c r="P116" s="95" t="str">
        <f t="shared" si="8"/>
        <v/>
      </c>
      <c r="Q116" s="12"/>
      <c r="S116" s="128"/>
      <c r="T116" s="66"/>
      <c r="U116" s="128"/>
      <c r="W116" s="128"/>
      <c r="X116" s="12"/>
      <c r="Y116" t="str">
        <f t="shared" si="9"/>
        <v/>
      </c>
      <c r="Z116" t="str">
        <f t="shared" si="9"/>
        <v/>
      </c>
      <c r="AA116" s="12"/>
      <c r="AB116" s="95" t="e">
        <f t="shared" si="10"/>
        <v>#VALUE!</v>
      </c>
      <c r="AC116" s="95" t="e">
        <f t="shared" si="11"/>
        <v>#VALUE!</v>
      </c>
      <c r="AD116" s="12"/>
    </row>
    <row r="117" spans="1:30" ht="15.75" thickBot="1" x14ac:dyDescent="0.3">
      <c r="A117" s="12"/>
      <c r="B117" s="22"/>
      <c r="C117" t="str">
        <f>IF(AND('ENTRY DATA'!D117=""),"",('ENTRY DATA'!D117))</f>
        <v/>
      </c>
      <c r="D117" t="str">
        <f>IF(AND('ENTRY DATA'!F117=""),"",('ENTRY DATA'!F117))</f>
        <v/>
      </c>
      <c r="E117" s="34" t="str">
        <f>IF(AND('ENTRY DATA'!B117=""),"",('ENTRY DATA'!B117))</f>
        <v/>
      </c>
      <c r="F117" s="12"/>
      <c r="G117" s="12"/>
      <c r="H117" s="72"/>
      <c r="I117" s="71"/>
      <c r="J117" s="72"/>
      <c r="K117" s="12"/>
      <c r="L117" s="20">
        <f t="shared" si="6"/>
        <v>0</v>
      </c>
      <c r="M117" s="19" t="str">
        <f t="shared" si="7"/>
        <v/>
      </c>
      <c r="N117" s="12"/>
      <c r="O117" s="119"/>
      <c r="P117" s="95" t="str">
        <f t="shared" si="8"/>
        <v/>
      </c>
      <c r="Q117" s="12"/>
      <c r="S117" s="128"/>
      <c r="T117" s="66"/>
      <c r="U117" s="128"/>
      <c r="W117" s="128"/>
      <c r="X117" s="12"/>
      <c r="Y117" t="str">
        <f t="shared" si="9"/>
        <v/>
      </c>
      <c r="Z117" t="str">
        <f t="shared" si="9"/>
        <v/>
      </c>
      <c r="AA117" s="12"/>
      <c r="AB117" s="95" t="e">
        <f t="shared" si="10"/>
        <v>#VALUE!</v>
      </c>
      <c r="AC117" s="95" t="e">
        <f t="shared" si="11"/>
        <v>#VALUE!</v>
      </c>
      <c r="AD117" s="12"/>
    </row>
    <row r="118" spans="1:30" ht="15.75" thickBot="1" x14ac:dyDescent="0.3">
      <c r="A118" s="12"/>
      <c r="B118" s="22"/>
      <c r="C118" t="str">
        <f>IF(AND('ENTRY DATA'!D118=""),"",('ENTRY DATA'!D118))</f>
        <v/>
      </c>
      <c r="D118" t="str">
        <f>IF(AND('ENTRY DATA'!F118=""),"",('ENTRY DATA'!F118))</f>
        <v/>
      </c>
      <c r="E118" s="34" t="str">
        <f>IF(AND('ENTRY DATA'!B118=""),"",('ENTRY DATA'!B118))</f>
        <v/>
      </c>
      <c r="F118" s="12"/>
      <c r="G118" s="12"/>
      <c r="H118" s="72"/>
      <c r="I118" s="71"/>
      <c r="J118" s="72"/>
      <c r="K118" s="12"/>
      <c r="L118" s="20">
        <f t="shared" si="6"/>
        <v>0</v>
      </c>
      <c r="M118" s="19" t="str">
        <f t="shared" si="7"/>
        <v/>
      </c>
      <c r="N118" s="12"/>
      <c r="O118" s="119"/>
      <c r="P118" s="95" t="str">
        <f t="shared" si="8"/>
        <v/>
      </c>
      <c r="Q118" s="12"/>
      <c r="S118" s="128"/>
      <c r="T118" s="66"/>
      <c r="U118" s="128"/>
      <c r="W118" s="128"/>
      <c r="X118" s="12"/>
      <c r="Y118" t="str">
        <f t="shared" si="9"/>
        <v/>
      </c>
      <c r="Z118" t="str">
        <f t="shared" si="9"/>
        <v/>
      </c>
      <c r="AA118" s="12"/>
      <c r="AB118" s="95" t="e">
        <f t="shared" si="10"/>
        <v>#VALUE!</v>
      </c>
      <c r="AC118" s="95" t="e">
        <f t="shared" si="11"/>
        <v>#VALUE!</v>
      </c>
      <c r="AD118" s="12"/>
    </row>
    <row r="119" spans="1:30" ht="15.75" thickBot="1" x14ac:dyDescent="0.3">
      <c r="A119" s="12"/>
      <c r="B119" s="22"/>
      <c r="C119" t="str">
        <f>IF(AND('ENTRY DATA'!D119=""),"",('ENTRY DATA'!D119))</f>
        <v/>
      </c>
      <c r="D119" t="str">
        <f>IF(AND('ENTRY DATA'!F119=""),"",('ENTRY DATA'!F119))</f>
        <v/>
      </c>
      <c r="E119" s="34" t="str">
        <f>IF(AND('ENTRY DATA'!B119=""),"",('ENTRY DATA'!B119))</f>
        <v/>
      </c>
      <c r="F119" s="12"/>
      <c r="G119" s="12"/>
      <c r="H119" s="72"/>
      <c r="I119" s="71"/>
      <c r="J119" s="72"/>
      <c r="K119" s="12"/>
      <c r="L119" s="20">
        <f t="shared" si="6"/>
        <v>0</v>
      </c>
      <c r="M119" s="19" t="str">
        <f t="shared" si="7"/>
        <v/>
      </c>
      <c r="N119" s="12"/>
      <c r="O119" s="119"/>
      <c r="P119" s="95" t="str">
        <f t="shared" si="8"/>
        <v/>
      </c>
      <c r="Q119" s="12"/>
      <c r="S119" s="128"/>
      <c r="T119" s="66"/>
      <c r="U119" s="128"/>
      <c r="W119" s="128"/>
      <c r="X119" s="12"/>
      <c r="Y119" t="str">
        <f t="shared" si="9"/>
        <v/>
      </c>
      <c r="Z119" t="str">
        <f t="shared" si="9"/>
        <v/>
      </c>
      <c r="AA119" s="12"/>
      <c r="AB119" s="95" t="e">
        <f t="shared" si="10"/>
        <v>#VALUE!</v>
      </c>
      <c r="AC119" s="95" t="e">
        <f t="shared" si="11"/>
        <v>#VALUE!</v>
      </c>
      <c r="AD119" s="12"/>
    </row>
    <row r="120" spans="1:30" ht="15.75" thickBot="1" x14ac:dyDescent="0.3">
      <c r="A120" s="12"/>
      <c r="B120" s="22"/>
      <c r="C120" t="str">
        <f>IF(AND('ENTRY DATA'!D120=""),"",('ENTRY DATA'!D120))</f>
        <v/>
      </c>
      <c r="D120" t="str">
        <f>IF(AND('ENTRY DATA'!F120=""),"",('ENTRY DATA'!F120))</f>
        <v/>
      </c>
      <c r="E120" s="34" t="str">
        <f>IF(AND('ENTRY DATA'!B120=""),"",('ENTRY DATA'!B120))</f>
        <v/>
      </c>
      <c r="F120" s="12"/>
      <c r="G120" s="12"/>
      <c r="H120" s="72"/>
      <c r="I120" s="71"/>
      <c r="J120" s="72"/>
      <c r="K120" s="12"/>
      <c r="L120" s="20">
        <f t="shared" si="6"/>
        <v>0</v>
      </c>
      <c r="M120" s="19" t="str">
        <f t="shared" si="7"/>
        <v/>
      </c>
      <c r="N120" s="12"/>
      <c r="O120" s="119"/>
      <c r="P120" s="95" t="str">
        <f t="shared" si="8"/>
        <v/>
      </c>
      <c r="Q120" s="12"/>
      <c r="S120" s="128"/>
      <c r="T120" s="66"/>
      <c r="U120" s="128"/>
      <c r="W120" s="128"/>
      <c r="X120" s="12"/>
      <c r="Y120" t="str">
        <f t="shared" si="9"/>
        <v/>
      </c>
      <c r="Z120" t="str">
        <f t="shared" si="9"/>
        <v/>
      </c>
      <c r="AA120" s="12"/>
      <c r="AB120" s="95" t="e">
        <f t="shared" si="10"/>
        <v>#VALUE!</v>
      </c>
      <c r="AC120" s="95" t="e">
        <f t="shared" si="11"/>
        <v>#VALUE!</v>
      </c>
      <c r="AD120" s="12"/>
    </row>
    <row r="121" spans="1:30" ht="15.75" thickBot="1" x14ac:dyDescent="0.3">
      <c r="A121" s="12"/>
      <c r="B121" s="22"/>
      <c r="C121" t="str">
        <f>IF(AND('ENTRY DATA'!D121=""),"",('ENTRY DATA'!D121))</f>
        <v/>
      </c>
      <c r="D121" t="str">
        <f>IF(AND('ENTRY DATA'!F121=""),"",('ENTRY DATA'!F121))</f>
        <v/>
      </c>
      <c r="E121" s="34" t="str">
        <f>IF(AND('ENTRY DATA'!B121=""),"",('ENTRY DATA'!B121))</f>
        <v/>
      </c>
      <c r="F121" s="12"/>
      <c r="G121" s="12"/>
      <c r="H121" s="72"/>
      <c r="I121" s="71"/>
      <c r="J121" s="72"/>
      <c r="K121" s="12"/>
      <c r="L121" s="20">
        <f t="shared" si="6"/>
        <v>0</v>
      </c>
      <c r="M121" s="19" t="str">
        <f t="shared" si="7"/>
        <v/>
      </c>
      <c r="N121" s="12"/>
      <c r="O121" s="119"/>
      <c r="P121" s="95" t="str">
        <f t="shared" si="8"/>
        <v/>
      </c>
      <c r="Q121" s="12"/>
      <c r="S121" s="128"/>
      <c r="T121" s="66"/>
      <c r="U121" s="128"/>
      <c r="W121" s="128"/>
      <c r="X121" s="12"/>
      <c r="Y121" t="str">
        <f t="shared" si="9"/>
        <v/>
      </c>
      <c r="Z121" t="str">
        <f t="shared" si="9"/>
        <v/>
      </c>
      <c r="AA121" s="12"/>
      <c r="AB121" s="95" t="e">
        <f t="shared" si="10"/>
        <v>#VALUE!</v>
      </c>
      <c r="AC121" s="95" t="e">
        <f t="shared" si="11"/>
        <v>#VALUE!</v>
      </c>
      <c r="AD121" s="12"/>
    </row>
    <row r="122" spans="1:30" ht="15.75" thickBot="1" x14ac:dyDescent="0.3">
      <c r="A122" s="12"/>
      <c r="B122" s="22"/>
      <c r="C122" t="str">
        <f>IF(AND('ENTRY DATA'!D122=""),"",('ENTRY DATA'!D122))</f>
        <v/>
      </c>
      <c r="D122" t="str">
        <f>IF(AND('ENTRY DATA'!F122=""),"",('ENTRY DATA'!F122))</f>
        <v/>
      </c>
      <c r="E122" s="34" t="str">
        <f>IF(AND('ENTRY DATA'!B122=""),"",('ENTRY DATA'!B122))</f>
        <v/>
      </c>
      <c r="F122" s="12"/>
      <c r="G122" s="12"/>
      <c r="H122" s="72"/>
      <c r="I122" s="71"/>
      <c r="J122" s="72"/>
      <c r="K122" s="12"/>
      <c r="L122" s="20">
        <f t="shared" si="6"/>
        <v>0</v>
      </c>
      <c r="M122" s="19" t="str">
        <f t="shared" si="7"/>
        <v/>
      </c>
      <c r="N122" s="12"/>
      <c r="O122" s="119"/>
      <c r="P122" s="95" t="str">
        <f t="shared" si="8"/>
        <v/>
      </c>
      <c r="Q122" s="12"/>
      <c r="S122" s="128"/>
      <c r="T122" s="66"/>
      <c r="U122" s="128"/>
      <c r="W122" s="128"/>
      <c r="X122" s="12"/>
      <c r="Y122" t="str">
        <f t="shared" si="9"/>
        <v/>
      </c>
      <c r="Z122" t="str">
        <f t="shared" si="9"/>
        <v/>
      </c>
      <c r="AA122" s="12"/>
      <c r="AB122" s="95" t="e">
        <f t="shared" si="10"/>
        <v>#VALUE!</v>
      </c>
      <c r="AC122" s="95" t="e">
        <f t="shared" si="11"/>
        <v>#VALUE!</v>
      </c>
      <c r="AD122" s="12"/>
    </row>
    <row r="123" spans="1:30" ht="15.75" thickBot="1" x14ac:dyDescent="0.3">
      <c r="A123" s="12"/>
      <c r="B123" s="22"/>
      <c r="C123" t="str">
        <f>IF(AND('ENTRY DATA'!D123=""),"",('ENTRY DATA'!D123))</f>
        <v/>
      </c>
      <c r="D123" t="str">
        <f>IF(AND('ENTRY DATA'!F123=""),"",('ENTRY DATA'!F123))</f>
        <v/>
      </c>
      <c r="E123" s="34" t="str">
        <f>IF(AND('ENTRY DATA'!B123=""),"",('ENTRY DATA'!B123))</f>
        <v/>
      </c>
      <c r="F123" s="12"/>
      <c r="G123" s="12"/>
      <c r="H123" s="72"/>
      <c r="I123" s="71"/>
      <c r="J123" s="72"/>
      <c r="K123" s="12"/>
      <c r="L123" s="20">
        <f t="shared" si="6"/>
        <v>0</v>
      </c>
      <c r="M123" s="19" t="str">
        <f t="shared" si="7"/>
        <v/>
      </c>
      <c r="N123" s="12"/>
      <c r="O123" s="119"/>
      <c r="P123" s="95" t="str">
        <f t="shared" si="8"/>
        <v/>
      </c>
      <c r="Q123" s="12"/>
      <c r="S123" s="128"/>
      <c r="T123" s="66"/>
      <c r="U123" s="128"/>
      <c r="W123" s="128"/>
      <c r="X123" s="12"/>
      <c r="Y123" t="str">
        <f t="shared" si="9"/>
        <v/>
      </c>
      <c r="Z123" t="str">
        <f t="shared" si="9"/>
        <v/>
      </c>
      <c r="AA123" s="12"/>
      <c r="AB123" s="95" t="e">
        <f t="shared" si="10"/>
        <v>#VALUE!</v>
      </c>
      <c r="AC123" s="95" t="e">
        <f t="shared" si="11"/>
        <v>#VALUE!</v>
      </c>
      <c r="AD123" s="12"/>
    </row>
    <row r="124" spans="1:30" ht="15.75" thickBot="1" x14ac:dyDescent="0.3">
      <c r="A124" s="12"/>
      <c r="B124" s="22"/>
      <c r="C124" t="str">
        <f>IF(AND('ENTRY DATA'!D124=""),"",('ENTRY DATA'!D124))</f>
        <v/>
      </c>
      <c r="D124" t="str">
        <f>IF(AND('ENTRY DATA'!F124=""),"",('ENTRY DATA'!F124))</f>
        <v/>
      </c>
      <c r="E124" s="34" t="str">
        <f>IF(AND('ENTRY DATA'!B124=""),"",('ENTRY DATA'!B124))</f>
        <v/>
      </c>
      <c r="F124" s="12"/>
      <c r="G124" s="12"/>
      <c r="H124" s="72"/>
      <c r="I124" s="71"/>
      <c r="J124" s="72"/>
      <c r="K124" s="12"/>
      <c r="L124" s="20">
        <f t="shared" si="6"/>
        <v>0</v>
      </c>
      <c r="M124" s="19" t="str">
        <f t="shared" si="7"/>
        <v/>
      </c>
      <c r="N124" s="12"/>
      <c r="O124" s="119"/>
      <c r="P124" s="95" t="str">
        <f t="shared" si="8"/>
        <v/>
      </c>
      <c r="Q124" s="12"/>
      <c r="S124" s="128"/>
      <c r="T124" s="66"/>
      <c r="U124" s="128"/>
      <c r="W124" s="128"/>
      <c r="X124" s="12"/>
      <c r="Y124" t="str">
        <f t="shared" si="9"/>
        <v/>
      </c>
      <c r="Z124" t="str">
        <f t="shared" si="9"/>
        <v/>
      </c>
      <c r="AA124" s="12"/>
      <c r="AB124" s="95" t="e">
        <f t="shared" si="10"/>
        <v>#VALUE!</v>
      </c>
      <c r="AC124" s="95" t="e">
        <f t="shared" si="11"/>
        <v>#VALUE!</v>
      </c>
      <c r="AD124" s="12"/>
    </row>
    <row r="125" spans="1:30" ht="15.75" thickBot="1" x14ac:dyDescent="0.3">
      <c r="A125" s="12"/>
      <c r="B125" s="22"/>
      <c r="C125" t="str">
        <f>IF(AND('ENTRY DATA'!D125=""),"",('ENTRY DATA'!D125))</f>
        <v/>
      </c>
      <c r="D125" t="str">
        <f>IF(AND('ENTRY DATA'!F125=""),"",('ENTRY DATA'!F125))</f>
        <v/>
      </c>
      <c r="E125" s="34" t="str">
        <f>IF(AND('ENTRY DATA'!B125=""),"",('ENTRY DATA'!B125))</f>
        <v/>
      </c>
      <c r="F125" s="12"/>
      <c r="G125" s="12"/>
      <c r="H125" s="72"/>
      <c r="I125" s="71"/>
      <c r="J125" s="72"/>
      <c r="K125" s="12"/>
      <c r="L125" s="20">
        <f t="shared" si="6"/>
        <v>0</v>
      </c>
      <c r="M125" s="19" t="str">
        <f t="shared" si="7"/>
        <v/>
      </c>
      <c r="N125" s="12"/>
      <c r="O125" s="119"/>
      <c r="P125" s="95" t="str">
        <f t="shared" si="8"/>
        <v/>
      </c>
      <c r="Q125" s="12"/>
      <c r="S125" s="128"/>
      <c r="T125" s="66"/>
      <c r="U125" s="128"/>
      <c r="W125" s="128"/>
      <c r="X125" s="12"/>
      <c r="Y125" t="str">
        <f t="shared" si="9"/>
        <v/>
      </c>
      <c r="Z125" t="str">
        <f t="shared" si="9"/>
        <v/>
      </c>
      <c r="AA125" s="12"/>
      <c r="AB125" s="95" t="e">
        <f t="shared" si="10"/>
        <v>#VALUE!</v>
      </c>
      <c r="AC125" s="95" t="e">
        <f t="shared" si="11"/>
        <v>#VALUE!</v>
      </c>
      <c r="AD125" s="12"/>
    </row>
    <row r="126" spans="1:30" ht="15.75" thickBot="1" x14ac:dyDescent="0.3">
      <c r="A126" s="12"/>
      <c r="B126" s="22"/>
      <c r="C126" t="str">
        <f>IF(AND('ENTRY DATA'!D126=""),"",('ENTRY DATA'!D126))</f>
        <v/>
      </c>
      <c r="D126" t="str">
        <f>IF(AND('ENTRY DATA'!F126=""),"",('ENTRY DATA'!F126))</f>
        <v/>
      </c>
      <c r="E126" s="34" t="str">
        <f>IF(AND('ENTRY DATA'!B126=""),"",('ENTRY DATA'!B126))</f>
        <v/>
      </c>
      <c r="F126" s="12"/>
      <c r="G126" s="12"/>
      <c r="H126" s="72"/>
      <c r="I126" s="71"/>
      <c r="J126" s="72"/>
      <c r="K126" s="12"/>
      <c r="L126" s="20">
        <f t="shared" si="6"/>
        <v>0</v>
      </c>
      <c r="M126" s="19" t="str">
        <f t="shared" si="7"/>
        <v/>
      </c>
      <c r="N126" s="12"/>
      <c r="O126" s="119"/>
      <c r="P126" s="95" t="str">
        <f t="shared" si="8"/>
        <v/>
      </c>
      <c r="Q126" s="12"/>
      <c r="S126" s="128"/>
      <c r="T126" s="66"/>
      <c r="U126" s="128"/>
      <c r="W126" s="128"/>
      <c r="X126" s="12"/>
      <c r="Y126" t="str">
        <f t="shared" si="9"/>
        <v/>
      </c>
      <c r="Z126" t="str">
        <f t="shared" si="9"/>
        <v/>
      </c>
      <c r="AA126" s="12"/>
      <c r="AB126" s="95" t="e">
        <f t="shared" si="10"/>
        <v>#VALUE!</v>
      </c>
      <c r="AC126" s="95" t="e">
        <f t="shared" si="11"/>
        <v>#VALUE!</v>
      </c>
      <c r="AD126" s="12"/>
    </row>
    <row r="127" spans="1:30" ht="15.75" thickBot="1" x14ac:dyDescent="0.3">
      <c r="A127" s="12"/>
      <c r="B127" s="22"/>
      <c r="C127" t="str">
        <f>IF(AND('ENTRY DATA'!D127=""),"",('ENTRY DATA'!D127))</f>
        <v/>
      </c>
      <c r="D127" t="str">
        <f>IF(AND('ENTRY DATA'!F127=""),"",('ENTRY DATA'!F127))</f>
        <v/>
      </c>
      <c r="E127" s="34" t="str">
        <f>IF(AND('ENTRY DATA'!B127=""),"",('ENTRY DATA'!B127))</f>
        <v/>
      </c>
      <c r="F127" s="12"/>
      <c r="G127" s="12"/>
      <c r="H127" s="72"/>
      <c r="I127" s="71"/>
      <c r="J127" s="72"/>
      <c r="K127" s="12"/>
      <c r="L127" s="20">
        <f t="shared" si="6"/>
        <v>0</v>
      </c>
      <c r="M127" s="19" t="str">
        <f t="shared" si="7"/>
        <v/>
      </c>
      <c r="N127" s="12"/>
      <c r="O127" s="119"/>
      <c r="P127" s="95" t="str">
        <f t="shared" si="8"/>
        <v/>
      </c>
      <c r="Q127" s="12"/>
      <c r="S127" s="128"/>
      <c r="T127" s="66"/>
      <c r="U127" s="128"/>
      <c r="W127" s="128"/>
      <c r="X127" s="12"/>
      <c r="Y127" t="str">
        <f t="shared" si="9"/>
        <v/>
      </c>
      <c r="Z127" t="str">
        <f t="shared" si="9"/>
        <v/>
      </c>
      <c r="AA127" s="12"/>
      <c r="AB127" s="95" t="e">
        <f t="shared" si="10"/>
        <v>#VALUE!</v>
      </c>
      <c r="AC127" s="95" t="e">
        <f t="shared" si="11"/>
        <v>#VALUE!</v>
      </c>
      <c r="AD127" s="12"/>
    </row>
    <row r="128" spans="1:30" ht="15.75" thickBot="1" x14ac:dyDescent="0.3">
      <c r="A128" s="12"/>
      <c r="B128" s="22"/>
      <c r="C128" t="str">
        <f>IF(AND('ENTRY DATA'!D128=""),"",('ENTRY DATA'!D128))</f>
        <v/>
      </c>
      <c r="D128" t="str">
        <f>IF(AND('ENTRY DATA'!F128=""),"",('ENTRY DATA'!F128))</f>
        <v/>
      </c>
      <c r="E128" s="34" t="str">
        <f>IF(AND('ENTRY DATA'!B128=""),"",('ENTRY DATA'!B128))</f>
        <v/>
      </c>
      <c r="F128" s="12"/>
      <c r="G128" s="12"/>
      <c r="H128" s="72"/>
      <c r="I128" s="71"/>
      <c r="J128" s="72"/>
      <c r="K128" s="12"/>
      <c r="L128" s="20">
        <f t="shared" si="6"/>
        <v>0</v>
      </c>
      <c r="M128" s="19" t="str">
        <f t="shared" si="7"/>
        <v/>
      </c>
      <c r="N128" s="12"/>
      <c r="O128" s="119"/>
      <c r="P128" s="95" t="str">
        <f t="shared" si="8"/>
        <v/>
      </c>
      <c r="Q128" s="12"/>
      <c r="S128" s="128"/>
      <c r="T128" s="66"/>
      <c r="U128" s="128"/>
      <c r="W128" s="128"/>
      <c r="X128" s="12"/>
      <c r="Y128" t="str">
        <f t="shared" si="9"/>
        <v/>
      </c>
      <c r="Z128" t="str">
        <f t="shared" si="9"/>
        <v/>
      </c>
      <c r="AA128" s="12"/>
      <c r="AB128" s="95" t="e">
        <f t="shared" si="10"/>
        <v>#VALUE!</v>
      </c>
      <c r="AC128" s="95" t="e">
        <f t="shared" si="11"/>
        <v>#VALUE!</v>
      </c>
      <c r="AD128" s="12"/>
    </row>
    <row r="129" spans="1:30" ht="15.75" thickBot="1" x14ac:dyDescent="0.3">
      <c r="A129" s="12"/>
      <c r="B129" s="22"/>
      <c r="C129" t="str">
        <f>IF(AND('ENTRY DATA'!D129=""),"",('ENTRY DATA'!D129))</f>
        <v/>
      </c>
      <c r="D129" t="str">
        <f>IF(AND('ENTRY DATA'!F129=""),"",('ENTRY DATA'!F129))</f>
        <v/>
      </c>
      <c r="E129" s="34" t="str">
        <f>IF(AND('ENTRY DATA'!B129=""),"",('ENTRY DATA'!B129))</f>
        <v/>
      </c>
      <c r="F129" s="12"/>
      <c r="G129" s="12"/>
      <c r="H129" s="72"/>
      <c r="I129" s="71"/>
      <c r="J129" s="72"/>
      <c r="K129" s="12"/>
      <c r="L129" s="20">
        <f t="shared" si="6"/>
        <v>0</v>
      </c>
      <c r="M129" s="19" t="str">
        <f t="shared" si="7"/>
        <v/>
      </c>
      <c r="N129" s="12"/>
      <c r="O129" s="119"/>
      <c r="P129" s="95" t="str">
        <f t="shared" si="8"/>
        <v/>
      </c>
      <c r="Q129" s="12"/>
      <c r="S129" s="128"/>
      <c r="T129" s="66"/>
      <c r="U129" s="128"/>
      <c r="W129" s="128"/>
      <c r="X129" s="12"/>
      <c r="Y129" t="str">
        <f t="shared" si="9"/>
        <v/>
      </c>
      <c r="Z129" t="str">
        <f t="shared" si="9"/>
        <v/>
      </c>
      <c r="AA129" s="12"/>
      <c r="AB129" s="95" t="e">
        <f t="shared" si="10"/>
        <v>#VALUE!</v>
      </c>
      <c r="AC129" s="95" t="e">
        <f t="shared" si="11"/>
        <v>#VALUE!</v>
      </c>
      <c r="AD129" s="12"/>
    </row>
    <row r="130" spans="1:30" ht="15.75" thickBot="1" x14ac:dyDescent="0.3">
      <c r="A130" s="12"/>
      <c r="B130" s="22"/>
      <c r="C130" t="str">
        <f>IF(AND('ENTRY DATA'!D130=""),"",('ENTRY DATA'!D130))</f>
        <v/>
      </c>
      <c r="D130" t="str">
        <f>IF(AND('ENTRY DATA'!F130=""),"",('ENTRY DATA'!F130))</f>
        <v/>
      </c>
      <c r="E130" s="34" t="str">
        <f>IF(AND('ENTRY DATA'!B130=""),"",('ENTRY DATA'!B130))</f>
        <v/>
      </c>
      <c r="F130" s="12"/>
      <c r="G130" s="12"/>
      <c r="H130" s="72"/>
      <c r="I130" s="71"/>
      <c r="J130" s="72"/>
      <c r="K130" s="12"/>
      <c r="L130" s="20">
        <f t="shared" si="6"/>
        <v>0</v>
      </c>
      <c r="M130" s="19" t="str">
        <f t="shared" si="7"/>
        <v/>
      </c>
      <c r="N130" s="12"/>
      <c r="O130" s="119"/>
      <c r="P130" s="95" t="str">
        <f t="shared" si="8"/>
        <v/>
      </c>
      <c r="Q130" s="12"/>
      <c r="S130" s="128"/>
      <c r="T130" s="66"/>
      <c r="U130" s="128"/>
      <c r="W130" s="128"/>
      <c r="X130" s="12"/>
      <c r="Y130" t="str">
        <f t="shared" si="9"/>
        <v/>
      </c>
      <c r="Z130" t="str">
        <f t="shared" si="9"/>
        <v/>
      </c>
      <c r="AA130" s="12"/>
      <c r="AB130" s="95" t="e">
        <f t="shared" si="10"/>
        <v>#VALUE!</v>
      </c>
      <c r="AC130" s="95" t="e">
        <f t="shared" si="11"/>
        <v>#VALUE!</v>
      </c>
      <c r="AD130" s="12"/>
    </row>
    <row r="131" spans="1:30" ht="15.75" thickBot="1" x14ac:dyDescent="0.3">
      <c r="A131" s="12"/>
      <c r="B131" s="22"/>
      <c r="C131" t="str">
        <f>IF(AND('ENTRY DATA'!D131=""),"",('ENTRY DATA'!D131))</f>
        <v/>
      </c>
      <c r="D131" t="str">
        <f>IF(AND('ENTRY DATA'!F131=""),"",('ENTRY DATA'!F131))</f>
        <v/>
      </c>
      <c r="E131" s="34" t="str">
        <f>IF(AND('ENTRY DATA'!B131=""),"",('ENTRY DATA'!B131))</f>
        <v/>
      </c>
      <c r="F131" s="12"/>
      <c r="G131" s="12"/>
      <c r="H131" s="72"/>
      <c r="I131" s="71"/>
      <c r="J131" s="72"/>
      <c r="K131" s="12"/>
      <c r="L131" s="20">
        <f t="shared" si="6"/>
        <v>0</v>
      </c>
      <c r="M131" s="19" t="str">
        <f t="shared" si="7"/>
        <v/>
      </c>
      <c r="N131" s="12"/>
      <c r="O131" s="119"/>
      <c r="P131" s="95" t="str">
        <f t="shared" si="8"/>
        <v/>
      </c>
      <c r="Q131" s="12"/>
      <c r="S131" s="128"/>
      <c r="T131" s="66"/>
      <c r="U131" s="128"/>
      <c r="W131" s="128"/>
      <c r="X131" s="12"/>
      <c r="Y131" t="str">
        <f t="shared" si="9"/>
        <v/>
      </c>
      <c r="Z131" t="str">
        <f t="shared" si="9"/>
        <v/>
      </c>
      <c r="AA131" s="12"/>
      <c r="AB131" s="95" t="e">
        <f t="shared" si="10"/>
        <v>#VALUE!</v>
      </c>
      <c r="AC131" s="95" t="e">
        <f t="shared" si="11"/>
        <v>#VALUE!</v>
      </c>
      <c r="AD131" s="12"/>
    </row>
    <row r="132" spans="1:30" ht="15.75" thickBot="1" x14ac:dyDescent="0.3">
      <c r="A132" s="12"/>
      <c r="B132" s="22"/>
      <c r="C132" t="str">
        <f>IF(AND('ENTRY DATA'!D132=""),"",('ENTRY DATA'!D132))</f>
        <v/>
      </c>
      <c r="D132" t="str">
        <f>IF(AND('ENTRY DATA'!F132=""),"",('ENTRY DATA'!F132))</f>
        <v/>
      </c>
      <c r="E132" s="34" t="str">
        <f>IF(AND('ENTRY DATA'!B132=""),"",('ENTRY DATA'!B132))</f>
        <v/>
      </c>
      <c r="F132" s="12"/>
      <c r="G132" s="12"/>
      <c r="H132" s="72"/>
      <c r="I132" s="71"/>
      <c r="J132" s="72"/>
      <c r="K132" s="12"/>
      <c r="L132" s="20">
        <f t="shared" si="6"/>
        <v>0</v>
      </c>
      <c r="M132" s="19" t="str">
        <f t="shared" si="7"/>
        <v/>
      </c>
      <c r="N132" s="12"/>
      <c r="O132" s="119"/>
      <c r="P132" s="95" t="str">
        <f t="shared" si="8"/>
        <v/>
      </c>
      <c r="Q132" s="12"/>
      <c r="S132" s="128"/>
      <c r="T132" s="66"/>
      <c r="U132" s="128"/>
      <c r="W132" s="128"/>
      <c r="X132" s="12"/>
      <c r="Y132" t="str">
        <f t="shared" si="9"/>
        <v/>
      </c>
      <c r="Z132" t="str">
        <f t="shared" si="9"/>
        <v/>
      </c>
      <c r="AA132" s="12"/>
      <c r="AB132" s="95" t="e">
        <f t="shared" si="10"/>
        <v>#VALUE!</v>
      </c>
      <c r="AC132" s="95" t="e">
        <f t="shared" si="11"/>
        <v>#VALUE!</v>
      </c>
      <c r="AD132" s="12"/>
    </row>
    <row r="133" spans="1:30" ht="15.75" thickBot="1" x14ac:dyDescent="0.3">
      <c r="A133" s="12"/>
      <c r="B133" s="22"/>
      <c r="C133" t="str">
        <f>IF(AND('ENTRY DATA'!D133=""),"",('ENTRY DATA'!D133))</f>
        <v/>
      </c>
      <c r="D133" t="str">
        <f>IF(AND('ENTRY DATA'!F133=""),"",('ENTRY DATA'!F133))</f>
        <v/>
      </c>
      <c r="E133" s="34" t="str">
        <f>IF(AND('ENTRY DATA'!B133=""),"",('ENTRY DATA'!B133))</f>
        <v/>
      </c>
      <c r="F133" s="12"/>
      <c r="G133" s="12"/>
      <c r="H133" s="72"/>
      <c r="I133" s="71"/>
      <c r="J133" s="72"/>
      <c r="K133" s="12"/>
      <c r="L133" s="20">
        <f t="shared" si="6"/>
        <v>0</v>
      </c>
      <c r="M133" s="19" t="str">
        <f t="shared" si="7"/>
        <v/>
      </c>
      <c r="N133" s="12"/>
      <c r="O133" s="119"/>
      <c r="P133" s="95" t="str">
        <f t="shared" si="8"/>
        <v/>
      </c>
      <c r="Q133" s="12"/>
      <c r="S133" s="128"/>
      <c r="T133" s="66"/>
      <c r="U133" s="128"/>
      <c r="W133" s="128"/>
      <c r="X133" s="12"/>
      <c r="Y133" t="str">
        <f t="shared" si="9"/>
        <v/>
      </c>
      <c r="Z133" t="str">
        <f t="shared" si="9"/>
        <v/>
      </c>
      <c r="AA133" s="12"/>
      <c r="AB133" s="95" t="e">
        <f t="shared" si="10"/>
        <v>#VALUE!</v>
      </c>
      <c r="AC133" s="95" t="e">
        <f t="shared" si="11"/>
        <v>#VALUE!</v>
      </c>
      <c r="AD133" s="12"/>
    </row>
    <row r="134" spans="1:30" ht="15.75" thickBot="1" x14ac:dyDescent="0.3">
      <c r="A134" s="12"/>
      <c r="B134" s="22"/>
      <c r="C134" t="str">
        <f>IF(AND('ENTRY DATA'!D134=""),"",('ENTRY DATA'!D134))</f>
        <v/>
      </c>
      <c r="D134" t="str">
        <f>IF(AND('ENTRY DATA'!F134=""),"",('ENTRY DATA'!F134))</f>
        <v/>
      </c>
      <c r="E134" s="34" t="str">
        <f>IF(AND('ENTRY DATA'!B134=""),"",('ENTRY DATA'!B134))</f>
        <v/>
      </c>
      <c r="F134" s="12"/>
      <c r="G134" s="12"/>
      <c r="H134" s="72"/>
      <c r="I134" s="71"/>
      <c r="J134" s="72"/>
      <c r="K134" s="12"/>
      <c r="L134" s="20">
        <f t="shared" ref="L134:L197" si="12">COUNT(H134:J134)</f>
        <v>0</v>
      </c>
      <c r="M134" s="19" t="str">
        <f t="shared" ref="M134:M197" si="13">IF(AND(H134="",I134="",J134=""),"",(H134+I134+J134))</f>
        <v/>
      </c>
      <c r="N134" s="12"/>
      <c r="O134" s="119"/>
      <c r="P134" s="95" t="str">
        <f t="shared" ref="P134:P197" si="14">C134</f>
        <v/>
      </c>
      <c r="Q134" s="12"/>
      <c r="S134" s="128"/>
      <c r="T134" s="66"/>
      <c r="U134" s="128"/>
      <c r="W134" s="128"/>
      <c r="X134" s="12"/>
      <c r="Y134" t="str">
        <f t="shared" ref="Y134:Z197" si="15">IF(AND(R134="",T134="",V134=""),"",SUM(R134,T134,V134))</f>
        <v/>
      </c>
      <c r="Z134" t="str">
        <f t="shared" si="15"/>
        <v/>
      </c>
      <c r="AA134" s="12"/>
      <c r="AB134" s="95" t="e">
        <f t="shared" ref="AB134:AB197" si="16">Y134/L134</f>
        <v>#VALUE!</v>
      </c>
      <c r="AC134" s="95" t="e">
        <f t="shared" ref="AC134:AC197" si="17">Z134/L134</f>
        <v>#VALUE!</v>
      </c>
      <c r="AD134" s="12"/>
    </row>
    <row r="135" spans="1:30" ht="15.75" thickBot="1" x14ac:dyDescent="0.3">
      <c r="A135" s="12"/>
      <c r="B135" s="22"/>
      <c r="C135" t="str">
        <f>IF(AND('ENTRY DATA'!D135=""),"",('ENTRY DATA'!D135))</f>
        <v/>
      </c>
      <c r="D135" t="str">
        <f>IF(AND('ENTRY DATA'!F135=""),"",('ENTRY DATA'!F135))</f>
        <v/>
      </c>
      <c r="E135" s="34" t="str">
        <f>IF(AND('ENTRY DATA'!B135=""),"",('ENTRY DATA'!B135))</f>
        <v/>
      </c>
      <c r="F135" s="12"/>
      <c r="G135" s="12"/>
      <c r="H135" s="72"/>
      <c r="I135" s="71"/>
      <c r="J135" s="72"/>
      <c r="K135" s="12"/>
      <c r="L135" s="20">
        <f t="shared" si="12"/>
        <v>0</v>
      </c>
      <c r="M135" s="19" t="str">
        <f t="shared" si="13"/>
        <v/>
      </c>
      <c r="N135" s="12"/>
      <c r="O135" s="119"/>
      <c r="P135" s="95" t="str">
        <f t="shared" si="14"/>
        <v/>
      </c>
      <c r="Q135" s="12"/>
      <c r="S135" s="128"/>
      <c r="T135" s="66"/>
      <c r="U135" s="128"/>
      <c r="W135" s="128"/>
      <c r="X135" s="12"/>
      <c r="Y135" t="str">
        <f t="shared" si="15"/>
        <v/>
      </c>
      <c r="Z135" t="str">
        <f t="shared" si="15"/>
        <v/>
      </c>
      <c r="AA135" s="12"/>
      <c r="AB135" s="95" t="e">
        <f t="shared" si="16"/>
        <v>#VALUE!</v>
      </c>
      <c r="AC135" s="95" t="e">
        <f t="shared" si="17"/>
        <v>#VALUE!</v>
      </c>
      <c r="AD135" s="12"/>
    </row>
    <row r="136" spans="1:30" ht="15.75" thickBot="1" x14ac:dyDescent="0.3">
      <c r="A136" s="12"/>
      <c r="B136" s="22"/>
      <c r="C136" t="str">
        <f>IF(AND('ENTRY DATA'!D136=""),"",('ENTRY DATA'!D136))</f>
        <v/>
      </c>
      <c r="D136" t="str">
        <f>IF(AND('ENTRY DATA'!F136=""),"",('ENTRY DATA'!F136))</f>
        <v/>
      </c>
      <c r="E136" s="34" t="str">
        <f>IF(AND('ENTRY DATA'!B136=""),"",('ENTRY DATA'!B136))</f>
        <v/>
      </c>
      <c r="F136" s="12"/>
      <c r="G136" s="12"/>
      <c r="H136" s="72"/>
      <c r="I136" s="71"/>
      <c r="J136" s="72"/>
      <c r="K136" s="12"/>
      <c r="L136" s="20">
        <f t="shared" si="12"/>
        <v>0</v>
      </c>
      <c r="M136" s="19" t="str">
        <f t="shared" si="13"/>
        <v/>
      </c>
      <c r="N136" s="12"/>
      <c r="O136" s="119"/>
      <c r="P136" s="95" t="str">
        <f t="shared" si="14"/>
        <v/>
      </c>
      <c r="Q136" s="12"/>
      <c r="S136" s="128"/>
      <c r="T136" s="66"/>
      <c r="U136" s="128"/>
      <c r="W136" s="128"/>
      <c r="X136" s="12"/>
      <c r="Y136" t="str">
        <f t="shared" si="15"/>
        <v/>
      </c>
      <c r="Z136" t="str">
        <f t="shared" si="15"/>
        <v/>
      </c>
      <c r="AA136" s="12"/>
      <c r="AB136" s="95" t="e">
        <f t="shared" si="16"/>
        <v>#VALUE!</v>
      </c>
      <c r="AC136" s="95" t="e">
        <f t="shared" si="17"/>
        <v>#VALUE!</v>
      </c>
      <c r="AD136" s="12"/>
    </row>
    <row r="137" spans="1:30" ht="15.75" thickBot="1" x14ac:dyDescent="0.3">
      <c r="A137" s="12"/>
      <c r="B137" s="22"/>
      <c r="C137" t="str">
        <f>IF(AND('ENTRY DATA'!D137=""),"",('ENTRY DATA'!D137))</f>
        <v/>
      </c>
      <c r="D137" t="str">
        <f>IF(AND('ENTRY DATA'!F137=""),"",('ENTRY DATA'!F137))</f>
        <v/>
      </c>
      <c r="E137" s="34" t="str">
        <f>IF(AND('ENTRY DATA'!B137=""),"",('ENTRY DATA'!B137))</f>
        <v/>
      </c>
      <c r="F137" s="12"/>
      <c r="G137" s="12"/>
      <c r="H137" s="72"/>
      <c r="I137" s="71"/>
      <c r="J137" s="72"/>
      <c r="K137" s="12"/>
      <c r="L137" s="20">
        <f t="shared" si="12"/>
        <v>0</v>
      </c>
      <c r="M137" s="19" t="str">
        <f t="shared" si="13"/>
        <v/>
      </c>
      <c r="N137" s="12"/>
      <c r="O137" s="119"/>
      <c r="P137" s="95" t="str">
        <f t="shared" si="14"/>
        <v/>
      </c>
      <c r="Q137" s="12"/>
      <c r="S137" s="128"/>
      <c r="T137" s="66"/>
      <c r="U137" s="128"/>
      <c r="W137" s="128"/>
      <c r="X137" s="12"/>
      <c r="Y137" t="str">
        <f t="shared" si="15"/>
        <v/>
      </c>
      <c r="Z137" t="str">
        <f t="shared" si="15"/>
        <v/>
      </c>
      <c r="AA137" s="12"/>
      <c r="AB137" s="95" t="e">
        <f t="shared" si="16"/>
        <v>#VALUE!</v>
      </c>
      <c r="AC137" s="95" t="e">
        <f t="shared" si="17"/>
        <v>#VALUE!</v>
      </c>
      <c r="AD137" s="12"/>
    </row>
    <row r="138" spans="1:30" ht="15.75" thickBot="1" x14ac:dyDescent="0.3">
      <c r="A138" s="12"/>
      <c r="B138" s="22"/>
      <c r="C138" t="str">
        <f>IF(AND('ENTRY DATA'!D138=""),"",('ENTRY DATA'!D138))</f>
        <v/>
      </c>
      <c r="D138" t="str">
        <f>IF(AND('ENTRY DATA'!F138=""),"",('ENTRY DATA'!F138))</f>
        <v/>
      </c>
      <c r="E138" s="34" t="str">
        <f>IF(AND('ENTRY DATA'!B138=""),"",('ENTRY DATA'!B138))</f>
        <v/>
      </c>
      <c r="F138" s="12"/>
      <c r="G138" s="12"/>
      <c r="H138" s="72"/>
      <c r="I138" s="71"/>
      <c r="J138" s="72"/>
      <c r="K138" s="12"/>
      <c r="L138" s="20">
        <f t="shared" si="12"/>
        <v>0</v>
      </c>
      <c r="M138" s="19" t="str">
        <f t="shared" si="13"/>
        <v/>
      </c>
      <c r="N138" s="12"/>
      <c r="O138" s="119"/>
      <c r="P138" s="95" t="str">
        <f t="shared" si="14"/>
        <v/>
      </c>
      <c r="Q138" s="12"/>
      <c r="S138" s="128"/>
      <c r="T138" s="66"/>
      <c r="U138" s="128"/>
      <c r="W138" s="128"/>
      <c r="X138" s="12"/>
      <c r="Y138" t="str">
        <f t="shared" si="15"/>
        <v/>
      </c>
      <c r="Z138" t="str">
        <f t="shared" si="15"/>
        <v/>
      </c>
      <c r="AA138" s="12"/>
      <c r="AB138" s="95" t="e">
        <f t="shared" si="16"/>
        <v>#VALUE!</v>
      </c>
      <c r="AC138" s="95" t="e">
        <f t="shared" si="17"/>
        <v>#VALUE!</v>
      </c>
      <c r="AD138" s="12"/>
    </row>
    <row r="139" spans="1:30" ht="15.75" thickBot="1" x14ac:dyDescent="0.3">
      <c r="A139" s="12"/>
      <c r="B139" s="22"/>
      <c r="C139" t="str">
        <f>IF(AND('ENTRY DATA'!D139=""),"",('ENTRY DATA'!D139))</f>
        <v/>
      </c>
      <c r="D139" t="str">
        <f>IF(AND('ENTRY DATA'!F139=""),"",('ENTRY DATA'!F139))</f>
        <v/>
      </c>
      <c r="E139" s="34" t="str">
        <f>IF(AND('ENTRY DATA'!B139=""),"",('ENTRY DATA'!B139))</f>
        <v/>
      </c>
      <c r="F139" s="12"/>
      <c r="G139" s="12"/>
      <c r="H139" s="72"/>
      <c r="I139" s="71"/>
      <c r="J139" s="72"/>
      <c r="K139" s="12"/>
      <c r="L139" s="20">
        <f t="shared" si="12"/>
        <v>0</v>
      </c>
      <c r="M139" s="19" t="str">
        <f t="shared" si="13"/>
        <v/>
      </c>
      <c r="N139" s="12"/>
      <c r="O139" s="119"/>
      <c r="P139" s="95" t="str">
        <f t="shared" si="14"/>
        <v/>
      </c>
      <c r="Q139" s="12"/>
      <c r="S139" s="128"/>
      <c r="T139" s="66"/>
      <c r="U139" s="128"/>
      <c r="W139" s="128"/>
      <c r="X139" s="12"/>
      <c r="Y139" t="str">
        <f t="shared" si="15"/>
        <v/>
      </c>
      <c r="Z139" t="str">
        <f t="shared" si="15"/>
        <v/>
      </c>
      <c r="AA139" s="12"/>
      <c r="AB139" s="95" t="e">
        <f t="shared" si="16"/>
        <v>#VALUE!</v>
      </c>
      <c r="AC139" s="95" t="e">
        <f t="shared" si="17"/>
        <v>#VALUE!</v>
      </c>
      <c r="AD139" s="12"/>
    </row>
    <row r="140" spans="1:30" ht="15.75" thickBot="1" x14ac:dyDescent="0.3">
      <c r="A140" s="12"/>
      <c r="B140" s="22"/>
      <c r="C140" t="str">
        <f>IF(AND('ENTRY DATA'!D140=""),"",('ENTRY DATA'!D140))</f>
        <v/>
      </c>
      <c r="D140" t="str">
        <f>IF(AND('ENTRY DATA'!F140=""),"",('ENTRY DATA'!F140))</f>
        <v/>
      </c>
      <c r="E140" s="34" t="str">
        <f>IF(AND('ENTRY DATA'!B140=""),"",('ENTRY DATA'!B140))</f>
        <v/>
      </c>
      <c r="F140" s="12"/>
      <c r="G140" s="12"/>
      <c r="H140" s="72"/>
      <c r="I140" s="71"/>
      <c r="J140" s="72"/>
      <c r="K140" s="12"/>
      <c r="L140" s="20">
        <f t="shared" si="12"/>
        <v>0</v>
      </c>
      <c r="M140" s="19" t="str">
        <f t="shared" si="13"/>
        <v/>
      </c>
      <c r="N140" s="12"/>
      <c r="O140" s="119"/>
      <c r="P140" s="95" t="str">
        <f t="shared" si="14"/>
        <v/>
      </c>
      <c r="Q140" s="12"/>
      <c r="S140" s="128"/>
      <c r="T140" s="66"/>
      <c r="U140" s="128"/>
      <c r="W140" s="128"/>
      <c r="X140" s="12"/>
      <c r="Y140" t="str">
        <f t="shared" si="15"/>
        <v/>
      </c>
      <c r="Z140" t="str">
        <f t="shared" si="15"/>
        <v/>
      </c>
      <c r="AA140" s="12"/>
      <c r="AB140" s="95" t="e">
        <f t="shared" si="16"/>
        <v>#VALUE!</v>
      </c>
      <c r="AC140" s="95" t="e">
        <f t="shared" si="17"/>
        <v>#VALUE!</v>
      </c>
      <c r="AD140" s="12"/>
    </row>
    <row r="141" spans="1:30" ht="15.75" thickBot="1" x14ac:dyDescent="0.3">
      <c r="A141" s="12"/>
      <c r="B141" s="22"/>
      <c r="C141" t="str">
        <f>IF(AND('ENTRY DATA'!D141=""),"",('ENTRY DATA'!D141))</f>
        <v/>
      </c>
      <c r="D141" t="str">
        <f>IF(AND('ENTRY DATA'!F141=""),"",('ENTRY DATA'!F141))</f>
        <v/>
      </c>
      <c r="E141" s="34" t="str">
        <f>IF(AND('ENTRY DATA'!B141=""),"",('ENTRY DATA'!B141))</f>
        <v/>
      </c>
      <c r="F141" s="12"/>
      <c r="G141" s="12"/>
      <c r="H141" s="72"/>
      <c r="I141" s="71"/>
      <c r="J141" s="72"/>
      <c r="K141" s="12"/>
      <c r="L141" s="20">
        <f t="shared" si="12"/>
        <v>0</v>
      </c>
      <c r="M141" s="19" t="str">
        <f t="shared" si="13"/>
        <v/>
      </c>
      <c r="N141" s="12"/>
      <c r="O141" s="119"/>
      <c r="P141" s="95" t="str">
        <f t="shared" si="14"/>
        <v/>
      </c>
      <c r="Q141" s="12"/>
      <c r="S141" s="128"/>
      <c r="T141" s="66"/>
      <c r="U141" s="128"/>
      <c r="W141" s="128"/>
      <c r="X141" s="12"/>
      <c r="Y141" t="str">
        <f t="shared" si="15"/>
        <v/>
      </c>
      <c r="Z141" t="str">
        <f t="shared" si="15"/>
        <v/>
      </c>
      <c r="AA141" s="12"/>
      <c r="AB141" s="95" t="e">
        <f t="shared" si="16"/>
        <v>#VALUE!</v>
      </c>
      <c r="AC141" s="95" t="e">
        <f t="shared" si="17"/>
        <v>#VALUE!</v>
      </c>
      <c r="AD141" s="12"/>
    </row>
    <row r="142" spans="1:30" ht="15.75" thickBot="1" x14ac:dyDescent="0.3">
      <c r="A142" s="12"/>
      <c r="B142" s="22"/>
      <c r="C142" t="str">
        <f>IF(AND('ENTRY DATA'!D142=""),"",('ENTRY DATA'!D142))</f>
        <v/>
      </c>
      <c r="D142" t="str">
        <f>IF(AND('ENTRY DATA'!F142=""),"",('ENTRY DATA'!F142))</f>
        <v/>
      </c>
      <c r="E142" s="34" t="str">
        <f>IF(AND('ENTRY DATA'!B142=""),"",('ENTRY DATA'!B142))</f>
        <v/>
      </c>
      <c r="F142" s="12"/>
      <c r="G142" s="12"/>
      <c r="H142" s="72"/>
      <c r="I142" s="71"/>
      <c r="J142" s="72"/>
      <c r="K142" s="12"/>
      <c r="L142" s="20">
        <f t="shared" si="12"/>
        <v>0</v>
      </c>
      <c r="M142" s="19" t="str">
        <f t="shared" si="13"/>
        <v/>
      </c>
      <c r="N142" s="12"/>
      <c r="O142" s="119"/>
      <c r="P142" s="95" t="str">
        <f t="shared" si="14"/>
        <v/>
      </c>
      <c r="Q142" s="12"/>
      <c r="S142" s="128"/>
      <c r="T142" s="66"/>
      <c r="U142" s="128"/>
      <c r="W142" s="128"/>
      <c r="X142" s="12"/>
      <c r="Y142" t="str">
        <f t="shared" si="15"/>
        <v/>
      </c>
      <c r="Z142" t="str">
        <f t="shared" si="15"/>
        <v/>
      </c>
      <c r="AA142" s="12"/>
      <c r="AB142" s="95" t="e">
        <f t="shared" si="16"/>
        <v>#VALUE!</v>
      </c>
      <c r="AC142" s="95" t="e">
        <f t="shared" si="17"/>
        <v>#VALUE!</v>
      </c>
      <c r="AD142" s="12"/>
    </row>
    <row r="143" spans="1:30" ht="15.75" thickBot="1" x14ac:dyDescent="0.3">
      <c r="A143" s="12"/>
      <c r="B143" s="22"/>
      <c r="C143" t="str">
        <f>IF(AND('ENTRY DATA'!D143=""),"",('ENTRY DATA'!D143))</f>
        <v/>
      </c>
      <c r="D143" t="str">
        <f>IF(AND('ENTRY DATA'!F143=""),"",('ENTRY DATA'!F143))</f>
        <v/>
      </c>
      <c r="E143" s="34" t="str">
        <f>IF(AND('ENTRY DATA'!B143=""),"",('ENTRY DATA'!B143))</f>
        <v/>
      </c>
      <c r="F143" s="12"/>
      <c r="G143" s="12"/>
      <c r="H143" s="72"/>
      <c r="I143" s="71"/>
      <c r="J143" s="72"/>
      <c r="K143" s="12"/>
      <c r="L143" s="20">
        <f t="shared" si="12"/>
        <v>0</v>
      </c>
      <c r="M143" s="19" t="str">
        <f t="shared" si="13"/>
        <v/>
      </c>
      <c r="N143" s="12"/>
      <c r="O143" s="119"/>
      <c r="P143" s="95" t="str">
        <f t="shared" si="14"/>
        <v/>
      </c>
      <c r="Q143" s="12"/>
      <c r="S143" s="128"/>
      <c r="T143" s="66"/>
      <c r="U143" s="128"/>
      <c r="W143" s="128"/>
      <c r="X143" s="12"/>
      <c r="Y143" t="str">
        <f t="shared" si="15"/>
        <v/>
      </c>
      <c r="Z143" t="str">
        <f t="shared" si="15"/>
        <v/>
      </c>
      <c r="AA143" s="12"/>
      <c r="AB143" s="95" t="e">
        <f t="shared" si="16"/>
        <v>#VALUE!</v>
      </c>
      <c r="AC143" s="95" t="e">
        <f t="shared" si="17"/>
        <v>#VALUE!</v>
      </c>
      <c r="AD143" s="12"/>
    </row>
    <row r="144" spans="1:30" ht="15.75" thickBot="1" x14ac:dyDescent="0.3">
      <c r="A144" s="12"/>
      <c r="B144" s="22"/>
      <c r="C144" t="str">
        <f>IF(AND('ENTRY DATA'!D144=""),"",('ENTRY DATA'!D144))</f>
        <v/>
      </c>
      <c r="D144" t="str">
        <f>IF(AND('ENTRY DATA'!F144=""),"",('ENTRY DATA'!F144))</f>
        <v/>
      </c>
      <c r="E144" s="34" t="str">
        <f>IF(AND('ENTRY DATA'!B144=""),"",('ENTRY DATA'!B144))</f>
        <v/>
      </c>
      <c r="F144" s="12"/>
      <c r="G144" s="12"/>
      <c r="H144" s="72"/>
      <c r="I144" s="71"/>
      <c r="J144" s="72"/>
      <c r="K144" s="12"/>
      <c r="L144" s="20">
        <f t="shared" si="12"/>
        <v>0</v>
      </c>
      <c r="M144" s="19" t="str">
        <f t="shared" si="13"/>
        <v/>
      </c>
      <c r="N144" s="12"/>
      <c r="O144" s="119"/>
      <c r="P144" s="95" t="str">
        <f t="shared" si="14"/>
        <v/>
      </c>
      <c r="Q144" s="12"/>
      <c r="S144" s="128"/>
      <c r="T144" s="66"/>
      <c r="U144" s="128"/>
      <c r="W144" s="128"/>
      <c r="X144" s="12"/>
      <c r="Y144" t="str">
        <f t="shared" si="15"/>
        <v/>
      </c>
      <c r="Z144" t="str">
        <f t="shared" si="15"/>
        <v/>
      </c>
      <c r="AA144" s="12"/>
      <c r="AB144" s="95" t="e">
        <f t="shared" si="16"/>
        <v>#VALUE!</v>
      </c>
      <c r="AC144" s="95" t="e">
        <f t="shared" si="17"/>
        <v>#VALUE!</v>
      </c>
      <c r="AD144" s="12"/>
    </row>
    <row r="145" spans="1:30" ht="15.75" thickBot="1" x14ac:dyDescent="0.3">
      <c r="A145" s="12"/>
      <c r="B145" s="22"/>
      <c r="C145" t="str">
        <f>IF(AND('ENTRY DATA'!D145=""),"",('ENTRY DATA'!D145))</f>
        <v/>
      </c>
      <c r="D145" t="str">
        <f>IF(AND('ENTRY DATA'!F145=""),"",('ENTRY DATA'!F145))</f>
        <v/>
      </c>
      <c r="E145" s="34" t="str">
        <f>IF(AND('ENTRY DATA'!B145=""),"",('ENTRY DATA'!B145))</f>
        <v/>
      </c>
      <c r="F145" s="12"/>
      <c r="G145" s="12"/>
      <c r="H145" s="72"/>
      <c r="I145" s="71"/>
      <c r="J145" s="72"/>
      <c r="K145" s="12"/>
      <c r="L145" s="20">
        <f t="shared" si="12"/>
        <v>0</v>
      </c>
      <c r="M145" s="19" t="str">
        <f t="shared" si="13"/>
        <v/>
      </c>
      <c r="N145" s="12"/>
      <c r="O145" s="119"/>
      <c r="P145" s="95" t="str">
        <f t="shared" si="14"/>
        <v/>
      </c>
      <c r="Q145" s="12"/>
      <c r="S145" s="128"/>
      <c r="T145" s="66"/>
      <c r="U145" s="128"/>
      <c r="W145" s="128"/>
      <c r="X145" s="12"/>
      <c r="Y145" t="str">
        <f t="shared" si="15"/>
        <v/>
      </c>
      <c r="Z145" t="str">
        <f t="shared" si="15"/>
        <v/>
      </c>
      <c r="AA145" s="12"/>
      <c r="AB145" s="95" t="e">
        <f t="shared" si="16"/>
        <v>#VALUE!</v>
      </c>
      <c r="AC145" s="95" t="e">
        <f t="shared" si="17"/>
        <v>#VALUE!</v>
      </c>
      <c r="AD145" s="12"/>
    </row>
    <row r="146" spans="1:30" ht="15.75" thickBot="1" x14ac:dyDescent="0.3">
      <c r="A146" s="12"/>
      <c r="B146" s="22"/>
      <c r="C146" t="str">
        <f>IF(AND('ENTRY DATA'!D146=""),"",('ENTRY DATA'!D146))</f>
        <v/>
      </c>
      <c r="D146" t="str">
        <f>IF(AND('ENTRY DATA'!F146=""),"",('ENTRY DATA'!F146))</f>
        <v/>
      </c>
      <c r="E146" s="34" t="str">
        <f>IF(AND('ENTRY DATA'!B146=""),"",('ENTRY DATA'!B146))</f>
        <v/>
      </c>
      <c r="F146" s="12"/>
      <c r="G146" s="12"/>
      <c r="H146" s="72"/>
      <c r="I146" s="71"/>
      <c r="J146" s="72"/>
      <c r="K146" s="12"/>
      <c r="L146" s="20">
        <f t="shared" si="12"/>
        <v>0</v>
      </c>
      <c r="M146" s="19" t="str">
        <f t="shared" si="13"/>
        <v/>
      </c>
      <c r="N146" s="12"/>
      <c r="O146" s="119"/>
      <c r="P146" s="95" t="str">
        <f t="shared" si="14"/>
        <v/>
      </c>
      <c r="Q146" s="12"/>
      <c r="S146" s="128"/>
      <c r="T146" s="66"/>
      <c r="U146" s="128"/>
      <c r="W146" s="128"/>
      <c r="X146" s="12"/>
      <c r="Y146" t="str">
        <f t="shared" si="15"/>
        <v/>
      </c>
      <c r="Z146" t="str">
        <f t="shared" si="15"/>
        <v/>
      </c>
      <c r="AA146" s="12"/>
      <c r="AB146" s="95" t="e">
        <f t="shared" si="16"/>
        <v>#VALUE!</v>
      </c>
      <c r="AC146" s="95" t="e">
        <f t="shared" si="17"/>
        <v>#VALUE!</v>
      </c>
      <c r="AD146" s="12"/>
    </row>
    <row r="147" spans="1:30" ht="15.75" thickBot="1" x14ac:dyDescent="0.3">
      <c r="A147" s="12"/>
      <c r="B147" s="22"/>
      <c r="C147" t="str">
        <f>IF(AND('ENTRY DATA'!D147=""),"",('ENTRY DATA'!D147))</f>
        <v/>
      </c>
      <c r="D147" t="str">
        <f>IF(AND('ENTRY DATA'!F147=""),"",('ENTRY DATA'!F147))</f>
        <v/>
      </c>
      <c r="E147" s="34" t="str">
        <f>IF(AND('ENTRY DATA'!B147=""),"",('ENTRY DATA'!B147))</f>
        <v/>
      </c>
      <c r="F147" s="12"/>
      <c r="G147" s="12"/>
      <c r="H147" s="72"/>
      <c r="I147" s="71"/>
      <c r="J147" s="72"/>
      <c r="K147" s="12"/>
      <c r="L147" s="20">
        <f t="shared" si="12"/>
        <v>0</v>
      </c>
      <c r="M147" s="19" t="str">
        <f t="shared" si="13"/>
        <v/>
      </c>
      <c r="N147" s="12"/>
      <c r="O147" s="119"/>
      <c r="P147" s="95" t="str">
        <f t="shared" si="14"/>
        <v/>
      </c>
      <c r="Q147" s="12"/>
      <c r="S147" s="128"/>
      <c r="T147" s="66"/>
      <c r="U147" s="128"/>
      <c r="W147" s="128"/>
      <c r="X147" s="12"/>
      <c r="Y147" t="str">
        <f t="shared" si="15"/>
        <v/>
      </c>
      <c r="Z147" t="str">
        <f t="shared" si="15"/>
        <v/>
      </c>
      <c r="AA147" s="12"/>
      <c r="AB147" s="95" t="e">
        <f t="shared" si="16"/>
        <v>#VALUE!</v>
      </c>
      <c r="AC147" s="95" t="e">
        <f t="shared" si="17"/>
        <v>#VALUE!</v>
      </c>
      <c r="AD147" s="12"/>
    </row>
    <row r="148" spans="1:30" ht="15.75" thickBot="1" x14ac:dyDescent="0.3">
      <c r="A148" s="12"/>
      <c r="B148" s="22"/>
      <c r="C148" t="str">
        <f>IF(AND('ENTRY DATA'!D148=""),"",('ENTRY DATA'!D148))</f>
        <v/>
      </c>
      <c r="D148" t="str">
        <f>IF(AND('ENTRY DATA'!F148=""),"",('ENTRY DATA'!F148))</f>
        <v/>
      </c>
      <c r="E148" s="34" t="str">
        <f>IF(AND('ENTRY DATA'!B148=""),"",('ENTRY DATA'!B148))</f>
        <v/>
      </c>
      <c r="F148" s="12"/>
      <c r="G148" s="12"/>
      <c r="H148" s="72"/>
      <c r="I148" s="71"/>
      <c r="J148" s="72"/>
      <c r="K148" s="12"/>
      <c r="L148" s="20">
        <f t="shared" si="12"/>
        <v>0</v>
      </c>
      <c r="M148" s="19" t="str">
        <f t="shared" si="13"/>
        <v/>
      </c>
      <c r="N148" s="12"/>
      <c r="O148" s="119"/>
      <c r="P148" s="95" t="str">
        <f t="shared" si="14"/>
        <v/>
      </c>
      <c r="Q148" s="12"/>
      <c r="S148" s="128"/>
      <c r="T148" s="66"/>
      <c r="U148" s="128"/>
      <c r="W148" s="128"/>
      <c r="X148" s="12"/>
      <c r="Y148" t="str">
        <f t="shared" si="15"/>
        <v/>
      </c>
      <c r="Z148" t="str">
        <f t="shared" si="15"/>
        <v/>
      </c>
      <c r="AA148" s="12"/>
      <c r="AB148" s="95" t="e">
        <f t="shared" si="16"/>
        <v>#VALUE!</v>
      </c>
      <c r="AC148" s="95" t="e">
        <f t="shared" si="17"/>
        <v>#VALUE!</v>
      </c>
      <c r="AD148" s="12"/>
    </row>
    <row r="149" spans="1:30" ht="15.75" thickBot="1" x14ac:dyDescent="0.3">
      <c r="A149" s="12"/>
      <c r="B149" s="22"/>
      <c r="C149" t="str">
        <f>IF(AND('ENTRY DATA'!D149=""),"",('ENTRY DATA'!D149))</f>
        <v/>
      </c>
      <c r="D149" t="str">
        <f>IF(AND('ENTRY DATA'!F149=""),"",('ENTRY DATA'!F149))</f>
        <v/>
      </c>
      <c r="E149" s="34" t="str">
        <f>IF(AND('ENTRY DATA'!B149=""),"",('ENTRY DATA'!B149))</f>
        <v/>
      </c>
      <c r="F149" s="12"/>
      <c r="G149" s="12"/>
      <c r="H149" s="72"/>
      <c r="I149" s="71"/>
      <c r="J149" s="72"/>
      <c r="K149" s="12"/>
      <c r="L149" s="20">
        <f t="shared" si="12"/>
        <v>0</v>
      </c>
      <c r="M149" s="19" t="str">
        <f t="shared" si="13"/>
        <v/>
      </c>
      <c r="N149" s="12"/>
      <c r="O149" s="119"/>
      <c r="P149" s="95" t="str">
        <f t="shared" si="14"/>
        <v/>
      </c>
      <c r="Q149" s="12"/>
      <c r="S149" s="128"/>
      <c r="T149" s="66"/>
      <c r="U149" s="128"/>
      <c r="W149" s="128"/>
      <c r="X149" s="12"/>
      <c r="Y149" t="str">
        <f t="shared" si="15"/>
        <v/>
      </c>
      <c r="Z149" t="str">
        <f t="shared" si="15"/>
        <v/>
      </c>
      <c r="AA149" s="12"/>
      <c r="AB149" s="95" t="e">
        <f t="shared" si="16"/>
        <v>#VALUE!</v>
      </c>
      <c r="AC149" s="95" t="e">
        <f t="shared" si="17"/>
        <v>#VALUE!</v>
      </c>
      <c r="AD149" s="12"/>
    </row>
    <row r="150" spans="1:30" ht="15.75" thickBot="1" x14ac:dyDescent="0.3">
      <c r="A150" s="12"/>
      <c r="B150" s="22"/>
      <c r="C150" t="str">
        <f>IF(AND('ENTRY DATA'!D150=""),"",('ENTRY DATA'!D150))</f>
        <v/>
      </c>
      <c r="D150" t="str">
        <f>IF(AND('ENTRY DATA'!F150=""),"",('ENTRY DATA'!F150))</f>
        <v/>
      </c>
      <c r="E150" s="34" t="str">
        <f>IF(AND('ENTRY DATA'!B150=""),"",('ENTRY DATA'!B150))</f>
        <v/>
      </c>
      <c r="F150" s="12"/>
      <c r="G150" s="12"/>
      <c r="H150" s="72"/>
      <c r="I150" s="71"/>
      <c r="J150" s="72"/>
      <c r="K150" s="12"/>
      <c r="L150" s="20">
        <f t="shared" si="12"/>
        <v>0</v>
      </c>
      <c r="M150" s="19" t="str">
        <f t="shared" si="13"/>
        <v/>
      </c>
      <c r="N150" s="12"/>
      <c r="O150" s="119"/>
      <c r="P150" s="95" t="str">
        <f t="shared" si="14"/>
        <v/>
      </c>
      <c r="Q150" s="12"/>
      <c r="S150" s="128"/>
      <c r="T150" s="66"/>
      <c r="U150" s="128"/>
      <c r="W150" s="128"/>
      <c r="X150" s="12"/>
      <c r="Y150" t="str">
        <f t="shared" si="15"/>
        <v/>
      </c>
      <c r="Z150" t="str">
        <f t="shared" si="15"/>
        <v/>
      </c>
      <c r="AA150" s="12"/>
      <c r="AB150" s="95" t="e">
        <f t="shared" si="16"/>
        <v>#VALUE!</v>
      </c>
      <c r="AC150" s="95" t="e">
        <f t="shared" si="17"/>
        <v>#VALUE!</v>
      </c>
      <c r="AD150" s="12"/>
    </row>
    <row r="151" spans="1:30" ht="15.75" thickBot="1" x14ac:dyDescent="0.3">
      <c r="A151" s="12"/>
      <c r="B151" s="22"/>
      <c r="C151" t="str">
        <f>IF(AND('ENTRY DATA'!D151=""),"",('ENTRY DATA'!D151))</f>
        <v/>
      </c>
      <c r="D151" t="str">
        <f>IF(AND('ENTRY DATA'!F151=""),"",('ENTRY DATA'!F151))</f>
        <v/>
      </c>
      <c r="E151" s="34" t="str">
        <f>IF(AND('ENTRY DATA'!B151=""),"",('ENTRY DATA'!B151))</f>
        <v/>
      </c>
      <c r="F151" s="12"/>
      <c r="G151" s="12"/>
      <c r="H151" s="72"/>
      <c r="I151" s="71"/>
      <c r="J151" s="72"/>
      <c r="K151" s="12"/>
      <c r="L151" s="20">
        <f t="shared" si="12"/>
        <v>0</v>
      </c>
      <c r="M151" s="19" t="str">
        <f t="shared" si="13"/>
        <v/>
      </c>
      <c r="N151" s="12"/>
      <c r="O151" s="119"/>
      <c r="P151" s="95" t="str">
        <f t="shared" si="14"/>
        <v/>
      </c>
      <c r="Q151" s="12"/>
      <c r="S151" s="128"/>
      <c r="T151" s="66"/>
      <c r="U151" s="128"/>
      <c r="W151" s="128"/>
      <c r="X151" s="12"/>
      <c r="Y151" t="str">
        <f t="shared" si="15"/>
        <v/>
      </c>
      <c r="Z151" t="str">
        <f t="shared" si="15"/>
        <v/>
      </c>
      <c r="AA151" s="12"/>
      <c r="AB151" s="95" t="e">
        <f t="shared" si="16"/>
        <v>#VALUE!</v>
      </c>
      <c r="AC151" s="95" t="e">
        <f t="shared" si="17"/>
        <v>#VALUE!</v>
      </c>
      <c r="AD151" s="12"/>
    </row>
    <row r="152" spans="1:30" ht="15.75" thickBot="1" x14ac:dyDescent="0.3">
      <c r="A152" s="12"/>
      <c r="B152" s="22"/>
      <c r="C152" t="str">
        <f>IF(AND('ENTRY DATA'!D152=""),"",('ENTRY DATA'!D152))</f>
        <v/>
      </c>
      <c r="D152" t="str">
        <f>IF(AND('ENTRY DATA'!F152=""),"",('ENTRY DATA'!F152))</f>
        <v/>
      </c>
      <c r="E152" s="34" t="str">
        <f>IF(AND('ENTRY DATA'!B152=""),"",('ENTRY DATA'!B152))</f>
        <v/>
      </c>
      <c r="F152" s="12"/>
      <c r="G152" s="12"/>
      <c r="H152" s="72"/>
      <c r="I152" s="71"/>
      <c r="J152" s="72"/>
      <c r="K152" s="12"/>
      <c r="L152" s="20">
        <f t="shared" si="12"/>
        <v>0</v>
      </c>
      <c r="M152" s="19" t="str">
        <f t="shared" si="13"/>
        <v/>
      </c>
      <c r="N152" s="12"/>
      <c r="O152" s="119"/>
      <c r="P152" s="95" t="str">
        <f t="shared" si="14"/>
        <v/>
      </c>
      <c r="Q152" s="12"/>
      <c r="S152" s="128"/>
      <c r="T152" s="66"/>
      <c r="U152" s="128"/>
      <c r="W152" s="128"/>
      <c r="X152" s="12"/>
      <c r="Y152" t="str">
        <f t="shared" si="15"/>
        <v/>
      </c>
      <c r="Z152" t="str">
        <f t="shared" si="15"/>
        <v/>
      </c>
      <c r="AA152" s="12"/>
      <c r="AB152" s="95" t="e">
        <f t="shared" si="16"/>
        <v>#VALUE!</v>
      </c>
      <c r="AC152" s="95" t="e">
        <f t="shared" si="17"/>
        <v>#VALUE!</v>
      </c>
      <c r="AD152" s="12"/>
    </row>
    <row r="153" spans="1:30" ht="15.75" thickBot="1" x14ac:dyDescent="0.3">
      <c r="A153" s="12"/>
      <c r="B153" s="22"/>
      <c r="C153" t="str">
        <f>IF(AND('ENTRY DATA'!D153=""),"",('ENTRY DATA'!D153))</f>
        <v/>
      </c>
      <c r="D153" t="str">
        <f>IF(AND('ENTRY DATA'!F153=""),"",('ENTRY DATA'!F153))</f>
        <v/>
      </c>
      <c r="E153" s="34" t="str">
        <f>IF(AND('ENTRY DATA'!B153=""),"",('ENTRY DATA'!B153))</f>
        <v/>
      </c>
      <c r="F153" s="12"/>
      <c r="G153" s="12"/>
      <c r="H153" s="72"/>
      <c r="I153" s="71"/>
      <c r="J153" s="72"/>
      <c r="K153" s="12"/>
      <c r="L153" s="20">
        <f t="shared" si="12"/>
        <v>0</v>
      </c>
      <c r="M153" s="19" t="str">
        <f t="shared" si="13"/>
        <v/>
      </c>
      <c r="N153" s="12"/>
      <c r="O153" s="119"/>
      <c r="P153" s="95" t="str">
        <f t="shared" si="14"/>
        <v/>
      </c>
      <c r="Q153" s="12"/>
      <c r="S153" s="128"/>
      <c r="T153" s="66"/>
      <c r="U153" s="128"/>
      <c r="W153" s="128"/>
      <c r="X153" s="12"/>
      <c r="Y153" t="str">
        <f t="shared" si="15"/>
        <v/>
      </c>
      <c r="Z153" t="str">
        <f t="shared" si="15"/>
        <v/>
      </c>
      <c r="AA153" s="12"/>
      <c r="AB153" s="95" t="e">
        <f t="shared" si="16"/>
        <v>#VALUE!</v>
      </c>
      <c r="AC153" s="95" t="e">
        <f t="shared" si="17"/>
        <v>#VALUE!</v>
      </c>
      <c r="AD153" s="12"/>
    </row>
    <row r="154" spans="1:30" ht="15.75" thickBot="1" x14ac:dyDescent="0.3">
      <c r="A154" s="12"/>
      <c r="B154" s="22"/>
      <c r="C154" t="str">
        <f>IF(AND('ENTRY DATA'!D154=""),"",('ENTRY DATA'!D154))</f>
        <v/>
      </c>
      <c r="D154" t="str">
        <f>IF(AND('ENTRY DATA'!F154=""),"",('ENTRY DATA'!F154))</f>
        <v/>
      </c>
      <c r="E154" s="34" t="str">
        <f>IF(AND('ENTRY DATA'!B154=""),"",('ENTRY DATA'!B154))</f>
        <v/>
      </c>
      <c r="F154" s="12"/>
      <c r="G154" s="12"/>
      <c r="H154" s="72"/>
      <c r="I154" s="71"/>
      <c r="J154" s="72"/>
      <c r="K154" s="12"/>
      <c r="L154" s="20">
        <f t="shared" si="12"/>
        <v>0</v>
      </c>
      <c r="M154" s="19" t="str">
        <f t="shared" si="13"/>
        <v/>
      </c>
      <c r="N154" s="12"/>
      <c r="O154" s="119"/>
      <c r="P154" s="95" t="str">
        <f t="shared" si="14"/>
        <v/>
      </c>
      <c r="Q154" s="12"/>
      <c r="S154" s="128"/>
      <c r="T154" s="66"/>
      <c r="U154" s="128"/>
      <c r="W154" s="128"/>
      <c r="X154" s="12"/>
      <c r="Y154" t="str">
        <f t="shared" si="15"/>
        <v/>
      </c>
      <c r="Z154" t="str">
        <f t="shared" si="15"/>
        <v/>
      </c>
      <c r="AA154" s="12"/>
      <c r="AB154" s="95" t="e">
        <f t="shared" si="16"/>
        <v>#VALUE!</v>
      </c>
      <c r="AC154" s="95" t="e">
        <f t="shared" si="17"/>
        <v>#VALUE!</v>
      </c>
      <c r="AD154" s="12"/>
    </row>
    <row r="155" spans="1:30" ht="15.75" thickBot="1" x14ac:dyDescent="0.3">
      <c r="A155" s="12"/>
      <c r="B155" s="22"/>
      <c r="C155" t="str">
        <f>IF(AND('ENTRY DATA'!D155=""),"",('ENTRY DATA'!D155))</f>
        <v/>
      </c>
      <c r="D155" t="str">
        <f>IF(AND('ENTRY DATA'!F155=""),"",('ENTRY DATA'!F155))</f>
        <v/>
      </c>
      <c r="E155" s="34" t="str">
        <f>IF(AND('ENTRY DATA'!B155=""),"",('ENTRY DATA'!B155))</f>
        <v/>
      </c>
      <c r="F155" s="12"/>
      <c r="G155" s="12"/>
      <c r="H155" s="72"/>
      <c r="I155" s="71"/>
      <c r="J155" s="72"/>
      <c r="K155" s="12"/>
      <c r="L155" s="20">
        <f t="shared" si="12"/>
        <v>0</v>
      </c>
      <c r="M155" s="19" t="str">
        <f t="shared" si="13"/>
        <v/>
      </c>
      <c r="N155" s="12"/>
      <c r="O155" s="119"/>
      <c r="P155" s="95" t="str">
        <f t="shared" si="14"/>
        <v/>
      </c>
      <c r="Q155" s="12"/>
      <c r="S155" s="128"/>
      <c r="T155" s="66"/>
      <c r="U155" s="128"/>
      <c r="W155" s="128"/>
      <c r="X155" s="12"/>
      <c r="Y155" t="str">
        <f t="shared" si="15"/>
        <v/>
      </c>
      <c r="Z155" t="str">
        <f t="shared" si="15"/>
        <v/>
      </c>
      <c r="AA155" s="12"/>
      <c r="AB155" s="95" t="e">
        <f t="shared" si="16"/>
        <v>#VALUE!</v>
      </c>
      <c r="AC155" s="95" t="e">
        <f t="shared" si="17"/>
        <v>#VALUE!</v>
      </c>
      <c r="AD155" s="12"/>
    </row>
    <row r="156" spans="1:30" ht="15.75" thickBot="1" x14ac:dyDescent="0.3">
      <c r="A156" s="12"/>
      <c r="B156" s="22"/>
      <c r="C156" t="str">
        <f>IF(AND('ENTRY DATA'!D156=""),"",('ENTRY DATA'!D156))</f>
        <v/>
      </c>
      <c r="D156" t="str">
        <f>IF(AND('ENTRY DATA'!F156=""),"",('ENTRY DATA'!F156))</f>
        <v/>
      </c>
      <c r="E156" s="34" t="str">
        <f>IF(AND('ENTRY DATA'!B156=""),"",('ENTRY DATA'!B156))</f>
        <v/>
      </c>
      <c r="F156" s="12"/>
      <c r="G156" s="12"/>
      <c r="H156" s="72"/>
      <c r="I156" s="71"/>
      <c r="J156" s="72"/>
      <c r="K156" s="12"/>
      <c r="L156" s="20">
        <f t="shared" si="12"/>
        <v>0</v>
      </c>
      <c r="M156" s="19" t="str">
        <f t="shared" si="13"/>
        <v/>
      </c>
      <c r="N156" s="12"/>
      <c r="O156" s="119"/>
      <c r="P156" s="95" t="str">
        <f t="shared" si="14"/>
        <v/>
      </c>
      <c r="Q156" s="12"/>
      <c r="S156" s="128"/>
      <c r="T156" s="66"/>
      <c r="U156" s="128"/>
      <c r="W156" s="128"/>
      <c r="X156" s="12"/>
      <c r="Y156" t="str">
        <f t="shared" si="15"/>
        <v/>
      </c>
      <c r="Z156" t="str">
        <f t="shared" si="15"/>
        <v/>
      </c>
      <c r="AA156" s="12"/>
      <c r="AB156" s="95" t="e">
        <f t="shared" si="16"/>
        <v>#VALUE!</v>
      </c>
      <c r="AC156" s="95" t="e">
        <f t="shared" si="17"/>
        <v>#VALUE!</v>
      </c>
      <c r="AD156" s="12"/>
    </row>
    <row r="157" spans="1:30" ht="15.75" thickBot="1" x14ac:dyDescent="0.3">
      <c r="A157" s="12"/>
      <c r="B157" s="22"/>
      <c r="C157" t="str">
        <f>IF(AND('ENTRY DATA'!D157=""),"",('ENTRY DATA'!D157))</f>
        <v/>
      </c>
      <c r="D157" t="str">
        <f>IF(AND('ENTRY DATA'!F157=""),"",('ENTRY DATA'!F157))</f>
        <v/>
      </c>
      <c r="E157" s="34" t="str">
        <f>IF(AND('ENTRY DATA'!B157=""),"",('ENTRY DATA'!B157))</f>
        <v/>
      </c>
      <c r="F157" s="12"/>
      <c r="G157" s="12"/>
      <c r="H157" s="72"/>
      <c r="I157" s="71"/>
      <c r="J157" s="72"/>
      <c r="K157" s="12"/>
      <c r="L157" s="20">
        <f t="shared" si="12"/>
        <v>0</v>
      </c>
      <c r="M157" s="19" t="str">
        <f t="shared" si="13"/>
        <v/>
      </c>
      <c r="N157" s="12"/>
      <c r="O157" s="119"/>
      <c r="P157" s="95" t="str">
        <f t="shared" si="14"/>
        <v/>
      </c>
      <c r="Q157" s="12"/>
      <c r="S157" s="128"/>
      <c r="T157" s="66"/>
      <c r="U157" s="128"/>
      <c r="W157" s="128"/>
      <c r="X157" s="12"/>
      <c r="Y157" t="str">
        <f t="shared" si="15"/>
        <v/>
      </c>
      <c r="Z157" t="str">
        <f t="shared" si="15"/>
        <v/>
      </c>
      <c r="AA157" s="12"/>
      <c r="AB157" s="95" t="e">
        <f t="shared" si="16"/>
        <v>#VALUE!</v>
      </c>
      <c r="AC157" s="95" t="e">
        <f t="shared" si="17"/>
        <v>#VALUE!</v>
      </c>
      <c r="AD157" s="12"/>
    </row>
    <row r="158" spans="1:30" ht="15.75" thickBot="1" x14ac:dyDescent="0.3">
      <c r="A158" s="12"/>
      <c r="B158" s="22"/>
      <c r="C158" t="str">
        <f>IF(AND('ENTRY DATA'!D158=""),"",('ENTRY DATA'!D158))</f>
        <v/>
      </c>
      <c r="D158" t="str">
        <f>IF(AND('ENTRY DATA'!F158=""),"",('ENTRY DATA'!F158))</f>
        <v/>
      </c>
      <c r="E158" s="34" t="str">
        <f>IF(AND('ENTRY DATA'!B158=""),"",('ENTRY DATA'!B158))</f>
        <v/>
      </c>
      <c r="F158" s="12"/>
      <c r="G158" s="12"/>
      <c r="H158" s="72"/>
      <c r="I158" s="71"/>
      <c r="J158" s="72"/>
      <c r="K158" s="12"/>
      <c r="L158" s="20">
        <f t="shared" si="12"/>
        <v>0</v>
      </c>
      <c r="M158" s="19" t="str">
        <f t="shared" si="13"/>
        <v/>
      </c>
      <c r="N158" s="12"/>
      <c r="O158" s="119"/>
      <c r="P158" s="95" t="str">
        <f t="shared" si="14"/>
        <v/>
      </c>
      <c r="Q158" s="12"/>
      <c r="S158" s="128"/>
      <c r="T158" s="66"/>
      <c r="U158" s="128"/>
      <c r="W158" s="128"/>
      <c r="X158" s="12"/>
      <c r="Y158" t="str">
        <f t="shared" si="15"/>
        <v/>
      </c>
      <c r="Z158" t="str">
        <f t="shared" si="15"/>
        <v/>
      </c>
      <c r="AA158" s="12"/>
      <c r="AB158" s="95" t="e">
        <f t="shared" si="16"/>
        <v>#VALUE!</v>
      </c>
      <c r="AC158" s="95" t="e">
        <f t="shared" si="17"/>
        <v>#VALUE!</v>
      </c>
      <c r="AD158" s="12"/>
    </row>
    <row r="159" spans="1:30" ht="15.75" thickBot="1" x14ac:dyDescent="0.3">
      <c r="A159" s="12"/>
      <c r="B159" s="22"/>
      <c r="C159" t="str">
        <f>IF(AND('ENTRY DATA'!D159=""),"",('ENTRY DATA'!D159))</f>
        <v/>
      </c>
      <c r="D159" t="str">
        <f>IF(AND('ENTRY DATA'!F159=""),"",('ENTRY DATA'!F159))</f>
        <v/>
      </c>
      <c r="E159" s="34" t="str">
        <f>IF(AND('ENTRY DATA'!B159=""),"",('ENTRY DATA'!B159))</f>
        <v/>
      </c>
      <c r="F159" s="12"/>
      <c r="G159" s="12"/>
      <c r="H159" s="72"/>
      <c r="I159" s="71"/>
      <c r="J159" s="72"/>
      <c r="K159" s="12"/>
      <c r="L159" s="20">
        <f t="shared" si="12"/>
        <v>0</v>
      </c>
      <c r="M159" s="19" t="str">
        <f t="shared" si="13"/>
        <v/>
      </c>
      <c r="N159" s="12"/>
      <c r="O159" s="119"/>
      <c r="P159" s="95" t="str">
        <f t="shared" si="14"/>
        <v/>
      </c>
      <c r="Q159" s="12"/>
      <c r="S159" s="128"/>
      <c r="T159" s="66"/>
      <c r="U159" s="128"/>
      <c r="W159" s="128"/>
      <c r="X159" s="12"/>
      <c r="Y159" t="str">
        <f t="shared" si="15"/>
        <v/>
      </c>
      <c r="Z159" t="str">
        <f t="shared" si="15"/>
        <v/>
      </c>
      <c r="AA159" s="12"/>
      <c r="AB159" s="95" t="e">
        <f t="shared" si="16"/>
        <v>#VALUE!</v>
      </c>
      <c r="AC159" s="95" t="e">
        <f t="shared" si="17"/>
        <v>#VALUE!</v>
      </c>
      <c r="AD159" s="12"/>
    </row>
    <row r="160" spans="1:30" ht="15.75" thickBot="1" x14ac:dyDescent="0.3">
      <c r="A160" s="12"/>
      <c r="B160" s="22"/>
      <c r="C160" t="str">
        <f>IF(AND('ENTRY DATA'!D160=""),"",('ENTRY DATA'!D160))</f>
        <v/>
      </c>
      <c r="D160" t="str">
        <f>IF(AND('ENTRY DATA'!F160=""),"",('ENTRY DATA'!F160))</f>
        <v/>
      </c>
      <c r="E160" s="34" t="str">
        <f>IF(AND('ENTRY DATA'!B160=""),"",('ENTRY DATA'!B160))</f>
        <v/>
      </c>
      <c r="F160" s="12"/>
      <c r="G160" s="12"/>
      <c r="H160" s="72"/>
      <c r="I160" s="71"/>
      <c r="J160" s="72"/>
      <c r="K160" s="12"/>
      <c r="L160" s="20">
        <f t="shared" si="12"/>
        <v>0</v>
      </c>
      <c r="M160" s="19" t="str">
        <f t="shared" si="13"/>
        <v/>
      </c>
      <c r="N160" s="12"/>
      <c r="O160" s="119"/>
      <c r="P160" s="95" t="str">
        <f t="shared" si="14"/>
        <v/>
      </c>
      <c r="Q160" s="12"/>
      <c r="S160" s="128"/>
      <c r="T160" s="66"/>
      <c r="U160" s="128"/>
      <c r="W160" s="128"/>
      <c r="X160" s="12"/>
      <c r="Y160" t="str">
        <f t="shared" si="15"/>
        <v/>
      </c>
      <c r="Z160" t="str">
        <f t="shared" si="15"/>
        <v/>
      </c>
      <c r="AA160" s="12"/>
      <c r="AB160" s="95" t="e">
        <f t="shared" si="16"/>
        <v>#VALUE!</v>
      </c>
      <c r="AC160" s="95" t="e">
        <f t="shared" si="17"/>
        <v>#VALUE!</v>
      </c>
      <c r="AD160" s="12"/>
    </row>
    <row r="161" spans="1:30" ht="15.75" thickBot="1" x14ac:dyDescent="0.3">
      <c r="A161" s="12"/>
      <c r="B161" s="22"/>
      <c r="C161" t="str">
        <f>IF(AND('ENTRY DATA'!D161=""),"",('ENTRY DATA'!D161))</f>
        <v/>
      </c>
      <c r="D161" t="str">
        <f>IF(AND('ENTRY DATA'!F161=""),"",('ENTRY DATA'!F161))</f>
        <v/>
      </c>
      <c r="E161" s="34" t="str">
        <f>IF(AND('ENTRY DATA'!B161=""),"",('ENTRY DATA'!B161))</f>
        <v/>
      </c>
      <c r="F161" s="12"/>
      <c r="G161" s="12"/>
      <c r="H161" s="72"/>
      <c r="I161" s="71"/>
      <c r="J161" s="72"/>
      <c r="K161" s="12"/>
      <c r="L161" s="20">
        <f t="shared" si="12"/>
        <v>0</v>
      </c>
      <c r="M161" s="19" t="str">
        <f t="shared" si="13"/>
        <v/>
      </c>
      <c r="N161" s="12"/>
      <c r="O161" s="119"/>
      <c r="P161" s="95" t="str">
        <f t="shared" si="14"/>
        <v/>
      </c>
      <c r="Q161" s="12"/>
      <c r="S161" s="128"/>
      <c r="T161" s="66"/>
      <c r="U161" s="128"/>
      <c r="W161" s="128"/>
      <c r="X161" s="12"/>
      <c r="Y161" t="str">
        <f t="shared" si="15"/>
        <v/>
      </c>
      <c r="Z161" t="str">
        <f t="shared" si="15"/>
        <v/>
      </c>
      <c r="AA161" s="12"/>
      <c r="AB161" s="95" t="e">
        <f t="shared" si="16"/>
        <v>#VALUE!</v>
      </c>
      <c r="AC161" s="95" t="e">
        <f t="shared" si="17"/>
        <v>#VALUE!</v>
      </c>
      <c r="AD161" s="12"/>
    </row>
    <row r="162" spans="1:30" ht="15.75" thickBot="1" x14ac:dyDescent="0.3">
      <c r="A162" s="12"/>
      <c r="B162" s="22"/>
      <c r="C162" t="str">
        <f>IF(AND('ENTRY DATA'!D162=""),"",('ENTRY DATA'!D162))</f>
        <v/>
      </c>
      <c r="D162" t="str">
        <f>IF(AND('ENTRY DATA'!F162=""),"",('ENTRY DATA'!F162))</f>
        <v/>
      </c>
      <c r="E162" s="34" t="str">
        <f>IF(AND('ENTRY DATA'!B162=""),"",('ENTRY DATA'!B162))</f>
        <v/>
      </c>
      <c r="F162" s="12"/>
      <c r="G162" s="12"/>
      <c r="H162" s="72"/>
      <c r="I162" s="71"/>
      <c r="J162" s="72"/>
      <c r="K162" s="12"/>
      <c r="L162" s="20">
        <f t="shared" si="12"/>
        <v>0</v>
      </c>
      <c r="M162" s="19" t="str">
        <f t="shared" si="13"/>
        <v/>
      </c>
      <c r="N162" s="12"/>
      <c r="O162" s="119"/>
      <c r="P162" s="95" t="str">
        <f t="shared" si="14"/>
        <v/>
      </c>
      <c r="Q162" s="12"/>
      <c r="S162" s="128"/>
      <c r="T162" s="66"/>
      <c r="U162" s="128"/>
      <c r="W162" s="128"/>
      <c r="X162" s="12"/>
      <c r="Y162" t="str">
        <f t="shared" si="15"/>
        <v/>
      </c>
      <c r="Z162" t="str">
        <f t="shared" si="15"/>
        <v/>
      </c>
      <c r="AA162" s="12"/>
      <c r="AB162" s="95" t="e">
        <f t="shared" si="16"/>
        <v>#VALUE!</v>
      </c>
      <c r="AC162" s="95" t="e">
        <f t="shared" si="17"/>
        <v>#VALUE!</v>
      </c>
      <c r="AD162" s="12"/>
    </row>
    <row r="163" spans="1:30" ht="15.75" thickBot="1" x14ac:dyDescent="0.3">
      <c r="A163" s="12"/>
      <c r="B163" s="22"/>
      <c r="C163" t="str">
        <f>IF(AND('ENTRY DATA'!D163=""),"",('ENTRY DATA'!D163))</f>
        <v/>
      </c>
      <c r="D163" t="str">
        <f>IF(AND('ENTRY DATA'!F163=""),"",('ENTRY DATA'!F163))</f>
        <v/>
      </c>
      <c r="E163" s="34" t="str">
        <f>IF(AND('ENTRY DATA'!B163=""),"",('ENTRY DATA'!B163))</f>
        <v/>
      </c>
      <c r="F163" s="12"/>
      <c r="G163" s="12"/>
      <c r="H163" s="72"/>
      <c r="I163" s="71"/>
      <c r="J163" s="72"/>
      <c r="K163" s="12"/>
      <c r="L163" s="20">
        <f t="shared" si="12"/>
        <v>0</v>
      </c>
      <c r="M163" s="19" t="str">
        <f t="shared" si="13"/>
        <v/>
      </c>
      <c r="N163" s="12"/>
      <c r="O163" s="119"/>
      <c r="P163" s="95" t="str">
        <f t="shared" si="14"/>
        <v/>
      </c>
      <c r="Q163" s="12"/>
      <c r="S163" s="128"/>
      <c r="T163" s="66"/>
      <c r="U163" s="128"/>
      <c r="W163" s="128"/>
      <c r="X163" s="12"/>
      <c r="Y163" t="str">
        <f t="shared" si="15"/>
        <v/>
      </c>
      <c r="Z163" t="str">
        <f t="shared" si="15"/>
        <v/>
      </c>
      <c r="AA163" s="12"/>
      <c r="AB163" s="95" t="e">
        <f t="shared" si="16"/>
        <v>#VALUE!</v>
      </c>
      <c r="AC163" s="95" t="e">
        <f t="shared" si="17"/>
        <v>#VALUE!</v>
      </c>
      <c r="AD163" s="12"/>
    </row>
    <row r="164" spans="1:30" ht="15.75" thickBot="1" x14ac:dyDescent="0.3">
      <c r="A164" s="12"/>
      <c r="B164" s="22"/>
      <c r="C164" t="str">
        <f>IF(AND('ENTRY DATA'!D164=""),"",('ENTRY DATA'!D164))</f>
        <v/>
      </c>
      <c r="D164" t="str">
        <f>IF(AND('ENTRY DATA'!F164=""),"",('ENTRY DATA'!F164))</f>
        <v/>
      </c>
      <c r="E164" s="34" t="str">
        <f>IF(AND('ENTRY DATA'!B164=""),"",('ENTRY DATA'!B164))</f>
        <v/>
      </c>
      <c r="F164" s="12"/>
      <c r="G164" s="12"/>
      <c r="H164" s="72"/>
      <c r="I164" s="71"/>
      <c r="J164" s="72"/>
      <c r="K164" s="12"/>
      <c r="L164" s="20">
        <f t="shared" si="12"/>
        <v>0</v>
      </c>
      <c r="M164" s="19" t="str">
        <f t="shared" si="13"/>
        <v/>
      </c>
      <c r="N164" s="12"/>
      <c r="O164" s="119"/>
      <c r="P164" s="95" t="str">
        <f t="shared" si="14"/>
        <v/>
      </c>
      <c r="Q164" s="12"/>
      <c r="S164" s="128"/>
      <c r="T164" s="66"/>
      <c r="U164" s="128"/>
      <c r="W164" s="128"/>
      <c r="X164" s="12"/>
      <c r="Y164" t="str">
        <f t="shared" si="15"/>
        <v/>
      </c>
      <c r="Z164" t="str">
        <f t="shared" si="15"/>
        <v/>
      </c>
      <c r="AA164" s="12"/>
      <c r="AB164" s="95" t="e">
        <f t="shared" si="16"/>
        <v>#VALUE!</v>
      </c>
      <c r="AC164" s="95" t="e">
        <f t="shared" si="17"/>
        <v>#VALUE!</v>
      </c>
      <c r="AD164" s="12"/>
    </row>
    <row r="165" spans="1:30" ht="15.75" thickBot="1" x14ac:dyDescent="0.3">
      <c r="A165" s="12"/>
      <c r="B165" s="22"/>
      <c r="C165" t="str">
        <f>IF(AND('ENTRY DATA'!D165=""),"",('ENTRY DATA'!D165))</f>
        <v/>
      </c>
      <c r="D165" t="str">
        <f>IF(AND('ENTRY DATA'!F165=""),"",('ENTRY DATA'!F165))</f>
        <v/>
      </c>
      <c r="E165" s="34" t="str">
        <f>IF(AND('ENTRY DATA'!B165=""),"",('ENTRY DATA'!B165))</f>
        <v/>
      </c>
      <c r="F165" s="12"/>
      <c r="G165" s="12"/>
      <c r="H165" s="72"/>
      <c r="I165" s="71"/>
      <c r="J165" s="72"/>
      <c r="K165" s="12"/>
      <c r="L165" s="20">
        <f t="shared" si="12"/>
        <v>0</v>
      </c>
      <c r="M165" s="19" t="str">
        <f t="shared" si="13"/>
        <v/>
      </c>
      <c r="N165" s="12"/>
      <c r="O165" s="119"/>
      <c r="P165" s="95" t="str">
        <f t="shared" si="14"/>
        <v/>
      </c>
      <c r="Q165" s="12"/>
      <c r="S165" s="128"/>
      <c r="T165" s="66"/>
      <c r="U165" s="128"/>
      <c r="W165" s="128"/>
      <c r="X165" s="12"/>
      <c r="Y165" t="str">
        <f t="shared" si="15"/>
        <v/>
      </c>
      <c r="Z165" t="str">
        <f t="shared" si="15"/>
        <v/>
      </c>
      <c r="AA165" s="12"/>
      <c r="AB165" s="95" t="e">
        <f t="shared" si="16"/>
        <v>#VALUE!</v>
      </c>
      <c r="AC165" s="95" t="e">
        <f t="shared" si="17"/>
        <v>#VALUE!</v>
      </c>
      <c r="AD165" s="12"/>
    </row>
    <row r="166" spans="1:30" ht="15.75" thickBot="1" x14ac:dyDescent="0.3">
      <c r="A166" s="12"/>
      <c r="B166" s="22"/>
      <c r="C166" t="str">
        <f>IF(AND('ENTRY DATA'!D166=""),"",('ENTRY DATA'!D166))</f>
        <v/>
      </c>
      <c r="D166" t="str">
        <f>IF(AND('ENTRY DATA'!F166=""),"",('ENTRY DATA'!F166))</f>
        <v/>
      </c>
      <c r="E166" s="34" t="str">
        <f>IF(AND('ENTRY DATA'!B166=""),"",('ENTRY DATA'!B166))</f>
        <v/>
      </c>
      <c r="F166" s="12"/>
      <c r="G166" s="12"/>
      <c r="H166" s="72"/>
      <c r="I166" s="71"/>
      <c r="J166" s="72"/>
      <c r="K166" s="12"/>
      <c r="L166" s="20">
        <f t="shared" si="12"/>
        <v>0</v>
      </c>
      <c r="M166" s="19" t="str">
        <f t="shared" si="13"/>
        <v/>
      </c>
      <c r="N166" s="12"/>
      <c r="O166" s="119"/>
      <c r="P166" s="95" t="str">
        <f t="shared" si="14"/>
        <v/>
      </c>
      <c r="Q166" s="12"/>
      <c r="S166" s="128"/>
      <c r="T166" s="66"/>
      <c r="U166" s="128"/>
      <c r="W166" s="128"/>
      <c r="X166" s="12"/>
      <c r="Y166" t="str">
        <f t="shared" si="15"/>
        <v/>
      </c>
      <c r="Z166" t="str">
        <f t="shared" si="15"/>
        <v/>
      </c>
      <c r="AA166" s="12"/>
      <c r="AB166" s="95" t="e">
        <f t="shared" si="16"/>
        <v>#VALUE!</v>
      </c>
      <c r="AC166" s="95" t="e">
        <f t="shared" si="17"/>
        <v>#VALUE!</v>
      </c>
      <c r="AD166" s="12"/>
    </row>
    <row r="167" spans="1:30" ht="15.75" thickBot="1" x14ac:dyDescent="0.3">
      <c r="A167" s="12"/>
      <c r="B167" s="22"/>
      <c r="C167" t="str">
        <f>IF(AND('ENTRY DATA'!D167=""),"",('ENTRY DATA'!D167))</f>
        <v/>
      </c>
      <c r="D167" t="str">
        <f>IF(AND('ENTRY DATA'!F167=""),"",('ENTRY DATA'!F167))</f>
        <v/>
      </c>
      <c r="E167" s="34" t="str">
        <f>IF(AND('ENTRY DATA'!B167=""),"",('ENTRY DATA'!B167))</f>
        <v/>
      </c>
      <c r="F167" s="12"/>
      <c r="G167" s="12"/>
      <c r="H167" s="72"/>
      <c r="I167" s="71"/>
      <c r="J167" s="72"/>
      <c r="K167" s="12"/>
      <c r="L167" s="20">
        <f t="shared" si="12"/>
        <v>0</v>
      </c>
      <c r="M167" s="19" t="str">
        <f t="shared" si="13"/>
        <v/>
      </c>
      <c r="N167" s="12"/>
      <c r="O167" s="119"/>
      <c r="P167" s="95" t="str">
        <f t="shared" si="14"/>
        <v/>
      </c>
      <c r="Q167" s="12"/>
      <c r="S167" s="128"/>
      <c r="T167" s="66"/>
      <c r="U167" s="128"/>
      <c r="W167" s="128"/>
      <c r="X167" s="12"/>
      <c r="Y167" t="str">
        <f t="shared" si="15"/>
        <v/>
      </c>
      <c r="Z167" t="str">
        <f t="shared" si="15"/>
        <v/>
      </c>
      <c r="AA167" s="12"/>
      <c r="AB167" s="95" t="e">
        <f t="shared" si="16"/>
        <v>#VALUE!</v>
      </c>
      <c r="AC167" s="95" t="e">
        <f t="shared" si="17"/>
        <v>#VALUE!</v>
      </c>
      <c r="AD167" s="12"/>
    </row>
    <row r="168" spans="1:30" ht="15.75" thickBot="1" x14ac:dyDescent="0.3">
      <c r="A168" s="12"/>
      <c r="B168" s="22"/>
      <c r="C168" t="str">
        <f>IF(AND('ENTRY DATA'!D168=""),"",('ENTRY DATA'!D168))</f>
        <v/>
      </c>
      <c r="D168" t="str">
        <f>IF(AND('ENTRY DATA'!F168=""),"",('ENTRY DATA'!F168))</f>
        <v/>
      </c>
      <c r="E168" s="34" t="str">
        <f>IF(AND('ENTRY DATA'!B168=""),"",('ENTRY DATA'!B168))</f>
        <v/>
      </c>
      <c r="F168" s="12"/>
      <c r="G168" s="12"/>
      <c r="H168" s="72"/>
      <c r="I168" s="71"/>
      <c r="J168" s="72"/>
      <c r="K168" s="12"/>
      <c r="L168" s="20">
        <f t="shared" si="12"/>
        <v>0</v>
      </c>
      <c r="M168" s="19" t="str">
        <f t="shared" si="13"/>
        <v/>
      </c>
      <c r="N168" s="12"/>
      <c r="O168" s="119"/>
      <c r="P168" s="95" t="str">
        <f t="shared" si="14"/>
        <v/>
      </c>
      <c r="Q168" s="12"/>
      <c r="S168" s="128"/>
      <c r="T168" s="66"/>
      <c r="U168" s="128"/>
      <c r="W168" s="128"/>
      <c r="X168" s="12"/>
      <c r="Y168" t="str">
        <f t="shared" si="15"/>
        <v/>
      </c>
      <c r="Z168" t="str">
        <f t="shared" si="15"/>
        <v/>
      </c>
      <c r="AA168" s="12"/>
      <c r="AB168" s="95" t="e">
        <f t="shared" si="16"/>
        <v>#VALUE!</v>
      </c>
      <c r="AC168" s="95" t="e">
        <f t="shared" si="17"/>
        <v>#VALUE!</v>
      </c>
      <c r="AD168" s="12"/>
    </row>
    <row r="169" spans="1:30" ht="15.75" thickBot="1" x14ac:dyDescent="0.3">
      <c r="A169" s="12"/>
      <c r="B169" s="22"/>
      <c r="C169" t="str">
        <f>IF(AND('ENTRY DATA'!D169=""),"",('ENTRY DATA'!D169))</f>
        <v/>
      </c>
      <c r="D169" t="str">
        <f>IF(AND('ENTRY DATA'!F169=""),"",('ENTRY DATA'!F169))</f>
        <v/>
      </c>
      <c r="E169" s="34" t="str">
        <f>IF(AND('ENTRY DATA'!B169=""),"",('ENTRY DATA'!B169))</f>
        <v/>
      </c>
      <c r="F169" s="12"/>
      <c r="G169" s="12"/>
      <c r="H169" s="72"/>
      <c r="I169" s="71"/>
      <c r="J169" s="72"/>
      <c r="K169" s="12"/>
      <c r="L169" s="20">
        <f t="shared" si="12"/>
        <v>0</v>
      </c>
      <c r="M169" s="19" t="str">
        <f t="shared" si="13"/>
        <v/>
      </c>
      <c r="N169" s="12"/>
      <c r="O169" s="119"/>
      <c r="P169" s="95" t="str">
        <f t="shared" si="14"/>
        <v/>
      </c>
      <c r="Q169" s="12"/>
      <c r="S169" s="128"/>
      <c r="T169" s="66"/>
      <c r="U169" s="128"/>
      <c r="W169" s="128"/>
      <c r="X169" s="12"/>
      <c r="Y169" t="str">
        <f t="shared" si="15"/>
        <v/>
      </c>
      <c r="Z169" t="str">
        <f t="shared" si="15"/>
        <v/>
      </c>
      <c r="AA169" s="12"/>
      <c r="AB169" s="95" t="e">
        <f t="shared" si="16"/>
        <v>#VALUE!</v>
      </c>
      <c r="AC169" s="95" t="e">
        <f t="shared" si="17"/>
        <v>#VALUE!</v>
      </c>
      <c r="AD169" s="12"/>
    </row>
    <row r="170" spans="1:30" ht="15.75" thickBot="1" x14ac:dyDescent="0.3">
      <c r="A170" s="12"/>
      <c r="B170" s="22"/>
      <c r="C170" t="str">
        <f>IF(AND('ENTRY DATA'!D170=""),"",('ENTRY DATA'!D170))</f>
        <v/>
      </c>
      <c r="D170" t="str">
        <f>IF(AND('ENTRY DATA'!F170=""),"",('ENTRY DATA'!F170))</f>
        <v/>
      </c>
      <c r="E170" s="34" t="str">
        <f>IF(AND('ENTRY DATA'!B170=""),"",('ENTRY DATA'!B170))</f>
        <v/>
      </c>
      <c r="F170" s="12"/>
      <c r="G170" s="12"/>
      <c r="H170" s="72"/>
      <c r="I170" s="71"/>
      <c r="J170" s="72"/>
      <c r="K170" s="12"/>
      <c r="L170" s="20">
        <f t="shared" si="12"/>
        <v>0</v>
      </c>
      <c r="M170" s="19" t="str">
        <f t="shared" si="13"/>
        <v/>
      </c>
      <c r="N170" s="12"/>
      <c r="O170" s="119"/>
      <c r="P170" s="95" t="str">
        <f t="shared" si="14"/>
        <v/>
      </c>
      <c r="Q170" s="12"/>
      <c r="S170" s="128"/>
      <c r="T170" s="66"/>
      <c r="U170" s="128"/>
      <c r="W170" s="128"/>
      <c r="X170" s="12"/>
      <c r="Y170" t="str">
        <f t="shared" si="15"/>
        <v/>
      </c>
      <c r="Z170" t="str">
        <f t="shared" si="15"/>
        <v/>
      </c>
      <c r="AA170" s="12"/>
      <c r="AB170" s="95" t="e">
        <f t="shared" si="16"/>
        <v>#VALUE!</v>
      </c>
      <c r="AC170" s="95" t="e">
        <f t="shared" si="17"/>
        <v>#VALUE!</v>
      </c>
      <c r="AD170" s="12"/>
    </row>
    <row r="171" spans="1:30" ht="15.75" thickBot="1" x14ac:dyDescent="0.3">
      <c r="A171" s="12"/>
      <c r="B171" s="22"/>
      <c r="C171" t="str">
        <f>IF(AND('ENTRY DATA'!D171=""),"",('ENTRY DATA'!D171))</f>
        <v/>
      </c>
      <c r="D171" t="str">
        <f>IF(AND('ENTRY DATA'!F171=""),"",('ENTRY DATA'!F171))</f>
        <v/>
      </c>
      <c r="E171" s="34" t="str">
        <f>IF(AND('ENTRY DATA'!B171=""),"",('ENTRY DATA'!B171))</f>
        <v/>
      </c>
      <c r="F171" s="12"/>
      <c r="G171" s="12"/>
      <c r="H171" s="72"/>
      <c r="I171" s="71"/>
      <c r="J171" s="72"/>
      <c r="K171" s="12"/>
      <c r="L171" s="20">
        <f t="shared" si="12"/>
        <v>0</v>
      </c>
      <c r="M171" s="19" t="str">
        <f t="shared" si="13"/>
        <v/>
      </c>
      <c r="N171" s="12"/>
      <c r="O171" s="119"/>
      <c r="P171" s="95" t="str">
        <f t="shared" si="14"/>
        <v/>
      </c>
      <c r="Q171" s="12"/>
      <c r="S171" s="128"/>
      <c r="T171" s="66"/>
      <c r="U171" s="128"/>
      <c r="W171" s="128"/>
      <c r="X171" s="12"/>
      <c r="Y171" t="str">
        <f t="shared" si="15"/>
        <v/>
      </c>
      <c r="Z171" t="str">
        <f t="shared" si="15"/>
        <v/>
      </c>
      <c r="AA171" s="12"/>
      <c r="AB171" s="95" t="e">
        <f t="shared" si="16"/>
        <v>#VALUE!</v>
      </c>
      <c r="AC171" s="95" t="e">
        <f t="shared" si="17"/>
        <v>#VALUE!</v>
      </c>
      <c r="AD171" s="12"/>
    </row>
    <row r="172" spans="1:30" ht="15.75" thickBot="1" x14ac:dyDescent="0.3">
      <c r="A172" s="12"/>
      <c r="B172" s="22"/>
      <c r="C172" t="str">
        <f>IF(AND('ENTRY DATA'!D172=""),"",('ENTRY DATA'!D172))</f>
        <v/>
      </c>
      <c r="D172" t="str">
        <f>IF(AND('ENTRY DATA'!F172=""),"",('ENTRY DATA'!F172))</f>
        <v/>
      </c>
      <c r="E172" s="34" t="str">
        <f>IF(AND('ENTRY DATA'!B172=""),"",('ENTRY DATA'!B172))</f>
        <v/>
      </c>
      <c r="F172" s="12"/>
      <c r="G172" s="12"/>
      <c r="H172" s="72"/>
      <c r="I172" s="71"/>
      <c r="J172" s="72"/>
      <c r="K172" s="12"/>
      <c r="L172" s="20">
        <f t="shared" si="12"/>
        <v>0</v>
      </c>
      <c r="M172" s="19" t="str">
        <f t="shared" si="13"/>
        <v/>
      </c>
      <c r="N172" s="12"/>
      <c r="O172" s="119"/>
      <c r="P172" s="95" t="str">
        <f t="shared" si="14"/>
        <v/>
      </c>
      <c r="Q172" s="12"/>
      <c r="S172" s="128"/>
      <c r="T172" s="66"/>
      <c r="U172" s="128"/>
      <c r="W172" s="128"/>
      <c r="X172" s="12"/>
      <c r="Y172" t="str">
        <f t="shared" si="15"/>
        <v/>
      </c>
      <c r="Z172" t="str">
        <f t="shared" si="15"/>
        <v/>
      </c>
      <c r="AA172" s="12"/>
      <c r="AB172" s="95" t="e">
        <f t="shared" si="16"/>
        <v>#VALUE!</v>
      </c>
      <c r="AC172" s="95" t="e">
        <f t="shared" si="17"/>
        <v>#VALUE!</v>
      </c>
      <c r="AD172" s="12"/>
    </row>
    <row r="173" spans="1:30" ht="15.75" thickBot="1" x14ac:dyDescent="0.3">
      <c r="A173" s="12"/>
      <c r="B173" s="22"/>
      <c r="C173" t="str">
        <f>IF(AND('ENTRY DATA'!D173=""),"",('ENTRY DATA'!D173))</f>
        <v/>
      </c>
      <c r="D173" t="str">
        <f>IF(AND('ENTRY DATA'!F173=""),"",('ENTRY DATA'!F173))</f>
        <v/>
      </c>
      <c r="E173" s="34" t="str">
        <f>IF(AND('ENTRY DATA'!B173=""),"",('ENTRY DATA'!B173))</f>
        <v/>
      </c>
      <c r="F173" s="12"/>
      <c r="G173" s="12"/>
      <c r="H173" s="72"/>
      <c r="I173" s="71"/>
      <c r="J173" s="72"/>
      <c r="K173" s="12"/>
      <c r="L173" s="20">
        <f t="shared" si="12"/>
        <v>0</v>
      </c>
      <c r="M173" s="19" t="str">
        <f t="shared" si="13"/>
        <v/>
      </c>
      <c r="N173" s="12"/>
      <c r="O173" s="119"/>
      <c r="P173" s="95" t="str">
        <f t="shared" si="14"/>
        <v/>
      </c>
      <c r="Q173" s="12"/>
      <c r="S173" s="128"/>
      <c r="T173" s="66"/>
      <c r="U173" s="128"/>
      <c r="W173" s="128"/>
      <c r="X173" s="12"/>
      <c r="Y173" t="str">
        <f t="shared" si="15"/>
        <v/>
      </c>
      <c r="Z173" t="str">
        <f t="shared" si="15"/>
        <v/>
      </c>
      <c r="AA173" s="12"/>
      <c r="AB173" s="95" t="e">
        <f t="shared" si="16"/>
        <v>#VALUE!</v>
      </c>
      <c r="AC173" s="95" t="e">
        <f t="shared" si="17"/>
        <v>#VALUE!</v>
      </c>
      <c r="AD173" s="12"/>
    </row>
    <row r="174" spans="1:30" ht="15.75" thickBot="1" x14ac:dyDescent="0.3">
      <c r="A174" s="12"/>
      <c r="B174" s="22"/>
      <c r="C174" t="str">
        <f>IF(AND('ENTRY DATA'!D174=""),"",('ENTRY DATA'!D174))</f>
        <v/>
      </c>
      <c r="D174" t="str">
        <f>IF(AND('ENTRY DATA'!F174=""),"",('ENTRY DATA'!F174))</f>
        <v/>
      </c>
      <c r="E174" s="34" t="str">
        <f>IF(AND('ENTRY DATA'!B174=""),"",('ENTRY DATA'!B174))</f>
        <v/>
      </c>
      <c r="F174" s="12"/>
      <c r="G174" s="12"/>
      <c r="H174" s="72"/>
      <c r="I174" s="71"/>
      <c r="J174" s="72"/>
      <c r="K174" s="12"/>
      <c r="L174" s="20">
        <f t="shared" si="12"/>
        <v>0</v>
      </c>
      <c r="M174" s="19" t="str">
        <f t="shared" si="13"/>
        <v/>
      </c>
      <c r="N174" s="12"/>
      <c r="O174" s="119"/>
      <c r="P174" s="95" t="str">
        <f t="shared" si="14"/>
        <v/>
      </c>
      <c r="Q174" s="12"/>
      <c r="S174" s="128"/>
      <c r="T174" s="66"/>
      <c r="U174" s="128"/>
      <c r="W174" s="128"/>
      <c r="X174" s="12"/>
      <c r="Y174" t="str">
        <f t="shared" si="15"/>
        <v/>
      </c>
      <c r="Z174" t="str">
        <f t="shared" si="15"/>
        <v/>
      </c>
      <c r="AA174" s="12"/>
      <c r="AB174" s="95" t="e">
        <f t="shared" si="16"/>
        <v>#VALUE!</v>
      </c>
      <c r="AC174" s="95" t="e">
        <f t="shared" si="17"/>
        <v>#VALUE!</v>
      </c>
      <c r="AD174" s="12"/>
    </row>
    <row r="175" spans="1:30" ht="15.75" thickBot="1" x14ac:dyDescent="0.3">
      <c r="A175" s="12"/>
      <c r="B175" s="22"/>
      <c r="C175" t="str">
        <f>IF(AND('ENTRY DATA'!D175=""),"",('ENTRY DATA'!D175))</f>
        <v/>
      </c>
      <c r="D175" t="str">
        <f>IF(AND('ENTRY DATA'!F175=""),"",('ENTRY DATA'!F175))</f>
        <v/>
      </c>
      <c r="E175" s="34" t="str">
        <f>IF(AND('ENTRY DATA'!B175=""),"",('ENTRY DATA'!B175))</f>
        <v/>
      </c>
      <c r="F175" s="12"/>
      <c r="G175" s="12"/>
      <c r="H175" s="72"/>
      <c r="I175" s="71"/>
      <c r="J175" s="72"/>
      <c r="K175" s="12"/>
      <c r="L175" s="20">
        <f t="shared" si="12"/>
        <v>0</v>
      </c>
      <c r="M175" s="19" t="str">
        <f t="shared" si="13"/>
        <v/>
      </c>
      <c r="N175" s="12"/>
      <c r="O175" s="119"/>
      <c r="P175" s="95" t="str">
        <f t="shared" si="14"/>
        <v/>
      </c>
      <c r="Q175" s="12"/>
      <c r="S175" s="128"/>
      <c r="T175" s="66"/>
      <c r="U175" s="128"/>
      <c r="W175" s="128"/>
      <c r="X175" s="12"/>
      <c r="Y175" t="str">
        <f t="shared" si="15"/>
        <v/>
      </c>
      <c r="Z175" t="str">
        <f t="shared" si="15"/>
        <v/>
      </c>
      <c r="AA175" s="12"/>
      <c r="AB175" s="95" t="e">
        <f t="shared" si="16"/>
        <v>#VALUE!</v>
      </c>
      <c r="AC175" s="95" t="e">
        <f t="shared" si="17"/>
        <v>#VALUE!</v>
      </c>
      <c r="AD175" s="12"/>
    </row>
    <row r="176" spans="1:30" ht="15.75" thickBot="1" x14ac:dyDescent="0.3">
      <c r="A176" s="12"/>
      <c r="B176" s="22"/>
      <c r="C176" t="str">
        <f>IF(AND('ENTRY DATA'!D176=""),"",('ENTRY DATA'!D176))</f>
        <v/>
      </c>
      <c r="D176" t="str">
        <f>IF(AND('ENTRY DATA'!F176=""),"",('ENTRY DATA'!F176))</f>
        <v/>
      </c>
      <c r="E176" s="34" t="str">
        <f>IF(AND('ENTRY DATA'!B176=""),"",('ENTRY DATA'!B176))</f>
        <v/>
      </c>
      <c r="F176" s="12"/>
      <c r="G176" s="12"/>
      <c r="H176" s="72"/>
      <c r="I176" s="71"/>
      <c r="J176" s="72"/>
      <c r="K176" s="12"/>
      <c r="L176" s="20">
        <f t="shared" si="12"/>
        <v>0</v>
      </c>
      <c r="M176" s="19" t="str">
        <f t="shared" si="13"/>
        <v/>
      </c>
      <c r="N176" s="12"/>
      <c r="O176" s="119"/>
      <c r="P176" s="95" t="str">
        <f t="shared" si="14"/>
        <v/>
      </c>
      <c r="Q176" s="12"/>
      <c r="S176" s="128"/>
      <c r="T176" s="66"/>
      <c r="U176" s="128"/>
      <c r="W176" s="128"/>
      <c r="X176" s="12"/>
      <c r="Y176" t="str">
        <f t="shared" si="15"/>
        <v/>
      </c>
      <c r="Z176" t="str">
        <f t="shared" si="15"/>
        <v/>
      </c>
      <c r="AA176" s="12"/>
      <c r="AB176" s="95" t="e">
        <f t="shared" si="16"/>
        <v>#VALUE!</v>
      </c>
      <c r="AC176" s="95" t="e">
        <f t="shared" si="17"/>
        <v>#VALUE!</v>
      </c>
      <c r="AD176" s="12"/>
    </row>
    <row r="177" spans="1:30" ht="15.75" thickBot="1" x14ac:dyDescent="0.3">
      <c r="A177" s="12"/>
      <c r="B177" s="22"/>
      <c r="C177" t="str">
        <f>IF(AND('ENTRY DATA'!D177=""),"",('ENTRY DATA'!D177))</f>
        <v/>
      </c>
      <c r="D177" t="str">
        <f>IF(AND('ENTRY DATA'!F177=""),"",('ENTRY DATA'!F177))</f>
        <v/>
      </c>
      <c r="E177" s="34" t="str">
        <f>IF(AND('ENTRY DATA'!B177=""),"",('ENTRY DATA'!B177))</f>
        <v/>
      </c>
      <c r="F177" s="12"/>
      <c r="G177" s="12"/>
      <c r="H177" s="72"/>
      <c r="I177" s="71"/>
      <c r="J177" s="72"/>
      <c r="K177" s="12"/>
      <c r="L177" s="20">
        <f t="shared" si="12"/>
        <v>0</v>
      </c>
      <c r="M177" s="19" t="str">
        <f t="shared" si="13"/>
        <v/>
      </c>
      <c r="N177" s="12"/>
      <c r="O177" s="119"/>
      <c r="P177" s="95" t="str">
        <f t="shared" si="14"/>
        <v/>
      </c>
      <c r="Q177" s="12"/>
      <c r="S177" s="128"/>
      <c r="T177" s="66"/>
      <c r="U177" s="128"/>
      <c r="W177" s="128"/>
      <c r="X177" s="12"/>
      <c r="Y177" t="str">
        <f t="shared" si="15"/>
        <v/>
      </c>
      <c r="Z177" t="str">
        <f t="shared" si="15"/>
        <v/>
      </c>
      <c r="AA177" s="12"/>
      <c r="AB177" s="95" t="e">
        <f t="shared" si="16"/>
        <v>#VALUE!</v>
      </c>
      <c r="AC177" s="95" t="e">
        <f t="shared" si="17"/>
        <v>#VALUE!</v>
      </c>
      <c r="AD177" s="12"/>
    </row>
    <row r="178" spans="1:30" ht="15.75" thickBot="1" x14ac:dyDescent="0.3">
      <c r="A178" s="12"/>
      <c r="B178" s="22"/>
      <c r="C178" t="str">
        <f>IF(AND('ENTRY DATA'!D178=""),"",('ENTRY DATA'!D178))</f>
        <v/>
      </c>
      <c r="D178" t="str">
        <f>IF(AND('ENTRY DATA'!F178=""),"",('ENTRY DATA'!F178))</f>
        <v/>
      </c>
      <c r="E178" s="34" t="str">
        <f>IF(AND('ENTRY DATA'!B178=""),"",('ENTRY DATA'!B178))</f>
        <v/>
      </c>
      <c r="F178" s="12"/>
      <c r="G178" s="12"/>
      <c r="H178" s="72"/>
      <c r="I178" s="71"/>
      <c r="J178" s="72"/>
      <c r="K178" s="12"/>
      <c r="L178" s="20">
        <f t="shared" si="12"/>
        <v>0</v>
      </c>
      <c r="M178" s="19" t="str">
        <f t="shared" si="13"/>
        <v/>
      </c>
      <c r="N178" s="12"/>
      <c r="O178" s="119"/>
      <c r="P178" s="95" t="str">
        <f t="shared" si="14"/>
        <v/>
      </c>
      <c r="Q178" s="12"/>
      <c r="S178" s="128"/>
      <c r="T178" s="66"/>
      <c r="U178" s="128"/>
      <c r="W178" s="128"/>
      <c r="X178" s="12"/>
      <c r="Y178" t="str">
        <f t="shared" si="15"/>
        <v/>
      </c>
      <c r="Z178" t="str">
        <f t="shared" si="15"/>
        <v/>
      </c>
      <c r="AA178" s="12"/>
      <c r="AB178" s="95" t="e">
        <f t="shared" si="16"/>
        <v>#VALUE!</v>
      </c>
      <c r="AC178" s="95" t="e">
        <f t="shared" si="17"/>
        <v>#VALUE!</v>
      </c>
      <c r="AD178" s="12"/>
    </row>
    <row r="179" spans="1:30" ht="15.75" thickBot="1" x14ac:dyDescent="0.3">
      <c r="A179" s="12"/>
      <c r="B179" s="22"/>
      <c r="C179" t="str">
        <f>IF(AND('ENTRY DATA'!D179=""),"",('ENTRY DATA'!D179))</f>
        <v/>
      </c>
      <c r="D179" t="str">
        <f>IF(AND('ENTRY DATA'!F179=""),"",('ENTRY DATA'!F179))</f>
        <v/>
      </c>
      <c r="E179" s="34" t="str">
        <f>IF(AND('ENTRY DATA'!B179=""),"",('ENTRY DATA'!B179))</f>
        <v/>
      </c>
      <c r="F179" s="12"/>
      <c r="G179" s="12"/>
      <c r="H179" s="72"/>
      <c r="I179" s="71"/>
      <c r="J179" s="72"/>
      <c r="K179" s="12"/>
      <c r="L179" s="20">
        <f t="shared" si="12"/>
        <v>0</v>
      </c>
      <c r="M179" s="19" t="str">
        <f t="shared" si="13"/>
        <v/>
      </c>
      <c r="N179" s="12"/>
      <c r="O179" s="119"/>
      <c r="P179" s="95" t="str">
        <f t="shared" si="14"/>
        <v/>
      </c>
      <c r="Q179" s="12"/>
      <c r="S179" s="128"/>
      <c r="T179" s="66"/>
      <c r="U179" s="128"/>
      <c r="W179" s="128"/>
      <c r="X179" s="12"/>
      <c r="Y179" t="str">
        <f t="shared" si="15"/>
        <v/>
      </c>
      <c r="Z179" t="str">
        <f t="shared" si="15"/>
        <v/>
      </c>
      <c r="AA179" s="12"/>
      <c r="AB179" s="95" t="e">
        <f t="shared" si="16"/>
        <v>#VALUE!</v>
      </c>
      <c r="AC179" s="95" t="e">
        <f t="shared" si="17"/>
        <v>#VALUE!</v>
      </c>
      <c r="AD179" s="12"/>
    </row>
    <row r="180" spans="1:30" ht="15.75" thickBot="1" x14ac:dyDescent="0.3">
      <c r="A180" s="12"/>
      <c r="B180" s="22"/>
      <c r="C180" t="str">
        <f>IF(AND('ENTRY DATA'!D180=""),"",('ENTRY DATA'!D180))</f>
        <v/>
      </c>
      <c r="D180" t="str">
        <f>IF(AND('ENTRY DATA'!F180=""),"",('ENTRY DATA'!F180))</f>
        <v/>
      </c>
      <c r="E180" s="34" t="str">
        <f>IF(AND('ENTRY DATA'!B180=""),"",('ENTRY DATA'!B180))</f>
        <v/>
      </c>
      <c r="F180" s="12"/>
      <c r="G180" s="12"/>
      <c r="H180" s="72"/>
      <c r="I180" s="71"/>
      <c r="J180" s="72"/>
      <c r="K180" s="12"/>
      <c r="L180" s="20">
        <f t="shared" si="12"/>
        <v>0</v>
      </c>
      <c r="M180" s="19" t="str">
        <f t="shared" si="13"/>
        <v/>
      </c>
      <c r="N180" s="12"/>
      <c r="O180" s="119"/>
      <c r="P180" s="95" t="str">
        <f t="shared" si="14"/>
        <v/>
      </c>
      <c r="Q180" s="12"/>
      <c r="S180" s="128"/>
      <c r="T180" s="66"/>
      <c r="U180" s="128"/>
      <c r="W180" s="128"/>
      <c r="X180" s="12"/>
      <c r="Y180" t="str">
        <f t="shared" si="15"/>
        <v/>
      </c>
      <c r="Z180" t="str">
        <f t="shared" si="15"/>
        <v/>
      </c>
      <c r="AA180" s="12"/>
      <c r="AB180" s="95" t="e">
        <f t="shared" si="16"/>
        <v>#VALUE!</v>
      </c>
      <c r="AC180" s="95" t="e">
        <f t="shared" si="17"/>
        <v>#VALUE!</v>
      </c>
      <c r="AD180" s="12"/>
    </row>
    <row r="181" spans="1:30" ht="15.75" thickBot="1" x14ac:dyDescent="0.3">
      <c r="A181" s="12"/>
      <c r="B181" s="22"/>
      <c r="C181" t="str">
        <f>IF(AND('ENTRY DATA'!D181=""),"",('ENTRY DATA'!D181))</f>
        <v/>
      </c>
      <c r="D181" t="str">
        <f>IF(AND('ENTRY DATA'!F181=""),"",('ENTRY DATA'!F181))</f>
        <v/>
      </c>
      <c r="E181" s="34" t="str">
        <f>IF(AND('ENTRY DATA'!B181=""),"",('ENTRY DATA'!B181))</f>
        <v/>
      </c>
      <c r="F181" s="12"/>
      <c r="G181" s="12"/>
      <c r="H181" s="72"/>
      <c r="I181" s="71"/>
      <c r="J181" s="72"/>
      <c r="K181" s="12"/>
      <c r="L181" s="20">
        <f t="shared" si="12"/>
        <v>0</v>
      </c>
      <c r="M181" s="19" t="str">
        <f t="shared" si="13"/>
        <v/>
      </c>
      <c r="N181" s="12"/>
      <c r="O181" s="119"/>
      <c r="P181" s="95" t="str">
        <f t="shared" si="14"/>
        <v/>
      </c>
      <c r="Q181" s="12"/>
      <c r="S181" s="128"/>
      <c r="T181" s="66"/>
      <c r="U181" s="128"/>
      <c r="W181" s="128"/>
      <c r="X181" s="12"/>
      <c r="Y181" t="str">
        <f t="shared" si="15"/>
        <v/>
      </c>
      <c r="Z181" t="str">
        <f t="shared" si="15"/>
        <v/>
      </c>
      <c r="AA181" s="12"/>
      <c r="AB181" s="95" t="e">
        <f t="shared" si="16"/>
        <v>#VALUE!</v>
      </c>
      <c r="AC181" s="95" t="e">
        <f t="shared" si="17"/>
        <v>#VALUE!</v>
      </c>
      <c r="AD181" s="12"/>
    </row>
    <row r="182" spans="1:30" ht="15.75" thickBot="1" x14ac:dyDescent="0.3">
      <c r="A182" s="12"/>
      <c r="B182" s="22"/>
      <c r="C182" t="str">
        <f>IF(AND('ENTRY DATA'!D182=""),"",('ENTRY DATA'!D182))</f>
        <v/>
      </c>
      <c r="D182" t="str">
        <f>IF(AND('ENTRY DATA'!F182=""),"",('ENTRY DATA'!F182))</f>
        <v/>
      </c>
      <c r="E182" s="34" t="str">
        <f>IF(AND('ENTRY DATA'!B182=""),"",('ENTRY DATA'!B182))</f>
        <v/>
      </c>
      <c r="F182" s="12"/>
      <c r="G182" s="12"/>
      <c r="H182" s="72"/>
      <c r="I182" s="71"/>
      <c r="J182" s="72"/>
      <c r="K182" s="12"/>
      <c r="L182" s="20">
        <f t="shared" si="12"/>
        <v>0</v>
      </c>
      <c r="M182" s="19" t="str">
        <f t="shared" si="13"/>
        <v/>
      </c>
      <c r="N182" s="12"/>
      <c r="O182" s="119"/>
      <c r="P182" s="95" t="str">
        <f t="shared" si="14"/>
        <v/>
      </c>
      <c r="Q182" s="12"/>
      <c r="S182" s="128"/>
      <c r="T182" s="66"/>
      <c r="U182" s="128"/>
      <c r="W182" s="128"/>
      <c r="X182" s="12"/>
      <c r="Y182" t="str">
        <f t="shared" si="15"/>
        <v/>
      </c>
      <c r="Z182" t="str">
        <f t="shared" si="15"/>
        <v/>
      </c>
      <c r="AA182" s="12"/>
      <c r="AB182" s="95" t="e">
        <f t="shared" si="16"/>
        <v>#VALUE!</v>
      </c>
      <c r="AC182" s="95" t="e">
        <f t="shared" si="17"/>
        <v>#VALUE!</v>
      </c>
      <c r="AD182" s="12"/>
    </row>
    <row r="183" spans="1:30" ht="15.75" thickBot="1" x14ac:dyDescent="0.3">
      <c r="A183" s="12"/>
      <c r="B183" s="22"/>
      <c r="C183" t="str">
        <f>IF(AND('ENTRY DATA'!D183=""),"",('ENTRY DATA'!D183))</f>
        <v/>
      </c>
      <c r="D183" t="str">
        <f>IF(AND('ENTRY DATA'!F183=""),"",('ENTRY DATA'!F183))</f>
        <v/>
      </c>
      <c r="E183" s="34" t="str">
        <f>IF(AND('ENTRY DATA'!B183=""),"",('ENTRY DATA'!B183))</f>
        <v/>
      </c>
      <c r="F183" s="12"/>
      <c r="G183" s="12"/>
      <c r="H183" s="72"/>
      <c r="I183" s="71"/>
      <c r="J183" s="72"/>
      <c r="K183" s="12"/>
      <c r="L183" s="20">
        <f t="shared" si="12"/>
        <v>0</v>
      </c>
      <c r="M183" s="19" t="str">
        <f t="shared" si="13"/>
        <v/>
      </c>
      <c r="N183" s="12"/>
      <c r="O183" s="119"/>
      <c r="P183" s="95" t="str">
        <f t="shared" si="14"/>
        <v/>
      </c>
      <c r="Q183" s="12"/>
      <c r="S183" s="128"/>
      <c r="T183" s="66"/>
      <c r="U183" s="128"/>
      <c r="W183" s="128"/>
      <c r="X183" s="12"/>
      <c r="Y183" t="str">
        <f t="shared" si="15"/>
        <v/>
      </c>
      <c r="Z183" t="str">
        <f t="shared" si="15"/>
        <v/>
      </c>
      <c r="AA183" s="12"/>
      <c r="AB183" s="95" t="e">
        <f t="shared" si="16"/>
        <v>#VALUE!</v>
      </c>
      <c r="AC183" s="95" t="e">
        <f t="shared" si="17"/>
        <v>#VALUE!</v>
      </c>
      <c r="AD183" s="12"/>
    </row>
    <row r="184" spans="1:30" ht="15.75" thickBot="1" x14ac:dyDescent="0.3">
      <c r="A184" s="12"/>
      <c r="B184" s="22"/>
      <c r="C184" t="str">
        <f>IF(AND('ENTRY DATA'!D184=""),"",('ENTRY DATA'!D184))</f>
        <v/>
      </c>
      <c r="D184" t="str">
        <f>IF(AND('ENTRY DATA'!F184=""),"",('ENTRY DATA'!F184))</f>
        <v/>
      </c>
      <c r="E184" s="34" t="str">
        <f>IF(AND('ENTRY DATA'!B184=""),"",('ENTRY DATA'!B184))</f>
        <v/>
      </c>
      <c r="F184" s="12"/>
      <c r="G184" s="12"/>
      <c r="H184" s="72"/>
      <c r="I184" s="71"/>
      <c r="J184" s="72"/>
      <c r="K184" s="12"/>
      <c r="L184" s="20">
        <f t="shared" si="12"/>
        <v>0</v>
      </c>
      <c r="M184" s="19" t="str">
        <f t="shared" si="13"/>
        <v/>
      </c>
      <c r="N184" s="12"/>
      <c r="O184" s="119"/>
      <c r="P184" s="95" t="str">
        <f t="shared" si="14"/>
        <v/>
      </c>
      <c r="Q184" s="12"/>
      <c r="S184" s="128"/>
      <c r="T184" s="66"/>
      <c r="U184" s="128"/>
      <c r="W184" s="128"/>
      <c r="X184" s="12"/>
      <c r="Y184" t="str">
        <f t="shared" si="15"/>
        <v/>
      </c>
      <c r="Z184" t="str">
        <f t="shared" si="15"/>
        <v/>
      </c>
      <c r="AA184" s="12"/>
      <c r="AB184" s="95" t="e">
        <f t="shared" si="16"/>
        <v>#VALUE!</v>
      </c>
      <c r="AC184" s="95" t="e">
        <f t="shared" si="17"/>
        <v>#VALUE!</v>
      </c>
      <c r="AD184" s="12"/>
    </row>
    <row r="185" spans="1:30" ht="15.75" thickBot="1" x14ac:dyDescent="0.3">
      <c r="A185" s="12"/>
      <c r="B185" s="22"/>
      <c r="C185" t="str">
        <f>IF(AND('ENTRY DATA'!D185=""),"",('ENTRY DATA'!D185))</f>
        <v/>
      </c>
      <c r="D185" t="str">
        <f>IF(AND('ENTRY DATA'!F185=""),"",('ENTRY DATA'!F185))</f>
        <v/>
      </c>
      <c r="E185" s="34" t="str">
        <f>IF(AND('ENTRY DATA'!B185=""),"",('ENTRY DATA'!B185))</f>
        <v/>
      </c>
      <c r="F185" s="12"/>
      <c r="G185" s="12"/>
      <c r="H185" s="72"/>
      <c r="I185" s="71"/>
      <c r="J185" s="72"/>
      <c r="K185" s="12"/>
      <c r="L185" s="20">
        <f t="shared" si="12"/>
        <v>0</v>
      </c>
      <c r="M185" s="19" t="str">
        <f t="shared" si="13"/>
        <v/>
      </c>
      <c r="N185" s="12"/>
      <c r="O185" s="119"/>
      <c r="P185" s="95" t="str">
        <f t="shared" si="14"/>
        <v/>
      </c>
      <c r="Q185" s="12"/>
      <c r="S185" s="128"/>
      <c r="T185" s="66"/>
      <c r="U185" s="128"/>
      <c r="W185" s="128"/>
      <c r="X185" s="12"/>
      <c r="Y185" t="str">
        <f t="shared" si="15"/>
        <v/>
      </c>
      <c r="Z185" t="str">
        <f t="shared" si="15"/>
        <v/>
      </c>
      <c r="AA185" s="12"/>
      <c r="AB185" s="95" t="e">
        <f t="shared" si="16"/>
        <v>#VALUE!</v>
      </c>
      <c r="AC185" s="95" t="e">
        <f t="shared" si="17"/>
        <v>#VALUE!</v>
      </c>
      <c r="AD185" s="12"/>
    </row>
    <row r="186" spans="1:30" ht="15.75" thickBot="1" x14ac:dyDescent="0.3">
      <c r="A186" s="12"/>
      <c r="B186" s="22"/>
      <c r="C186" t="str">
        <f>IF(AND('ENTRY DATA'!D186=""),"",('ENTRY DATA'!D186))</f>
        <v/>
      </c>
      <c r="D186" t="str">
        <f>IF(AND('ENTRY DATA'!F186=""),"",('ENTRY DATA'!F186))</f>
        <v/>
      </c>
      <c r="E186" s="34" t="str">
        <f>IF(AND('ENTRY DATA'!B186=""),"",('ENTRY DATA'!B186))</f>
        <v/>
      </c>
      <c r="F186" s="12"/>
      <c r="G186" s="12"/>
      <c r="H186" s="72"/>
      <c r="I186" s="71"/>
      <c r="J186" s="72"/>
      <c r="K186" s="12"/>
      <c r="L186" s="20">
        <f t="shared" si="12"/>
        <v>0</v>
      </c>
      <c r="M186" s="19" t="str">
        <f t="shared" si="13"/>
        <v/>
      </c>
      <c r="N186" s="12"/>
      <c r="O186" s="119"/>
      <c r="P186" s="95" t="str">
        <f t="shared" si="14"/>
        <v/>
      </c>
      <c r="Q186" s="12"/>
      <c r="S186" s="128"/>
      <c r="T186" s="66"/>
      <c r="U186" s="128"/>
      <c r="W186" s="128"/>
      <c r="X186" s="12"/>
      <c r="Y186" t="str">
        <f t="shared" si="15"/>
        <v/>
      </c>
      <c r="Z186" t="str">
        <f t="shared" si="15"/>
        <v/>
      </c>
      <c r="AA186" s="12"/>
      <c r="AB186" s="95" t="e">
        <f t="shared" si="16"/>
        <v>#VALUE!</v>
      </c>
      <c r="AC186" s="95" t="e">
        <f t="shared" si="17"/>
        <v>#VALUE!</v>
      </c>
      <c r="AD186" s="12"/>
    </row>
    <row r="187" spans="1:30" ht="15.75" thickBot="1" x14ac:dyDescent="0.3">
      <c r="A187" s="12"/>
      <c r="B187" s="22"/>
      <c r="C187" t="str">
        <f>IF(AND('ENTRY DATA'!D187=""),"",('ENTRY DATA'!D187))</f>
        <v/>
      </c>
      <c r="D187" t="str">
        <f>IF(AND('ENTRY DATA'!F187=""),"",('ENTRY DATA'!F187))</f>
        <v/>
      </c>
      <c r="E187" s="34" t="str">
        <f>IF(AND('ENTRY DATA'!B187=""),"",('ENTRY DATA'!B187))</f>
        <v/>
      </c>
      <c r="F187" s="12"/>
      <c r="G187" s="12"/>
      <c r="H187" s="72"/>
      <c r="I187" s="71"/>
      <c r="J187" s="72"/>
      <c r="K187" s="12"/>
      <c r="L187" s="20">
        <f t="shared" si="12"/>
        <v>0</v>
      </c>
      <c r="M187" s="19" t="str">
        <f t="shared" si="13"/>
        <v/>
      </c>
      <c r="N187" s="12"/>
      <c r="O187" s="119"/>
      <c r="P187" s="95" t="str">
        <f t="shared" si="14"/>
        <v/>
      </c>
      <c r="Q187" s="12"/>
      <c r="S187" s="128"/>
      <c r="T187" s="66"/>
      <c r="U187" s="128"/>
      <c r="W187" s="128"/>
      <c r="X187" s="12"/>
      <c r="Y187" t="str">
        <f t="shared" si="15"/>
        <v/>
      </c>
      <c r="Z187" t="str">
        <f t="shared" si="15"/>
        <v/>
      </c>
      <c r="AA187" s="12"/>
      <c r="AB187" s="95" t="e">
        <f t="shared" si="16"/>
        <v>#VALUE!</v>
      </c>
      <c r="AC187" s="95" t="e">
        <f t="shared" si="17"/>
        <v>#VALUE!</v>
      </c>
      <c r="AD187" s="12"/>
    </row>
    <row r="188" spans="1:30" ht="15.75" thickBot="1" x14ac:dyDescent="0.3">
      <c r="A188" s="12"/>
      <c r="B188" s="22"/>
      <c r="C188" t="str">
        <f>IF(AND('ENTRY DATA'!D188=""),"",('ENTRY DATA'!D188))</f>
        <v/>
      </c>
      <c r="D188" t="str">
        <f>IF(AND('ENTRY DATA'!F188=""),"",('ENTRY DATA'!F188))</f>
        <v/>
      </c>
      <c r="E188" s="34" t="str">
        <f>IF(AND('ENTRY DATA'!B188=""),"",('ENTRY DATA'!B188))</f>
        <v/>
      </c>
      <c r="F188" s="12"/>
      <c r="G188" s="12"/>
      <c r="H188" s="72"/>
      <c r="I188" s="71"/>
      <c r="J188" s="72"/>
      <c r="K188" s="12"/>
      <c r="L188" s="20">
        <f t="shared" si="12"/>
        <v>0</v>
      </c>
      <c r="M188" s="19" t="str">
        <f t="shared" si="13"/>
        <v/>
      </c>
      <c r="N188" s="12"/>
      <c r="O188" s="119"/>
      <c r="P188" s="95" t="str">
        <f t="shared" si="14"/>
        <v/>
      </c>
      <c r="Q188" s="12"/>
      <c r="S188" s="128"/>
      <c r="T188" s="66"/>
      <c r="U188" s="128"/>
      <c r="W188" s="128"/>
      <c r="X188" s="12"/>
      <c r="Y188" t="str">
        <f t="shared" si="15"/>
        <v/>
      </c>
      <c r="Z188" t="str">
        <f t="shared" si="15"/>
        <v/>
      </c>
      <c r="AA188" s="12"/>
      <c r="AB188" s="95" t="e">
        <f t="shared" si="16"/>
        <v>#VALUE!</v>
      </c>
      <c r="AC188" s="95" t="e">
        <f t="shared" si="17"/>
        <v>#VALUE!</v>
      </c>
      <c r="AD188" s="12"/>
    </row>
    <row r="189" spans="1:30" ht="15.75" thickBot="1" x14ac:dyDescent="0.3">
      <c r="A189" s="12"/>
      <c r="B189" s="22"/>
      <c r="C189" t="str">
        <f>IF(AND('ENTRY DATA'!D189=""),"",('ENTRY DATA'!D189))</f>
        <v/>
      </c>
      <c r="D189" t="str">
        <f>IF(AND('ENTRY DATA'!F189=""),"",('ENTRY DATA'!F189))</f>
        <v/>
      </c>
      <c r="E189" s="34" t="str">
        <f>IF(AND('ENTRY DATA'!B189=""),"",('ENTRY DATA'!B189))</f>
        <v/>
      </c>
      <c r="F189" s="12"/>
      <c r="G189" s="12"/>
      <c r="H189" s="72"/>
      <c r="I189" s="71"/>
      <c r="J189" s="72"/>
      <c r="K189" s="12"/>
      <c r="L189" s="20">
        <f t="shared" si="12"/>
        <v>0</v>
      </c>
      <c r="M189" s="19" t="str">
        <f t="shared" si="13"/>
        <v/>
      </c>
      <c r="N189" s="12"/>
      <c r="O189" s="119"/>
      <c r="P189" s="95" t="str">
        <f t="shared" si="14"/>
        <v/>
      </c>
      <c r="Q189" s="12"/>
      <c r="S189" s="128"/>
      <c r="T189" s="66"/>
      <c r="U189" s="128"/>
      <c r="W189" s="128"/>
      <c r="X189" s="12"/>
      <c r="Y189" t="str">
        <f t="shared" si="15"/>
        <v/>
      </c>
      <c r="Z189" t="str">
        <f t="shared" si="15"/>
        <v/>
      </c>
      <c r="AA189" s="12"/>
      <c r="AB189" s="95" t="e">
        <f t="shared" si="16"/>
        <v>#VALUE!</v>
      </c>
      <c r="AC189" s="95" t="e">
        <f t="shared" si="17"/>
        <v>#VALUE!</v>
      </c>
      <c r="AD189" s="12"/>
    </row>
    <row r="190" spans="1:30" ht="15.75" thickBot="1" x14ac:dyDescent="0.3">
      <c r="A190" s="12"/>
      <c r="B190" s="22"/>
      <c r="C190" t="str">
        <f>IF(AND('ENTRY DATA'!D190=""),"",('ENTRY DATA'!D190))</f>
        <v/>
      </c>
      <c r="D190" t="str">
        <f>IF(AND('ENTRY DATA'!F190=""),"",('ENTRY DATA'!F190))</f>
        <v/>
      </c>
      <c r="E190" s="34" t="str">
        <f>IF(AND('ENTRY DATA'!B190=""),"",('ENTRY DATA'!B190))</f>
        <v/>
      </c>
      <c r="F190" s="12"/>
      <c r="G190" s="12"/>
      <c r="H190" s="72"/>
      <c r="I190" s="71"/>
      <c r="J190" s="72"/>
      <c r="K190" s="12"/>
      <c r="L190" s="20">
        <f t="shared" si="12"/>
        <v>0</v>
      </c>
      <c r="M190" s="19" t="str">
        <f t="shared" si="13"/>
        <v/>
      </c>
      <c r="N190" s="12"/>
      <c r="O190" s="119"/>
      <c r="P190" s="95" t="str">
        <f t="shared" si="14"/>
        <v/>
      </c>
      <c r="Q190" s="12"/>
      <c r="S190" s="128"/>
      <c r="T190" s="66"/>
      <c r="U190" s="128"/>
      <c r="W190" s="128"/>
      <c r="X190" s="12"/>
      <c r="Y190" t="str">
        <f t="shared" si="15"/>
        <v/>
      </c>
      <c r="Z190" t="str">
        <f t="shared" si="15"/>
        <v/>
      </c>
      <c r="AA190" s="12"/>
      <c r="AB190" s="95" t="e">
        <f t="shared" si="16"/>
        <v>#VALUE!</v>
      </c>
      <c r="AC190" s="95" t="e">
        <f t="shared" si="17"/>
        <v>#VALUE!</v>
      </c>
      <c r="AD190" s="12"/>
    </row>
    <row r="191" spans="1:30" ht="15.75" thickBot="1" x14ac:dyDescent="0.3">
      <c r="A191" s="12"/>
      <c r="B191" s="22"/>
      <c r="C191" t="str">
        <f>IF(AND('ENTRY DATA'!D191=""),"",('ENTRY DATA'!D191))</f>
        <v/>
      </c>
      <c r="D191" t="str">
        <f>IF(AND('ENTRY DATA'!F191=""),"",('ENTRY DATA'!F191))</f>
        <v/>
      </c>
      <c r="E191" s="34" t="str">
        <f>IF(AND('ENTRY DATA'!B191=""),"",('ENTRY DATA'!B191))</f>
        <v/>
      </c>
      <c r="F191" s="12"/>
      <c r="G191" s="12"/>
      <c r="H191" s="72"/>
      <c r="I191" s="71"/>
      <c r="J191" s="72"/>
      <c r="K191" s="12"/>
      <c r="L191" s="20">
        <f t="shared" si="12"/>
        <v>0</v>
      </c>
      <c r="M191" s="19" t="str">
        <f t="shared" si="13"/>
        <v/>
      </c>
      <c r="N191" s="12"/>
      <c r="O191" s="119"/>
      <c r="P191" s="95" t="str">
        <f t="shared" si="14"/>
        <v/>
      </c>
      <c r="Q191" s="12"/>
      <c r="S191" s="128"/>
      <c r="T191" s="66"/>
      <c r="U191" s="128"/>
      <c r="W191" s="128"/>
      <c r="X191" s="12"/>
      <c r="Y191" t="str">
        <f t="shared" si="15"/>
        <v/>
      </c>
      <c r="Z191" t="str">
        <f t="shared" si="15"/>
        <v/>
      </c>
      <c r="AA191" s="12"/>
      <c r="AB191" s="95" t="e">
        <f t="shared" si="16"/>
        <v>#VALUE!</v>
      </c>
      <c r="AC191" s="95" t="e">
        <f t="shared" si="17"/>
        <v>#VALUE!</v>
      </c>
      <c r="AD191" s="12"/>
    </row>
    <row r="192" spans="1:30" ht="15.75" thickBot="1" x14ac:dyDescent="0.3">
      <c r="A192" s="12"/>
      <c r="B192" s="22"/>
      <c r="C192" t="str">
        <f>IF(AND('ENTRY DATA'!D192=""),"",('ENTRY DATA'!D192))</f>
        <v/>
      </c>
      <c r="D192" t="str">
        <f>IF(AND('ENTRY DATA'!F192=""),"",('ENTRY DATA'!F192))</f>
        <v/>
      </c>
      <c r="E192" s="34" t="str">
        <f>IF(AND('ENTRY DATA'!B192=""),"",('ENTRY DATA'!B192))</f>
        <v/>
      </c>
      <c r="F192" s="12"/>
      <c r="G192" s="12"/>
      <c r="H192" s="72"/>
      <c r="I192" s="71"/>
      <c r="J192" s="72"/>
      <c r="K192" s="12"/>
      <c r="L192" s="20">
        <f t="shared" si="12"/>
        <v>0</v>
      </c>
      <c r="M192" s="19" t="str">
        <f t="shared" si="13"/>
        <v/>
      </c>
      <c r="N192" s="12"/>
      <c r="O192" s="119"/>
      <c r="P192" s="95" t="str">
        <f t="shared" si="14"/>
        <v/>
      </c>
      <c r="Q192" s="12"/>
      <c r="S192" s="128"/>
      <c r="T192" s="66"/>
      <c r="U192" s="128"/>
      <c r="W192" s="128"/>
      <c r="X192" s="12"/>
      <c r="Y192" t="str">
        <f t="shared" si="15"/>
        <v/>
      </c>
      <c r="Z192" t="str">
        <f t="shared" si="15"/>
        <v/>
      </c>
      <c r="AA192" s="12"/>
      <c r="AB192" s="95" t="e">
        <f t="shared" si="16"/>
        <v>#VALUE!</v>
      </c>
      <c r="AC192" s="95" t="e">
        <f t="shared" si="17"/>
        <v>#VALUE!</v>
      </c>
      <c r="AD192" s="12"/>
    </row>
    <row r="193" spans="1:30" ht="15.75" thickBot="1" x14ac:dyDescent="0.3">
      <c r="A193" s="12"/>
      <c r="B193" s="22"/>
      <c r="C193" t="str">
        <f>IF(AND('ENTRY DATA'!D193=""),"",('ENTRY DATA'!D193))</f>
        <v/>
      </c>
      <c r="D193" t="str">
        <f>IF(AND('ENTRY DATA'!F193=""),"",('ENTRY DATA'!F193))</f>
        <v/>
      </c>
      <c r="E193" s="34" t="str">
        <f>IF(AND('ENTRY DATA'!B193=""),"",('ENTRY DATA'!B193))</f>
        <v/>
      </c>
      <c r="F193" s="12"/>
      <c r="G193" s="12"/>
      <c r="H193" s="72"/>
      <c r="I193" s="71"/>
      <c r="J193" s="72"/>
      <c r="K193" s="12"/>
      <c r="L193" s="20">
        <f t="shared" si="12"/>
        <v>0</v>
      </c>
      <c r="M193" s="19" t="str">
        <f t="shared" si="13"/>
        <v/>
      </c>
      <c r="N193" s="12"/>
      <c r="O193" s="119"/>
      <c r="P193" s="95" t="str">
        <f t="shared" si="14"/>
        <v/>
      </c>
      <c r="Q193" s="12"/>
      <c r="S193" s="128"/>
      <c r="T193" s="66"/>
      <c r="U193" s="128"/>
      <c r="W193" s="128"/>
      <c r="X193" s="12"/>
      <c r="Y193" t="str">
        <f t="shared" si="15"/>
        <v/>
      </c>
      <c r="Z193" t="str">
        <f t="shared" si="15"/>
        <v/>
      </c>
      <c r="AA193" s="12"/>
      <c r="AB193" s="95" t="e">
        <f t="shared" si="16"/>
        <v>#VALUE!</v>
      </c>
      <c r="AC193" s="95" t="e">
        <f t="shared" si="17"/>
        <v>#VALUE!</v>
      </c>
      <c r="AD193" s="12"/>
    </row>
    <row r="194" spans="1:30" ht="15.75" thickBot="1" x14ac:dyDescent="0.3">
      <c r="A194" s="12"/>
      <c r="B194" s="22"/>
      <c r="C194" t="str">
        <f>IF(AND('ENTRY DATA'!D194=""),"",('ENTRY DATA'!D194))</f>
        <v/>
      </c>
      <c r="D194" t="str">
        <f>IF(AND('ENTRY DATA'!F194=""),"",('ENTRY DATA'!F194))</f>
        <v/>
      </c>
      <c r="E194" s="34" t="str">
        <f>IF(AND('ENTRY DATA'!B194=""),"",('ENTRY DATA'!B194))</f>
        <v/>
      </c>
      <c r="F194" s="12"/>
      <c r="G194" s="12"/>
      <c r="H194" s="72"/>
      <c r="I194" s="71"/>
      <c r="J194" s="72"/>
      <c r="K194" s="12"/>
      <c r="L194" s="20">
        <f t="shared" si="12"/>
        <v>0</v>
      </c>
      <c r="M194" s="19" t="str">
        <f t="shared" si="13"/>
        <v/>
      </c>
      <c r="N194" s="12"/>
      <c r="O194" s="119"/>
      <c r="P194" s="95" t="str">
        <f t="shared" si="14"/>
        <v/>
      </c>
      <c r="Q194" s="12"/>
      <c r="S194" s="128"/>
      <c r="T194" s="66"/>
      <c r="U194" s="128"/>
      <c r="W194" s="128"/>
      <c r="X194" s="12"/>
      <c r="Y194" t="str">
        <f t="shared" si="15"/>
        <v/>
      </c>
      <c r="Z194" t="str">
        <f t="shared" si="15"/>
        <v/>
      </c>
      <c r="AA194" s="12"/>
      <c r="AB194" s="95" t="e">
        <f t="shared" si="16"/>
        <v>#VALUE!</v>
      </c>
      <c r="AC194" s="95" t="e">
        <f t="shared" si="17"/>
        <v>#VALUE!</v>
      </c>
      <c r="AD194" s="12"/>
    </row>
    <row r="195" spans="1:30" ht="15.75" thickBot="1" x14ac:dyDescent="0.3">
      <c r="A195" s="12"/>
      <c r="B195" s="22"/>
      <c r="C195" t="str">
        <f>IF(AND('ENTRY DATA'!D195=""),"",('ENTRY DATA'!D195))</f>
        <v/>
      </c>
      <c r="D195" t="str">
        <f>IF(AND('ENTRY DATA'!F195=""),"",('ENTRY DATA'!F195))</f>
        <v/>
      </c>
      <c r="E195" s="34" t="str">
        <f>IF(AND('ENTRY DATA'!B195=""),"",('ENTRY DATA'!B195))</f>
        <v/>
      </c>
      <c r="F195" s="12"/>
      <c r="G195" s="12"/>
      <c r="H195" s="72"/>
      <c r="I195" s="71"/>
      <c r="J195" s="72"/>
      <c r="K195" s="12"/>
      <c r="L195" s="20">
        <f t="shared" si="12"/>
        <v>0</v>
      </c>
      <c r="M195" s="19" t="str">
        <f t="shared" si="13"/>
        <v/>
      </c>
      <c r="N195" s="12"/>
      <c r="O195" s="119"/>
      <c r="P195" s="95" t="str">
        <f t="shared" si="14"/>
        <v/>
      </c>
      <c r="Q195" s="12"/>
      <c r="S195" s="128"/>
      <c r="T195" s="66"/>
      <c r="U195" s="128"/>
      <c r="W195" s="128"/>
      <c r="X195" s="12"/>
      <c r="Y195" t="str">
        <f t="shared" si="15"/>
        <v/>
      </c>
      <c r="Z195" t="str">
        <f t="shared" si="15"/>
        <v/>
      </c>
      <c r="AA195" s="12"/>
      <c r="AB195" s="95" t="e">
        <f t="shared" si="16"/>
        <v>#VALUE!</v>
      </c>
      <c r="AC195" s="95" t="e">
        <f t="shared" si="17"/>
        <v>#VALUE!</v>
      </c>
      <c r="AD195" s="12"/>
    </row>
    <row r="196" spans="1:30" ht="15.75" thickBot="1" x14ac:dyDescent="0.3">
      <c r="A196" s="12"/>
      <c r="B196" s="22"/>
      <c r="C196" t="str">
        <f>IF(AND('ENTRY DATA'!D196=""),"",('ENTRY DATA'!D196))</f>
        <v/>
      </c>
      <c r="D196" t="str">
        <f>IF(AND('ENTRY DATA'!F196=""),"",('ENTRY DATA'!F196))</f>
        <v/>
      </c>
      <c r="E196" s="34" t="str">
        <f>IF(AND('ENTRY DATA'!B196=""),"",('ENTRY DATA'!B196))</f>
        <v/>
      </c>
      <c r="F196" s="12"/>
      <c r="G196" s="12"/>
      <c r="H196" s="72"/>
      <c r="I196" s="71"/>
      <c r="J196" s="72"/>
      <c r="K196" s="12"/>
      <c r="L196" s="20">
        <f t="shared" si="12"/>
        <v>0</v>
      </c>
      <c r="M196" s="19" t="str">
        <f t="shared" si="13"/>
        <v/>
      </c>
      <c r="N196" s="12"/>
      <c r="O196" s="119"/>
      <c r="P196" s="95" t="str">
        <f t="shared" si="14"/>
        <v/>
      </c>
      <c r="Q196" s="12"/>
      <c r="S196" s="128"/>
      <c r="T196" s="66"/>
      <c r="U196" s="128"/>
      <c r="W196" s="128"/>
      <c r="X196" s="12"/>
      <c r="Y196" t="str">
        <f t="shared" si="15"/>
        <v/>
      </c>
      <c r="Z196" t="str">
        <f t="shared" si="15"/>
        <v/>
      </c>
      <c r="AA196" s="12"/>
      <c r="AB196" s="95" t="e">
        <f t="shared" si="16"/>
        <v>#VALUE!</v>
      </c>
      <c r="AC196" s="95" t="e">
        <f t="shared" si="17"/>
        <v>#VALUE!</v>
      </c>
      <c r="AD196" s="12"/>
    </row>
    <row r="197" spans="1:30" ht="15.75" thickBot="1" x14ac:dyDescent="0.3">
      <c r="A197" s="12"/>
      <c r="B197" s="22"/>
      <c r="C197" t="str">
        <f>IF(AND('ENTRY DATA'!D197=""),"",('ENTRY DATA'!D197))</f>
        <v/>
      </c>
      <c r="D197" t="str">
        <f>IF(AND('ENTRY DATA'!F197=""),"",('ENTRY DATA'!F197))</f>
        <v/>
      </c>
      <c r="E197" s="34" t="str">
        <f>IF(AND('ENTRY DATA'!B197=""),"",('ENTRY DATA'!B197))</f>
        <v/>
      </c>
      <c r="F197" s="12"/>
      <c r="G197" s="12"/>
      <c r="H197" s="72"/>
      <c r="I197" s="71"/>
      <c r="J197" s="72"/>
      <c r="K197" s="12"/>
      <c r="L197" s="20">
        <f t="shared" si="12"/>
        <v>0</v>
      </c>
      <c r="M197" s="19" t="str">
        <f t="shared" si="13"/>
        <v/>
      </c>
      <c r="N197" s="12"/>
      <c r="O197" s="119"/>
      <c r="P197" s="95" t="str">
        <f t="shared" si="14"/>
        <v/>
      </c>
      <c r="Q197" s="12"/>
      <c r="S197" s="128"/>
      <c r="T197" s="66"/>
      <c r="U197" s="128"/>
      <c r="W197" s="128"/>
      <c r="X197" s="12"/>
      <c r="Y197" t="str">
        <f t="shared" si="15"/>
        <v/>
      </c>
      <c r="Z197" t="str">
        <f t="shared" si="15"/>
        <v/>
      </c>
      <c r="AA197" s="12"/>
      <c r="AB197" s="95" t="e">
        <f t="shared" si="16"/>
        <v>#VALUE!</v>
      </c>
      <c r="AC197" s="95" t="e">
        <f t="shared" si="17"/>
        <v>#VALUE!</v>
      </c>
      <c r="AD197" s="12"/>
    </row>
    <row r="198" spans="1:30" ht="15.75" thickBot="1" x14ac:dyDescent="0.3">
      <c r="A198" s="12"/>
      <c r="B198" s="22"/>
      <c r="C198" t="str">
        <f>IF(AND('ENTRY DATA'!D198=""),"",('ENTRY DATA'!D198))</f>
        <v/>
      </c>
      <c r="D198" t="str">
        <f>IF(AND('ENTRY DATA'!F198=""),"",('ENTRY DATA'!F198))</f>
        <v/>
      </c>
      <c r="E198" s="34" t="str">
        <f>IF(AND('ENTRY DATA'!B198=""),"",('ENTRY DATA'!B198))</f>
        <v/>
      </c>
      <c r="F198" s="12"/>
      <c r="G198" s="12"/>
      <c r="H198" s="72"/>
      <c r="I198" s="71"/>
      <c r="J198" s="72"/>
      <c r="K198" s="12"/>
      <c r="L198" s="20">
        <f t="shared" ref="L198:L261" si="18">COUNT(H198:J198)</f>
        <v>0</v>
      </c>
      <c r="M198" s="19" t="str">
        <f t="shared" ref="M198:M261" si="19">IF(AND(H198="",I198="",J198=""),"",(H198+I198+J198))</f>
        <v/>
      </c>
      <c r="N198" s="12"/>
      <c r="O198" s="119"/>
      <c r="P198" s="95" t="str">
        <f t="shared" ref="P198:P261" si="20">C198</f>
        <v/>
      </c>
      <c r="Q198" s="12"/>
      <c r="S198" s="128"/>
      <c r="T198" s="66"/>
      <c r="U198" s="128"/>
      <c r="W198" s="128"/>
      <c r="X198" s="12"/>
      <c r="Y198" t="str">
        <f t="shared" ref="Y198:Z261" si="21">IF(AND(R198="",T198="",V198=""),"",SUM(R198,T198,V198))</f>
        <v/>
      </c>
      <c r="Z198" t="str">
        <f t="shared" si="21"/>
        <v/>
      </c>
      <c r="AA198" s="12"/>
      <c r="AB198" s="95" t="e">
        <f t="shared" ref="AB198:AB261" si="22">Y198/L198</f>
        <v>#VALUE!</v>
      </c>
      <c r="AC198" s="95" t="e">
        <f t="shared" ref="AC198:AC261" si="23">Z198/L198</f>
        <v>#VALUE!</v>
      </c>
      <c r="AD198" s="12"/>
    </row>
    <row r="199" spans="1:30" ht="15.75" thickBot="1" x14ac:dyDescent="0.3">
      <c r="A199" s="12"/>
      <c r="B199" s="22"/>
      <c r="C199" t="str">
        <f>IF(AND('ENTRY DATA'!D199=""),"",('ENTRY DATA'!D199))</f>
        <v/>
      </c>
      <c r="D199" t="str">
        <f>IF(AND('ENTRY DATA'!F199=""),"",('ENTRY DATA'!F199))</f>
        <v/>
      </c>
      <c r="E199" s="34" t="str">
        <f>IF(AND('ENTRY DATA'!B199=""),"",('ENTRY DATA'!B199))</f>
        <v/>
      </c>
      <c r="F199" s="12"/>
      <c r="G199" s="12"/>
      <c r="H199" s="72"/>
      <c r="I199" s="71"/>
      <c r="J199" s="72"/>
      <c r="K199" s="12"/>
      <c r="L199" s="20">
        <f t="shared" si="18"/>
        <v>0</v>
      </c>
      <c r="M199" s="19" t="str">
        <f t="shared" si="19"/>
        <v/>
      </c>
      <c r="N199" s="12"/>
      <c r="O199" s="119"/>
      <c r="P199" s="95" t="str">
        <f t="shared" si="20"/>
        <v/>
      </c>
      <c r="Q199" s="12"/>
      <c r="S199" s="128"/>
      <c r="T199" s="66"/>
      <c r="U199" s="128"/>
      <c r="W199" s="128"/>
      <c r="X199" s="12"/>
      <c r="Y199" t="str">
        <f t="shared" si="21"/>
        <v/>
      </c>
      <c r="Z199" t="str">
        <f t="shared" si="21"/>
        <v/>
      </c>
      <c r="AA199" s="12"/>
      <c r="AB199" s="95" t="e">
        <f t="shared" si="22"/>
        <v>#VALUE!</v>
      </c>
      <c r="AC199" s="95" t="e">
        <f t="shared" si="23"/>
        <v>#VALUE!</v>
      </c>
      <c r="AD199" s="12"/>
    </row>
    <row r="200" spans="1:30" ht="15.75" thickBot="1" x14ac:dyDescent="0.3">
      <c r="A200" s="12"/>
      <c r="B200" s="22"/>
      <c r="C200" t="str">
        <f>IF(AND('ENTRY DATA'!D200=""),"",('ENTRY DATA'!D200))</f>
        <v/>
      </c>
      <c r="D200" t="str">
        <f>IF(AND('ENTRY DATA'!F200=""),"",('ENTRY DATA'!F200))</f>
        <v/>
      </c>
      <c r="E200" s="34" t="str">
        <f>IF(AND('ENTRY DATA'!B200=""),"",('ENTRY DATA'!B200))</f>
        <v/>
      </c>
      <c r="F200" s="12"/>
      <c r="G200" s="12"/>
      <c r="H200" s="73"/>
      <c r="I200" s="71"/>
      <c r="J200" s="73"/>
      <c r="K200" s="12"/>
      <c r="L200" s="20">
        <f t="shared" si="18"/>
        <v>0</v>
      </c>
      <c r="M200" s="19" t="str">
        <f t="shared" si="19"/>
        <v/>
      </c>
      <c r="N200" s="12"/>
      <c r="O200" s="119"/>
      <c r="P200" s="95" t="str">
        <f t="shared" si="20"/>
        <v/>
      </c>
      <c r="Q200" s="12"/>
      <c r="S200" s="128"/>
      <c r="T200" s="66"/>
      <c r="U200" s="128"/>
      <c r="W200" s="128"/>
      <c r="X200" s="12"/>
      <c r="Y200" t="str">
        <f t="shared" si="21"/>
        <v/>
      </c>
      <c r="Z200" t="str">
        <f t="shared" si="21"/>
        <v/>
      </c>
      <c r="AA200" s="12"/>
      <c r="AB200" s="95" t="e">
        <f t="shared" si="22"/>
        <v>#VALUE!</v>
      </c>
      <c r="AC200" s="95" t="e">
        <f t="shared" si="23"/>
        <v>#VALUE!</v>
      </c>
      <c r="AD200" s="12"/>
    </row>
    <row r="201" spans="1:30" ht="15.75" thickBot="1" x14ac:dyDescent="0.3">
      <c r="A201" s="12"/>
      <c r="B201" s="22"/>
      <c r="C201" t="str">
        <f>IF(AND('ENTRY DATA'!D201=""),"",('ENTRY DATA'!D201))</f>
        <v/>
      </c>
      <c r="D201" t="str">
        <f>IF(AND('ENTRY DATA'!F201=""),"",('ENTRY DATA'!F201))</f>
        <v/>
      </c>
      <c r="E201" s="34" t="str">
        <f>IF(AND('ENTRY DATA'!B201=""),"",('ENTRY DATA'!B201))</f>
        <v/>
      </c>
      <c r="F201" s="12"/>
      <c r="G201" s="12"/>
      <c r="H201" s="73"/>
      <c r="I201" s="71"/>
      <c r="J201" s="73"/>
      <c r="K201" s="12"/>
      <c r="L201" s="20">
        <f t="shared" si="18"/>
        <v>0</v>
      </c>
      <c r="M201" s="19" t="str">
        <f t="shared" si="19"/>
        <v/>
      </c>
      <c r="N201" s="12"/>
      <c r="O201" s="119"/>
      <c r="P201" s="95" t="str">
        <f t="shared" si="20"/>
        <v/>
      </c>
      <c r="Q201" s="12"/>
      <c r="S201" s="128"/>
      <c r="T201" s="66"/>
      <c r="U201" s="128"/>
      <c r="W201" s="128"/>
      <c r="X201" s="12"/>
      <c r="Y201" t="str">
        <f t="shared" si="21"/>
        <v/>
      </c>
      <c r="Z201" t="str">
        <f t="shared" si="21"/>
        <v/>
      </c>
      <c r="AA201" s="12"/>
      <c r="AB201" s="95" t="e">
        <f t="shared" si="22"/>
        <v>#VALUE!</v>
      </c>
      <c r="AC201" s="95" t="e">
        <f t="shared" si="23"/>
        <v>#VALUE!</v>
      </c>
      <c r="AD201" s="12"/>
    </row>
    <row r="202" spans="1:30" ht="15.75" thickBot="1" x14ac:dyDescent="0.3">
      <c r="A202" s="12"/>
      <c r="B202" s="22"/>
      <c r="C202" t="str">
        <f>IF(AND('ENTRY DATA'!D202=""),"",('ENTRY DATA'!D202))</f>
        <v/>
      </c>
      <c r="D202" t="str">
        <f>IF(AND('ENTRY DATA'!F202=""),"",('ENTRY DATA'!F202))</f>
        <v/>
      </c>
      <c r="E202" s="34" t="str">
        <f>IF(AND('ENTRY DATA'!B202=""),"",('ENTRY DATA'!B202))</f>
        <v/>
      </c>
      <c r="F202" s="12"/>
      <c r="G202" s="12"/>
      <c r="H202" s="73"/>
      <c r="I202" s="71"/>
      <c r="J202" s="73"/>
      <c r="K202" s="12"/>
      <c r="L202" s="20">
        <f t="shared" si="18"/>
        <v>0</v>
      </c>
      <c r="M202" s="19" t="str">
        <f t="shared" si="19"/>
        <v/>
      </c>
      <c r="N202" s="12"/>
      <c r="O202" s="119"/>
      <c r="P202" s="95" t="str">
        <f t="shared" si="20"/>
        <v/>
      </c>
      <c r="Q202" s="12"/>
      <c r="S202" s="128"/>
      <c r="T202" s="66"/>
      <c r="U202" s="128"/>
      <c r="W202" s="128"/>
      <c r="X202" s="12"/>
      <c r="Y202" t="str">
        <f t="shared" si="21"/>
        <v/>
      </c>
      <c r="Z202" t="str">
        <f t="shared" si="21"/>
        <v/>
      </c>
      <c r="AA202" s="12"/>
      <c r="AB202" s="95" t="e">
        <f t="shared" si="22"/>
        <v>#VALUE!</v>
      </c>
      <c r="AC202" s="95" t="e">
        <f t="shared" si="23"/>
        <v>#VALUE!</v>
      </c>
      <c r="AD202" s="12"/>
    </row>
    <row r="203" spans="1:30" ht="15.75" thickBot="1" x14ac:dyDescent="0.3">
      <c r="A203" s="12"/>
      <c r="B203" s="22"/>
      <c r="C203" t="str">
        <f>IF(AND('ENTRY DATA'!D203=""),"",('ENTRY DATA'!D203))</f>
        <v/>
      </c>
      <c r="D203" t="str">
        <f>IF(AND('ENTRY DATA'!F203=""),"",('ENTRY DATA'!F203))</f>
        <v/>
      </c>
      <c r="E203" s="34" t="str">
        <f>IF(AND('ENTRY DATA'!B203=""),"",('ENTRY DATA'!B203))</f>
        <v/>
      </c>
      <c r="F203" s="12"/>
      <c r="G203" s="12"/>
      <c r="H203" s="73"/>
      <c r="I203" s="71"/>
      <c r="J203" s="73"/>
      <c r="K203" s="12"/>
      <c r="L203" s="20">
        <f t="shared" si="18"/>
        <v>0</v>
      </c>
      <c r="M203" s="19" t="str">
        <f t="shared" si="19"/>
        <v/>
      </c>
      <c r="N203" s="12"/>
      <c r="O203" s="119"/>
      <c r="P203" s="95" t="str">
        <f t="shared" si="20"/>
        <v/>
      </c>
      <c r="Q203" s="12"/>
      <c r="S203" s="128"/>
      <c r="T203" s="66"/>
      <c r="U203" s="128"/>
      <c r="W203" s="128"/>
      <c r="X203" s="12"/>
      <c r="Y203" t="str">
        <f t="shared" si="21"/>
        <v/>
      </c>
      <c r="Z203" t="str">
        <f t="shared" si="21"/>
        <v/>
      </c>
      <c r="AA203" s="12"/>
      <c r="AB203" s="95" t="e">
        <f t="shared" si="22"/>
        <v>#VALUE!</v>
      </c>
      <c r="AC203" s="95" t="e">
        <f t="shared" si="23"/>
        <v>#VALUE!</v>
      </c>
      <c r="AD203" s="12"/>
    </row>
    <row r="204" spans="1:30" ht="15.75" thickBot="1" x14ac:dyDescent="0.3">
      <c r="A204" s="12"/>
      <c r="B204" s="22"/>
      <c r="C204" t="str">
        <f>IF(AND('ENTRY DATA'!D204=""),"",('ENTRY DATA'!D204))</f>
        <v/>
      </c>
      <c r="D204" t="str">
        <f>IF(AND('ENTRY DATA'!F204=""),"",('ENTRY DATA'!F204))</f>
        <v/>
      </c>
      <c r="E204" s="34" t="str">
        <f>IF(AND('ENTRY DATA'!B204=""),"",('ENTRY DATA'!B204))</f>
        <v/>
      </c>
      <c r="F204" s="12"/>
      <c r="G204" s="12"/>
      <c r="H204" s="73"/>
      <c r="I204" s="71"/>
      <c r="J204" s="73"/>
      <c r="K204" s="12"/>
      <c r="L204" s="20">
        <f t="shared" si="18"/>
        <v>0</v>
      </c>
      <c r="M204" s="19" t="str">
        <f t="shared" si="19"/>
        <v/>
      </c>
      <c r="N204" s="12"/>
      <c r="O204" s="119"/>
      <c r="P204" s="95" t="str">
        <f t="shared" si="20"/>
        <v/>
      </c>
      <c r="Q204" s="12"/>
      <c r="S204" s="128"/>
      <c r="T204" s="66"/>
      <c r="U204" s="128"/>
      <c r="W204" s="128"/>
      <c r="X204" s="12"/>
      <c r="Y204" t="str">
        <f t="shared" si="21"/>
        <v/>
      </c>
      <c r="Z204" t="str">
        <f t="shared" si="21"/>
        <v/>
      </c>
      <c r="AA204" s="12"/>
      <c r="AB204" s="95" t="e">
        <f t="shared" si="22"/>
        <v>#VALUE!</v>
      </c>
      <c r="AC204" s="95" t="e">
        <f t="shared" si="23"/>
        <v>#VALUE!</v>
      </c>
      <c r="AD204" s="12"/>
    </row>
    <row r="205" spans="1:30" ht="15.75" thickBot="1" x14ac:dyDescent="0.3">
      <c r="A205" s="12"/>
      <c r="B205" s="22"/>
      <c r="C205" t="str">
        <f>IF(AND('ENTRY DATA'!D205=""),"",('ENTRY DATA'!D205))</f>
        <v/>
      </c>
      <c r="D205" t="str">
        <f>IF(AND('ENTRY DATA'!F205=""),"",('ENTRY DATA'!F205))</f>
        <v/>
      </c>
      <c r="E205" s="34" t="str">
        <f>IF(AND('ENTRY DATA'!B205=""),"",('ENTRY DATA'!B205))</f>
        <v/>
      </c>
      <c r="F205" s="12"/>
      <c r="G205" s="12"/>
      <c r="H205" s="73"/>
      <c r="I205" s="71"/>
      <c r="J205" s="73"/>
      <c r="K205" s="12"/>
      <c r="L205" s="20">
        <f t="shared" si="18"/>
        <v>0</v>
      </c>
      <c r="M205" s="19" t="str">
        <f t="shared" si="19"/>
        <v/>
      </c>
      <c r="N205" s="12"/>
      <c r="O205" s="119"/>
      <c r="P205" s="95" t="str">
        <f t="shared" si="20"/>
        <v/>
      </c>
      <c r="Q205" s="12"/>
      <c r="S205" s="128"/>
      <c r="T205" s="66"/>
      <c r="U205" s="128"/>
      <c r="W205" s="128"/>
      <c r="X205" s="12"/>
      <c r="Y205" t="str">
        <f t="shared" si="21"/>
        <v/>
      </c>
      <c r="Z205" t="str">
        <f t="shared" si="21"/>
        <v/>
      </c>
      <c r="AA205" s="12"/>
      <c r="AB205" s="95" t="e">
        <f t="shared" si="22"/>
        <v>#VALUE!</v>
      </c>
      <c r="AC205" s="95" t="e">
        <f t="shared" si="23"/>
        <v>#VALUE!</v>
      </c>
      <c r="AD205" s="12"/>
    </row>
    <row r="206" spans="1:30" ht="15.75" thickBot="1" x14ac:dyDescent="0.3">
      <c r="A206" s="12"/>
      <c r="B206" s="22"/>
      <c r="C206" t="str">
        <f>IF(AND('ENTRY DATA'!D206=""),"",('ENTRY DATA'!D206))</f>
        <v/>
      </c>
      <c r="D206" t="str">
        <f>IF(AND('ENTRY DATA'!F206=""),"",('ENTRY DATA'!F206))</f>
        <v/>
      </c>
      <c r="E206" s="34" t="str">
        <f>IF(AND('ENTRY DATA'!B206=""),"",('ENTRY DATA'!B206))</f>
        <v/>
      </c>
      <c r="F206" s="12"/>
      <c r="G206" s="12"/>
      <c r="H206" s="73"/>
      <c r="I206" s="71"/>
      <c r="J206" s="73"/>
      <c r="K206" s="12"/>
      <c r="L206" s="20">
        <f t="shared" si="18"/>
        <v>0</v>
      </c>
      <c r="M206" s="19" t="str">
        <f t="shared" si="19"/>
        <v/>
      </c>
      <c r="N206" s="12"/>
      <c r="O206" s="119"/>
      <c r="P206" s="95" t="str">
        <f t="shared" si="20"/>
        <v/>
      </c>
      <c r="Q206" s="12"/>
      <c r="S206" s="128"/>
      <c r="T206" s="66"/>
      <c r="U206" s="128"/>
      <c r="W206" s="128"/>
      <c r="X206" s="12"/>
      <c r="Y206" t="str">
        <f t="shared" si="21"/>
        <v/>
      </c>
      <c r="Z206" t="str">
        <f t="shared" si="21"/>
        <v/>
      </c>
      <c r="AA206" s="12"/>
      <c r="AB206" s="95" t="e">
        <f t="shared" si="22"/>
        <v>#VALUE!</v>
      </c>
      <c r="AC206" s="95" t="e">
        <f t="shared" si="23"/>
        <v>#VALUE!</v>
      </c>
      <c r="AD206" s="12"/>
    </row>
    <row r="207" spans="1:30" ht="15.75" thickBot="1" x14ac:dyDescent="0.3">
      <c r="A207" s="12"/>
      <c r="B207" s="22"/>
      <c r="C207" t="str">
        <f>IF(AND('ENTRY DATA'!D207=""),"",('ENTRY DATA'!D207))</f>
        <v/>
      </c>
      <c r="D207" t="str">
        <f>IF(AND('ENTRY DATA'!F207=""),"",('ENTRY DATA'!F207))</f>
        <v/>
      </c>
      <c r="E207" s="34" t="str">
        <f>IF(AND('ENTRY DATA'!B207=""),"",('ENTRY DATA'!B207))</f>
        <v/>
      </c>
      <c r="F207" s="12"/>
      <c r="G207" s="12"/>
      <c r="H207" s="73"/>
      <c r="I207" s="71"/>
      <c r="J207" s="73"/>
      <c r="K207" s="12"/>
      <c r="L207" s="20">
        <f t="shared" si="18"/>
        <v>0</v>
      </c>
      <c r="M207" s="19" t="str">
        <f t="shared" si="19"/>
        <v/>
      </c>
      <c r="N207" s="12"/>
      <c r="O207" s="119"/>
      <c r="P207" s="95" t="str">
        <f t="shared" si="20"/>
        <v/>
      </c>
      <c r="Q207" s="12"/>
      <c r="S207" s="128"/>
      <c r="T207" s="66"/>
      <c r="U207" s="128"/>
      <c r="W207" s="128"/>
      <c r="X207" s="12"/>
      <c r="Y207" t="str">
        <f t="shared" si="21"/>
        <v/>
      </c>
      <c r="Z207" t="str">
        <f t="shared" si="21"/>
        <v/>
      </c>
      <c r="AA207" s="12"/>
      <c r="AB207" s="95" t="e">
        <f t="shared" si="22"/>
        <v>#VALUE!</v>
      </c>
      <c r="AC207" s="95" t="e">
        <f t="shared" si="23"/>
        <v>#VALUE!</v>
      </c>
      <c r="AD207" s="12"/>
    </row>
    <row r="208" spans="1:30" ht="15.75" thickBot="1" x14ac:dyDescent="0.3">
      <c r="A208" s="12"/>
      <c r="B208" s="22"/>
      <c r="C208" t="str">
        <f>IF(AND('ENTRY DATA'!D208=""),"",('ENTRY DATA'!D208))</f>
        <v/>
      </c>
      <c r="D208" t="str">
        <f>IF(AND('ENTRY DATA'!F208=""),"",('ENTRY DATA'!F208))</f>
        <v/>
      </c>
      <c r="E208" s="34" t="str">
        <f>IF(AND('ENTRY DATA'!B208=""),"",('ENTRY DATA'!B208))</f>
        <v/>
      </c>
      <c r="F208" s="12"/>
      <c r="G208" s="12"/>
      <c r="H208" s="73"/>
      <c r="I208" s="71"/>
      <c r="J208" s="73"/>
      <c r="K208" s="12"/>
      <c r="L208" s="20">
        <f t="shared" si="18"/>
        <v>0</v>
      </c>
      <c r="M208" s="19" t="str">
        <f t="shared" si="19"/>
        <v/>
      </c>
      <c r="N208" s="12"/>
      <c r="O208" s="119"/>
      <c r="P208" s="95" t="str">
        <f t="shared" si="20"/>
        <v/>
      </c>
      <c r="Q208" s="12"/>
      <c r="S208" s="128"/>
      <c r="T208" s="66"/>
      <c r="U208" s="128"/>
      <c r="W208" s="128"/>
      <c r="X208" s="12"/>
      <c r="Y208" t="str">
        <f t="shared" si="21"/>
        <v/>
      </c>
      <c r="Z208" t="str">
        <f t="shared" si="21"/>
        <v/>
      </c>
      <c r="AA208" s="12"/>
      <c r="AB208" s="95" t="e">
        <f t="shared" si="22"/>
        <v>#VALUE!</v>
      </c>
      <c r="AC208" s="95" t="e">
        <f t="shared" si="23"/>
        <v>#VALUE!</v>
      </c>
      <c r="AD208" s="12"/>
    </row>
    <row r="209" spans="1:30" ht="15.75" thickBot="1" x14ac:dyDescent="0.3">
      <c r="A209" s="12"/>
      <c r="B209" s="22"/>
      <c r="C209" t="str">
        <f>IF(AND('ENTRY DATA'!D209=""),"",('ENTRY DATA'!D209))</f>
        <v/>
      </c>
      <c r="D209" t="str">
        <f>IF(AND('ENTRY DATA'!F209=""),"",('ENTRY DATA'!F209))</f>
        <v/>
      </c>
      <c r="E209" s="34" t="str">
        <f>IF(AND('ENTRY DATA'!B209=""),"",('ENTRY DATA'!B209))</f>
        <v/>
      </c>
      <c r="F209" s="12"/>
      <c r="G209" s="12"/>
      <c r="H209" s="73"/>
      <c r="I209" s="71"/>
      <c r="J209" s="73"/>
      <c r="K209" s="12"/>
      <c r="L209" s="20">
        <f t="shared" si="18"/>
        <v>0</v>
      </c>
      <c r="M209" s="19" t="str">
        <f t="shared" si="19"/>
        <v/>
      </c>
      <c r="N209" s="12"/>
      <c r="O209" s="119"/>
      <c r="P209" s="95" t="str">
        <f t="shared" si="20"/>
        <v/>
      </c>
      <c r="Q209" s="12"/>
      <c r="S209" s="128"/>
      <c r="T209" s="66"/>
      <c r="U209" s="128"/>
      <c r="W209" s="128"/>
      <c r="X209" s="12"/>
      <c r="Y209" t="str">
        <f t="shared" si="21"/>
        <v/>
      </c>
      <c r="Z209" t="str">
        <f t="shared" si="21"/>
        <v/>
      </c>
      <c r="AA209" s="12"/>
      <c r="AB209" s="95" t="e">
        <f t="shared" si="22"/>
        <v>#VALUE!</v>
      </c>
      <c r="AC209" s="95" t="e">
        <f t="shared" si="23"/>
        <v>#VALUE!</v>
      </c>
      <c r="AD209" s="12"/>
    </row>
    <row r="210" spans="1:30" ht="15.75" thickBot="1" x14ac:dyDescent="0.3">
      <c r="A210" s="12"/>
      <c r="B210" s="22"/>
      <c r="C210" t="str">
        <f>IF(AND('ENTRY DATA'!D210=""),"",('ENTRY DATA'!D210))</f>
        <v/>
      </c>
      <c r="D210" t="str">
        <f>IF(AND('ENTRY DATA'!F210=""),"",('ENTRY DATA'!F210))</f>
        <v/>
      </c>
      <c r="E210" s="34" t="str">
        <f>IF(AND('ENTRY DATA'!B210=""),"",('ENTRY DATA'!B210))</f>
        <v/>
      </c>
      <c r="F210" s="12"/>
      <c r="G210" s="12"/>
      <c r="H210" s="73"/>
      <c r="I210" s="71"/>
      <c r="J210" s="73"/>
      <c r="K210" s="12"/>
      <c r="L210" s="20">
        <f t="shared" si="18"/>
        <v>0</v>
      </c>
      <c r="M210" s="19" t="str">
        <f t="shared" si="19"/>
        <v/>
      </c>
      <c r="N210" s="12"/>
      <c r="O210" s="119"/>
      <c r="P210" s="95" t="str">
        <f t="shared" si="20"/>
        <v/>
      </c>
      <c r="Q210" s="12"/>
      <c r="S210" s="128"/>
      <c r="T210" s="66"/>
      <c r="U210" s="128"/>
      <c r="W210" s="128"/>
      <c r="X210" s="12"/>
      <c r="Y210" t="str">
        <f t="shared" si="21"/>
        <v/>
      </c>
      <c r="Z210" t="str">
        <f t="shared" si="21"/>
        <v/>
      </c>
      <c r="AA210" s="12"/>
      <c r="AB210" s="95" t="e">
        <f t="shared" si="22"/>
        <v>#VALUE!</v>
      </c>
      <c r="AC210" s="95" t="e">
        <f t="shared" si="23"/>
        <v>#VALUE!</v>
      </c>
      <c r="AD210" s="12"/>
    </row>
    <row r="211" spans="1:30" ht="15.75" thickBot="1" x14ac:dyDescent="0.3">
      <c r="A211" s="12"/>
      <c r="B211" s="22"/>
      <c r="C211" t="str">
        <f>IF(AND('ENTRY DATA'!D211=""),"",('ENTRY DATA'!D211))</f>
        <v/>
      </c>
      <c r="D211" t="str">
        <f>IF(AND('ENTRY DATA'!F211=""),"",('ENTRY DATA'!F211))</f>
        <v/>
      </c>
      <c r="E211" s="34" t="str">
        <f>IF(AND('ENTRY DATA'!B211=""),"",('ENTRY DATA'!B211))</f>
        <v/>
      </c>
      <c r="F211" s="12"/>
      <c r="G211" s="12"/>
      <c r="H211" s="73"/>
      <c r="I211" s="71"/>
      <c r="J211" s="73"/>
      <c r="K211" s="12"/>
      <c r="L211" s="20">
        <f t="shared" si="18"/>
        <v>0</v>
      </c>
      <c r="M211" s="19" t="str">
        <f t="shared" si="19"/>
        <v/>
      </c>
      <c r="N211" s="12"/>
      <c r="O211" s="119"/>
      <c r="P211" s="95" t="str">
        <f t="shared" si="20"/>
        <v/>
      </c>
      <c r="Q211" s="12"/>
      <c r="S211" s="128"/>
      <c r="T211" s="66"/>
      <c r="U211" s="128"/>
      <c r="W211" s="128"/>
      <c r="X211" s="12"/>
      <c r="Y211" t="str">
        <f t="shared" si="21"/>
        <v/>
      </c>
      <c r="Z211" t="str">
        <f t="shared" si="21"/>
        <v/>
      </c>
      <c r="AA211" s="12"/>
      <c r="AB211" s="95" t="e">
        <f t="shared" si="22"/>
        <v>#VALUE!</v>
      </c>
      <c r="AC211" s="95" t="e">
        <f t="shared" si="23"/>
        <v>#VALUE!</v>
      </c>
      <c r="AD211" s="12"/>
    </row>
    <row r="212" spans="1:30" ht="15.75" thickBot="1" x14ac:dyDescent="0.3">
      <c r="A212" s="12"/>
      <c r="B212" s="22"/>
      <c r="C212" t="str">
        <f>IF(AND('ENTRY DATA'!D212=""),"",('ENTRY DATA'!D212))</f>
        <v/>
      </c>
      <c r="D212" t="str">
        <f>IF(AND('ENTRY DATA'!F212=""),"",('ENTRY DATA'!F212))</f>
        <v/>
      </c>
      <c r="E212" s="34" t="str">
        <f>IF(AND('ENTRY DATA'!B212=""),"",('ENTRY DATA'!B212))</f>
        <v/>
      </c>
      <c r="F212" s="12"/>
      <c r="G212" s="12"/>
      <c r="H212" s="73"/>
      <c r="I212" s="71"/>
      <c r="J212" s="73"/>
      <c r="K212" s="12"/>
      <c r="L212" s="20">
        <f t="shared" si="18"/>
        <v>0</v>
      </c>
      <c r="M212" s="19" t="str">
        <f t="shared" si="19"/>
        <v/>
      </c>
      <c r="N212" s="12"/>
      <c r="O212" s="119"/>
      <c r="P212" s="95" t="str">
        <f t="shared" si="20"/>
        <v/>
      </c>
      <c r="Q212" s="12"/>
      <c r="S212" s="128"/>
      <c r="T212" s="66"/>
      <c r="U212" s="128"/>
      <c r="W212" s="128"/>
      <c r="X212" s="12"/>
      <c r="Y212" t="str">
        <f t="shared" si="21"/>
        <v/>
      </c>
      <c r="Z212" t="str">
        <f t="shared" si="21"/>
        <v/>
      </c>
      <c r="AA212" s="12"/>
      <c r="AB212" s="95" t="e">
        <f t="shared" si="22"/>
        <v>#VALUE!</v>
      </c>
      <c r="AC212" s="95" t="e">
        <f t="shared" si="23"/>
        <v>#VALUE!</v>
      </c>
      <c r="AD212" s="12"/>
    </row>
    <row r="213" spans="1:30" ht="15.75" thickBot="1" x14ac:dyDescent="0.3">
      <c r="A213" s="12"/>
      <c r="B213" s="22"/>
      <c r="C213" t="str">
        <f>IF(AND('ENTRY DATA'!D213=""),"",('ENTRY DATA'!D213))</f>
        <v/>
      </c>
      <c r="D213" t="str">
        <f>IF(AND('ENTRY DATA'!F213=""),"",('ENTRY DATA'!F213))</f>
        <v/>
      </c>
      <c r="E213" s="34" t="str">
        <f>IF(AND('ENTRY DATA'!B213=""),"",('ENTRY DATA'!B213))</f>
        <v/>
      </c>
      <c r="F213" s="12"/>
      <c r="G213" s="12"/>
      <c r="H213" s="73"/>
      <c r="I213" s="71"/>
      <c r="J213" s="73"/>
      <c r="K213" s="12"/>
      <c r="L213" s="20">
        <f t="shared" si="18"/>
        <v>0</v>
      </c>
      <c r="M213" s="19" t="str">
        <f t="shared" si="19"/>
        <v/>
      </c>
      <c r="N213" s="12"/>
      <c r="O213" s="119"/>
      <c r="P213" s="95" t="str">
        <f t="shared" si="20"/>
        <v/>
      </c>
      <c r="Q213" s="12"/>
      <c r="S213" s="128"/>
      <c r="T213" s="66"/>
      <c r="U213" s="128"/>
      <c r="W213" s="128"/>
      <c r="X213" s="12"/>
      <c r="Y213" t="str">
        <f t="shared" si="21"/>
        <v/>
      </c>
      <c r="Z213" t="str">
        <f t="shared" si="21"/>
        <v/>
      </c>
      <c r="AA213" s="12"/>
      <c r="AB213" s="95" t="e">
        <f t="shared" si="22"/>
        <v>#VALUE!</v>
      </c>
      <c r="AC213" s="95" t="e">
        <f t="shared" si="23"/>
        <v>#VALUE!</v>
      </c>
      <c r="AD213" s="12"/>
    </row>
    <row r="214" spans="1:30" ht="15.75" thickBot="1" x14ac:dyDescent="0.3">
      <c r="A214" s="12"/>
      <c r="B214" s="22"/>
      <c r="C214" t="str">
        <f>IF(AND('ENTRY DATA'!D214=""),"",('ENTRY DATA'!D214))</f>
        <v/>
      </c>
      <c r="D214" t="str">
        <f>IF(AND('ENTRY DATA'!F214=""),"",('ENTRY DATA'!F214))</f>
        <v/>
      </c>
      <c r="E214" s="34" t="str">
        <f>IF(AND('ENTRY DATA'!B214=""),"",('ENTRY DATA'!B214))</f>
        <v/>
      </c>
      <c r="F214" s="12"/>
      <c r="G214" s="12"/>
      <c r="H214" s="73"/>
      <c r="I214" s="71"/>
      <c r="J214" s="73"/>
      <c r="K214" s="12"/>
      <c r="L214" s="20">
        <f t="shared" si="18"/>
        <v>0</v>
      </c>
      <c r="M214" s="19" t="str">
        <f t="shared" si="19"/>
        <v/>
      </c>
      <c r="N214" s="12"/>
      <c r="O214" s="119"/>
      <c r="P214" s="95" t="str">
        <f t="shared" si="20"/>
        <v/>
      </c>
      <c r="Q214" s="12"/>
      <c r="S214" s="128"/>
      <c r="T214" s="66"/>
      <c r="U214" s="128"/>
      <c r="W214" s="128"/>
      <c r="X214" s="12"/>
      <c r="Y214" t="str">
        <f t="shared" si="21"/>
        <v/>
      </c>
      <c r="Z214" t="str">
        <f t="shared" si="21"/>
        <v/>
      </c>
      <c r="AA214" s="12"/>
      <c r="AB214" s="95" t="e">
        <f t="shared" si="22"/>
        <v>#VALUE!</v>
      </c>
      <c r="AC214" s="95" t="e">
        <f t="shared" si="23"/>
        <v>#VALUE!</v>
      </c>
      <c r="AD214" s="12"/>
    </row>
    <row r="215" spans="1:30" ht="15.75" thickBot="1" x14ac:dyDescent="0.3">
      <c r="A215" s="12"/>
      <c r="B215" s="22"/>
      <c r="C215" t="str">
        <f>IF(AND('ENTRY DATA'!D215=""),"",('ENTRY DATA'!D215))</f>
        <v/>
      </c>
      <c r="D215" t="str">
        <f>IF(AND('ENTRY DATA'!F215=""),"",('ENTRY DATA'!F215))</f>
        <v/>
      </c>
      <c r="E215" s="34" t="str">
        <f>IF(AND('ENTRY DATA'!B215=""),"",('ENTRY DATA'!B215))</f>
        <v/>
      </c>
      <c r="F215" s="12"/>
      <c r="G215" s="12"/>
      <c r="H215" s="73"/>
      <c r="I215" s="71"/>
      <c r="J215" s="73"/>
      <c r="K215" s="12"/>
      <c r="L215" s="20">
        <f t="shared" si="18"/>
        <v>0</v>
      </c>
      <c r="M215" s="19" t="str">
        <f t="shared" si="19"/>
        <v/>
      </c>
      <c r="N215" s="12"/>
      <c r="O215" s="119"/>
      <c r="P215" s="95" t="str">
        <f t="shared" si="20"/>
        <v/>
      </c>
      <c r="Q215" s="12"/>
      <c r="S215" s="128"/>
      <c r="T215" s="66"/>
      <c r="U215" s="128"/>
      <c r="W215" s="128"/>
      <c r="X215" s="12"/>
      <c r="Y215" t="str">
        <f t="shared" si="21"/>
        <v/>
      </c>
      <c r="Z215" t="str">
        <f t="shared" si="21"/>
        <v/>
      </c>
      <c r="AA215" s="12"/>
      <c r="AB215" s="95" t="e">
        <f t="shared" si="22"/>
        <v>#VALUE!</v>
      </c>
      <c r="AC215" s="95" t="e">
        <f t="shared" si="23"/>
        <v>#VALUE!</v>
      </c>
      <c r="AD215" s="12"/>
    </row>
    <row r="216" spans="1:30" ht="15.75" thickBot="1" x14ac:dyDescent="0.3">
      <c r="A216" s="12"/>
      <c r="B216" s="22"/>
      <c r="C216" t="str">
        <f>IF(AND('ENTRY DATA'!D216=""),"",('ENTRY DATA'!D216))</f>
        <v/>
      </c>
      <c r="D216" t="str">
        <f>IF(AND('ENTRY DATA'!F216=""),"",('ENTRY DATA'!F216))</f>
        <v/>
      </c>
      <c r="E216" s="34" t="str">
        <f>IF(AND('ENTRY DATA'!B216=""),"",('ENTRY DATA'!B216))</f>
        <v/>
      </c>
      <c r="F216" s="12"/>
      <c r="G216" s="12"/>
      <c r="H216" s="73"/>
      <c r="I216" s="71"/>
      <c r="J216" s="73"/>
      <c r="K216" s="12"/>
      <c r="L216" s="20">
        <f t="shared" si="18"/>
        <v>0</v>
      </c>
      <c r="M216" s="19" t="str">
        <f t="shared" si="19"/>
        <v/>
      </c>
      <c r="N216" s="12"/>
      <c r="O216" s="119"/>
      <c r="P216" s="95" t="str">
        <f t="shared" si="20"/>
        <v/>
      </c>
      <c r="Q216" s="12"/>
      <c r="S216" s="128"/>
      <c r="T216" s="66"/>
      <c r="U216" s="128"/>
      <c r="W216" s="128"/>
      <c r="X216" s="12"/>
      <c r="Y216" t="str">
        <f t="shared" si="21"/>
        <v/>
      </c>
      <c r="Z216" t="str">
        <f t="shared" si="21"/>
        <v/>
      </c>
      <c r="AA216" s="12"/>
      <c r="AB216" s="95" t="e">
        <f t="shared" si="22"/>
        <v>#VALUE!</v>
      </c>
      <c r="AC216" s="95" t="e">
        <f t="shared" si="23"/>
        <v>#VALUE!</v>
      </c>
      <c r="AD216" s="12"/>
    </row>
    <row r="217" spans="1:30" ht="15.75" thickBot="1" x14ac:dyDescent="0.3">
      <c r="A217" s="12"/>
      <c r="B217" s="22"/>
      <c r="C217" t="str">
        <f>IF(AND('ENTRY DATA'!D217=""),"",('ENTRY DATA'!D217))</f>
        <v/>
      </c>
      <c r="D217" t="str">
        <f>IF(AND('ENTRY DATA'!F217=""),"",('ENTRY DATA'!F217))</f>
        <v/>
      </c>
      <c r="E217" s="34" t="str">
        <f>IF(AND('ENTRY DATA'!B217=""),"",('ENTRY DATA'!B217))</f>
        <v/>
      </c>
      <c r="F217" s="12"/>
      <c r="G217" s="12"/>
      <c r="H217" s="73"/>
      <c r="I217" s="71"/>
      <c r="J217" s="73"/>
      <c r="K217" s="12"/>
      <c r="L217" s="20">
        <f t="shared" si="18"/>
        <v>0</v>
      </c>
      <c r="M217" s="19" t="str">
        <f t="shared" si="19"/>
        <v/>
      </c>
      <c r="N217" s="12"/>
      <c r="O217" s="119"/>
      <c r="P217" s="95" t="str">
        <f t="shared" si="20"/>
        <v/>
      </c>
      <c r="Q217" s="12"/>
      <c r="S217" s="128"/>
      <c r="T217" s="66"/>
      <c r="U217" s="128"/>
      <c r="W217" s="128"/>
      <c r="X217" s="12"/>
      <c r="Y217" t="str">
        <f t="shared" si="21"/>
        <v/>
      </c>
      <c r="Z217" t="str">
        <f t="shared" si="21"/>
        <v/>
      </c>
      <c r="AA217" s="12"/>
      <c r="AB217" s="95" t="e">
        <f t="shared" si="22"/>
        <v>#VALUE!</v>
      </c>
      <c r="AC217" s="95" t="e">
        <f t="shared" si="23"/>
        <v>#VALUE!</v>
      </c>
      <c r="AD217" s="12"/>
    </row>
    <row r="218" spans="1:30" ht="15.75" thickBot="1" x14ac:dyDescent="0.3">
      <c r="A218" s="12"/>
      <c r="B218" s="22"/>
      <c r="C218" t="str">
        <f>IF(AND('ENTRY DATA'!D218=""),"",('ENTRY DATA'!D218))</f>
        <v/>
      </c>
      <c r="D218" t="str">
        <f>IF(AND('ENTRY DATA'!F218=""),"",('ENTRY DATA'!F218))</f>
        <v/>
      </c>
      <c r="E218" s="34" t="str">
        <f>IF(AND('ENTRY DATA'!B218=""),"",('ENTRY DATA'!B218))</f>
        <v/>
      </c>
      <c r="F218" s="12"/>
      <c r="G218" s="12"/>
      <c r="H218" s="73"/>
      <c r="I218" s="71"/>
      <c r="J218" s="73"/>
      <c r="K218" s="12"/>
      <c r="L218" s="20">
        <f t="shared" si="18"/>
        <v>0</v>
      </c>
      <c r="M218" s="19" t="str">
        <f t="shared" si="19"/>
        <v/>
      </c>
      <c r="N218" s="12"/>
      <c r="O218" s="119"/>
      <c r="P218" s="95" t="str">
        <f t="shared" si="20"/>
        <v/>
      </c>
      <c r="Q218" s="12"/>
      <c r="S218" s="128"/>
      <c r="T218" s="66"/>
      <c r="U218" s="128"/>
      <c r="W218" s="128"/>
      <c r="X218" s="12"/>
      <c r="Y218" t="str">
        <f t="shared" si="21"/>
        <v/>
      </c>
      <c r="Z218" t="str">
        <f t="shared" si="21"/>
        <v/>
      </c>
      <c r="AA218" s="12"/>
      <c r="AB218" s="95" t="e">
        <f t="shared" si="22"/>
        <v>#VALUE!</v>
      </c>
      <c r="AC218" s="95" t="e">
        <f t="shared" si="23"/>
        <v>#VALUE!</v>
      </c>
      <c r="AD218" s="12"/>
    </row>
    <row r="219" spans="1:30" ht="15.75" thickBot="1" x14ac:dyDescent="0.3">
      <c r="A219" s="12"/>
      <c r="B219" s="22"/>
      <c r="C219" t="str">
        <f>IF(AND('ENTRY DATA'!D219=""),"",('ENTRY DATA'!D219))</f>
        <v/>
      </c>
      <c r="D219" t="str">
        <f>IF(AND('ENTRY DATA'!F219=""),"",('ENTRY DATA'!F219))</f>
        <v/>
      </c>
      <c r="E219" s="34" t="str">
        <f>IF(AND('ENTRY DATA'!B219=""),"",('ENTRY DATA'!B219))</f>
        <v/>
      </c>
      <c r="F219" s="12"/>
      <c r="G219" s="12"/>
      <c r="H219" s="73"/>
      <c r="I219" s="71"/>
      <c r="J219" s="73"/>
      <c r="K219" s="12"/>
      <c r="L219" s="20">
        <f t="shared" si="18"/>
        <v>0</v>
      </c>
      <c r="M219" s="19" t="str">
        <f t="shared" si="19"/>
        <v/>
      </c>
      <c r="N219" s="12"/>
      <c r="O219" s="119"/>
      <c r="P219" s="95" t="str">
        <f t="shared" si="20"/>
        <v/>
      </c>
      <c r="Q219" s="12"/>
      <c r="S219" s="128"/>
      <c r="T219" s="66"/>
      <c r="U219" s="128"/>
      <c r="W219" s="128"/>
      <c r="X219" s="12"/>
      <c r="Y219" t="str">
        <f t="shared" si="21"/>
        <v/>
      </c>
      <c r="Z219" t="str">
        <f t="shared" si="21"/>
        <v/>
      </c>
      <c r="AA219" s="12"/>
      <c r="AB219" s="95" t="e">
        <f t="shared" si="22"/>
        <v>#VALUE!</v>
      </c>
      <c r="AC219" s="95" t="e">
        <f t="shared" si="23"/>
        <v>#VALUE!</v>
      </c>
      <c r="AD219" s="12"/>
    </row>
    <row r="220" spans="1:30" ht="15.75" thickBot="1" x14ac:dyDescent="0.3">
      <c r="A220" s="12"/>
      <c r="B220" s="22"/>
      <c r="C220" t="str">
        <f>IF(AND('ENTRY DATA'!D220=""),"",('ENTRY DATA'!D220))</f>
        <v/>
      </c>
      <c r="D220" t="str">
        <f>IF(AND('ENTRY DATA'!F220=""),"",('ENTRY DATA'!F220))</f>
        <v/>
      </c>
      <c r="E220" s="34" t="str">
        <f>IF(AND('ENTRY DATA'!B220=""),"",('ENTRY DATA'!B220))</f>
        <v/>
      </c>
      <c r="F220" s="12"/>
      <c r="G220" s="12"/>
      <c r="H220" s="73"/>
      <c r="I220" s="71"/>
      <c r="J220" s="73"/>
      <c r="K220" s="12"/>
      <c r="L220" s="20">
        <f t="shared" si="18"/>
        <v>0</v>
      </c>
      <c r="M220" s="19" t="str">
        <f t="shared" si="19"/>
        <v/>
      </c>
      <c r="N220" s="12"/>
      <c r="O220" s="119"/>
      <c r="P220" s="95" t="str">
        <f t="shared" si="20"/>
        <v/>
      </c>
      <c r="Q220" s="12"/>
      <c r="S220" s="128"/>
      <c r="T220" s="66"/>
      <c r="U220" s="128"/>
      <c r="W220" s="128"/>
      <c r="X220" s="12"/>
      <c r="Y220" t="str">
        <f t="shared" si="21"/>
        <v/>
      </c>
      <c r="Z220" t="str">
        <f t="shared" si="21"/>
        <v/>
      </c>
      <c r="AA220" s="12"/>
      <c r="AB220" s="95" t="e">
        <f t="shared" si="22"/>
        <v>#VALUE!</v>
      </c>
      <c r="AC220" s="95" t="e">
        <f t="shared" si="23"/>
        <v>#VALUE!</v>
      </c>
      <c r="AD220" s="12"/>
    </row>
    <row r="221" spans="1:30" ht="15.75" thickBot="1" x14ac:dyDescent="0.3">
      <c r="A221" s="12"/>
      <c r="B221" s="22"/>
      <c r="C221" t="str">
        <f>IF(AND('ENTRY DATA'!D221=""),"",('ENTRY DATA'!D221))</f>
        <v/>
      </c>
      <c r="D221" t="str">
        <f>IF(AND('ENTRY DATA'!F221=""),"",('ENTRY DATA'!F221))</f>
        <v/>
      </c>
      <c r="E221" s="34" t="str">
        <f>IF(AND('ENTRY DATA'!B221=""),"",('ENTRY DATA'!B221))</f>
        <v/>
      </c>
      <c r="F221" s="12"/>
      <c r="G221" s="12"/>
      <c r="H221" s="73"/>
      <c r="I221" s="71"/>
      <c r="J221" s="73"/>
      <c r="K221" s="12"/>
      <c r="L221" s="20">
        <f t="shared" si="18"/>
        <v>0</v>
      </c>
      <c r="M221" s="19" t="str">
        <f t="shared" si="19"/>
        <v/>
      </c>
      <c r="N221" s="12"/>
      <c r="O221" s="119"/>
      <c r="P221" s="95" t="str">
        <f t="shared" si="20"/>
        <v/>
      </c>
      <c r="Q221" s="12"/>
      <c r="S221" s="128"/>
      <c r="T221" s="66"/>
      <c r="U221" s="128"/>
      <c r="W221" s="128"/>
      <c r="X221" s="12"/>
      <c r="Y221" t="str">
        <f t="shared" si="21"/>
        <v/>
      </c>
      <c r="Z221" t="str">
        <f t="shared" si="21"/>
        <v/>
      </c>
      <c r="AA221" s="12"/>
      <c r="AB221" s="95" t="e">
        <f t="shared" si="22"/>
        <v>#VALUE!</v>
      </c>
      <c r="AC221" s="95" t="e">
        <f t="shared" si="23"/>
        <v>#VALUE!</v>
      </c>
      <c r="AD221" s="12"/>
    </row>
    <row r="222" spans="1:30" ht="15.75" thickBot="1" x14ac:dyDescent="0.3">
      <c r="A222" s="12"/>
      <c r="B222" s="22"/>
      <c r="C222" t="str">
        <f>IF(AND('ENTRY DATA'!D222=""),"",('ENTRY DATA'!D222))</f>
        <v/>
      </c>
      <c r="D222" t="str">
        <f>IF(AND('ENTRY DATA'!F222=""),"",('ENTRY DATA'!F222))</f>
        <v/>
      </c>
      <c r="E222" s="34" t="str">
        <f>IF(AND('ENTRY DATA'!B222=""),"",('ENTRY DATA'!B222))</f>
        <v/>
      </c>
      <c r="F222" s="12"/>
      <c r="G222" s="12"/>
      <c r="H222" s="73"/>
      <c r="I222" s="71"/>
      <c r="J222" s="73"/>
      <c r="K222" s="12"/>
      <c r="L222" s="20">
        <f t="shared" si="18"/>
        <v>0</v>
      </c>
      <c r="M222" s="19" t="str">
        <f t="shared" si="19"/>
        <v/>
      </c>
      <c r="N222" s="12"/>
      <c r="O222" s="119"/>
      <c r="P222" s="95" t="str">
        <f t="shared" si="20"/>
        <v/>
      </c>
      <c r="Q222" s="12"/>
      <c r="S222" s="128"/>
      <c r="T222" s="66"/>
      <c r="U222" s="128"/>
      <c r="W222" s="128"/>
      <c r="X222" s="12"/>
      <c r="Y222" t="str">
        <f t="shared" si="21"/>
        <v/>
      </c>
      <c r="Z222" t="str">
        <f t="shared" si="21"/>
        <v/>
      </c>
      <c r="AA222" s="12"/>
      <c r="AB222" s="95" t="e">
        <f t="shared" si="22"/>
        <v>#VALUE!</v>
      </c>
      <c r="AC222" s="95" t="e">
        <f t="shared" si="23"/>
        <v>#VALUE!</v>
      </c>
      <c r="AD222" s="12"/>
    </row>
    <row r="223" spans="1:30" ht="15.75" thickBot="1" x14ac:dyDescent="0.3">
      <c r="A223" s="12"/>
      <c r="B223" s="22"/>
      <c r="C223" t="str">
        <f>IF(AND('ENTRY DATA'!D223=""),"",('ENTRY DATA'!D223))</f>
        <v/>
      </c>
      <c r="D223" t="str">
        <f>IF(AND('ENTRY DATA'!F223=""),"",('ENTRY DATA'!F223))</f>
        <v/>
      </c>
      <c r="E223" s="34" t="str">
        <f>IF(AND('ENTRY DATA'!B223=""),"",('ENTRY DATA'!B223))</f>
        <v/>
      </c>
      <c r="F223" s="12"/>
      <c r="G223" s="12"/>
      <c r="H223" s="73"/>
      <c r="I223" s="71"/>
      <c r="J223" s="73"/>
      <c r="K223" s="12"/>
      <c r="L223" s="20">
        <f t="shared" si="18"/>
        <v>0</v>
      </c>
      <c r="M223" s="19" t="str">
        <f t="shared" si="19"/>
        <v/>
      </c>
      <c r="N223" s="12"/>
      <c r="O223" s="119"/>
      <c r="P223" s="95" t="str">
        <f t="shared" si="20"/>
        <v/>
      </c>
      <c r="Q223" s="12"/>
      <c r="S223" s="128"/>
      <c r="T223" s="66"/>
      <c r="U223" s="128"/>
      <c r="W223" s="128"/>
      <c r="X223" s="12"/>
      <c r="Y223" t="str">
        <f t="shared" si="21"/>
        <v/>
      </c>
      <c r="Z223" t="str">
        <f t="shared" si="21"/>
        <v/>
      </c>
      <c r="AA223" s="12"/>
      <c r="AB223" s="95" t="e">
        <f t="shared" si="22"/>
        <v>#VALUE!</v>
      </c>
      <c r="AC223" s="95" t="e">
        <f t="shared" si="23"/>
        <v>#VALUE!</v>
      </c>
      <c r="AD223" s="12"/>
    </row>
    <row r="224" spans="1:30" ht="15.75" thickBot="1" x14ac:dyDescent="0.3">
      <c r="A224" s="12"/>
      <c r="B224" s="22"/>
      <c r="C224" t="str">
        <f>IF(AND('ENTRY DATA'!D224=""),"",('ENTRY DATA'!D224))</f>
        <v/>
      </c>
      <c r="D224" t="str">
        <f>IF(AND('ENTRY DATA'!F224=""),"",('ENTRY DATA'!F224))</f>
        <v/>
      </c>
      <c r="E224" s="34" t="str">
        <f>IF(AND('ENTRY DATA'!B224=""),"",('ENTRY DATA'!B224))</f>
        <v/>
      </c>
      <c r="F224" s="12"/>
      <c r="G224" s="12"/>
      <c r="H224" s="73"/>
      <c r="I224" s="71"/>
      <c r="J224" s="73"/>
      <c r="K224" s="12"/>
      <c r="L224" s="20">
        <f t="shared" si="18"/>
        <v>0</v>
      </c>
      <c r="M224" s="19" t="str">
        <f t="shared" si="19"/>
        <v/>
      </c>
      <c r="N224" s="12"/>
      <c r="O224" s="119"/>
      <c r="P224" s="95" t="str">
        <f t="shared" si="20"/>
        <v/>
      </c>
      <c r="Q224" s="12"/>
      <c r="S224" s="128"/>
      <c r="T224" s="66"/>
      <c r="U224" s="128"/>
      <c r="W224" s="128"/>
      <c r="X224" s="12"/>
      <c r="Y224" t="str">
        <f t="shared" si="21"/>
        <v/>
      </c>
      <c r="Z224" t="str">
        <f t="shared" si="21"/>
        <v/>
      </c>
      <c r="AA224" s="12"/>
      <c r="AB224" s="95" t="e">
        <f t="shared" si="22"/>
        <v>#VALUE!</v>
      </c>
      <c r="AC224" s="95" t="e">
        <f t="shared" si="23"/>
        <v>#VALUE!</v>
      </c>
      <c r="AD224" s="12"/>
    </row>
    <row r="225" spans="1:30" ht="15.75" thickBot="1" x14ac:dyDescent="0.3">
      <c r="A225" s="12"/>
      <c r="B225" s="22"/>
      <c r="C225" t="str">
        <f>IF(AND('ENTRY DATA'!D225=""),"",('ENTRY DATA'!D225))</f>
        <v/>
      </c>
      <c r="D225" t="str">
        <f>IF(AND('ENTRY DATA'!F225=""),"",('ENTRY DATA'!F225))</f>
        <v/>
      </c>
      <c r="E225" s="34" t="str">
        <f>IF(AND('ENTRY DATA'!B225=""),"",('ENTRY DATA'!B225))</f>
        <v/>
      </c>
      <c r="F225" s="12"/>
      <c r="G225" s="12"/>
      <c r="H225" s="73"/>
      <c r="I225" s="71"/>
      <c r="J225" s="73"/>
      <c r="K225" s="12"/>
      <c r="L225" s="20">
        <f t="shared" si="18"/>
        <v>0</v>
      </c>
      <c r="M225" s="19" t="str">
        <f t="shared" si="19"/>
        <v/>
      </c>
      <c r="N225" s="12"/>
      <c r="O225" s="119"/>
      <c r="P225" s="95" t="str">
        <f t="shared" si="20"/>
        <v/>
      </c>
      <c r="Q225" s="12"/>
      <c r="S225" s="128"/>
      <c r="T225" s="66"/>
      <c r="U225" s="128"/>
      <c r="W225" s="128"/>
      <c r="X225" s="12"/>
      <c r="Y225" t="str">
        <f t="shared" si="21"/>
        <v/>
      </c>
      <c r="Z225" t="str">
        <f t="shared" si="21"/>
        <v/>
      </c>
      <c r="AA225" s="12"/>
      <c r="AB225" s="95" t="e">
        <f t="shared" si="22"/>
        <v>#VALUE!</v>
      </c>
      <c r="AC225" s="95" t="e">
        <f t="shared" si="23"/>
        <v>#VALUE!</v>
      </c>
      <c r="AD225" s="12"/>
    </row>
    <row r="226" spans="1:30" ht="15.75" thickBot="1" x14ac:dyDescent="0.3">
      <c r="A226" s="12"/>
      <c r="B226" s="22"/>
      <c r="C226" t="str">
        <f>IF(AND('ENTRY DATA'!D226=""),"",('ENTRY DATA'!D226))</f>
        <v/>
      </c>
      <c r="D226" t="str">
        <f>IF(AND('ENTRY DATA'!F226=""),"",('ENTRY DATA'!F226))</f>
        <v/>
      </c>
      <c r="E226" s="34" t="str">
        <f>IF(AND('ENTRY DATA'!B226=""),"",('ENTRY DATA'!B226))</f>
        <v/>
      </c>
      <c r="F226" s="12"/>
      <c r="G226" s="12"/>
      <c r="H226" s="73"/>
      <c r="I226" s="71"/>
      <c r="J226" s="73"/>
      <c r="K226" s="12"/>
      <c r="L226" s="20">
        <f t="shared" si="18"/>
        <v>0</v>
      </c>
      <c r="M226" s="19" t="str">
        <f t="shared" si="19"/>
        <v/>
      </c>
      <c r="N226" s="12"/>
      <c r="O226" s="119"/>
      <c r="P226" s="95" t="str">
        <f t="shared" si="20"/>
        <v/>
      </c>
      <c r="Q226" s="12"/>
      <c r="S226" s="128"/>
      <c r="T226" s="66"/>
      <c r="U226" s="128"/>
      <c r="W226" s="128"/>
      <c r="X226" s="12"/>
      <c r="Y226" t="str">
        <f t="shared" si="21"/>
        <v/>
      </c>
      <c r="Z226" t="str">
        <f t="shared" si="21"/>
        <v/>
      </c>
      <c r="AA226" s="12"/>
      <c r="AB226" s="95" t="e">
        <f t="shared" si="22"/>
        <v>#VALUE!</v>
      </c>
      <c r="AC226" s="95" t="e">
        <f t="shared" si="23"/>
        <v>#VALUE!</v>
      </c>
      <c r="AD226" s="12"/>
    </row>
    <row r="227" spans="1:30" ht="15.75" thickBot="1" x14ac:dyDescent="0.3">
      <c r="A227" s="12"/>
      <c r="B227" s="22"/>
      <c r="C227" t="str">
        <f>IF(AND('ENTRY DATA'!D227=""),"",('ENTRY DATA'!D227))</f>
        <v/>
      </c>
      <c r="D227" t="str">
        <f>IF(AND('ENTRY DATA'!F227=""),"",('ENTRY DATA'!F227))</f>
        <v/>
      </c>
      <c r="E227" s="34" t="str">
        <f>IF(AND('ENTRY DATA'!B227=""),"",('ENTRY DATA'!B227))</f>
        <v/>
      </c>
      <c r="F227" s="12"/>
      <c r="G227" s="12"/>
      <c r="H227" s="73"/>
      <c r="I227" s="71"/>
      <c r="J227" s="73"/>
      <c r="K227" s="12"/>
      <c r="L227" s="20">
        <f t="shared" si="18"/>
        <v>0</v>
      </c>
      <c r="M227" s="19" t="str">
        <f t="shared" si="19"/>
        <v/>
      </c>
      <c r="N227" s="12"/>
      <c r="O227" s="119"/>
      <c r="P227" s="95" t="str">
        <f t="shared" si="20"/>
        <v/>
      </c>
      <c r="Q227" s="12"/>
      <c r="S227" s="128"/>
      <c r="T227" s="66"/>
      <c r="U227" s="128"/>
      <c r="W227" s="128"/>
      <c r="X227" s="12"/>
      <c r="Y227" t="str">
        <f t="shared" si="21"/>
        <v/>
      </c>
      <c r="Z227" t="str">
        <f t="shared" si="21"/>
        <v/>
      </c>
      <c r="AA227" s="12"/>
      <c r="AB227" s="95" t="e">
        <f t="shared" si="22"/>
        <v>#VALUE!</v>
      </c>
      <c r="AC227" s="95" t="e">
        <f t="shared" si="23"/>
        <v>#VALUE!</v>
      </c>
      <c r="AD227" s="12"/>
    </row>
    <row r="228" spans="1:30" ht="15.75" thickBot="1" x14ac:dyDescent="0.3">
      <c r="A228" s="12"/>
      <c r="B228" s="22"/>
      <c r="C228" t="str">
        <f>IF(AND('ENTRY DATA'!D228=""),"",('ENTRY DATA'!D228))</f>
        <v/>
      </c>
      <c r="D228" t="str">
        <f>IF(AND('ENTRY DATA'!F228=""),"",('ENTRY DATA'!F228))</f>
        <v/>
      </c>
      <c r="E228" s="34" t="str">
        <f>IF(AND('ENTRY DATA'!B228=""),"",('ENTRY DATA'!B228))</f>
        <v/>
      </c>
      <c r="F228" s="12"/>
      <c r="G228" s="12"/>
      <c r="H228" s="73"/>
      <c r="I228" s="71"/>
      <c r="J228" s="73"/>
      <c r="K228" s="12"/>
      <c r="L228" s="20">
        <f t="shared" si="18"/>
        <v>0</v>
      </c>
      <c r="M228" s="19" t="str">
        <f t="shared" si="19"/>
        <v/>
      </c>
      <c r="N228" s="12"/>
      <c r="O228" s="119"/>
      <c r="P228" s="95" t="str">
        <f t="shared" si="20"/>
        <v/>
      </c>
      <c r="Q228" s="12"/>
      <c r="S228" s="128"/>
      <c r="T228" s="66"/>
      <c r="U228" s="128"/>
      <c r="W228" s="128"/>
      <c r="X228" s="12"/>
      <c r="Y228" t="str">
        <f t="shared" si="21"/>
        <v/>
      </c>
      <c r="Z228" t="str">
        <f t="shared" si="21"/>
        <v/>
      </c>
      <c r="AA228" s="12"/>
      <c r="AB228" s="95" t="e">
        <f t="shared" si="22"/>
        <v>#VALUE!</v>
      </c>
      <c r="AC228" s="95" t="e">
        <f t="shared" si="23"/>
        <v>#VALUE!</v>
      </c>
      <c r="AD228" s="12"/>
    </row>
    <row r="229" spans="1:30" ht="15.75" thickBot="1" x14ac:dyDescent="0.3">
      <c r="A229" s="12"/>
      <c r="B229" s="22"/>
      <c r="C229" t="str">
        <f>IF(AND('ENTRY DATA'!D229=""),"",('ENTRY DATA'!D229))</f>
        <v/>
      </c>
      <c r="D229" t="str">
        <f>IF(AND('ENTRY DATA'!F229=""),"",('ENTRY DATA'!F229))</f>
        <v/>
      </c>
      <c r="E229" s="34" t="str">
        <f>IF(AND('ENTRY DATA'!B229=""),"",('ENTRY DATA'!B229))</f>
        <v/>
      </c>
      <c r="F229" s="12"/>
      <c r="G229" s="12"/>
      <c r="H229" s="73"/>
      <c r="I229" s="71"/>
      <c r="J229" s="73"/>
      <c r="K229" s="12"/>
      <c r="L229" s="20">
        <f t="shared" si="18"/>
        <v>0</v>
      </c>
      <c r="M229" s="19" t="str">
        <f t="shared" si="19"/>
        <v/>
      </c>
      <c r="N229" s="12"/>
      <c r="O229" s="119"/>
      <c r="P229" s="95" t="str">
        <f t="shared" si="20"/>
        <v/>
      </c>
      <c r="Q229" s="12"/>
      <c r="S229" s="128"/>
      <c r="T229" s="66"/>
      <c r="U229" s="128"/>
      <c r="W229" s="128"/>
      <c r="X229" s="12"/>
      <c r="Y229" t="str">
        <f t="shared" si="21"/>
        <v/>
      </c>
      <c r="Z229" t="str">
        <f t="shared" si="21"/>
        <v/>
      </c>
      <c r="AA229" s="12"/>
      <c r="AB229" s="95" t="e">
        <f t="shared" si="22"/>
        <v>#VALUE!</v>
      </c>
      <c r="AC229" s="95" t="e">
        <f t="shared" si="23"/>
        <v>#VALUE!</v>
      </c>
      <c r="AD229" s="12"/>
    </row>
    <row r="230" spans="1:30" ht="15.75" thickBot="1" x14ac:dyDescent="0.3">
      <c r="A230" s="12"/>
      <c r="B230" s="22"/>
      <c r="C230" t="str">
        <f>IF(AND('ENTRY DATA'!D230=""),"",('ENTRY DATA'!D230))</f>
        <v/>
      </c>
      <c r="D230" t="str">
        <f>IF(AND('ENTRY DATA'!F230=""),"",('ENTRY DATA'!F230))</f>
        <v/>
      </c>
      <c r="E230" s="34" t="str">
        <f>IF(AND('ENTRY DATA'!B230=""),"",('ENTRY DATA'!B230))</f>
        <v/>
      </c>
      <c r="F230" s="12"/>
      <c r="G230" s="12"/>
      <c r="H230" s="73"/>
      <c r="I230" s="71"/>
      <c r="J230" s="73"/>
      <c r="K230" s="12"/>
      <c r="L230" s="20">
        <f t="shared" si="18"/>
        <v>0</v>
      </c>
      <c r="M230" s="19" t="str">
        <f t="shared" si="19"/>
        <v/>
      </c>
      <c r="N230" s="12"/>
      <c r="O230" s="119"/>
      <c r="P230" s="95" t="str">
        <f t="shared" si="20"/>
        <v/>
      </c>
      <c r="Q230" s="12"/>
      <c r="S230" s="128"/>
      <c r="T230" s="66"/>
      <c r="U230" s="128"/>
      <c r="W230" s="128"/>
      <c r="X230" s="12"/>
      <c r="Y230" t="str">
        <f t="shared" si="21"/>
        <v/>
      </c>
      <c r="Z230" t="str">
        <f t="shared" si="21"/>
        <v/>
      </c>
      <c r="AA230" s="12"/>
      <c r="AB230" s="95" t="e">
        <f t="shared" si="22"/>
        <v>#VALUE!</v>
      </c>
      <c r="AC230" s="95" t="e">
        <f t="shared" si="23"/>
        <v>#VALUE!</v>
      </c>
      <c r="AD230" s="12"/>
    </row>
    <row r="231" spans="1:30" ht="15.75" thickBot="1" x14ac:dyDescent="0.3">
      <c r="A231" s="12"/>
      <c r="B231" s="22"/>
      <c r="C231" t="str">
        <f>IF(AND('ENTRY DATA'!D231=""),"",('ENTRY DATA'!D231))</f>
        <v/>
      </c>
      <c r="D231" t="str">
        <f>IF(AND('ENTRY DATA'!F231=""),"",('ENTRY DATA'!F231))</f>
        <v/>
      </c>
      <c r="E231" s="34" t="str">
        <f>IF(AND('ENTRY DATA'!B231=""),"",('ENTRY DATA'!B231))</f>
        <v/>
      </c>
      <c r="F231" s="12"/>
      <c r="G231" s="12"/>
      <c r="H231" s="73"/>
      <c r="I231" s="71"/>
      <c r="J231" s="73"/>
      <c r="K231" s="12"/>
      <c r="L231" s="20">
        <f t="shared" si="18"/>
        <v>0</v>
      </c>
      <c r="M231" s="19" t="str">
        <f t="shared" si="19"/>
        <v/>
      </c>
      <c r="N231" s="12"/>
      <c r="O231" s="119"/>
      <c r="P231" s="95" t="str">
        <f t="shared" si="20"/>
        <v/>
      </c>
      <c r="Q231" s="12"/>
      <c r="S231" s="128"/>
      <c r="T231" s="66"/>
      <c r="U231" s="128"/>
      <c r="W231" s="128"/>
      <c r="X231" s="12"/>
      <c r="Y231" t="str">
        <f t="shared" si="21"/>
        <v/>
      </c>
      <c r="Z231" t="str">
        <f t="shared" si="21"/>
        <v/>
      </c>
      <c r="AA231" s="12"/>
      <c r="AB231" s="95" t="e">
        <f t="shared" si="22"/>
        <v>#VALUE!</v>
      </c>
      <c r="AC231" s="95" t="e">
        <f t="shared" si="23"/>
        <v>#VALUE!</v>
      </c>
      <c r="AD231" s="12"/>
    </row>
    <row r="232" spans="1:30" ht="15.75" thickBot="1" x14ac:dyDescent="0.3">
      <c r="A232" s="12"/>
      <c r="B232" s="22"/>
      <c r="C232" t="str">
        <f>IF(AND('ENTRY DATA'!D232=""),"",('ENTRY DATA'!D232))</f>
        <v/>
      </c>
      <c r="D232" t="str">
        <f>IF(AND('ENTRY DATA'!F232=""),"",('ENTRY DATA'!F232))</f>
        <v/>
      </c>
      <c r="E232" s="34" t="str">
        <f>IF(AND('ENTRY DATA'!B232=""),"",('ENTRY DATA'!B232))</f>
        <v/>
      </c>
      <c r="F232" s="12"/>
      <c r="G232" s="12"/>
      <c r="H232" s="73"/>
      <c r="I232" s="71"/>
      <c r="J232" s="73"/>
      <c r="K232" s="12"/>
      <c r="L232" s="20">
        <f t="shared" si="18"/>
        <v>0</v>
      </c>
      <c r="M232" s="19" t="str">
        <f t="shared" si="19"/>
        <v/>
      </c>
      <c r="N232" s="12"/>
      <c r="O232" s="119"/>
      <c r="P232" s="95" t="str">
        <f t="shared" si="20"/>
        <v/>
      </c>
      <c r="Q232" s="12"/>
      <c r="S232" s="128"/>
      <c r="T232" s="66"/>
      <c r="U232" s="128"/>
      <c r="W232" s="128"/>
      <c r="X232" s="12"/>
      <c r="Y232" t="str">
        <f t="shared" si="21"/>
        <v/>
      </c>
      <c r="Z232" t="str">
        <f t="shared" si="21"/>
        <v/>
      </c>
      <c r="AA232" s="12"/>
      <c r="AB232" s="95" t="e">
        <f t="shared" si="22"/>
        <v>#VALUE!</v>
      </c>
      <c r="AC232" s="95" t="e">
        <f t="shared" si="23"/>
        <v>#VALUE!</v>
      </c>
      <c r="AD232" s="12"/>
    </row>
    <row r="233" spans="1:30" ht="15.75" thickBot="1" x14ac:dyDescent="0.3">
      <c r="A233" s="12"/>
      <c r="B233" s="22"/>
      <c r="C233" t="str">
        <f>IF(AND('ENTRY DATA'!D233=""),"",('ENTRY DATA'!D233))</f>
        <v/>
      </c>
      <c r="D233" t="str">
        <f>IF(AND('ENTRY DATA'!F233=""),"",('ENTRY DATA'!F233))</f>
        <v/>
      </c>
      <c r="E233" s="34" t="str">
        <f>IF(AND('ENTRY DATA'!B233=""),"",('ENTRY DATA'!B233))</f>
        <v/>
      </c>
      <c r="F233" s="12"/>
      <c r="G233" s="12"/>
      <c r="H233" s="73"/>
      <c r="I233" s="71"/>
      <c r="J233" s="73"/>
      <c r="K233" s="12"/>
      <c r="L233" s="20">
        <f t="shared" si="18"/>
        <v>0</v>
      </c>
      <c r="M233" s="19" t="str">
        <f t="shared" si="19"/>
        <v/>
      </c>
      <c r="N233" s="12"/>
      <c r="O233" s="119"/>
      <c r="P233" s="95" t="str">
        <f t="shared" si="20"/>
        <v/>
      </c>
      <c r="Q233" s="12"/>
      <c r="S233" s="128"/>
      <c r="T233" s="66"/>
      <c r="U233" s="128"/>
      <c r="W233" s="128"/>
      <c r="X233" s="12"/>
      <c r="Y233" t="str">
        <f t="shared" si="21"/>
        <v/>
      </c>
      <c r="Z233" t="str">
        <f t="shared" si="21"/>
        <v/>
      </c>
      <c r="AA233" s="12"/>
      <c r="AB233" s="95" t="e">
        <f t="shared" si="22"/>
        <v>#VALUE!</v>
      </c>
      <c r="AC233" s="95" t="e">
        <f t="shared" si="23"/>
        <v>#VALUE!</v>
      </c>
      <c r="AD233" s="12"/>
    </row>
    <row r="234" spans="1:30" ht="15.75" thickBot="1" x14ac:dyDescent="0.3">
      <c r="A234" s="12"/>
      <c r="B234" s="22"/>
      <c r="C234" t="str">
        <f>IF(AND('ENTRY DATA'!D234=""),"",('ENTRY DATA'!D234))</f>
        <v/>
      </c>
      <c r="D234" t="str">
        <f>IF(AND('ENTRY DATA'!F234=""),"",('ENTRY DATA'!F234))</f>
        <v/>
      </c>
      <c r="E234" s="34" t="str">
        <f>IF(AND('ENTRY DATA'!B234=""),"",('ENTRY DATA'!B234))</f>
        <v/>
      </c>
      <c r="F234" s="12"/>
      <c r="G234" s="12"/>
      <c r="H234" s="73"/>
      <c r="I234" s="71"/>
      <c r="J234" s="73"/>
      <c r="K234" s="12"/>
      <c r="L234" s="20">
        <f t="shared" si="18"/>
        <v>0</v>
      </c>
      <c r="M234" s="19" t="str">
        <f t="shared" si="19"/>
        <v/>
      </c>
      <c r="N234" s="12"/>
      <c r="O234" s="119"/>
      <c r="P234" s="95" t="str">
        <f t="shared" si="20"/>
        <v/>
      </c>
      <c r="Q234" s="12"/>
      <c r="S234" s="128"/>
      <c r="T234" s="66"/>
      <c r="U234" s="128"/>
      <c r="W234" s="128"/>
      <c r="X234" s="12"/>
      <c r="Y234" t="str">
        <f t="shared" si="21"/>
        <v/>
      </c>
      <c r="Z234" t="str">
        <f t="shared" si="21"/>
        <v/>
      </c>
      <c r="AA234" s="12"/>
      <c r="AB234" s="95" t="e">
        <f t="shared" si="22"/>
        <v>#VALUE!</v>
      </c>
      <c r="AC234" s="95" t="e">
        <f t="shared" si="23"/>
        <v>#VALUE!</v>
      </c>
      <c r="AD234" s="12"/>
    </row>
    <row r="235" spans="1:30" ht="15.75" thickBot="1" x14ac:dyDescent="0.3">
      <c r="A235" s="12"/>
      <c r="B235" s="22"/>
      <c r="C235" t="str">
        <f>IF(AND('ENTRY DATA'!D235=""),"",('ENTRY DATA'!D235))</f>
        <v/>
      </c>
      <c r="D235" t="str">
        <f>IF(AND('ENTRY DATA'!F235=""),"",('ENTRY DATA'!F235))</f>
        <v/>
      </c>
      <c r="E235" s="34" t="str">
        <f>IF(AND('ENTRY DATA'!B235=""),"",('ENTRY DATA'!B235))</f>
        <v/>
      </c>
      <c r="F235" s="12"/>
      <c r="G235" s="12"/>
      <c r="H235" s="73"/>
      <c r="I235" s="71"/>
      <c r="J235" s="73"/>
      <c r="K235" s="12"/>
      <c r="L235" s="20">
        <f t="shared" si="18"/>
        <v>0</v>
      </c>
      <c r="M235" s="19" t="str">
        <f t="shared" si="19"/>
        <v/>
      </c>
      <c r="N235" s="12"/>
      <c r="O235" s="119"/>
      <c r="P235" s="95" t="str">
        <f t="shared" si="20"/>
        <v/>
      </c>
      <c r="Q235" s="12"/>
      <c r="S235" s="128"/>
      <c r="T235" s="66"/>
      <c r="U235" s="128"/>
      <c r="W235" s="128"/>
      <c r="X235" s="12"/>
      <c r="Y235" t="str">
        <f t="shared" si="21"/>
        <v/>
      </c>
      <c r="Z235" t="str">
        <f t="shared" si="21"/>
        <v/>
      </c>
      <c r="AA235" s="12"/>
      <c r="AB235" s="95" t="e">
        <f t="shared" si="22"/>
        <v>#VALUE!</v>
      </c>
      <c r="AC235" s="95" t="e">
        <f t="shared" si="23"/>
        <v>#VALUE!</v>
      </c>
      <c r="AD235" s="12"/>
    </row>
    <row r="236" spans="1:30" ht="15.75" thickBot="1" x14ac:dyDescent="0.3">
      <c r="A236" s="12"/>
      <c r="B236" s="22"/>
      <c r="C236" t="str">
        <f>IF(AND('ENTRY DATA'!D236=""),"",('ENTRY DATA'!D236))</f>
        <v/>
      </c>
      <c r="D236" t="str">
        <f>IF(AND('ENTRY DATA'!F236=""),"",('ENTRY DATA'!F236))</f>
        <v/>
      </c>
      <c r="E236" s="34" t="str">
        <f>IF(AND('ENTRY DATA'!B236=""),"",('ENTRY DATA'!B236))</f>
        <v/>
      </c>
      <c r="F236" s="12"/>
      <c r="G236" s="12"/>
      <c r="H236" s="73"/>
      <c r="I236" s="71"/>
      <c r="J236" s="73"/>
      <c r="K236" s="12"/>
      <c r="L236" s="20">
        <f t="shared" si="18"/>
        <v>0</v>
      </c>
      <c r="M236" s="19" t="str">
        <f t="shared" si="19"/>
        <v/>
      </c>
      <c r="N236" s="12"/>
      <c r="O236" s="119"/>
      <c r="P236" s="95" t="str">
        <f t="shared" si="20"/>
        <v/>
      </c>
      <c r="Q236" s="12"/>
      <c r="S236" s="128"/>
      <c r="T236" s="66"/>
      <c r="U236" s="128"/>
      <c r="W236" s="128"/>
      <c r="X236" s="12"/>
      <c r="Y236" t="str">
        <f t="shared" si="21"/>
        <v/>
      </c>
      <c r="Z236" t="str">
        <f t="shared" si="21"/>
        <v/>
      </c>
      <c r="AA236" s="12"/>
      <c r="AB236" s="95" t="e">
        <f t="shared" si="22"/>
        <v>#VALUE!</v>
      </c>
      <c r="AC236" s="95" t="e">
        <f t="shared" si="23"/>
        <v>#VALUE!</v>
      </c>
      <c r="AD236" s="12"/>
    </row>
    <row r="237" spans="1:30" ht="15.75" thickBot="1" x14ac:dyDescent="0.3">
      <c r="A237" s="12"/>
      <c r="B237" s="22"/>
      <c r="C237" t="str">
        <f>IF(AND('ENTRY DATA'!D237=""),"",('ENTRY DATA'!D237))</f>
        <v/>
      </c>
      <c r="D237" t="str">
        <f>IF(AND('ENTRY DATA'!F237=""),"",('ENTRY DATA'!F237))</f>
        <v/>
      </c>
      <c r="E237" s="34" t="str">
        <f>IF(AND('ENTRY DATA'!B237=""),"",('ENTRY DATA'!B237))</f>
        <v/>
      </c>
      <c r="F237" s="12"/>
      <c r="G237" s="12"/>
      <c r="H237" s="73"/>
      <c r="I237" s="71"/>
      <c r="J237" s="73"/>
      <c r="K237" s="12"/>
      <c r="L237" s="20">
        <f t="shared" si="18"/>
        <v>0</v>
      </c>
      <c r="M237" s="19" t="str">
        <f t="shared" si="19"/>
        <v/>
      </c>
      <c r="N237" s="12"/>
      <c r="O237" s="119"/>
      <c r="P237" s="95" t="str">
        <f t="shared" si="20"/>
        <v/>
      </c>
      <c r="Q237" s="12"/>
      <c r="S237" s="128"/>
      <c r="T237" s="66"/>
      <c r="U237" s="128"/>
      <c r="W237" s="128"/>
      <c r="X237" s="12"/>
      <c r="Y237" t="str">
        <f t="shared" si="21"/>
        <v/>
      </c>
      <c r="Z237" t="str">
        <f t="shared" si="21"/>
        <v/>
      </c>
      <c r="AA237" s="12"/>
      <c r="AB237" s="95" t="e">
        <f t="shared" si="22"/>
        <v>#VALUE!</v>
      </c>
      <c r="AC237" s="95" t="e">
        <f t="shared" si="23"/>
        <v>#VALUE!</v>
      </c>
      <c r="AD237" s="12"/>
    </row>
    <row r="238" spans="1:30" ht="15.75" thickBot="1" x14ac:dyDescent="0.3">
      <c r="A238" s="12"/>
      <c r="B238" s="22"/>
      <c r="C238" t="str">
        <f>IF(AND('ENTRY DATA'!D238=""),"",('ENTRY DATA'!D238))</f>
        <v/>
      </c>
      <c r="D238" t="str">
        <f>IF(AND('ENTRY DATA'!F238=""),"",('ENTRY DATA'!F238))</f>
        <v/>
      </c>
      <c r="E238" s="34" t="str">
        <f>IF(AND('ENTRY DATA'!B238=""),"",('ENTRY DATA'!B238))</f>
        <v/>
      </c>
      <c r="F238" s="12"/>
      <c r="G238" s="12"/>
      <c r="H238" s="73"/>
      <c r="I238" s="71"/>
      <c r="J238" s="73"/>
      <c r="K238" s="12"/>
      <c r="L238" s="20">
        <f t="shared" si="18"/>
        <v>0</v>
      </c>
      <c r="M238" s="19" t="str">
        <f t="shared" si="19"/>
        <v/>
      </c>
      <c r="N238" s="12"/>
      <c r="O238" s="119"/>
      <c r="P238" s="95" t="str">
        <f t="shared" si="20"/>
        <v/>
      </c>
      <c r="Q238" s="12"/>
      <c r="S238" s="128"/>
      <c r="T238" s="66"/>
      <c r="U238" s="128"/>
      <c r="W238" s="128"/>
      <c r="X238" s="12"/>
      <c r="Y238" t="str">
        <f t="shared" si="21"/>
        <v/>
      </c>
      <c r="Z238" t="str">
        <f t="shared" si="21"/>
        <v/>
      </c>
      <c r="AA238" s="12"/>
      <c r="AB238" s="95" t="e">
        <f t="shared" si="22"/>
        <v>#VALUE!</v>
      </c>
      <c r="AC238" s="95" t="e">
        <f t="shared" si="23"/>
        <v>#VALUE!</v>
      </c>
      <c r="AD238" s="12"/>
    </row>
    <row r="239" spans="1:30" ht="15.75" thickBot="1" x14ac:dyDescent="0.3">
      <c r="A239" s="12"/>
      <c r="B239" s="22"/>
      <c r="C239" t="str">
        <f>IF(AND('ENTRY DATA'!D239=""),"",('ENTRY DATA'!D239))</f>
        <v/>
      </c>
      <c r="D239" t="str">
        <f>IF(AND('ENTRY DATA'!F239=""),"",('ENTRY DATA'!F239))</f>
        <v/>
      </c>
      <c r="E239" s="34" t="str">
        <f>IF(AND('ENTRY DATA'!B239=""),"",('ENTRY DATA'!B239))</f>
        <v/>
      </c>
      <c r="F239" s="12"/>
      <c r="G239" s="12"/>
      <c r="H239" s="73"/>
      <c r="I239" s="71"/>
      <c r="J239" s="73"/>
      <c r="K239" s="12"/>
      <c r="L239" s="20">
        <f t="shared" si="18"/>
        <v>0</v>
      </c>
      <c r="M239" s="19" t="str">
        <f t="shared" si="19"/>
        <v/>
      </c>
      <c r="N239" s="12"/>
      <c r="O239" s="119"/>
      <c r="P239" s="95" t="str">
        <f t="shared" si="20"/>
        <v/>
      </c>
      <c r="Q239" s="12"/>
      <c r="S239" s="128"/>
      <c r="T239" s="66"/>
      <c r="U239" s="128"/>
      <c r="W239" s="128"/>
      <c r="X239" s="12"/>
      <c r="Y239" t="str">
        <f t="shared" si="21"/>
        <v/>
      </c>
      <c r="Z239" t="str">
        <f t="shared" si="21"/>
        <v/>
      </c>
      <c r="AA239" s="12"/>
      <c r="AB239" s="95" t="e">
        <f t="shared" si="22"/>
        <v>#VALUE!</v>
      </c>
      <c r="AC239" s="95" t="e">
        <f t="shared" si="23"/>
        <v>#VALUE!</v>
      </c>
      <c r="AD239" s="12"/>
    </row>
    <row r="240" spans="1:30" ht="15.75" thickBot="1" x14ac:dyDescent="0.3">
      <c r="A240" s="12"/>
      <c r="B240" s="22"/>
      <c r="C240" t="str">
        <f>IF(AND('ENTRY DATA'!D240=""),"",('ENTRY DATA'!D240))</f>
        <v/>
      </c>
      <c r="D240" t="str">
        <f>IF(AND('ENTRY DATA'!F240=""),"",('ENTRY DATA'!F240))</f>
        <v/>
      </c>
      <c r="E240" s="34" t="str">
        <f>IF(AND('ENTRY DATA'!B240=""),"",('ENTRY DATA'!B240))</f>
        <v/>
      </c>
      <c r="F240" s="12"/>
      <c r="G240" s="12"/>
      <c r="H240" s="73"/>
      <c r="I240" s="71"/>
      <c r="J240" s="73"/>
      <c r="K240" s="12"/>
      <c r="L240" s="20">
        <f t="shared" si="18"/>
        <v>0</v>
      </c>
      <c r="M240" s="19" t="str">
        <f t="shared" si="19"/>
        <v/>
      </c>
      <c r="N240" s="12"/>
      <c r="O240" s="119"/>
      <c r="P240" s="95" t="str">
        <f t="shared" si="20"/>
        <v/>
      </c>
      <c r="Q240" s="12"/>
      <c r="S240" s="128"/>
      <c r="T240" s="66"/>
      <c r="U240" s="128"/>
      <c r="W240" s="128"/>
      <c r="X240" s="12"/>
      <c r="Y240" t="str">
        <f t="shared" si="21"/>
        <v/>
      </c>
      <c r="Z240" t="str">
        <f t="shared" si="21"/>
        <v/>
      </c>
      <c r="AA240" s="12"/>
      <c r="AB240" s="95" t="e">
        <f t="shared" si="22"/>
        <v>#VALUE!</v>
      </c>
      <c r="AC240" s="95" t="e">
        <f t="shared" si="23"/>
        <v>#VALUE!</v>
      </c>
      <c r="AD240" s="12"/>
    </row>
    <row r="241" spans="1:30" ht="15.75" thickBot="1" x14ac:dyDescent="0.3">
      <c r="A241" s="12"/>
      <c r="B241" s="22"/>
      <c r="C241" t="str">
        <f>IF(AND('ENTRY DATA'!D241=""),"",('ENTRY DATA'!D241))</f>
        <v/>
      </c>
      <c r="D241" t="str">
        <f>IF(AND('ENTRY DATA'!F241=""),"",('ENTRY DATA'!F241))</f>
        <v/>
      </c>
      <c r="E241" s="34" t="str">
        <f>IF(AND('ENTRY DATA'!B241=""),"",('ENTRY DATA'!B241))</f>
        <v/>
      </c>
      <c r="F241" s="12"/>
      <c r="G241" s="12"/>
      <c r="H241" s="73"/>
      <c r="I241" s="71"/>
      <c r="J241" s="73"/>
      <c r="K241" s="12"/>
      <c r="L241" s="20">
        <f t="shared" si="18"/>
        <v>0</v>
      </c>
      <c r="M241" s="19" t="str">
        <f t="shared" si="19"/>
        <v/>
      </c>
      <c r="N241" s="12"/>
      <c r="O241" s="119"/>
      <c r="P241" s="95" t="str">
        <f t="shared" si="20"/>
        <v/>
      </c>
      <c r="Q241" s="12"/>
      <c r="S241" s="128"/>
      <c r="T241" s="66"/>
      <c r="U241" s="128"/>
      <c r="W241" s="128"/>
      <c r="X241" s="12"/>
      <c r="Y241" t="str">
        <f t="shared" si="21"/>
        <v/>
      </c>
      <c r="Z241" t="str">
        <f t="shared" si="21"/>
        <v/>
      </c>
      <c r="AA241" s="12"/>
      <c r="AB241" s="95" t="e">
        <f t="shared" si="22"/>
        <v>#VALUE!</v>
      </c>
      <c r="AC241" s="95" t="e">
        <f t="shared" si="23"/>
        <v>#VALUE!</v>
      </c>
      <c r="AD241" s="12"/>
    </row>
    <row r="242" spans="1:30" ht="15.75" thickBot="1" x14ac:dyDescent="0.3">
      <c r="A242" s="12"/>
      <c r="B242" s="22"/>
      <c r="C242" t="str">
        <f>IF(AND('ENTRY DATA'!D242=""),"",('ENTRY DATA'!D242))</f>
        <v/>
      </c>
      <c r="D242" t="str">
        <f>IF(AND('ENTRY DATA'!F242=""),"",('ENTRY DATA'!F242))</f>
        <v/>
      </c>
      <c r="E242" s="34" t="str">
        <f>IF(AND('ENTRY DATA'!B242=""),"",('ENTRY DATA'!B242))</f>
        <v/>
      </c>
      <c r="F242" s="12"/>
      <c r="G242" s="12"/>
      <c r="H242" s="73"/>
      <c r="I242" s="71"/>
      <c r="J242" s="73"/>
      <c r="K242" s="12"/>
      <c r="L242" s="20">
        <f t="shared" si="18"/>
        <v>0</v>
      </c>
      <c r="M242" s="19" t="str">
        <f t="shared" si="19"/>
        <v/>
      </c>
      <c r="N242" s="12"/>
      <c r="O242" s="119"/>
      <c r="P242" s="95" t="str">
        <f t="shared" si="20"/>
        <v/>
      </c>
      <c r="Q242" s="12"/>
      <c r="S242" s="128"/>
      <c r="T242" s="66"/>
      <c r="U242" s="128"/>
      <c r="W242" s="128"/>
      <c r="X242" s="12"/>
      <c r="Y242" t="str">
        <f t="shared" si="21"/>
        <v/>
      </c>
      <c r="Z242" t="str">
        <f t="shared" si="21"/>
        <v/>
      </c>
      <c r="AA242" s="12"/>
      <c r="AB242" s="95" t="e">
        <f t="shared" si="22"/>
        <v>#VALUE!</v>
      </c>
      <c r="AC242" s="95" t="e">
        <f t="shared" si="23"/>
        <v>#VALUE!</v>
      </c>
      <c r="AD242" s="12"/>
    </row>
    <row r="243" spans="1:30" ht="15.75" thickBot="1" x14ac:dyDescent="0.3">
      <c r="A243" s="12"/>
      <c r="B243" s="22"/>
      <c r="C243" t="str">
        <f>IF(AND('ENTRY DATA'!D243=""),"",('ENTRY DATA'!D243))</f>
        <v/>
      </c>
      <c r="D243" t="str">
        <f>IF(AND('ENTRY DATA'!F243=""),"",('ENTRY DATA'!F243))</f>
        <v/>
      </c>
      <c r="E243" s="34" t="str">
        <f>IF(AND('ENTRY DATA'!B243=""),"",('ENTRY DATA'!B243))</f>
        <v/>
      </c>
      <c r="F243" s="12"/>
      <c r="G243" s="12"/>
      <c r="H243" s="73"/>
      <c r="I243" s="71"/>
      <c r="J243" s="73"/>
      <c r="K243" s="12"/>
      <c r="L243" s="20">
        <f t="shared" si="18"/>
        <v>0</v>
      </c>
      <c r="M243" s="19" t="str">
        <f t="shared" si="19"/>
        <v/>
      </c>
      <c r="N243" s="12"/>
      <c r="O243" s="119"/>
      <c r="P243" s="95" t="str">
        <f t="shared" si="20"/>
        <v/>
      </c>
      <c r="Q243" s="12"/>
      <c r="S243" s="128"/>
      <c r="T243" s="66"/>
      <c r="U243" s="128"/>
      <c r="W243" s="128"/>
      <c r="X243" s="12"/>
      <c r="Y243" t="str">
        <f t="shared" si="21"/>
        <v/>
      </c>
      <c r="Z243" t="str">
        <f t="shared" si="21"/>
        <v/>
      </c>
      <c r="AA243" s="12"/>
      <c r="AB243" s="95" t="e">
        <f t="shared" si="22"/>
        <v>#VALUE!</v>
      </c>
      <c r="AC243" s="95" t="e">
        <f t="shared" si="23"/>
        <v>#VALUE!</v>
      </c>
      <c r="AD243" s="12"/>
    </row>
    <row r="244" spans="1:30" ht="15.75" thickBot="1" x14ac:dyDescent="0.3">
      <c r="A244" s="12"/>
      <c r="B244" s="22"/>
      <c r="C244" t="str">
        <f>IF(AND('ENTRY DATA'!D244=""),"",('ENTRY DATA'!D244))</f>
        <v/>
      </c>
      <c r="D244" t="str">
        <f>IF(AND('ENTRY DATA'!F244=""),"",('ENTRY DATA'!F244))</f>
        <v/>
      </c>
      <c r="E244" s="34" t="str">
        <f>IF(AND('ENTRY DATA'!B244=""),"",('ENTRY DATA'!B244))</f>
        <v/>
      </c>
      <c r="F244" s="12"/>
      <c r="G244" s="12"/>
      <c r="H244" s="73"/>
      <c r="I244" s="71"/>
      <c r="J244" s="73"/>
      <c r="K244" s="12"/>
      <c r="L244" s="20">
        <f t="shared" si="18"/>
        <v>0</v>
      </c>
      <c r="M244" s="19" t="str">
        <f t="shared" si="19"/>
        <v/>
      </c>
      <c r="N244" s="12"/>
      <c r="O244" s="119"/>
      <c r="P244" s="95" t="str">
        <f t="shared" si="20"/>
        <v/>
      </c>
      <c r="Q244" s="12"/>
      <c r="S244" s="128"/>
      <c r="T244" s="66"/>
      <c r="U244" s="128"/>
      <c r="W244" s="128"/>
      <c r="X244" s="12"/>
      <c r="Y244" t="str">
        <f t="shared" si="21"/>
        <v/>
      </c>
      <c r="Z244" t="str">
        <f t="shared" si="21"/>
        <v/>
      </c>
      <c r="AA244" s="12"/>
      <c r="AB244" s="95" t="e">
        <f t="shared" si="22"/>
        <v>#VALUE!</v>
      </c>
      <c r="AC244" s="95" t="e">
        <f t="shared" si="23"/>
        <v>#VALUE!</v>
      </c>
      <c r="AD244" s="12"/>
    </row>
    <row r="245" spans="1:30" ht="15.75" thickBot="1" x14ac:dyDescent="0.3">
      <c r="A245" s="12"/>
      <c r="B245" s="22"/>
      <c r="C245" t="str">
        <f>IF(AND('ENTRY DATA'!D245=""),"",('ENTRY DATA'!D245))</f>
        <v/>
      </c>
      <c r="D245" t="str">
        <f>IF(AND('ENTRY DATA'!F245=""),"",('ENTRY DATA'!F245))</f>
        <v/>
      </c>
      <c r="E245" s="34" t="str">
        <f>IF(AND('ENTRY DATA'!B245=""),"",('ENTRY DATA'!B245))</f>
        <v/>
      </c>
      <c r="F245" s="12"/>
      <c r="G245" s="12"/>
      <c r="H245" s="73"/>
      <c r="I245" s="71"/>
      <c r="J245" s="73"/>
      <c r="K245" s="12"/>
      <c r="L245" s="20">
        <f t="shared" si="18"/>
        <v>0</v>
      </c>
      <c r="M245" s="19" t="str">
        <f t="shared" si="19"/>
        <v/>
      </c>
      <c r="N245" s="12"/>
      <c r="O245" s="119"/>
      <c r="P245" s="95" t="str">
        <f t="shared" si="20"/>
        <v/>
      </c>
      <c r="Q245" s="12"/>
      <c r="S245" s="128"/>
      <c r="T245" s="66"/>
      <c r="U245" s="128"/>
      <c r="W245" s="128"/>
      <c r="X245" s="12"/>
      <c r="Y245" t="str">
        <f t="shared" si="21"/>
        <v/>
      </c>
      <c r="Z245" t="str">
        <f t="shared" si="21"/>
        <v/>
      </c>
      <c r="AA245" s="12"/>
      <c r="AB245" s="95" t="e">
        <f t="shared" si="22"/>
        <v>#VALUE!</v>
      </c>
      <c r="AC245" s="95" t="e">
        <f t="shared" si="23"/>
        <v>#VALUE!</v>
      </c>
      <c r="AD245" s="12"/>
    </row>
    <row r="246" spans="1:30" ht="15.75" thickBot="1" x14ac:dyDescent="0.3">
      <c r="A246" s="12"/>
      <c r="B246" s="22"/>
      <c r="C246" t="str">
        <f>IF(AND('ENTRY DATA'!D246=""),"",('ENTRY DATA'!D246))</f>
        <v/>
      </c>
      <c r="D246" t="str">
        <f>IF(AND('ENTRY DATA'!F246=""),"",('ENTRY DATA'!F246))</f>
        <v/>
      </c>
      <c r="E246" s="34" t="str">
        <f>IF(AND('ENTRY DATA'!B246=""),"",('ENTRY DATA'!B246))</f>
        <v/>
      </c>
      <c r="F246" s="12"/>
      <c r="G246" s="12"/>
      <c r="H246" s="73"/>
      <c r="I246" s="71"/>
      <c r="J246" s="73"/>
      <c r="K246" s="12"/>
      <c r="L246" s="20">
        <f t="shared" si="18"/>
        <v>0</v>
      </c>
      <c r="M246" s="19" t="str">
        <f t="shared" si="19"/>
        <v/>
      </c>
      <c r="N246" s="12"/>
      <c r="O246" s="119"/>
      <c r="P246" s="95" t="str">
        <f t="shared" si="20"/>
        <v/>
      </c>
      <c r="Q246" s="12"/>
      <c r="S246" s="128"/>
      <c r="T246" s="66"/>
      <c r="U246" s="128"/>
      <c r="W246" s="128"/>
      <c r="X246" s="12"/>
      <c r="Y246" t="str">
        <f t="shared" si="21"/>
        <v/>
      </c>
      <c r="Z246" t="str">
        <f t="shared" si="21"/>
        <v/>
      </c>
      <c r="AA246" s="12"/>
      <c r="AB246" s="95" t="e">
        <f t="shared" si="22"/>
        <v>#VALUE!</v>
      </c>
      <c r="AC246" s="95" t="e">
        <f t="shared" si="23"/>
        <v>#VALUE!</v>
      </c>
      <c r="AD246" s="12"/>
    </row>
    <row r="247" spans="1:30" ht="15.75" thickBot="1" x14ac:dyDescent="0.3">
      <c r="A247" s="12"/>
      <c r="B247" s="22"/>
      <c r="C247" t="str">
        <f>IF(AND('ENTRY DATA'!D247=""),"",('ENTRY DATA'!D247))</f>
        <v/>
      </c>
      <c r="D247" t="str">
        <f>IF(AND('ENTRY DATA'!F247=""),"",('ENTRY DATA'!F247))</f>
        <v/>
      </c>
      <c r="E247" s="34" t="str">
        <f>IF(AND('ENTRY DATA'!B247=""),"",('ENTRY DATA'!B247))</f>
        <v/>
      </c>
      <c r="F247" s="12"/>
      <c r="G247" s="12"/>
      <c r="H247" s="73"/>
      <c r="I247" s="71"/>
      <c r="J247" s="73"/>
      <c r="K247" s="12"/>
      <c r="L247" s="20">
        <f t="shared" si="18"/>
        <v>0</v>
      </c>
      <c r="M247" s="19" t="str">
        <f t="shared" si="19"/>
        <v/>
      </c>
      <c r="N247" s="12"/>
      <c r="O247" s="119"/>
      <c r="P247" s="95" t="str">
        <f t="shared" si="20"/>
        <v/>
      </c>
      <c r="Q247" s="12"/>
      <c r="S247" s="128"/>
      <c r="T247" s="66"/>
      <c r="U247" s="128"/>
      <c r="W247" s="128"/>
      <c r="X247" s="12"/>
      <c r="Y247" t="str">
        <f t="shared" si="21"/>
        <v/>
      </c>
      <c r="Z247" t="str">
        <f t="shared" si="21"/>
        <v/>
      </c>
      <c r="AA247" s="12"/>
      <c r="AB247" s="95" t="e">
        <f t="shared" si="22"/>
        <v>#VALUE!</v>
      </c>
      <c r="AC247" s="95" t="e">
        <f t="shared" si="23"/>
        <v>#VALUE!</v>
      </c>
      <c r="AD247" s="12"/>
    </row>
    <row r="248" spans="1:30" ht="15.75" thickBot="1" x14ac:dyDescent="0.3">
      <c r="A248" s="12"/>
      <c r="B248" s="22"/>
      <c r="C248" t="str">
        <f>IF(AND('ENTRY DATA'!D248=""),"",('ENTRY DATA'!D248))</f>
        <v/>
      </c>
      <c r="D248" t="str">
        <f>IF(AND('ENTRY DATA'!F248=""),"",('ENTRY DATA'!F248))</f>
        <v/>
      </c>
      <c r="E248" s="34" t="str">
        <f>IF(AND('ENTRY DATA'!B248=""),"",('ENTRY DATA'!B248))</f>
        <v/>
      </c>
      <c r="F248" s="12"/>
      <c r="G248" s="12"/>
      <c r="H248" s="73"/>
      <c r="I248" s="71"/>
      <c r="J248" s="73"/>
      <c r="K248" s="12"/>
      <c r="L248" s="20">
        <f t="shared" si="18"/>
        <v>0</v>
      </c>
      <c r="M248" s="19" t="str">
        <f t="shared" si="19"/>
        <v/>
      </c>
      <c r="N248" s="12"/>
      <c r="O248" s="119"/>
      <c r="P248" s="95" t="str">
        <f t="shared" si="20"/>
        <v/>
      </c>
      <c r="Q248" s="12"/>
      <c r="S248" s="128"/>
      <c r="T248" s="66"/>
      <c r="U248" s="128"/>
      <c r="W248" s="128"/>
      <c r="X248" s="12"/>
      <c r="Y248" t="str">
        <f t="shared" si="21"/>
        <v/>
      </c>
      <c r="Z248" t="str">
        <f t="shared" si="21"/>
        <v/>
      </c>
      <c r="AA248" s="12"/>
      <c r="AB248" s="95" t="e">
        <f t="shared" si="22"/>
        <v>#VALUE!</v>
      </c>
      <c r="AC248" s="95" t="e">
        <f t="shared" si="23"/>
        <v>#VALUE!</v>
      </c>
      <c r="AD248" s="12"/>
    </row>
    <row r="249" spans="1:30" ht="15.75" thickBot="1" x14ac:dyDescent="0.3">
      <c r="A249" s="12"/>
      <c r="B249" s="22"/>
      <c r="C249" t="str">
        <f>IF(AND('ENTRY DATA'!D249=""),"",('ENTRY DATA'!D249))</f>
        <v/>
      </c>
      <c r="D249" t="str">
        <f>IF(AND('ENTRY DATA'!F249=""),"",('ENTRY DATA'!F249))</f>
        <v/>
      </c>
      <c r="E249" s="34" t="str">
        <f>IF(AND('ENTRY DATA'!B249=""),"",('ENTRY DATA'!B249))</f>
        <v/>
      </c>
      <c r="F249" s="12"/>
      <c r="G249" s="12"/>
      <c r="H249" s="73"/>
      <c r="I249" s="71"/>
      <c r="J249" s="73"/>
      <c r="K249" s="12"/>
      <c r="L249" s="20">
        <f t="shared" si="18"/>
        <v>0</v>
      </c>
      <c r="M249" s="19" t="str">
        <f t="shared" si="19"/>
        <v/>
      </c>
      <c r="N249" s="12"/>
      <c r="O249" s="119"/>
      <c r="P249" s="95" t="str">
        <f t="shared" si="20"/>
        <v/>
      </c>
      <c r="Q249" s="12"/>
      <c r="S249" s="128"/>
      <c r="T249" s="66"/>
      <c r="U249" s="128"/>
      <c r="W249" s="128"/>
      <c r="X249" s="12"/>
      <c r="Y249" t="str">
        <f t="shared" si="21"/>
        <v/>
      </c>
      <c r="Z249" t="str">
        <f t="shared" si="21"/>
        <v/>
      </c>
      <c r="AA249" s="12"/>
      <c r="AB249" s="95" t="e">
        <f t="shared" si="22"/>
        <v>#VALUE!</v>
      </c>
      <c r="AC249" s="95" t="e">
        <f t="shared" si="23"/>
        <v>#VALUE!</v>
      </c>
      <c r="AD249" s="12"/>
    </row>
    <row r="250" spans="1:30" ht="15.75" thickBot="1" x14ac:dyDescent="0.3">
      <c r="A250" s="12"/>
      <c r="B250" s="22"/>
      <c r="C250" t="str">
        <f>IF(AND('ENTRY DATA'!D250=""),"",('ENTRY DATA'!D250))</f>
        <v/>
      </c>
      <c r="D250" t="str">
        <f>IF(AND('ENTRY DATA'!F250=""),"",('ENTRY DATA'!F250))</f>
        <v/>
      </c>
      <c r="E250" s="34" t="str">
        <f>IF(AND('ENTRY DATA'!B250=""),"",('ENTRY DATA'!B250))</f>
        <v/>
      </c>
      <c r="F250" s="12"/>
      <c r="G250" s="12"/>
      <c r="H250" s="73"/>
      <c r="I250" s="71"/>
      <c r="J250" s="73"/>
      <c r="K250" s="12"/>
      <c r="L250" s="20">
        <f t="shared" si="18"/>
        <v>0</v>
      </c>
      <c r="M250" s="19" t="str">
        <f t="shared" si="19"/>
        <v/>
      </c>
      <c r="N250" s="12"/>
      <c r="O250" s="119"/>
      <c r="P250" s="95" t="str">
        <f t="shared" si="20"/>
        <v/>
      </c>
      <c r="Q250" s="12"/>
      <c r="S250" s="128"/>
      <c r="T250" s="66"/>
      <c r="U250" s="128"/>
      <c r="W250" s="128"/>
      <c r="X250" s="12"/>
      <c r="Y250" t="str">
        <f t="shared" si="21"/>
        <v/>
      </c>
      <c r="Z250" t="str">
        <f t="shared" si="21"/>
        <v/>
      </c>
      <c r="AA250" s="12"/>
      <c r="AB250" s="95" t="e">
        <f t="shared" si="22"/>
        <v>#VALUE!</v>
      </c>
      <c r="AC250" s="95" t="e">
        <f t="shared" si="23"/>
        <v>#VALUE!</v>
      </c>
      <c r="AD250" s="12"/>
    </row>
    <row r="251" spans="1:30" ht="15.75" thickBot="1" x14ac:dyDescent="0.3">
      <c r="A251" s="12"/>
      <c r="B251" s="22"/>
      <c r="C251" t="str">
        <f>IF(AND('ENTRY DATA'!D251=""),"",('ENTRY DATA'!D251))</f>
        <v/>
      </c>
      <c r="D251" t="str">
        <f>IF(AND('ENTRY DATA'!F251=""),"",('ENTRY DATA'!F251))</f>
        <v/>
      </c>
      <c r="E251" s="34" t="str">
        <f>IF(AND('ENTRY DATA'!B251=""),"",('ENTRY DATA'!B251))</f>
        <v/>
      </c>
      <c r="F251" s="12"/>
      <c r="G251" s="12"/>
      <c r="H251" s="73"/>
      <c r="I251" s="71"/>
      <c r="J251" s="73"/>
      <c r="K251" s="12"/>
      <c r="L251" s="20">
        <f t="shared" si="18"/>
        <v>0</v>
      </c>
      <c r="M251" s="19" t="str">
        <f t="shared" si="19"/>
        <v/>
      </c>
      <c r="N251" s="12"/>
      <c r="O251" s="119"/>
      <c r="P251" s="95" t="str">
        <f t="shared" si="20"/>
        <v/>
      </c>
      <c r="Q251" s="12"/>
      <c r="S251" s="128"/>
      <c r="T251" s="66"/>
      <c r="U251" s="128"/>
      <c r="W251" s="128"/>
      <c r="X251" s="12"/>
      <c r="Y251" t="str">
        <f t="shared" si="21"/>
        <v/>
      </c>
      <c r="Z251" t="str">
        <f t="shared" si="21"/>
        <v/>
      </c>
      <c r="AA251" s="12"/>
      <c r="AB251" s="95" t="e">
        <f t="shared" si="22"/>
        <v>#VALUE!</v>
      </c>
      <c r="AC251" s="95" t="e">
        <f t="shared" si="23"/>
        <v>#VALUE!</v>
      </c>
      <c r="AD251" s="12"/>
    </row>
    <row r="252" spans="1:30" ht="15.75" thickBot="1" x14ac:dyDescent="0.3">
      <c r="A252" s="12"/>
      <c r="B252" s="22"/>
      <c r="C252" t="str">
        <f>IF(AND('ENTRY DATA'!D252=""),"",('ENTRY DATA'!D252))</f>
        <v/>
      </c>
      <c r="D252" t="str">
        <f>IF(AND('ENTRY DATA'!F252=""),"",('ENTRY DATA'!F252))</f>
        <v/>
      </c>
      <c r="E252" s="34" t="str">
        <f>IF(AND('ENTRY DATA'!B252=""),"",('ENTRY DATA'!B252))</f>
        <v/>
      </c>
      <c r="F252" s="12"/>
      <c r="G252" s="12"/>
      <c r="H252" s="73"/>
      <c r="I252" s="71"/>
      <c r="J252" s="73"/>
      <c r="K252" s="12"/>
      <c r="L252" s="20">
        <f t="shared" si="18"/>
        <v>0</v>
      </c>
      <c r="M252" s="19" t="str">
        <f t="shared" si="19"/>
        <v/>
      </c>
      <c r="N252" s="12"/>
      <c r="O252" s="119"/>
      <c r="P252" s="95" t="str">
        <f t="shared" si="20"/>
        <v/>
      </c>
      <c r="Q252" s="12"/>
      <c r="S252" s="128"/>
      <c r="T252" s="66"/>
      <c r="U252" s="128"/>
      <c r="W252" s="128"/>
      <c r="X252" s="12"/>
      <c r="Y252" t="str">
        <f t="shared" si="21"/>
        <v/>
      </c>
      <c r="Z252" t="str">
        <f t="shared" si="21"/>
        <v/>
      </c>
      <c r="AA252" s="12"/>
      <c r="AB252" s="95" t="e">
        <f t="shared" si="22"/>
        <v>#VALUE!</v>
      </c>
      <c r="AC252" s="95" t="e">
        <f t="shared" si="23"/>
        <v>#VALUE!</v>
      </c>
      <c r="AD252" s="12"/>
    </row>
    <row r="253" spans="1:30" ht="15.75" thickBot="1" x14ac:dyDescent="0.3">
      <c r="A253" s="12"/>
      <c r="B253" s="22"/>
      <c r="C253" t="str">
        <f>IF(AND('ENTRY DATA'!D253=""),"",('ENTRY DATA'!D253))</f>
        <v/>
      </c>
      <c r="D253" t="str">
        <f>IF(AND('ENTRY DATA'!F253=""),"",('ENTRY DATA'!F253))</f>
        <v/>
      </c>
      <c r="E253" s="34" t="str">
        <f>IF(AND('ENTRY DATA'!B253=""),"",('ENTRY DATA'!B253))</f>
        <v/>
      </c>
      <c r="F253" s="12"/>
      <c r="G253" s="12"/>
      <c r="H253" s="73"/>
      <c r="I253" s="71"/>
      <c r="J253" s="73"/>
      <c r="K253" s="12"/>
      <c r="L253" s="20">
        <f t="shared" si="18"/>
        <v>0</v>
      </c>
      <c r="M253" s="19" t="str">
        <f t="shared" si="19"/>
        <v/>
      </c>
      <c r="N253" s="12"/>
      <c r="O253" s="119"/>
      <c r="P253" s="95" t="str">
        <f t="shared" si="20"/>
        <v/>
      </c>
      <c r="Q253" s="12"/>
      <c r="S253" s="128"/>
      <c r="T253" s="66"/>
      <c r="U253" s="128"/>
      <c r="W253" s="128"/>
      <c r="X253" s="12"/>
      <c r="Y253" t="str">
        <f t="shared" si="21"/>
        <v/>
      </c>
      <c r="Z253" t="str">
        <f t="shared" si="21"/>
        <v/>
      </c>
      <c r="AA253" s="12"/>
      <c r="AB253" s="95" t="e">
        <f t="shared" si="22"/>
        <v>#VALUE!</v>
      </c>
      <c r="AC253" s="95" t="e">
        <f t="shared" si="23"/>
        <v>#VALUE!</v>
      </c>
      <c r="AD253" s="12"/>
    </row>
    <row r="254" spans="1:30" ht="15.75" thickBot="1" x14ac:dyDescent="0.3">
      <c r="A254" s="12"/>
      <c r="B254" s="22"/>
      <c r="C254" t="str">
        <f>IF(AND('ENTRY DATA'!D254=""),"",('ENTRY DATA'!D254))</f>
        <v/>
      </c>
      <c r="D254" t="str">
        <f>IF(AND('ENTRY DATA'!F254=""),"",('ENTRY DATA'!F254))</f>
        <v/>
      </c>
      <c r="E254" s="34" t="str">
        <f>IF(AND('ENTRY DATA'!B254=""),"",('ENTRY DATA'!B254))</f>
        <v/>
      </c>
      <c r="F254" s="12"/>
      <c r="G254" s="12"/>
      <c r="H254" s="73"/>
      <c r="I254" s="71"/>
      <c r="J254" s="73"/>
      <c r="K254" s="12"/>
      <c r="L254" s="20">
        <f t="shared" si="18"/>
        <v>0</v>
      </c>
      <c r="M254" s="19" t="str">
        <f t="shared" si="19"/>
        <v/>
      </c>
      <c r="N254" s="12"/>
      <c r="O254" s="119"/>
      <c r="P254" s="95" t="str">
        <f t="shared" si="20"/>
        <v/>
      </c>
      <c r="Q254" s="12"/>
      <c r="S254" s="128"/>
      <c r="T254" s="66"/>
      <c r="U254" s="128"/>
      <c r="W254" s="128"/>
      <c r="X254" s="12"/>
      <c r="Y254" t="str">
        <f t="shared" si="21"/>
        <v/>
      </c>
      <c r="Z254" t="str">
        <f t="shared" si="21"/>
        <v/>
      </c>
      <c r="AA254" s="12"/>
      <c r="AB254" s="95" t="e">
        <f t="shared" si="22"/>
        <v>#VALUE!</v>
      </c>
      <c r="AC254" s="95" t="e">
        <f t="shared" si="23"/>
        <v>#VALUE!</v>
      </c>
      <c r="AD254" s="12"/>
    </row>
    <row r="255" spans="1:30" ht="15.75" thickBot="1" x14ac:dyDescent="0.3">
      <c r="A255" s="12"/>
      <c r="B255" s="22"/>
      <c r="C255" t="str">
        <f>IF(AND('ENTRY DATA'!D255=""),"",('ENTRY DATA'!D255))</f>
        <v/>
      </c>
      <c r="D255" t="str">
        <f>IF(AND('ENTRY DATA'!F255=""),"",('ENTRY DATA'!F255))</f>
        <v/>
      </c>
      <c r="E255" s="34" t="str">
        <f>IF(AND('ENTRY DATA'!B255=""),"",('ENTRY DATA'!B255))</f>
        <v/>
      </c>
      <c r="F255" s="12"/>
      <c r="G255" s="12"/>
      <c r="H255" s="73"/>
      <c r="I255" s="71"/>
      <c r="J255" s="73"/>
      <c r="K255" s="12"/>
      <c r="L255" s="20">
        <f t="shared" si="18"/>
        <v>0</v>
      </c>
      <c r="M255" s="19" t="str">
        <f t="shared" si="19"/>
        <v/>
      </c>
      <c r="N255" s="12"/>
      <c r="O255" s="119"/>
      <c r="P255" s="95" t="str">
        <f t="shared" si="20"/>
        <v/>
      </c>
      <c r="Q255" s="12"/>
      <c r="S255" s="128"/>
      <c r="T255" s="66"/>
      <c r="U255" s="128"/>
      <c r="W255" s="128"/>
      <c r="X255" s="12"/>
      <c r="Y255" t="str">
        <f t="shared" si="21"/>
        <v/>
      </c>
      <c r="Z255" t="str">
        <f t="shared" si="21"/>
        <v/>
      </c>
      <c r="AA255" s="12"/>
      <c r="AB255" s="95" t="e">
        <f t="shared" si="22"/>
        <v>#VALUE!</v>
      </c>
      <c r="AC255" s="95" t="e">
        <f t="shared" si="23"/>
        <v>#VALUE!</v>
      </c>
      <c r="AD255" s="12"/>
    </row>
    <row r="256" spans="1:30" ht="15.75" thickBot="1" x14ac:dyDescent="0.3">
      <c r="A256" s="12"/>
      <c r="B256" s="22"/>
      <c r="C256" t="str">
        <f>IF(AND('ENTRY DATA'!D256=""),"",('ENTRY DATA'!D256))</f>
        <v/>
      </c>
      <c r="D256" t="str">
        <f>IF(AND('ENTRY DATA'!F256=""),"",('ENTRY DATA'!F256))</f>
        <v/>
      </c>
      <c r="E256" s="34" t="str">
        <f>IF(AND('ENTRY DATA'!B256=""),"",('ENTRY DATA'!B256))</f>
        <v/>
      </c>
      <c r="F256" s="12"/>
      <c r="G256" s="12"/>
      <c r="H256" s="73"/>
      <c r="I256" s="71"/>
      <c r="J256" s="73"/>
      <c r="K256" s="12"/>
      <c r="L256" s="20">
        <f t="shared" si="18"/>
        <v>0</v>
      </c>
      <c r="M256" s="19" t="str">
        <f t="shared" si="19"/>
        <v/>
      </c>
      <c r="N256" s="12"/>
      <c r="O256" s="119"/>
      <c r="P256" s="95" t="str">
        <f t="shared" si="20"/>
        <v/>
      </c>
      <c r="Q256" s="12"/>
      <c r="S256" s="128"/>
      <c r="T256" s="66"/>
      <c r="U256" s="128"/>
      <c r="W256" s="128"/>
      <c r="X256" s="12"/>
      <c r="Y256" t="str">
        <f t="shared" si="21"/>
        <v/>
      </c>
      <c r="Z256" t="str">
        <f t="shared" si="21"/>
        <v/>
      </c>
      <c r="AA256" s="12"/>
      <c r="AB256" s="95" t="e">
        <f t="shared" si="22"/>
        <v>#VALUE!</v>
      </c>
      <c r="AC256" s="95" t="e">
        <f t="shared" si="23"/>
        <v>#VALUE!</v>
      </c>
      <c r="AD256" s="12"/>
    </row>
    <row r="257" spans="1:30" ht="15.75" thickBot="1" x14ac:dyDescent="0.3">
      <c r="A257" s="12"/>
      <c r="B257" s="22"/>
      <c r="C257" t="str">
        <f>IF(AND('ENTRY DATA'!D257=""),"",('ENTRY DATA'!D257))</f>
        <v/>
      </c>
      <c r="D257" t="str">
        <f>IF(AND('ENTRY DATA'!F257=""),"",('ENTRY DATA'!F257))</f>
        <v/>
      </c>
      <c r="E257" s="34" t="str">
        <f>IF(AND('ENTRY DATA'!B257=""),"",('ENTRY DATA'!B257))</f>
        <v/>
      </c>
      <c r="F257" s="12"/>
      <c r="G257" s="12"/>
      <c r="H257" s="73"/>
      <c r="I257" s="71"/>
      <c r="J257" s="73"/>
      <c r="K257" s="12"/>
      <c r="L257" s="20">
        <f t="shared" si="18"/>
        <v>0</v>
      </c>
      <c r="M257" s="19" t="str">
        <f t="shared" si="19"/>
        <v/>
      </c>
      <c r="N257" s="12"/>
      <c r="O257" s="119"/>
      <c r="P257" s="95" t="str">
        <f t="shared" si="20"/>
        <v/>
      </c>
      <c r="Q257" s="12"/>
      <c r="S257" s="128"/>
      <c r="T257" s="66"/>
      <c r="U257" s="128"/>
      <c r="W257" s="128"/>
      <c r="X257" s="12"/>
      <c r="Y257" t="str">
        <f t="shared" si="21"/>
        <v/>
      </c>
      <c r="Z257" t="str">
        <f t="shared" si="21"/>
        <v/>
      </c>
      <c r="AA257" s="12"/>
      <c r="AB257" s="95" t="e">
        <f t="shared" si="22"/>
        <v>#VALUE!</v>
      </c>
      <c r="AC257" s="95" t="e">
        <f t="shared" si="23"/>
        <v>#VALUE!</v>
      </c>
      <c r="AD257" s="12"/>
    </row>
    <row r="258" spans="1:30" ht="15.75" thickBot="1" x14ac:dyDescent="0.3">
      <c r="A258" s="12"/>
      <c r="B258" s="22"/>
      <c r="C258" t="str">
        <f>IF(AND('ENTRY DATA'!D258=""),"",('ENTRY DATA'!D258))</f>
        <v/>
      </c>
      <c r="D258" t="str">
        <f>IF(AND('ENTRY DATA'!F258=""),"",('ENTRY DATA'!F258))</f>
        <v/>
      </c>
      <c r="E258" s="34" t="str">
        <f>IF(AND('ENTRY DATA'!B258=""),"",('ENTRY DATA'!B258))</f>
        <v/>
      </c>
      <c r="F258" s="12"/>
      <c r="G258" s="12"/>
      <c r="H258" s="73"/>
      <c r="I258" s="71"/>
      <c r="J258" s="73"/>
      <c r="K258" s="12"/>
      <c r="L258" s="20">
        <f t="shared" si="18"/>
        <v>0</v>
      </c>
      <c r="M258" s="19" t="str">
        <f t="shared" si="19"/>
        <v/>
      </c>
      <c r="N258" s="12"/>
      <c r="O258" s="119"/>
      <c r="P258" s="95" t="str">
        <f t="shared" si="20"/>
        <v/>
      </c>
      <c r="Q258" s="12"/>
      <c r="S258" s="128"/>
      <c r="T258" s="66"/>
      <c r="U258" s="128"/>
      <c r="W258" s="128"/>
      <c r="X258" s="12"/>
      <c r="Y258" t="str">
        <f t="shared" si="21"/>
        <v/>
      </c>
      <c r="Z258" t="str">
        <f t="shared" si="21"/>
        <v/>
      </c>
      <c r="AA258" s="12"/>
      <c r="AB258" s="95" t="e">
        <f t="shared" si="22"/>
        <v>#VALUE!</v>
      </c>
      <c r="AC258" s="95" t="e">
        <f t="shared" si="23"/>
        <v>#VALUE!</v>
      </c>
      <c r="AD258" s="12"/>
    </row>
    <row r="259" spans="1:30" ht="15.75" thickBot="1" x14ac:dyDescent="0.3">
      <c r="A259" s="12"/>
      <c r="B259" s="22"/>
      <c r="C259" t="str">
        <f>IF(AND('ENTRY DATA'!D259=""),"",('ENTRY DATA'!D259))</f>
        <v/>
      </c>
      <c r="D259" t="str">
        <f>IF(AND('ENTRY DATA'!F259=""),"",('ENTRY DATA'!F259))</f>
        <v/>
      </c>
      <c r="E259" s="34" t="str">
        <f>IF(AND('ENTRY DATA'!B259=""),"",('ENTRY DATA'!B259))</f>
        <v/>
      </c>
      <c r="F259" s="12"/>
      <c r="G259" s="12"/>
      <c r="H259" s="73"/>
      <c r="I259" s="71"/>
      <c r="J259" s="73"/>
      <c r="K259" s="12"/>
      <c r="L259" s="20">
        <f t="shared" si="18"/>
        <v>0</v>
      </c>
      <c r="M259" s="19" t="str">
        <f t="shared" si="19"/>
        <v/>
      </c>
      <c r="N259" s="12"/>
      <c r="O259" s="119"/>
      <c r="P259" s="95" t="str">
        <f t="shared" si="20"/>
        <v/>
      </c>
      <c r="Q259" s="12"/>
      <c r="S259" s="128"/>
      <c r="T259" s="66"/>
      <c r="U259" s="128"/>
      <c r="W259" s="128"/>
      <c r="X259" s="12"/>
      <c r="Y259" t="str">
        <f t="shared" si="21"/>
        <v/>
      </c>
      <c r="Z259" t="str">
        <f t="shared" si="21"/>
        <v/>
      </c>
      <c r="AA259" s="12"/>
      <c r="AB259" s="95" t="e">
        <f t="shared" si="22"/>
        <v>#VALUE!</v>
      </c>
      <c r="AC259" s="95" t="e">
        <f t="shared" si="23"/>
        <v>#VALUE!</v>
      </c>
      <c r="AD259" s="12"/>
    </row>
    <row r="260" spans="1:30" ht="15.75" thickBot="1" x14ac:dyDescent="0.3">
      <c r="A260" s="12"/>
      <c r="B260" s="22"/>
      <c r="C260" t="str">
        <f>IF(AND('ENTRY DATA'!D260=""),"",('ENTRY DATA'!D260))</f>
        <v/>
      </c>
      <c r="D260" t="str">
        <f>IF(AND('ENTRY DATA'!F260=""),"",('ENTRY DATA'!F260))</f>
        <v/>
      </c>
      <c r="E260" s="34" t="str">
        <f>IF(AND('ENTRY DATA'!B260=""),"",('ENTRY DATA'!B260))</f>
        <v/>
      </c>
      <c r="F260" s="12"/>
      <c r="G260" s="12"/>
      <c r="H260" s="73"/>
      <c r="I260" s="71"/>
      <c r="J260" s="73"/>
      <c r="K260" s="12"/>
      <c r="L260" s="20">
        <f t="shared" si="18"/>
        <v>0</v>
      </c>
      <c r="M260" s="19" t="str">
        <f t="shared" si="19"/>
        <v/>
      </c>
      <c r="N260" s="12"/>
      <c r="O260" s="119"/>
      <c r="P260" s="95" t="str">
        <f t="shared" si="20"/>
        <v/>
      </c>
      <c r="Q260" s="12"/>
      <c r="S260" s="128"/>
      <c r="T260" s="66"/>
      <c r="U260" s="128"/>
      <c r="W260" s="128"/>
      <c r="X260" s="12"/>
      <c r="Y260" t="str">
        <f t="shared" si="21"/>
        <v/>
      </c>
      <c r="Z260" t="str">
        <f t="shared" si="21"/>
        <v/>
      </c>
      <c r="AA260" s="12"/>
      <c r="AB260" s="95" t="e">
        <f t="shared" si="22"/>
        <v>#VALUE!</v>
      </c>
      <c r="AC260" s="95" t="e">
        <f t="shared" si="23"/>
        <v>#VALUE!</v>
      </c>
      <c r="AD260" s="12"/>
    </row>
    <row r="261" spans="1:30" ht="15.75" thickBot="1" x14ac:dyDescent="0.3">
      <c r="A261" s="12"/>
      <c r="B261" s="22"/>
      <c r="C261" t="str">
        <f>IF(AND('ENTRY DATA'!D261=""),"",('ENTRY DATA'!D261))</f>
        <v/>
      </c>
      <c r="D261" t="str">
        <f>IF(AND('ENTRY DATA'!F261=""),"",('ENTRY DATA'!F261))</f>
        <v/>
      </c>
      <c r="E261" s="34" t="str">
        <f>IF(AND('ENTRY DATA'!B261=""),"",('ENTRY DATA'!B261))</f>
        <v/>
      </c>
      <c r="F261" s="12"/>
      <c r="G261" s="12"/>
      <c r="H261" s="73"/>
      <c r="I261" s="71"/>
      <c r="J261" s="73"/>
      <c r="K261" s="12"/>
      <c r="L261" s="20">
        <f t="shared" si="18"/>
        <v>0</v>
      </c>
      <c r="M261" s="19" t="str">
        <f t="shared" si="19"/>
        <v/>
      </c>
      <c r="N261" s="12"/>
      <c r="O261" s="119"/>
      <c r="P261" s="95" t="str">
        <f t="shared" si="20"/>
        <v/>
      </c>
      <c r="Q261" s="12"/>
      <c r="S261" s="128"/>
      <c r="T261" s="66"/>
      <c r="U261" s="128"/>
      <c r="W261" s="128"/>
      <c r="X261" s="12"/>
      <c r="Y261" t="str">
        <f t="shared" si="21"/>
        <v/>
      </c>
      <c r="Z261" t="str">
        <f t="shared" si="21"/>
        <v/>
      </c>
      <c r="AA261" s="12"/>
      <c r="AB261" s="95" t="e">
        <f t="shared" si="22"/>
        <v>#VALUE!</v>
      </c>
      <c r="AC261" s="95" t="e">
        <f t="shared" si="23"/>
        <v>#VALUE!</v>
      </c>
      <c r="AD261" s="12"/>
    </row>
    <row r="262" spans="1:30" ht="15.75" thickBot="1" x14ac:dyDescent="0.3">
      <c r="A262" s="12"/>
      <c r="B262" s="22"/>
      <c r="C262" t="str">
        <f>IF(AND('ENTRY DATA'!D262=""),"",('ENTRY DATA'!D262))</f>
        <v/>
      </c>
      <c r="D262" t="str">
        <f>IF(AND('ENTRY DATA'!F262=""),"",('ENTRY DATA'!F262))</f>
        <v/>
      </c>
      <c r="E262" s="34" t="str">
        <f>IF(AND('ENTRY DATA'!B262=""),"",('ENTRY DATA'!B262))</f>
        <v/>
      </c>
      <c r="F262" s="12"/>
      <c r="G262" s="12"/>
      <c r="H262" s="73"/>
      <c r="I262" s="71"/>
      <c r="J262" s="73"/>
      <c r="K262" s="12"/>
      <c r="L262" s="20">
        <f t="shared" ref="L262:L300" si="24">COUNT(H262:J262)</f>
        <v>0</v>
      </c>
      <c r="M262" s="19" t="str">
        <f t="shared" ref="M262:M300" si="25">IF(AND(H262="",I262="",J262=""),"",(H262+I262+J262))</f>
        <v/>
      </c>
      <c r="N262" s="12"/>
      <c r="O262" s="119"/>
      <c r="P262" s="95" t="str">
        <f t="shared" ref="P262:P301" si="26">C262</f>
        <v/>
      </c>
      <c r="Q262" s="12"/>
      <c r="S262" s="128"/>
      <c r="T262" s="66"/>
      <c r="U262" s="128"/>
      <c r="W262" s="128"/>
      <c r="X262" s="12"/>
      <c r="Y262" t="str">
        <f t="shared" ref="Y262:Z302" si="27">IF(AND(R262="",T262="",V262=""),"",SUM(R262,T262,V262))</f>
        <v/>
      </c>
      <c r="Z262" t="str">
        <f t="shared" si="27"/>
        <v/>
      </c>
      <c r="AA262" s="12"/>
      <c r="AB262" s="95" t="e">
        <f t="shared" ref="AB262:AB301" si="28">Y262/L262</f>
        <v>#VALUE!</v>
      </c>
      <c r="AC262" s="95" t="e">
        <f t="shared" ref="AC262:AC301" si="29">Z262/L262</f>
        <v>#VALUE!</v>
      </c>
      <c r="AD262" s="12"/>
    </row>
    <row r="263" spans="1:30" ht="15.75" thickBot="1" x14ac:dyDescent="0.3">
      <c r="A263" s="12"/>
      <c r="B263" s="22"/>
      <c r="C263" t="str">
        <f>IF(AND('ENTRY DATA'!D263=""),"",('ENTRY DATA'!D263))</f>
        <v/>
      </c>
      <c r="D263" t="str">
        <f>IF(AND('ENTRY DATA'!F263=""),"",('ENTRY DATA'!F263))</f>
        <v/>
      </c>
      <c r="E263" s="34" t="str">
        <f>IF(AND('ENTRY DATA'!B263=""),"",('ENTRY DATA'!B263))</f>
        <v/>
      </c>
      <c r="F263" s="12"/>
      <c r="G263" s="12"/>
      <c r="H263" s="73"/>
      <c r="I263" s="71"/>
      <c r="J263" s="73"/>
      <c r="K263" s="12"/>
      <c r="L263" s="20">
        <f t="shared" si="24"/>
        <v>0</v>
      </c>
      <c r="M263" s="19" t="str">
        <f t="shared" si="25"/>
        <v/>
      </c>
      <c r="N263" s="12"/>
      <c r="O263" s="119"/>
      <c r="P263" s="95" t="str">
        <f t="shared" si="26"/>
        <v/>
      </c>
      <c r="Q263" s="12"/>
      <c r="S263" s="128"/>
      <c r="T263" s="66"/>
      <c r="U263" s="128"/>
      <c r="W263" s="128"/>
      <c r="X263" s="12"/>
      <c r="Y263" t="str">
        <f t="shared" si="27"/>
        <v/>
      </c>
      <c r="Z263" t="str">
        <f t="shared" si="27"/>
        <v/>
      </c>
      <c r="AA263" s="12"/>
      <c r="AB263" s="95" t="e">
        <f t="shared" si="28"/>
        <v>#VALUE!</v>
      </c>
      <c r="AC263" s="95" t="e">
        <f t="shared" si="29"/>
        <v>#VALUE!</v>
      </c>
      <c r="AD263" s="12"/>
    </row>
    <row r="264" spans="1:30" ht="15.75" thickBot="1" x14ac:dyDescent="0.3">
      <c r="A264" s="12"/>
      <c r="B264" s="22"/>
      <c r="C264" t="str">
        <f>IF(AND('ENTRY DATA'!D264=""),"",('ENTRY DATA'!D264))</f>
        <v/>
      </c>
      <c r="D264" t="str">
        <f>IF(AND('ENTRY DATA'!F264=""),"",('ENTRY DATA'!F264))</f>
        <v/>
      </c>
      <c r="E264" s="34" t="str">
        <f>IF(AND('ENTRY DATA'!B264=""),"",('ENTRY DATA'!B264))</f>
        <v/>
      </c>
      <c r="F264" s="12"/>
      <c r="G264" s="12"/>
      <c r="H264" s="73"/>
      <c r="I264" s="71"/>
      <c r="J264" s="73"/>
      <c r="K264" s="12"/>
      <c r="L264" s="20">
        <f t="shared" si="24"/>
        <v>0</v>
      </c>
      <c r="M264" s="19" t="str">
        <f t="shared" si="25"/>
        <v/>
      </c>
      <c r="N264" s="12"/>
      <c r="O264" s="119"/>
      <c r="P264" s="95" t="str">
        <f t="shared" si="26"/>
        <v/>
      </c>
      <c r="Q264" s="12"/>
      <c r="S264" s="128"/>
      <c r="T264" s="66"/>
      <c r="U264" s="128"/>
      <c r="W264" s="128"/>
      <c r="X264" s="12"/>
      <c r="Y264" t="str">
        <f t="shared" si="27"/>
        <v/>
      </c>
      <c r="Z264" t="str">
        <f t="shared" si="27"/>
        <v/>
      </c>
      <c r="AA264" s="12"/>
      <c r="AB264" s="95" t="e">
        <f t="shared" si="28"/>
        <v>#VALUE!</v>
      </c>
      <c r="AC264" s="95" t="e">
        <f t="shared" si="29"/>
        <v>#VALUE!</v>
      </c>
      <c r="AD264" s="12"/>
    </row>
    <row r="265" spans="1:30" ht="15.75" thickBot="1" x14ac:dyDescent="0.3">
      <c r="A265" s="12"/>
      <c r="B265" s="22"/>
      <c r="C265" t="str">
        <f>IF(AND('ENTRY DATA'!D265=""),"",('ENTRY DATA'!D265))</f>
        <v/>
      </c>
      <c r="D265" t="str">
        <f>IF(AND('ENTRY DATA'!F265=""),"",('ENTRY DATA'!F265))</f>
        <v/>
      </c>
      <c r="E265" s="34" t="str">
        <f>IF(AND('ENTRY DATA'!B265=""),"",('ENTRY DATA'!B265))</f>
        <v/>
      </c>
      <c r="F265" s="12"/>
      <c r="G265" s="12"/>
      <c r="H265" s="73"/>
      <c r="I265" s="71"/>
      <c r="J265" s="73"/>
      <c r="K265" s="12"/>
      <c r="L265" s="20">
        <f t="shared" si="24"/>
        <v>0</v>
      </c>
      <c r="M265" s="19" t="str">
        <f t="shared" si="25"/>
        <v/>
      </c>
      <c r="N265" s="12"/>
      <c r="O265" s="119"/>
      <c r="P265" s="95" t="str">
        <f t="shared" si="26"/>
        <v/>
      </c>
      <c r="Q265" s="12"/>
      <c r="S265" s="128"/>
      <c r="T265" s="66"/>
      <c r="U265" s="128"/>
      <c r="W265" s="128"/>
      <c r="X265" s="12"/>
      <c r="Y265" t="str">
        <f t="shared" si="27"/>
        <v/>
      </c>
      <c r="Z265" t="str">
        <f t="shared" si="27"/>
        <v/>
      </c>
      <c r="AA265" s="12"/>
      <c r="AB265" s="95" t="e">
        <f t="shared" si="28"/>
        <v>#VALUE!</v>
      </c>
      <c r="AC265" s="95" t="e">
        <f t="shared" si="29"/>
        <v>#VALUE!</v>
      </c>
      <c r="AD265" s="12"/>
    </row>
    <row r="266" spans="1:30" ht="15.75" thickBot="1" x14ac:dyDescent="0.3">
      <c r="A266" s="12"/>
      <c r="B266" s="22"/>
      <c r="C266" t="str">
        <f>IF(AND('ENTRY DATA'!D266=""),"",('ENTRY DATA'!D266))</f>
        <v/>
      </c>
      <c r="D266" t="str">
        <f>IF(AND('ENTRY DATA'!F266=""),"",('ENTRY DATA'!F266))</f>
        <v/>
      </c>
      <c r="E266" s="34" t="str">
        <f>IF(AND('ENTRY DATA'!B266=""),"",('ENTRY DATA'!B266))</f>
        <v/>
      </c>
      <c r="F266" s="12"/>
      <c r="G266" s="12"/>
      <c r="H266" s="73"/>
      <c r="I266" s="71"/>
      <c r="J266" s="73"/>
      <c r="K266" s="12"/>
      <c r="L266" s="20">
        <f t="shared" si="24"/>
        <v>0</v>
      </c>
      <c r="M266" s="19" t="str">
        <f t="shared" si="25"/>
        <v/>
      </c>
      <c r="N266" s="12"/>
      <c r="O266" s="119"/>
      <c r="P266" s="95" t="str">
        <f t="shared" si="26"/>
        <v/>
      </c>
      <c r="Q266" s="12"/>
      <c r="S266" s="128"/>
      <c r="T266" s="66"/>
      <c r="U266" s="128"/>
      <c r="W266" s="128"/>
      <c r="X266" s="12"/>
      <c r="Y266" t="str">
        <f t="shared" si="27"/>
        <v/>
      </c>
      <c r="Z266" t="str">
        <f t="shared" si="27"/>
        <v/>
      </c>
      <c r="AA266" s="12"/>
      <c r="AB266" s="95" t="e">
        <f t="shared" si="28"/>
        <v>#VALUE!</v>
      </c>
      <c r="AC266" s="95" t="e">
        <f t="shared" si="29"/>
        <v>#VALUE!</v>
      </c>
      <c r="AD266" s="12"/>
    </row>
    <row r="267" spans="1:30" ht="15.75" thickBot="1" x14ac:dyDescent="0.3">
      <c r="A267" s="12"/>
      <c r="B267" s="22"/>
      <c r="C267" t="str">
        <f>IF(AND('ENTRY DATA'!D267=""),"",('ENTRY DATA'!D267))</f>
        <v/>
      </c>
      <c r="D267" t="str">
        <f>IF(AND('ENTRY DATA'!F267=""),"",('ENTRY DATA'!F267))</f>
        <v/>
      </c>
      <c r="E267" s="34" t="str">
        <f>IF(AND('ENTRY DATA'!B267=""),"",('ENTRY DATA'!B267))</f>
        <v/>
      </c>
      <c r="F267" s="12"/>
      <c r="G267" s="12"/>
      <c r="H267" s="73"/>
      <c r="I267" s="71"/>
      <c r="J267" s="73"/>
      <c r="K267" s="12"/>
      <c r="L267" s="20">
        <f t="shared" si="24"/>
        <v>0</v>
      </c>
      <c r="M267" s="19" t="str">
        <f t="shared" si="25"/>
        <v/>
      </c>
      <c r="N267" s="12"/>
      <c r="O267" s="119"/>
      <c r="P267" s="95" t="str">
        <f t="shared" si="26"/>
        <v/>
      </c>
      <c r="Q267" s="12"/>
      <c r="S267" s="128"/>
      <c r="T267" s="66"/>
      <c r="U267" s="128"/>
      <c r="W267" s="128"/>
      <c r="X267" s="12"/>
      <c r="Y267" t="str">
        <f t="shared" si="27"/>
        <v/>
      </c>
      <c r="Z267" t="str">
        <f t="shared" si="27"/>
        <v/>
      </c>
      <c r="AA267" s="12"/>
      <c r="AB267" s="95" t="e">
        <f t="shared" si="28"/>
        <v>#VALUE!</v>
      </c>
      <c r="AC267" s="95" t="e">
        <f t="shared" si="29"/>
        <v>#VALUE!</v>
      </c>
      <c r="AD267" s="12"/>
    </row>
    <row r="268" spans="1:30" ht="15.75" thickBot="1" x14ac:dyDescent="0.3">
      <c r="A268" s="12"/>
      <c r="B268" s="22"/>
      <c r="C268" t="str">
        <f>IF(AND('ENTRY DATA'!D268=""),"",('ENTRY DATA'!D268))</f>
        <v/>
      </c>
      <c r="D268" t="str">
        <f>IF(AND('ENTRY DATA'!F268=""),"",('ENTRY DATA'!F268))</f>
        <v/>
      </c>
      <c r="E268" s="34" t="str">
        <f>IF(AND('ENTRY DATA'!B268=""),"",('ENTRY DATA'!B268))</f>
        <v/>
      </c>
      <c r="F268" s="12"/>
      <c r="G268" s="12"/>
      <c r="H268" s="73"/>
      <c r="I268" s="71"/>
      <c r="J268" s="73"/>
      <c r="K268" s="12"/>
      <c r="L268" s="20">
        <f t="shared" si="24"/>
        <v>0</v>
      </c>
      <c r="M268" s="19" t="str">
        <f t="shared" si="25"/>
        <v/>
      </c>
      <c r="N268" s="12"/>
      <c r="O268" s="119"/>
      <c r="P268" s="95" t="str">
        <f t="shared" si="26"/>
        <v/>
      </c>
      <c r="Q268" s="12"/>
      <c r="S268" s="128"/>
      <c r="T268" s="66"/>
      <c r="U268" s="128"/>
      <c r="W268" s="128"/>
      <c r="X268" s="12"/>
      <c r="Y268" t="str">
        <f t="shared" si="27"/>
        <v/>
      </c>
      <c r="Z268" t="str">
        <f t="shared" si="27"/>
        <v/>
      </c>
      <c r="AA268" s="12"/>
      <c r="AB268" s="95" t="e">
        <f t="shared" si="28"/>
        <v>#VALUE!</v>
      </c>
      <c r="AC268" s="95" t="e">
        <f t="shared" si="29"/>
        <v>#VALUE!</v>
      </c>
      <c r="AD268" s="12"/>
    </row>
    <row r="269" spans="1:30" ht="15.75" thickBot="1" x14ac:dyDescent="0.3">
      <c r="A269" s="12"/>
      <c r="B269" s="22"/>
      <c r="C269" t="str">
        <f>IF(AND('ENTRY DATA'!D269=""),"",('ENTRY DATA'!D269))</f>
        <v/>
      </c>
      <c r="D269" t="str">
        <f>IF(AND('ENTRY DATA'!F269=""),"",('ENTRY DATA'!F269))</f>
        <v/>
      </c>
      <c r="E269" s="34" t="str">
        <f>IF(AND('ENTRY DATA'!B269=""),"",('ENTRY DATA'!B269))</f>
        <v/>
      </c>
      <c r="F269" s="12"/>
      <c r="G269" s="12"/>
      <c r="H269" s="73"/>
      <c r="I269" s="71"/>
      <c r="J269" s="73"/>
      <c r="K269" s="12"/>
      <c r="L269" s="20">
        <f t="shared" si="24"/>
        <v>0</v>
      </c>
      <c r="M269" s="19" t="str">
        <f t="shared" si="25"/>
        <v/>
      </c>
      <c r="N269" s="12"/>
      <c r="O269" s="119"/>
      <c r="P269" s="95" t="str">
        <f t="shared" si="26"/>
        <v/>
      </c>
      <c r="Q269" s="12"/>
      <c r="S269" s="128"/>
      <c r="T269" s="66"/>
      <c r="U269" s="128"/>
      <c r="W269" s="128"/>
      <c r="X269" s="12"/>
      <c r="Y269" t="str">
        <f t="shared" si="27"/>
        <v/>
      </c>
      <c r="Z269" t="str">
        <f t="shared" si="27"/>
        <v/>
      </c>
      <c r="AA269" s="12"/>
      <c r="AB269" s="95" t="e">
        <f t="shared" si="28"/>
        <v>#VALUE!</v>
      </c>
      <c r="AC269" s="95" t="e">
        <f t="shared" si="29"/>
        <v>#VALUE!</v>
      </c>
      <c r="AD269" s="12"/>
    </row>
    <row r="270" spans="1:30" ht="15.75" thickBot="1" x14ac:dyDescent="0.3">
      <c r="A270" s="12"/>
      <c r="B270" s="22"/>
      <c r="C270" t="str">
        <f>IF(AND('ENTRY DATA'!D270=""),"",('ENTRY DATA'!D270))</f>
        <v/>
      </c>
      <c r="D270" t="str">
        <f>IF(AND('ENTRY DATA'!F270=""),"",('ENTRY DATA'!F270))</f>
        <v/>
      </c>
      <c r="E270" s="34" t="str">
        <f>IF(AND('ENTRY DATA'!B270=""),"",('ENTRY DATA'!B270))</f>
        <v/>
      </c>
      <c r="F270" s="12"/>
      <c r="G270" s="12"/>
      <c r="H270" s="73"/>
      <c r="I270" s="71"/>
      <c r="J270" s="73"/>
      <c r="K270" s="12"/>
      <c r="L270" s="20">
        <f t="shared" si="24"/>
        <v>0</v>
      </c>
      <c r="M270" s="19" t="str">
        <f t="shared" si="25"/>
        <v/>
      </c>
      <c r="N270" s="12"/>
      <c r="O270" s="119"/>
      <c r="P270" s="95" t="str">
        <f t="shared" si="26"/>
        <v/>
      </c>
      <c r="Q270" s="12"/>
      <c r="S270" s="128"/>
      <c r="T270" s="66"/>
      <c r="U270" s="128"/>
      <c r="W270" s="128"/>
      <c r="X270" s="12"/>
      <c r="Y270" t="str">
        <f t="shared" si="27"/>
        <v/>
      </c>
      <c r="Z270" t="str">
        <f t="shared" si="27"/>
        <v/>
      </c>
      <c r="AA270" s="12"/>
      <c r="AB270" s="95" t="e">
        <f t="shared" si="28"/>
        <v>#VALUE!</v>
      </c>
      <c r="AC270" s="95" t="e">
        <f t="shared" si="29"/>
        <v>#VALUE!</v>
      </c>
      <c r="AD270" s="12"/>
    </row>
    <row r="271" spans="1:30" ht="15.75" thickBot="1" x14ac:dyDescent="0.3">
      <c r="A271" s="12"/>
      <c r="B271" s="22"/>
      <c r="C271" t="str">
        <f>IF(AND('ENTRY DATA'!D271=""),"",('ENTRY DATA'!D271))</f>
        <v/>
      </c>
      <c r="D271" t="str">
        <f>IF(AND('ENTRY DATA'!F271=""),"",('ENTRY DATA'!F271))</f>
        <v/>
      </c>
      <c r="E271" s="34" t="str">
        <f>IF(AND('ENTRY DATA'!B271=""),"",('ENTRY DATA'!B271))</f>
        <v/>
      </c>
      <c r="F271" s="12"/>
      <c r="G271" s="12"/>
      <c r="H271" s="73"/>
      <c r="I271" s="71"/>
      <c r="J271" s="73"/>
      <c r="K271" s="12"/>
      <c r="L271" s="20">
        <f t="shared" si="24"/>
        <v>0</v>
      </c>
      <c r="M271" s="19" t="str">
        <f t="shared" si="25"/>
        <v/>
      </c>
      <c r="N271" s="12"/>
      <c r="O271" s="119"/>
      <c r="P271" s="95" t="str">
        <f t="shared" si="26"/>
        <v/>
      </c>
      <c r="Q271" s="12"/>
      <c r="S271" s="128"/>
      <c r="T271" s="66"/>
      <c r="U271" s="128"/>
      <c r="W271" s="128"/>
      <c r="X271" s="12"/>
      <c r="Y271" t="str">
        <f t="shared" si="27"/>
        <v/>
      </c>
      <c r="Z271" t="str">
        <f t="shared" si="27"/>
        <v/>
      </c>
      <c r="AA271" s="12"/>
      <c r="AB271" s="95" t="e">
        <f t="shared" si="28"/>
        <v>#VALUE!</v>
      </c>
      <c r="AC271" s="95" t="e">
        <f t="shared" si="29"/>
        <v>#VALUE!</v>
      </c>
      <c r="AD271" s="12"/>
    </row>
    <row r="272" spans="1:30" ht="15.75" thickBot="1" x14ac:dyDescent="0.3">
      <c r="A272" s="12"/>
      <c r="B272" s="22"/>
      <c r="C272" t="str">
        <f>IF(AND('ENTRY DATA'!D272=""),"",('ENTRY DATA'!D272))</f>
        <v/>
      </c>
      <c r="D272" t="str">
        <f>IF(AND('ENTRY DATA'!F272=""),"",('ENTRY DATA'!F272))</f>
        <v/>
      </c>
      <c r="E272" s="34" t="str">
        <f>IF(AND('ENTRY DATA'!B272=""),"",('ENTRY DATA'!B272))</f>
        <v/>
      </c>
      <c r="F272" s="12"/>
      <c r="G272" s="12"/>
      <c r="H272" s="73"/>
      <c r="I272" s="71"/>
      <c r="J272" s="73"/>
      <c r="K272" s="12"/>
      <c r="L272" s="20">
        <f t="shared" si="24"/>
        <v>0</v>
      </c>
      <c r="M272" s="19" t="str">
        <f t="shared" si="25"/>
        <v/>
      </c>
      <c r="N272" s="12"/>
      <c r="O272" s="119"/>
      <c r="P272" s="95" t="str">
        <f t="shared" si="26"/>
        <v/>
      </c>
      <c r="Q272" s="12"/>
      <c r="S272" s="128"/>
      <c r="T272" s="66"/>
      <c r="U272" s="128"/>
      <c r="W272" s="128"/>
      <c r="X272" s="12"/>
      <c r="Y272" t="str">
        <f t="shared" si="27"/>
        <v/>
      </c>
      <c r="Z272" t="str">
        <f t="shared" si="27"/>
        <v/>
      </c>
      <c r="AA272" s="12"/>
      <c r="AB272" s="95" t="e">
        <f t="shared" si="28"/>
        <v>#VALUE!</v>
      </c>
      <c r="AC272" s="95" t="e">
        <f t="shared" si="29"/>
        <v>#VALUE!</v>
      </c>
      <c r="AD272" s="12"/>
    </row>
    <row r="273" spans="1:30" ht="15.75" thickBot="1" x14ac:dyDescent="0.3">
      <c r="A273" s="12"/>
      <c r="B273" s="22"/>
      <c r="C273" t="str">
        <f>IF(AND('ENTRY DATA'!D273=""),"",('ENTRY DATA'!D273))</f>
        <v/>
      </c>
      <c r="D273" t="str">
        <f>IF(AND('ENTRY DATA'!F273=""),"",('ENTRY DATA'!F273))</f>
        <v/>
      </c>
      <c r="E273" s="34" t="str">
        <f>IF(AND('ENTRY DATA'!B273=""),"",('ENTRY DATA'!B273))</f>
        <v/>
      </c>
      <c r="F273" s="12"/>
      <c r="G273" s="12"/>
      <c r="H273" s="73"/>
      <c r="I273" s="71"/>
      <c r="J273" s="73"/>
      <c r="K273" s="12"/>
      <c r="L273" s="20">
        <f t="shared" si="24"/>
        <v>0</v>
      </c>
      <c r="M273" s="19" t="str">
        <f t="shared" si="25"/>
        <v/>
      </c>
      <c r="N273" s="12"/>
      <c r="O273" s="119"/>
      <c r="P273" s="95" t="str">
        <f t="shared" si="26"/>
        <v/>
      </c>
      <c r="Q273" s="12"/>
      <c r="S273" s="128"/>
      <c r="T273" s="66"/>
      <c r="U273" s="128"/>
      <c r="W273" s="128"/>
      <c r="X273" s="12"/>
      <c r="Y273" t="str">
        <f t="shared" si="27"/>
        <v/>
      </c>
      <c r="Z273" t="str">
        <f t="shared" si="27"/>
        <v/>
      </c>
      <c r="AA273" s="12"/>
      <c r="AB273" s="95" t="e">
        <f t="shared" si="28"/>
        <v>#VALUE!</v>
      </c>
      <c r="AC273" s="95" t="e">
        <f t="shared" si="29"/>
        <v>#VALUE!</v>
      </c>
      <c r="AD273" s="12"/>
    </row>
    <row r="274" spans="1:30" ht="15.75" thickBot="1" x14ac:dyDescent="0.3">
      <c r="A274" s="12"/>
      <c r="B274" s="22"/>
      <c r="C274" t="str">
        <f>IF(AND('ENTRY DATA'!D274=""),"",('ENTRY DATA'!D274))</f>
        <v/>
      </c>
      <c r="D274" t="str">
        <f>IF(AND('ENTRY DATA'!F274=""),"",('ENTRY DATA'!F274))</f>
        <v/>
      </c>
      <c r="E274" s="34" t="str">
        <f>IF(AND('ENTRY DATA'!B274=""),"",('ENTRY DATA'!B274))</f>
        <v/>
      </c>
      <c r="F274" s="12"/>
      <c r="G274" s="12"/>
      <c r="H274" s="73"/>
      <c r="I274" s="71"/>
      <c r="J274" s="73"/>
      <c r="K274" s="12"/>
      <c r="L274" s="20">
        <f t="shared" si="24"/>
        <v>0</v>
      </c>
      <c r="M274" s="19" t="str">
        <f t="shared" si="25"/>
        <v/>
      </c>
      <c r="N274" s="12"/>
      <c r="O274" s="119"/>
      <c r="P274" s="95" t="str">
        <f t="shared" si="26"/>
        <v/>
      </c>
      <c r="Q274" s="12"/>
      <c r="S274" s="128"/>
      <c r="T274" s="66"/>
      <c r="U274" s="128"/>
      <c r="W274" s="128"/>
      <c r="X274" s="12"/>
      <c r="Y274" t="str">
        <f t="shared" si="27"/>
        <v/>
      </c>
      <c r="Z274" t="str">
        <f t="shared" si="27"/>
        <v/>
      </c>
      <c r="AA274" s="12"/>
      <c r="AB274" s="95" t="e">
        <f t="shared" si="28"/>
        <v>#VALUE!</v>
      </c>
      <c r="AC274" s="95" t="e">
        <f t="shared" si="29"/>
        <v>#VALUE!</v>
      </c>
      <c r="AD274" s="12"/>
    </row>
    <row r="275" spans="1:30" ht="15.75" thickBot="1" x14ac:dyDescent="0.3">
      <c r="A275" s="12"/>
      <c r="B275" s="22"/>
      <c r="C275" t="str">
        <f>IF(AND('ENTRY DATA'!D275=""),"",('ENTRY DATA'!D275))</f>
        <v/>
      </c>
      <c r="D275" t="str">
        <f>IF(AND('ENTRY DATA'!F275=""),"",('ENTRY DATA'!F275))</f>
        <v/>
      </c>
      <c r="E275" s="34" t="str">
        <f>IF(AND('ENTRY DATA'!B275=""),"",('ENTRY DATA'!B275))</f>
        <v/>
      </c>
      <c r="F275" s="12"/>
      <c r="G275" s="12"/>
      <c r="H275" s="73"/>
      <c r="I275" s="71"/>
      <c r="J275" s="73"/>
      <c r="K275" s="12"/>
      <c r="L275" s="20">
        <f t="shared" si="24"/>
        <v>0</v>
      </c>
      <c r="M275" s="19" t="str">
        <f t="shared" si="25"/>
        <v/>
      </c>
      <c r="N275" s="12"/>
      <c r="O275" s="119"/>
      <c r="P275" s="95" t="str">
        <f t="shared" si="26"/>
        <v/>
      </c>
      <c r="Q275" s="12"/>
      <c r="S275" s="128"/>
      <c r="T275" s="66"/>
      <c r="U275" s="128"/>
      <c r="W275" s="128"/>
      <c r="X275" s="12"/>
      <c r="Y275" t="str">
        <f t="shared" si="27"/>
        <v/>
      </c>
      <c r="Z275" t="str">
        <f t="shared" si="27"/>
        <v/>
      </c>
      <c r="AA275" s="12"/>
      <c r="AB275" s="95" t="e">
        <f t="shared" si="28"/>
        <v>#VALUE!</v>
      </c>
      <c r="AC275" s="95" t="e">
        <f t="shared" si="29"/>
        <v>#VALUE!</v>
      </c>
      <c r="AD275" s="12"/>
    </row>
    <row r="276" spans="1:30" ht="15.75" thickBot="1" x14ac:dyDescent="0.3">
      <c r="A276" s="12"/>
      <c r="B276" s="22"/>
      <c r="C276" t="str">
        <f>IF(AND('ENTRY DATA'!D276=""),"",('ENTRY DATA'!D276))</f>
        <v/>
      </c>
      <c r="D276" t="str">
        <f>IF(AND('ENTRY DATA'!F276=""),"",('ENTRY DATA'!F276))</f>
        <v/>
      </c>
      <c r="E276" s="34" t="str">
        <f>IF(AND('ENTRY DATA'!B276=""),"",('ENTRY DATA'!B276))</f>
        <v/>
      </c>
      <c r="F276" s="12"/>
      <c r="G276" s="12"/>
      <c r="H276" s="73"/>
      <c r="I276" s="71"/>
      <c r="J276" s="73"/>
      <c r="K276" s="12"/>
      <c r="L276" s="20">
        <f t="shared" si="24"/>
        <v>0</v>
      </c>
      <c r="M276" s="19" t="str">
        <f t="shared" si="25"/>
        <v/>
      </c>
      <c r="N276" s="12"/>
      <c r="O276" s="119"/>
      <c r="P276" s="95" t="str">
        <f t="shared" si="26"/>
        <v/>
      </c>
      <c r="Q276" s="12"/>
      <c r="S276" s="128"/>
      <c r="T276" s="66"/>
      <c r="U276" s="128"/>
      <c r="W276" s="128"/>
      <c r="X276" s="12"/>
      <c r="Y276" t="str">
        <f t="shared" si="27"/>
        <v/>
      </c>
      <c r="Z276" t="str">
        <f t="shared" si="27"/>
        <v/>
      </c>
      <c r="AA276" s="12"/>
      <c r="AB276" s="95" t="e">
        <f t="shared" si="28"/>
        <v>#VALUE!</v>
      </c>
      <c r="AC276" s="95" t="e">
        <f t="shared" si="29"/>
        <v>#VALUE!</v>
      </c>
      <c r="AD276" s="12"/>
    </row>
    <row r="277" spans="1:30" ht="15.75" thickBot="1" x14ac:dyDescent="0.3">
      <c r="A277" s="12"/>
      <c r="B277" s="22"/>
      <c r="C277" t="str">
        <f>IF(AND('ENTRY DATA'!D277=""),"",('ENTRY DATA'!D277))</f>
        <v/>
      </c>
      <c r="D277" t="str">
        <f>IF(AND('ENTRY DATA'!F277=""),"",('ENTRY DATA'!F277))</f>
        <v/>
      </c>
      <c r="E277" s="34" t="str">
        <f>IF(AND('ENTRY DATA'!B277=""),"",('ENTRY DATA'!B277))</f>
        <v/>
      </c>
      <c r="F277" s="12"/>
      <c r="G277" s="12"/>
      <c r="H277" s="73"/>
      <c r="I277" s="71"/>
      <c r="J277" s="73"/>
      <c r="K277" s="12"/>
      <c r="L277" s="20">
        <f t="shared" si="24"/>
        <v>0</v>
      </c>
      <c r="M277" s="19" t="str">
        <f t="shared" si="25"/>
        <v/>
      </c>
      <c r="N277" s="12"/>
      <c r="O277" s="119"/>
      <c r="P277" s="95" t="str">
        <f t="shared" si="26"/>
        <v/>
      </c>
      <c r="Q277" s="12"/>
      <c r="S277" s="128"/>
      <c r="T277" s="66"/>
      <c r="U277" s="128"/>
      <c r="W277" s="128"/>
      <c r="X277" s="12"/>
      <c r="Y277" t="str">
        <f t="shared" si="27"/>
        <v/>
      </c>
      <c r="Z277" t="str">
        <f t="shared" si="27"/>
        <v/>
      </c>
      <c r="AA277" s="12"/>
      <c r="AB277" s="95" t="e">
        <f t="shared" si="28"/>
        <v>#VALUE!</v>
      </c>
      <c r="AC277" s="95" t="e">
        <f t="shared" si="29"/>
        <v>#VALUE!</v>
      </c>
      <c r="AD277" s="12"/>
    </row>
    <row r="278" spans="1:30" ht="15.75" thickBot="1" x14ac:dyDescent="0.3">
      <c r="A278" s="12"/>
      <c r="B278" s="22"/>
      <c r="C278" t="str">
        <f>IF(AND('ENTRY DATA'!D278=""),"",('ENTRY DATA'!D278))</f>
        <v/>
      </c>
      <c r="D278" t="str">
        <f>IF(AND('ENTRY DATA'!F278=""),"",('ENTRY DATA'!F278))</f>
        <v/>
      </c>
      <c r="E278" s="34" t="str">
        <f>IF(AND('ENTRY DATA'!B278=""),"",('ENTRY DATA'!B278))</f>
        <v/>
      </c>
      <c r="F278" s="12"/>
      <c r="G278" s="12"/>
      <c r="H278" s="73"/>
      <c r="I278" s="71"/>
      <c r="J278" s="73"/>
      <c r="K278" s="12"/>
      <c r="L278" s="20">
        <f t="shared" si="24"/>
        <v>0</v>
      </c>
      <c r="M278" s="19" t="str">
        <f t="shared" si="25"/>
        <v/>
      </c>
      <c r="N278" s="12"/>
      <c r="O278" s="119"/>
      <c r="P278" s="95" t="str">
        <f t="shared" si="26"/>
        <v/>
      </c>
      <c r="Q278" s="12"/>
      <c r="S278" s="128"/>
      <c r="T278" s="66"/>
      <c r="U278" s="128"/>
      <c r="W278" s="128"/>
      <c r="X278" s="12"/>
      <c r="Y278" t="str">
        <f t="shared" si="27"/>
        <v/>
      </c>
      <c r="Z278" t="str">
        <f t="shared" si="27"/>
        <v/>
      </c>
      <c r="AA278" s="12"/>
      <c r="AB278" s="95" t="e">
        <f t="shared" si="28"/>
        <v>#VALUE!</v>
      </c>
      <c r="AC278" s="95" t="e">
        <f t="shared" si="29"/>
        <v>#VALUE!</v>
      </c>
      <c r="AD278" s="12"/>
    </row>
    <row r="279" spans="1:30" ht="15.75" thickBot="1" x14ac:dyDescent="0.3">
      <c r="A279" s="12"/>
      <c r="B279" s="22"/>
      <c r="C279" t="str">
        <f>IF(AND('ENTRY DATA'!D279=""),"",('ENTRY DATA'!D279))</f>
        <v/>
      </c>
      <c r="D279" t="str">
        <f>IF(AND('ENTRY DATA'!F279=""),"",('ENTRY DATA'!F279))</f>
        <v/>
      </c>
      <c r="E279" s="34" t="str">
        <f>IF(AND('ENTRY DATA'!B279=""),"",('ENTRY DATA'!B279))</f>
        <v/>
      </c>
      <c r="F279" s="12"/>
      <c r="G279" s="12"/>
      <c r="H279" s="73"/>
      <c r="I279" s="71"/>
      <c r="J279" s="73"/>
      <c r="K279" s="12"/>
      <c r="L279" s="20">
        <f t="shared" si="24"/>
        <v>0</v>
      </c>
      <c r="M279" s="19" t="str">
        <f t="shared" si="25"/>
        <v/>
      </c>
      <c r="N279" s="12"/>
      <c r="O279" s="119"/>
      <c r="P279" s="95" t="str">
        <f t="shared" si="26"/>
        <v/>
      </c>
      <c r="Q279" s="12"/>
      <c r="S279" s="128"/>
      <c r="T279" s="66"/>
      <c r="U279" s="128"/>
      <c r="W279" s="128"/>
      <c r="X279" s="12"/>
      <c r="Y279" t="str">
        <f t="shared" si="27"/>
        <v/>
      </c>
      <c r="Z279" t="str">
        <f t="shared" si="27"/>
        <v/>
      </c>
      <c r="AA279" s="12"/>
      <c r="AB279" s="95" t="e">
        <f t="shared" si="28"/>
        <v>#VALUE!</v>
      </c>
      <c r="AC279" s="95" t="e">
        <f t="shared" si="29"/>
        <v>#VALUE!</v>
      </c>
      <c r="AD279" s="12"/>
    </row>
    <row r="280" spans="1:30" ht="15.75" thickBot="1" x14ac:dyDescent="0.3">
      <c r="A280" s="12"/>
      <c r="B280" s="22"/>
      <c r="C280" t="str">
        <f>IF(AND('ENTRY DATA'!D280=""),"",('ENTRY DATA'!D280))</f>
        <v/>
      </c>
      <c r="D280" t="str">
        <f>IF(AND('ENTRY DATA'!F280=""),"",('ENTRY DATA'!F280))</f>
        <v/>
      </c>
      <c r="E280" s="34" t="str">
        <f>IF(AND('ENTRY DATA'!B280=""),"",('ENTRY DATA'!B280))</f>
        <v/>
      </c>
      <c r="F280" s="12"/>
      <c r="G280" s="12"/>
      <c r="H280" s="73"/>
      <c r="I280" s="71"/>
      <c r="J280" s="73"/>
      <c r="K280" s="12"/>
      <c r="L280" s="20">
        <f t="shared" si="24"/>
        <v>0</v>
      </c>
      <c r="M280" s="19" t="str">
        <f t="shared" si="25"/>
        <v/>
      </c>
      <c r="N280" s="12"/>
      <c r="O280" s="119"/>
      <c r="P280" s="95" t="str">
        <f t="shared" si="26"/>
        <v/>
      </c>
      <c r="Q280" s="12"/>
      <c r="S280" s="128"/>
      <c r="T280" s="66"/>
      <c r="U280" s="128"/>
      <c r="W280" s="128"/>
      <c r="X280" s="12"/>
      <c r="Y280" t="str">
        <f t="shared" si="27"/>
        <v/>
      </c>
      <c r="Z280" t="str">
        <f t="shared" si="27"/>
        <v/>
      </c>
      <c r="AA280" s="12"/>
      <c r="AB280" s="95" t="e">
        <f t="shared" si="28"/>
        <v>#VALUE!</v>
      </c>
      <c r="AC280" s="95" t="e">
        <f t="shared" si="29"/>
        <v>#VALUE!</v>
      </c>
      <c r="AD280" s="12"/>
    </row>
    <row r="281" spans="1:30" ht="15.75" thickBot="1" x14ac:dyDescent="0.3">
      <c r="A281" s="12"/>
      <c r="B281" s="22"/>
      <c r="C281" t="str">
        <f>IF(AND('ENTRY DATA'!D281=""),"",('ENTRY DATA'!D281))</f>
        <v/>
      </c>
      <c r="D281" t="str">
        <f>IF(AND('ENTRY DATA'!F281=""),"",('ENTRY DATA'!F281))</f>
        <v/>
      </c>
      <c r="E281" s="34" t="str">
        <f>IF(AND('ENTRY DATA'!B281=""),"",('ENTRY DATA'!B281))</f>
        <v/>
      </c>
      <c r="F281" s="12"/>
      <c r="G281" s="12"/>
      <c r="H281" s="73"/>
      <c r="I281" s="71"/>
      <c r="J281" s="73"/>
      <c r="K281" s="12"/>
      <c r="L281" s="20">
        <f t="shared" si="24"/>
        <v>0</v>
      </c>
      <c r="M281" s="19" t="str">
        <f t="shared" si="25"/>
        <v/>
      </c>
      <c r="N281" s="12"/>
      <c r="O281" s="119"/>
      <c r="P281" s="95" t="str">
        <f t="shared" si="26"/>
        <v/>
      </c>
      <c r="Q281" s="12"/>
      <c r="S281" s="128"/>
      <c r="T281" s="66"/>
      <c r="U281" s="128"/>
      <c r="W281" s="128"/>
      <c r="X281" s="12"/>
      <c r="Y281" t="str">
        <f t="shared" si="27"/>
        <v/>
      </c>
      <c r="Z281" t="str">
        <f t="shared" si="27"/>
        <v/>
      </c>
      <c r="AA281" s="12"/>
      <c r="AB281" s="95" t="e">
        <f t="shared" si="28"/>
        <v>#VALUE!</v>
      </c>
      <c r="AC281" s="95" t="e">
        <f t="shared" si="29"/>
        <v>#VALUE!</v>
      </c>
      <c r="AD281" s="12"/>
    </row>
    <row r="282" spans="1:30" ht="15.75" thickBot="1" x14ac:dyDescent="0.3">
      <c r="A282" s="12"/>
      <c r="B282" s="22"/>
      <c r="C282" t="str">
        <f>IF(AND('ENTRY DATA'!D282=""),"",('ENTRY DATA'!D282))</f>
        <v/>
      </c>
      <c r="D282" t="str">
        <f>IF(AND('ENTRY DATA'!F282=""),"",('ENTRY DATA'!F282))</f>
        <v/>
      </c>
      <c r="E282" s="34" t="str">
        <f>IF(AND('ENTRY DATA'!B282=""),"",('ENTRY DATA'!B282))</f>
        <v/>
      </c>
      <c r="F282" s="12"/>
      <c r="G282" s="12"/>
      <c r="H282" s="73"/>
      <c r="I282" s="71"/>
      <c r="J282" s="73"/>
      <c r="K282" s="12"/>
      <c r="L282" s="20">
        <f t="shared" si="24"/>
        <v>0</v>
      </c>
      <c r="M282" s="19" t="str">
        <f t="shared" si="25"/>
        <v/>
      </c>
      <c r="N282" s="12"/>
      <c r="O282" s="119"/>
      <c r="P282" s="95" t="str">
        <f t="shared" si="26"/>
        <v/>
      </c>
      <c r="Q282" s="12"/>
      <c r="S282" s="128"/>
      <c r="T282" s="66"/>
      <c r="U282" s="128"/>
      <c r="W282" s="128"/>
      <c r="X282" s="12"/>
      <c r="Y282" t="str">
        <f t="shared" si="27"/>
        <v/>
      </c>
      <c r="Z282" t="str">
        <f t="shared" si="27"/>
        <v/>
      </c>
      <c r="AA282" s="12"/>
      <c r="AB282" s="95" t="e">
        <f t="shared" si="28"/>
        <v>#VALUE!</v>
      </c>
      <c r="AC282" s="95" t="e">
        <f t="shared" si="29"/>
        <v>#VALUE!</v>
      </c>
      <c r="AD282" s="12"/>
    </row>
    <row r="283" spans="1:30" ht="15.75" thickBot="1" x14ac:dyDescent="0.3">
      <c r="A283" s="12"/>
      <c r="B283" s="22"/>
      <c r="C283" t="str">
        <f>IF(AND('ENTRY DATA'!D283=""),"",('ENTRY DATA'!D283))</f>
        <v/>
      </c>
      <c r="D283" t="str">
        <f>IF(AND('ENTRY DATA'!F283=""),"",('ENTRY DATA'!F283))</f>
        <v/>
      </c>
      <c r="E283" s="34" t="str">
        <f>IF(AND('ENTRY DATA'!B283=""),"",('ENTRY DATA'!B283))</f>
        <v/>
      </c>
      <c r="F283" s="12"/>
      <c r="G283" s="12"/>
      <c r="H283" s="73"/>
      <c r="I283" s="71"/>
      <c r="J283" s="73"/>
      <c r="K283" s="12"/>
      <c r="L283" s="20">
        <f t="shared" si="24"/>
        <v>0</v>
      </c>
      <c r="M283" s="19" t="str">
        <f t="shared" si="25"/>
        <v/>
      </c>
      <c r="N283" s="12"/>
      <c r="O283" s="119"/>
      <c r="P283" s="95" t="str">
        <f t="shared" si="26"/>
        <v/>
      </c>
      <c r="Q283" s="12"/>
      <c r="S283" s="128"/>
      <c r="T283" s="66"/>
      <c r="U283" s="128"/>
      <c r="W283" s="128"/>
      <c r="X283" s="12"/>
      <c r="Y283" t="str">
        <f t="shared" si="27"/>
        <v/>
      </c>
      <c r="Z283" t="str">
        <f t="shared" si="27"/>
        <v/>
      </c>
      <c r="AA283" s="12"/>
      <c r="AB283" s="95" t="e">
        <f t="shared" si="28"/>
        <v>#VALUE!</v>
      </c>
      <c r="AC283" s="95" t="e">
        <f t="shared" si="29"/>
        <v>#VALUE!</v>
      </c>
      <c r="AD283" s="12"/>
    </row>
    <row r="284" spans="1:30" ht="15.75" thickBot="1" x14ac:dyDescent="0.3">
      <c r="A284" s="12"/>
      <c r="B284" s="22"/>
      <c r="C284" t="str">
        <f>IF(AND('ENTRY DATA'!D284=""),"",('ENTRY DATA'!D284))</f>
        <v/>
      </c>
      <c r="D284" t="str">
        <f>IF(AND('ENTRY DATA'!F284=""),"",('ENTRY DATA'!F284))</f>
        <v/>
      </c>
      <c r="E284" s="34" t="str">
        <f>IF(AND('ENTRY DATA'!B284=""),"",('ENTRY DATA'!B284))</f>
        <v/>
      </c>
      <c r="F284" s="12"/>
      <c r="G284" s="12"/>
      <c r="H284" s="73"/>
      <c r="I284" s="71"/>
      <c r="J284" s="73"/>
      <c r="K284" s="12"/>
      <c r="L284" s="20">
        <f t="shared" si="24"/>
        <v>0</v>
      </c>
      <c r="M284" s="19" t="str">
        <f t="shared" si="25"/>
        <v/>
      </c>
      <c r="N284" s="12"/>
      <c r="O284" s="119"/>
      <c r="P284" s="95" t="str">
        <f t="shared" si="26"/>
        <v/>
      </c>
      <c r="Q284" s="12"/>
      <c r="S284" s="128"/>
      <c r="T284" s="66"/>
      <c r="U284" s="128"/>
      <c r="W284" s="128"/>
      <c r="X284" s="12"/>
      <c r="Y284" t="str">
        <f t="shared" si="27"/>
        <v/>
      </c>
      <c r="Z284" t="str">
        <f t="shared" si="27"/>
        <v/>
      </c>
      <c r="AA284" s="12"/>
      <c r="AB284" s="95" t="e">
        <f t="shared" si="28"/>
        <v>#VALUE!</v>
      </c>
      <c r="AC284" s="95" t="e">
        <f t="shared" si="29"/>
        <v>#VALUE!</v>
      </c>
      <c r="AD284" s="12"/>
    </row>
    <row r="285" spans="1:30" ht="15.75" thickBot="1" x14ac:dyDescent="0.3">
      <c r="A285" s="12"/>
      <c r="B285" s="22"/>
      <c r="C285" t="str">
        <f>IF(AND('ENTRY DATA'!D285=""),"",('ENTRY DATA'!D285))</f>
        <v/>
      </c>
      <c r="D285" t="str">
        <f>IF(AND('ENTRY DATA'!F285=""),"",('ENTRY DATA'!F285))</f>
        <v/>
      </c>
      <c r="E285" s="34" t="str">
        <f>IF(AND('ENTRY DATA'!B285=""),"",('ENTRY DATA'!B285))</f>
        <v/>
      </c>
      <c r="F285" s="12"/>
      <c r="G285" s="12"/>
      <c r="H285" s="73"/>
      <c r="I285" s="71"/>
      <c r="J285" s="73"/>
      <c r="K285" s="12"/>
      <c r="L285" s="20">
        <f t="shared" si="24"/>
        <v>0</v>
      </c>
      <c r="M285" s="19" t="str">
        <f t="shared" si="25"/>
        <v/>
      </c>
      <c r="N285" s="12"/>
      <c r="O285" s="119"/>
      <c r="P285" s="95" t="str">
        <f t="shared" si="26"/>
        <v/>
      </c>
      <c r="Q285" s="12"/>
      <c r="S285" s="128"/>
      <c r="T285" s="66"/>
      <c r="U285" s="128"/>
      <c r="W285" s="128"/>
      <c r="X285" s="12"/>
      <c r="Y285" t="str">
        <f t="shared" si="27"/>
        <v/>
      </c>
      <c r="Z285" t="str">
        <f t="shared" si="27"/>
        <v/>
      </c>
      <c r="AA285" s="12"/>
      <c r="AB285" s="95" t="e">
        <f t="shared" si="28"/>
        <v>#VALUE!</v>
      </c>
      <c r="AC285" s="95" t="e">
        <f t="shared" si="29"/>
        <v>#VALUE!</v>
      </c>
      <c r="AD285" s="12"/>
    </row>
    <row r="286" spans="1:30" ht="15.75" thickBot="1" x14ac:dyDescent="0.3">
      <c r="A286" s="12"/>
      <c r="B286" s="22"/>
      <c r="C286" t="str">
        <f>IF(AND('ENTRY DATA'!D286=""),"",('ENTRY DATA'!D286))</f>
        <v/>
      </c>
      <c r="D286" t="str">
        <f>IF(AND('ENTRY DATA'!F286=""),"",('ENTRY DATA'!F286))</f>
        <v/>
      </c>
      <c r="E286" s="34" t="str">
        <f>IF(AND('ENTRY DATA'!B286=""),"",('ENTRY DATA'!B286))</f>
        <v/>
      </c>
      <c r="F286" s="12"/>
      <c r="G286" s="12"/>
      <c r="H286" s="73"/>
      <c r="I286" s="71"/>
      <c r="J286" s="73"/>
      <c r="K286" s="12"/>
      <c r="L286" s="20">
        <f t="shared" si="24"/>
        <v>0</v>
      </c>
      <c r="M286" s="19" t="str">
        <f t="shared" si="25"/>
        <v/>
      </c>
      <c r="N286" s="12"/>
      <c r="O286" s="119"/>
      <c r="P286" s="95" t="str">
        <f t="shared" si="26"/>
        <v/>
      </c>
      <c r="Q286" s="12"/>
      <c r="S286" s="128"/>
      <c r="T286" s="66"/>
      <c r="U286" s="128"/>
      <c r="W286" s="128"/>
      <c r="X286" s="12"/>
      <c r="Y286" t="str">
        <f t="shared" si="27"/>
        <v/>
      </c>
      <c r="Z286" t="str">
        <f t="shared" si="27"/>
        <v/>
      </c>
      <c r="AA286" s="12"/>
      <c r="AB286" s="95" t="e">
        <f t="shared" si="28"/>
        <v>#VALUE!</v>
      </c>
      <c r="AC286" s="95" t="e">
        <f t="shared" si="29"/>
        <v>#VALUE!</v>
      </c>
      <c r="AD286" s="12"/>
    </row>
    <row r="287" spans="1:30" ht="15.75" thickBot="1" x14ac:dyDescent="0.3">
      <c r="A287" s="12"/>
      <c r="B287" s="22"/>
      <c r="C287" t="str">
        <f>IF(AND('ENTRY DATA'!D287=""),"",('ENTRY DATA'!D287))</f>
        <v/>
      </c>
      <c r="D287" t="str">
        <f>IF(AND('ENTRY DATA'!F287=""),"",('ENTRY DATA'!F287))</f>
        <v/>
      </c>
      <c r="E287" s="34" t="str">
        <f>IF(AND('ENTRY DATA'!B287=""),"",('ENTRY DATA'!B287))</f>
        <v/>
      </c>
      <c r="F287" s="12"/>
      <c r="G287" s="12"/>
      <c r="H287" s="73"/>
      <c r="I287" s="71"/>
      <c r="J287" s="73"/>
      <c r="K287" s="12"/>
      <c r="L287" s="20">
        <f t="shared" si="24"/>
        <v>0</v>
      </c>
      <c r="M287" s="19" t="str">
        <f t="shared" si="25"/>
        <v/>
      </c>
      <c r="N287" s="12"/>
      <c r="O287" s="119"/>
      <c r="P287" s="95" t="str">
        <f t="shared" si="26"/>
        <v/>
      </c>
      <c r="Q287" s="12"/>
      <c r="S287" s="128"/>
      <c r="T287" s="66"/>
      <c r="U287" s="128"/>
      <c r="W287" s="128"/>
      <c r="X287" s="12"/>
      <c r="Y287" t="str">
        <f t="shared" si="27"/>
        <v/>
      </c>
      <c r="Z287" t="str">
        <f t="shared" si="27"/>
        <v/>
      </c>
      <c r="AA287" s="12"/>
      <c r="AB287" s="95" t="e">
        <f t="shared" si="28"/>
        <v>#VALUE!</v>
      </c>
      <c r="AC287" s="95" t="e">
        <f t="shared" si="29"/>
        <v>#VALUE!</v>
      </c>
      <c r="AD287" s="12"/>
    </row>
    <row r="288" spans="1:30" ht="15.75" thickBot="1" x14ac:dyDescent="0.3">
      <c r="A288" s="12"/>
      <c r="B288" s="22"/>
      <c r="C288" t="str">
        <f>IF(AND('ENTRY DATA'!D288=""),"",('ENTRY DATA'!D288))</f>
        <v/>
      </c>
      <c r="D288" t="str">
        <f>IF(AND('ENTRY DATA'!F288=""),"",('ENTRY DATA'!F288))</f>
        <v/>
      </c>
      <c r="E288" s="34" t="str">
        <f>IF(AND('ENTRY DATA'!B288=""),"",('ENTRY DATA'!B288))</f>
        <v/>
      </c>
      <c r="F288" s="12"/>
      <c r="G288" s="12"/>
      <c r="H288" s="73"/>
      <c r="I288" s="71"/>
      <c r="J288" s="73"/>
      <c r="K288" s="12"/>
      <c r="L288" s="20">
        <f t="shared" si="24"/>
        <v>0</v>
      </c>
      <c r="M288" s="19" t="str">
        <f t="shared" si="25"/>
        <v/>
      </c>
      <c r="N288" s="12"/>
      <c r="O288" s="119"/>
      <c r="P288" s="95" t="str">
        <f t="shared" si="26"/>
        <v/>
      </c>
      <c r="Q288" s="12"/>
      <c r="S288" s="128"/>
      <c r="T288" s="66"/>
      <c r="U288" s="128"/>
      <c r="W288" s="128"/>
      <c r="X288" s="12"/>
      <c r="Y288" t="str">
        <f t="shared" si="27"/>
        <v/>
      </c>
      <c r="Z288" t="str">
        <f t="shared" si="27"/>
        <v/>
      </c>
      <c r="AA288" s="12"/>
      <c r="AB288" s="95" t="e">
        <f t="shared" si="28"/>
        <v>#VALUE!</v>
      </c>
      <c r="AC288" s="95" t="e">
        <f t="shared" si="29"/>
        <v>#VALUE!</v>
      </c>
      <c r="AD288" s="12"/>
    </row>
    <row r="289" spans="1:30" ht="15.75" thickBot="1" x14ac:dyDescent="0.3">
      <c r="A289" s="12"/>
      <c r="B289" s="22"/>
      <c r="C289" t="str">
        <f>IF(AND('ENTRY DATA'!D289=""),"",('ENTRY DATA'!D289))</f>
        <v/>
      </c>
      <c r="D289" t="str">
        <f>IF(AND('ENTRY DATA'!F289=""),"",('ENTRY DATA'!F289))</f>
        <v/>
      </c>
      <c r="E289" s="34" t="str">
        <f>IF(AND('ENTRY DATA'!B289=""),"",('ENTRY DATA'!B289))</f>
        <v/>
      </c>
      <c r="F289" s="12"/>
      <c r="G289" s="12"/>
      <c r="H289" s="73"/>
      <c r="I289" s="71"/>
      <c r="J289" s="73"/>
      <c r="K289" s="12"/>
      <c r="L289" s="20">
        <f t="shared" si="24"/>
        <v>0</v>
      </c>
      <c r="M289" s="19" t="str">
        <f t="shared" si="25"/>
        <v/>
      </c>
      <c r="N289" s="12"/>
      <c r="O289" s="119"/>
      <c r="P289" s="95" t="str">
        <f t="shared" si="26"/>
        <v/>
      </c>
      <c r="Q289" s="12"/>
      <c r="S289" s="128"/>
      <c r="T289" s="66"/>
      <c r="U289" s="128"/>
      <c r="W289" s="128"/>
      <c r="X289" s="12"/>
      <c r="Y289" t="str">
        <f t="shared" si="27"/>
        <v/>
      </c>
      <c r="Z289" t="str">
        <f t="shared" si="27"/>
        <v/>
      </c>
      <c r="AA289" s="12"/>
      <c r="AB289" s="95" t="e">
        <f t="shared" si="28"/>
        <v>#VALUE!</v>
      </c>
      <c r="AC289" s="95" t="e">
        <f t="shared" si="29"/>
        <v>#VALUE!</v>
      </c>
      <c r="AD289" s="12"/>
    </row>
    <row r="290" spans="1:30" ht="15.75" thickBot="1" x14ac:dyDescent="0.3">
      <c r="A290" s="12"/>
      <c r="B290" s="22"/>
      <c r="C290" t="str">
        <f>IF(AND('ENTRY DATA'!D290=""),"",('ENTRY DATA'!D290))</f>
        <v/>
      </c>
      <c r="D290" t="str">
        <f>IF(AND('ENTRY DATA'!F290=""),"",('ENTRY DATA'!F290))</f>
        <v/>
      </c>
      <c r="E290" s="34" t="str">
        <f>IF(AND('ENTRY DATA'!B290=""),"",('ENTRY DATA'!B290))</f>
        <v/>
      </c>
      <c r="F290" s="12"/>
      <c r="G290" s="12"/>
      <c r="H290" s="73"/>
      <c r="I290" s="71"/>
      <c r="J290" s="73"/>
      <c r="K290" s="12"/>
      <c r="L290" s="20">
        <f t="shared" si="24"/>
        <v>0</v>
      </c>
      <c r="M290" s="19" t="str">
        <f t="shared" si="25"/>
        <v/>
      </c>
      <c r="N290" s="12"/>
      <c r="O290" s="119"/>
      <c r="P290" s="95" t="str">
        <f t="shared" si="26"/>
        <v/>
      </c>
      <c r="Q290" s="12"/>
      <c r="S290" s="128"/>
      <c r="T290" s="66"/>
      <c r="U290" s="128"/>
      <c r="W290" s="128"/>
      <c r="X290" s="12"/>
      <c r="Y290" t="str">
        <f t="shared" si="27"/>
        <v/>
      </c>
      <c r="Z290" t="str">
        <f t="shared" si="27"/>
        <v/>
      </c>
      <c r="AA290" s="12"/>
      <c r="AB290" s="95" t="e">
        <f t="shared" si="28"/>
        <v>#VALUE!</v>
      </c>
      <c r="AC290" s="95" t="e">
        <f t="shared" si="29"/>
        <v>#VALUE!</v>
      </c>
      <c r="AD290" s="12"/>
    </row>
    <row r="291" spans="1:30" ht="15.75" thickBot="1" x14ac:dyDescent="0.3">
      <c r="A291" s="12"/>
      <c r="B291" s="22"/>
      <c r="C291" t="str">
        <f>IF(AND('ENTRY DATA'!D291=""),"",('ENTRY DATA'!D291))</f>
        <v/>
      </c>
      <c r="D291" t="str">
        <f>IF(AND('ENTRY DATA'!F291=""),"",('ENTRY DATA'!F291))</f>
        <v/>
      </c>
      <c r="E291" s="34" t="str">
        <f>IF(AND('ENTRY DATA'!B291=""),"",('ENTRY DATA'!B291))</f>
        <v/>
      </c>
      <c r="F291" s="12"/>
      <c r="G291" s="12"/>
      <c r="H291" s="73"/>
      <c r="I291" s="71"/>
      <c r="J291" s="73"/>
      <c r="K291" s="12"/>
      <c r="L291" s="20">
        <f t="shared" si="24"/>
        <v>0</v>
      </c>
      <c r="M291" s="19" t="str">
        <f t="shared" si="25"/>
        <v/>
      </c>
      <c r="N291" s="12"/>
      <c r="O291" s="119"/>
      <c r="P291" s="95" t="str">
        <f t="shared" si="26"/>
        <v/>
      </c>
      <c r="Q291" s="12"/>
      <c r="S291" s="128"/>
      <c r="T291" s="66"/>
      <c r="U291" s="128"/>
      <c r="W291" s="128"/>
      <c r="X291" s="12"/>
      <c r="Y291" t="str">
        <f t="shared" si="27"/>
        <v/>
      </c>
      <c r="Z291" t="str">
        <f t="shared" si="27"/>
        <v/>
      </c>
      <c r="AA291" s="12"/>
      <c r="AB291" s="95" t="e">
        <f t="shared" si="28"/>
        <v>#VALUE!</v>
      </c>
      <c r="AC291" s="95" t="e">
        <f t="shared" si="29"/>
        <v>#VALUE!</v>
      </c>
      <c r="AD291" s="12"/>
    </row>
    <row r="292" spans="1:30" ht="15.75" thickBot="1" x14ac:dyDescent="0.3">
      <c r="A292" s="12"/>
      <c r="B292" s="22"/>
      <c r="C292" t="str">
        <f>IF(AND('ENTRY DATA'!D292=""),"",('ENTRY DATA'!D292))</f>
        <v/>
      </c>
      <c r="D292" t="str">
        <f>IF(AND('ENTRY DATA'!F292=""),"",('ENTRY DATA'!F292))</f>
        <v/>
      </c>
      <c r="E292" s="34" t="str">
        <f>IF(AND('ENTRY DATA'!B292=""),"",('ENTRY DATA'!B292))</f>
        <v/>
      </c>
      <c r="F292" s="12"/>
      <c r="G292" s="12"/>
      <c r="H292" s="73"/>
      <c r="I292" s="71"/>
      <c r="J292" s="73"/>
      <c r="K292" s="12"/>
      <c r="L292" s="20">
        <f t="shared" si="24"/>
        <v>0</v>
      </c>
      <c r="M292" s="19" t="str">
        <f t="shared" si="25"/>
        <v/>
      </c>
      <c r="N292" s="12"/>
      <c r="O292" s="119"/>
      <c r="P292" s="95" t="str">
        <f t="shared" si="26"/>
        <v/>
      </c>
      <c r="Q292" s="12"/>
      <c r="S292" s="128"/>
      <c r="T292" s="66"/>
      <c r="U292" s="128"/>
      <c r="W292" s="128"/>
      <c r="X292" s="12"/>
      <c r="Y292" t="str">
        <f t="shared" si="27"/>
        <v/>
      </c>
      <c r="Z292" t="str">
        <f t="shared" si="27"/>
        <v/>
      </c>
      <c r="AA292" s="12"/>
      <c r="AB292" s="95" t="e">
        <f t="shared" si="28"/>
        <v>#VALUE!</v>
      </c>
      <c r="AC292" s="95" t="e">
        <f t="shared" si="29"/>
        <v>#VALUE!</v>
      </c>
      <c r="AD292" s="12"/>
    </row>
    <row r="293" spans="1:30" ht="15.75" thickBot="1" x14ac:dyDescent="0.3">
      <c r="A293" s="12"/>
      <c r="B293" s="22"/>
      <c r="C293" t="str">
        <f>IF(AND('ENTRY DATA'!D293=""),"",('ENTRY DATA'!D293))</f>
        <v/>
      </c>
      <c r="D293" t="str">
        <f>IF(AND('ENTRY DATA'!F293=""),"",('ENTRY DATA'!F293))</f>
        <v/>
      </c>
      <c r="E293" s="34" t="str">
        <f>IF(AND('ENTRY DATA'!B293=""),"",('ENTRY DATA'!B293))</f>
        <v/>
      </c>
      <c r="F293" s="12"/>
      <c r="G293" s="12"/>
      <c r="H293" s="73"/>
      <c r="I293" s="71"/>
      <c r="J293" s="73"/>
      <c r="K293" s="12"/>
      <c r="L293" s="20">
        <f t="shared" si="24"/>
        <v>0</v>
      </c>
      <c r="M293" s="19" t="str">
        <f t="shared" si="25"/>
        <v/>
      </c>
      <c r="N293" s="12"/>
      <c r="O293" s="119"/>
      <c r="P293" s="95" t="str">
        <f t="shared" si="26"/>
        <v/>
      </c>
      <c r="Q293" s="12"/>
      <c r="S293" s="128"/>
      <c r="T293" s="66"/>
      <c r="U293" s="128"/>
      <c r="W293" s="128"/>
      <c r="X293" s="12"/>
      <c r="Y293" t="str">
        <f t="shared" si="27"/>
        <v/>
      </c>
      <c r="Z293" t="str">
        <f t="shared" si="27"/>
        <v/>
      </c>
      <c r="AA293" s="12"/>
      <c r="AB293" s="95" t="e">
        <f t="shared" si="28"/>
        <v>#VALUE!</v>
      </c>
      <c r="AC293" s="95" t="e">
        <f t="shared" si="29"/>
        <v>#VALUE!</v>
      </c>
      <c r="AD293" s="12"/>
    </row>
    <row r="294" spans="1:30" ht="15.75" thickBot="1" x14ac:dyDescent="0.3">
      <c r="A294" s="12"/>
      <c r="B294" s="22"/>
      <c r="C294" t="str">
        <f>IF(AND('ENTRY DATA'!D294=""),"",('ENTRY DATA'!D294))</f>
        <v/>
      </c>
      <c r="D294" t="str">
        <f>IF(AND('ENTRY DATA'!F294=""),"",('ENTRY DATA'!F294))</f>
        <v/>
      </c>
      <c r="E294" s="34" t="str">
        <f>IF(AND('ENTRY DATA'!B294=""),"",('ENTRY DATA'!B294))</f>
        <v/>
      </c>
      <c r="F294" s="12"/>
      <c r="G294" s="12"/>
      <c r="H294" s="73"/>
      <c r="I294" s="71"/>
      <c r="J294" s="73"/>
      <c r="K294" s="12"/>
      <c r="L294" s="20">
        <f t="shared" si="24"/>
        <v>0</v>
      </c>
      <c r="M294" s="19" t="str">
        <f t="shared" si="25"/>
        <v/>
      </c>
      <c r="N294" s="12"/>
      <c r="O294" s="119"/>
      <c r="P294" s="95" t="str">
        <f t="shared" si="26"/>
        <v/>
      </c>
      <c r="Q294" s="12"/>
      <c r="S294" s="128"/>
      <c r="T294" s="66"/>
      <c r="U294" s="128"/>
      <c r="W294" s="128"/>
      <c r="X294" s="12"/>
      <c r="Y294" t="str">
        <f t="shared" si="27"/>
        <v/>
      </c>
      <c r="Z294" t="str">
        <f t="shared" si="27"/>
        <v/>
      </c>
      <c r="AA294" s="12"/>
      <c r="AB294" s="95" t="e">
        <f t="shared" si="28"/>
        <v>#VALUE!</v>
      </c>
      <c r="AC294" s="95" t="e">
        <f t="shared" si="29"/>
        <v>#VALUE!</v>
      </c>
      <c r="AD294" s="12"/>
    </row>
    <row r="295" spans="1:30" ht="15.75" thickBot="1" x14ac:dyDescent="0.3">
      <c r="A295" s="12"/>
      <c r="B295" s="22"/>
      <c r="C295" t="str">
        <f>IF(AND('ENTRY DATA'!D295=""),"",('ENTRY DATA'!D295))</f>
        <v/>
      </c>
      <c r="D295" t="str">
        <f>IF(AND('ENTRY DATA'!F295=""),"",('ENTRY DATA'!F295))</f>
        <v/>
      </c>
      <c r="E295" s="34" t="str">
        <f>IF(AND('ENTRY DATA'!B295=""),"",('ENTRY DATA'!B295))</f>
        <v/>
      </c>
      <c r="F295" s="12"/>
      <c r="G295" s="12"/>
      <c r="H295" s="73"/>
      <c r="I295" s="71"/>
      <c r="J295" s="73"/>
      <c r="K295" s="12"/>
      <c r="L295" s="20">
        <f t="shared" si="24"/>
        <v>0</v>
      </c>
      <c r="M295" s="19" t="str">
        <f t="shared" si="25"/>
        <v/>
      </c>
      <c r="N295" s="12"/>
      <c r="O295" s="119"/>
      <c r="P295" s="95" t="str">
        <f t="shared" si="26"/>
        <v/>
      </c>
      <c r="Q295" s="12"/>
      <c r="S295" s="128"/>
      <c r="T295" s="66"/>
      <c r="U295" s="128"/>
      <c r="W295" s="128"/>
      <c r="X295" s="12"/>
      <c r="Y295" t="str">
        <f t="shared" si="27"/>
        <v/>
      </c>
      <c r="Z295" t="str">
        <f t="shared" si="27"/>
        <v/>
      </c>
      <c r="AA295" s="12"/>
      <c r="AB295" s="95" t="e">
        <f t="shared" si="28"/>
        <v>#VALUE!</v>
      </c>
      <c r="AC295" s="95" t="e">
        <f t="shared" si="29"/>
        <v>#VALUE!</v>
      </c>
      <c r="AD295" s="12"/>
    </row>
    <row r="296" spans="1:30" ht="15.75" thickBot="1" x14ac:dyDescent="0.3">
      <c r="A296" s="12"/>
      <c r="B296" s="22"/>
      <c r="C296" t="str">
        <f>IF(AND('ENTRY DATA'!D296=""),"",('ENTRY DATA'!D296))</f>
        <v/>
      </c>
      <c r="D296" t="str">
        <f>IF(AND('ENTRY DATA'!F296=""),"",('ENTRY DATA'!F296))</f>
        <v/>
      </c>
      <c r="E296" s="34" t="str">
        <f>IF(AND('ENTRY DATA'!B296=""),"",('ENTRY DATA'!B296))</f>
        <v/>
      </c>
      <c r="F296" s="12"/>
      <c r="G296" s="12"/>
      <c r="H296" s="73"/>
      <c r="I296" s="71"/>
      <c r="J296" s="73"/>
      <c r="K296" s="12"/>
      <c r="L296" s="20">
        <f t="shared" si="24"/>
        <v>0</v>
      </c>
      <c r="M296" s="19" t="str">
        <f t="shared" si="25"/>
        <v/>
      </c>
      <c r="N296" s="12"/>
      <c r="O296" s="119"/>
      <c r="P296" s="95" t="str">
        <f t="shared" si="26"/>
        <v/>
      </c>
      <c r="Q296" s="12"/>
      <c r="S296" s="128"/>
      <c r="T296" s="66"/>
      <c r="U296" s="128"/>
      <c r="W296" s="128"/>
      <c r="X296" s="12"/>
      <c r="Y296" t="str">
        <f t="shared" si="27"/>
        <v/>
      </c>
      <c r="Z296" t="str">
        <f t="shared" si="27"/>
        <v/>
      </c>
      <c r="AA296" s="12"/>
      <c r="AB296" s="95" t="e">
        <f t="shared" si="28"/>
        <v>#VALUE!</v>
      </c>
      <c r="AC296" s="95" t="e">
        <f t="shared" si="29"/>
        <v>#VALUE!</v>
      </c>
      <c r="AD296" s="12"/>
    </row>
    <row r="297" spans="1:30" ht="15.75" thickBot="1" x14ac:dyDescent="0.3">
      <c r="A297" s="12"/>
      <c r="B297" s="22"/>
      <c r="C297" t="str">
        <f>IF(AND('ENTRY DATA'!D297=""),"",('ENTRY DATA'!D297))</f>
        <v/>
      </c>
      <c r="D297" t="str">
        <f>IF(AND('ENTRY DATA'!F297=""),"",('ENTRY DATA'!F297))</f>
        <v/>
      </c>
      <c r="E297" s="34" t="str">
        <f>IF(AND('ENTRY DATA'!B297=""),"",('ENTRY DATA'!B297))</f>
        <v/>
      </c>
      <c r="F297" s="12"/>
      <c r="G297" s="12"/>
      <c r="H297" s="73"/>
      <c r="I297" s="71"/>
      <c r="J297" s="73"/>
      <c r="K297" s="12"/>
      <c r="L297" s="20">
        <f t="shared" si="24"/>
        <v>0</v>
      </c>
      <c r="M297" s="19" t="str">
        <f t="shared" si="25"/>
        <v/>
      </c>
      <c r="N297" s="12"/>
      <c r="O297" s="119"/>
      <c r="P297" s="95" t="str">
        <f t="shared" si="26"/>
        <v/>
      </c>
      <c r="Q297" s="12"/>
      <c r="S297" s="128"/>
      <c r="T297" s="66"/>
      <c r="U297" s="128"/>
      <c r="W297" s="128"/>
      <c r="X297" s="12"/>
      <c r="Y297" t="str">
        <f t="shared" si="27"/>
        <v/>
      </c>
      <c r="Z297" t="str">
        <f t="shared" si="27"/>
        <v/>
      </c>
      <c r="AA297" s="12"/>
      <c r="AB297" s="95" t="e">
        <f t="shared" si="28"/>
        <v>#VALUE!</v>
      </c>
      <c r="AC297" s="95" t="e">
        <f t="shared" si="29"/>
        <v>#VALUE!</v>
      </c>
      <c r="AD297" s="12"/>
    </row>
    <row r="298" spans="1:30" ht="15.75" thickBot="1" x14ac:dyDescent="0.3">
      <c r="A298" s="12"/>
      <c r="B298" s="22"/>
      <c r="C298" t="str">
        <f>IF(AND('ENTRY DATA'!D298=""),"",('ENTRY DATA'!D298))</f>
        <v/>
      </c>
      <c r="D298" t="str">
        <f>IF(AND('ENTRY DATA'!F298=""),"",('ENTRY DATA'!F298))</f>
        <v/>
      </c>
      <c r="E298" s="34" t="str">
        <f>IF(AND('ENTRY DATA'!B298=""),"",('ENTRY DATA'!B298))</f>
        <v/>
      </c>
      <c r="F298" s="12"/>
      <c r="G298" s="12"/>
      <c r="H298" s="73"/>
      <c r="I298" s="71"/>
      <c r="J298" s="73"/>
      <c r="K298" s="12"/>
      <c r="L298" s="20">
        <f t="shared" si="24"/>
        <v>0</v>
      </c>
      <c r="M298" s="19" t="str">
        <f t="shared" si="25"/>
        <v/>
      </c>
      <c r="N298" s="12"/>
      <c r="O298" s="119"/>
      <c r="P298" s="95" t="str">
        <f t="shared" si="26"/>
        <v/>
      </c>
      <c r="Q298" s="12"/>
      <c r="S298" s="128"/>
      <c r="T298" s="66"/>
      <c r="U298" s="128"/>
      <c r="W298" s="128"/>
      <c r="X298" s="12"/>
      <c r="Y298" t="str">
        <f t="shared" si="27"/>
        <v/>
      </c>
      <c r="Z298" t="str">
        <f t="shared" si="27"/>
        <v/>
      </c>
      <c r="AA298" s="12"/>
      <c r="AB298" s="95" t="e">
        <f t="shared" si="28"/>
        <v>#VALUE!</v>
      </c>
      <c r="AC298" s="95" t="e">
        <f t="shared" si="29"/>
        <v>#VALUE!</v>
      </c>
      <c r="AD298" s="12"/>
    </row>
    <row r="299" spans="1:30" ht="15.75" thickBot="1" x14ac:dyDescent="0.3">
      <c r="A299" s="12"/>
      <c r="B299" s="22"/>
      <c r="C299" t="str">
        <f>IF(AND('ENTRY DATA'!D299=""),"",('ENTRY DATA'!D299))</f>
        <v/>
      </c>
      <c r="D299" t="str">
        <f>IF(AND('ENTRY DATA'!F299=""),"",('ENTRY DATA'!F299))</f>
        <v/>
      </c>
      <c r="E299" s="34" t="str">
        <f>IF(AND('ENTRY DATA'!B299=""),"",('ENTRY DATA'!B299))</f>
        <v/>
      </c>
      <c r="F299" s="12"/>
      <c r="G299" s="12"/>
      <c r="H299" s="73"/>
      <c r="I299" s="71"/>
      <c r="J299" s="73"/>
      <c r="K299" s="12"/>
      <c r="L299" s="20">
        <f t="shared" si="24"/>
        <v>0</v>
      </c>
      <c r="M299" s="19" t="str">
        <f t="shared" si="25"/>
        <v/>
      </c>
      <c r="N299" s="12"/>
      <c r="O299" s="119"/>
      <c r="P299" s="95" t="str">
        <f t="shared" si="26"/>
        <v/>
      </c>
      <c r="Q299" s="12"/>
      <c r="S299" s="128"/>
      <c r="T299" s="66"/>
      <c r="U299" s="128"/>
      <c r="W299" s="128"/>
      <c r="X299" s="12"/>
      <c r="Y299" t="str">
        <f t="shared" si="27"/>
        <v/>
      </c>
      <c r="Z299" t="str">
        <f t="shared" si="27"/>
        <v/>
      </c>
      <c r="AA299" s="12"/>
      <c r="AB299" s="95" t="e">
        <f t="shared" si="28"/>
        <v>#VALUE!</v>
      </c>
      <c r="AC299" s="95" t="e">
        <f t="shared" si="29"/>
        <v>#VALUE!</v>
      </c>
      <c r="AD299" s="12"/>
    </row>
    <row r="300" spans="1:30" ht="15.75" thickBot="1" x14ac:dyDescent="0.3">
      <c r="A300" s="12"/>
      <c r="B300" s="22"/>
      <c r="C300" t="str">
        <f>IF(AND('ENTRY DATA'!D300=""),"",('ENTRY DATA'!D300))</f>
        <v/>
      </c>
      <c r="D300" t="str">
        <f>IF(AND('ENTRY DATA'!F300=""),"",('ENTRY DATA'!F300))</f>
        <v/>
      </c>
      <c r="E300" s="34" t="str">
        <f>IF(AND('ENTRY DATA'!B300=""),"",('ENTRY DATA'!B300))</f>
        <v/>
      </c>
      <c r="F300" s="12"/>
      <c r="G300" s="12"/>
      <c r="H300" s="73"/>
      <c r="I300" s="71"/>
      <c r="J300" s="73"/>
      <c r="K300" s="12"/>
      <c r="L300" s="20">
        <f t="shared" si="24"/>
        <v>0</v>
      </c>
      <c r="M300" s="19" t="str">
        <f t="shared" si="25"/>
        <v/>
      </c>
      <c r="N300" s="12"/>
      <c r="O300" s="119"/>
      <c r="P300" s="96" t="str">
        <f t="shared" si="26"/>
        <v/>
      </c>
      <c r="Q300" s="12"/>
      <c r="S300" s="128"/>
      <c r="T300" s="68"/>
      <c r="U300" s="128"/>
      <c r="W300" s="128"/>
      <c r="X300" s="12"/>
      <c r="Y300" t="str">
        <f t="shared" si="27"/>
        <v/>
      </c>
      <c r="Z300" t="str">
        <f t="shared" si="27"/>
        <v/>
      </c>
      <c r="AA300" s="12"/>
      <c r="AB300" s="96" t="e">
        <f t="shared" si="28"/>
        <v>#VALUE!</v>
      </c>
      <c r="AC300" s="96" t="e">
        <f t="shared" si="29"/>
        <v>#VALUE!</v>
      </c>
      <c r="AD300" s="12"/>
    </row>
    <row r="301" spans="1:30" x14ac:dyDescent="0.25">
      <c r="A301" s="12"/>
      <c r="B301" s="12"/>
      <c r="C301" s="12"/>
      <c r="D301" s="12"/>
      <c r="E301" s="33"/>
      <c r="F301" s="12"/>
      <c r="G301" s="12"/>
      <c r="H301" s="33"/>
      <c r="I301" s="33"/>
      <c r="J301" s="33"/>
      <c r="K301" s="12"/>
      <c r="L301" s="13"/>
      <c r="M301" s="13"/>
      <c r="N301" s="12"/>
      <c r="O301" s="119"/>
      <c r="P301" s="12">
        <f t="shared" si="26"/>
        <v>0</v>
      </c>
      <c r="Q301" s="12"/>
      <c r="R301" s="12"/>
      <c r="S301" s="12"/>
      <c r="T301" s="12"/>
      <c r="U301" s="12"/>
      <c r="V301" s="12"/>
      <c r="W301" s="12"/>
      <c r="X301" s="12"/>
      <c r="Y301" s="12" t="str">
        <f t="shared" si="27"/>
        <v/>
      </c>
      <c r="Z301" s="12" t="str">
        <f t="shared" si="27"/>
        <v/>
      </c>
      <c r="AA301" s="12"/>
      <c r="AB301" s="12" t="e">
        <f t="shared" si="28"/>
        <v>#VALUE!</v>
      </c>
      <c r="AC301" s="12" t="e">
        <f t="shared" si="29"/>
        <v>#VALUE!</v>
      </c>
      <c r="AD301" s="12"/>
    </row>
    <row r="302" spans="1:30" x14ac:dyDescent="0.25">
      <c r="A302" s="12"/>
      <c r="B302" s="12"/>
      <c r="C302" s="12"/>
      <c r="D302" s="12"/>
      <c r="E302" s="33"/>
      <c r="F302" s="12"/>
      <c r="G302" s="12"/>
      <c r="H302" s="33"/>
      <c r="I302" s="33"/>
      <c r="J302" s="33"/>
      <c r="K302" s="12"/>
      <c r="L302" s="13"/>
      <c r="M302" s="13"/>
      <c r="N302" s="12"/>
      <c r="O302" s="119"/>
      <c r="P302" s="12"/>
      <c r="Q302" s="12"/>
      <c r="R302" s="12"/>
      <c r="S302" s="12"/>
      <c r="T302" s="12"/>
      <c r="U302" s="12"/>
      <c r="V302" s="12"/>
      <c r="W302" s="12"/>
      <c r="X302" s="12"/>
      <c r="Y302" s="12" t="str">
        <f t="shared" si="27"/>
        <v/>
      </c>
      <c r="Z302" s="12" t="str">
        <f t="shared" si="27"/>
        <v/>
      </c>
      <c r="AA302" s="12"/>
      <c r="AB302" s="12"/>
      <c r="AC302" s="12"/>
      <c r="AD302" s="12"/>
    </row>
  </sheetData>
  <mergeCells count="9">
    <mergeCell ref="V3:W3"/>
    <mergeCell ref="Y3:Z3"/>
    <mergeCell ref="AB3:AC3"/>
    <mergeCell ref="R2:T2"/>
    <mergeCell ref="C3:D3"/>
    <mergeCell ref="H3:J3"/>
    <mergeCell ref="L3:M3"/>
    <mergeCell ref="R3:S3"/>
    <mergeCell ref="T3:U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AN302"/>
  <sheetViews>
    <sheetView topLeftCell="S1" workbookViewId="0">
      <selection activeCell="AD3" sqref="AD3:AE3"/>
    </sheetView>
  </sheetViews>
  <sheetFormatPr defaultRowHeight="15" x14ac:dyDescent="0.25"/>
  <cols>
    <col min="2" max="2" width="13" customWidth="1"/>
    <col min="3" max="3" width="14.140625" customWidth="1"/>
    <col min="4" max="4" width="3.7109375" customWidth="1"/>
    <col min="5" max="5" width="14.7109375" customWidth="1"/>
    <col min="6" max="6" width="16" customWidth="1"/>
    <col min="18" max="19" width="9.140625" style="1"/>
    <col min="25" max="25" width="4.42578125" customWidth="1"/>
    <col min="26" max="26" width="18.7109375" customWidth="1"/>
    <col min="27" max="27" width="3.28515625" customWidth="1"/>
    <col min="28" max="28" width="12.85546875" customWidth="1"/>
    <col min="29" max="29" width="11.5703125" customWidth="1"/>
    <col min="30" max="30" width="15.140625" customWidth="1"/>
    <col min="32" max="32" width="12.28515625" customWidth="1"/>
    <col min="34" max="34" width="6.5703125" customWidth="1"/>
    <col min="35" max="35" width="10.5703125" customWidth="1"/>
    <col min="36" max="36" width="12" customWidth="1"/>
  </cols>
  <sheetData>
    <row r="1" spans="1:40" ht="15.75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33"/>
      <c r="S1" s="33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5.75" thickBo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33"/>
      <c r="S2" s="33"/>
      <c r="T2" s="12"/>
      <c r="U2" s="12"/>
      <c r="V2" s="12"/>
      <c r="W2" s="12"/>
      <c r="X2" s="12"/>
      <c r="Y2" s="12"/>
      <c r="Z2" s="12"/>
      <c r="AA2" s="12"/>
      <c r="AB2" s="173" t="s">
        <v>53</v>
      </c>
      <c r="AC2" s="174"/>
      <c r="AD2" s="175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5.75" thickBot="1" x14ac:dyDescent="0.3">
      <c r="A3" s="12"/>
      <c r="B3" s="12"/>
      <c r="C3" s="12"/>
      <c r="D3" s="12"/>
      <c r="E3" s="12"/>
      <c r="F3" s="12"/>
      <c r="G3" s="12"/>
      <c r="H3" s="158" t="s">
        <v>33</v>
      </c>
      <c r="I3" s="156"/>
      <c r="J3" s="156"/>
      <c r="K3" s="176" t="s">
        <v>32</v>
      </c>
      <c r="L3" s="177"/>
      <c r="M3" s="178"/>
      <c r="N3" s="156" t="s">
        <v>31</v>
      </c>
      <c r="O3" s="156"/>
      <c r="P3" s="157"/>
      <c r="Q3" s="12"/>
      <c r="R3" s="176" t="s">
        <v>30</v>
      </c>
      <c r="S3" s="177"/>
      <c r="T3" s="178"/>
      <c r="V3" s="179" t="s">
        <v>26</v>
      </c>
      <c r="W3" s="179"/>
      <c r="X3" s="179"/>
      <c r="Z3" s="12"/>
      <c r="AA3" s="12"/>
      <c r="AB3" s="158" t="s">
        <v>12</v>
      </c>
      <c r="AC3" s="156"/>
      <c r="AD3" s="159" t="s">
        <v>13</v>
      </c>
      <c r="AE3" s="161"/>
      <c r="AF3" s="156" t="s">
        <v>14</v>
      </c>
      <c r="AG3" s="157"/>
      <c r="AH3" s="12"/>
      <c r="AI3" s="158" t="s">
        <v>56</v>
      </c>
      <c r="AJ3" s="157"/>
      <c r="AK3" s="12"/>
      <c r="AL3" s="171" t="s">
        <v>58</v>
      </c>
      <c r="AM3" s="172"/>
      <c r="AN3" s="12"/>
    </row>
    <row r="4" spans="1:40" ht="15.75" thickBot="1" x14ac:dyDescent="0.3">
      <c r="A4" s="12"/>
      <c r="B4" s="60" t="s">
        <v>20</v>
      </c>
      <c r="C4" s="60" t="s">
        <v>21</v>
      </c>
      <c r="D4" s="59"/>
      <c r="E4" s="58" t="s">
        <v>9</v>
      </c>
      <c r="F4" s="58" t="s">
        <v>3</v>
      </c>
      <c r="G4" s="12"/>
      <c r="H4" s="35" t="s">
        <v>22</v>
      </c>
      <c r="I4" s="36" t="s">
        <v>23</v>
      </c>
      <c r="J4" s="36" t="s">
        <v>24</v>
      </c>
      <c r="K4" s="49" t="s">
        <v>22</v>
      </c>
      <c r="L4" s="50" t="s">
        <v>23</v>
      </c>
      <c r="M4" s="51" t="s">
        <v>24</v>
      </c>
      <c r="N4" s="36" t="s">
        <v>22</v>
      </c>
      <c r="O4" s="36" t="s">
        <v>23</v>
      </c>
      <c r="P4" s="37" t="s">
        <v>24</v>
      </c>
      <c r="Q4" s="12"/>
      <c r="R4" s="43" t="s">
        <v>16</v>
      </c>
      <c r="S4" s="44" t="s">
        <v>25</v>
      </c>
      <c r="T4" s="40" t="s">
        <v>17</v>
      </c>
      <c r="V4" s="38" t="s">
        <v>27</v>
      </c>
      <c r="W4" s="38" t="s">
        <v>28</v>
      </c>
      <c r="X4" s="38" t="s">
        <v>29</v>
      </c>
      <c r="Z4" s="123" t="s">
        <v>9</v>
      </c>
      <c r="AA4" s="12"/>
      <c r="AB4" s="124" t="s">
        <v>54</v>
      </c>
      <c r="AC4" s="125" t="s">
        <v>55</v>
      </c>
      <c r="AD4" s="129" t="s">
        <v>54</v>
      </c>
      <c r="AE4" s="130" t="s">
        <v>55</v>
      </c>
      <c r="AF4" s="125" t="s">
        <v>54</v>
      </c>
      <c r="AG4" s="126" t="s">
        <v>55</v>
      </c>
      <c r="AH4" s="12"/>
      <c r="AI4" s="129" t="s">
        <v>54</v>
      </c>
      <c r="AJ4" s="130" t="s">
        <v>57</v>
      </c>
      <c r="AK4" s="12"/>
      <c r="AL4" s="131" t="s">
        <v>54</v>
      </c>
      <c r="AM4" s="132" t="s">
        <v>57</v>
      </c>
      <c r="AN4" s="12"/>
    </row>
    <row r="5" spans="1:40" ht="15.75" thickBot="1" x14ac:dyDescent="0.3">
      <c r="A5" s="12"/>
      <c r="B5" s="21"/>
      <c r="C5" s="21"/>
      <c r="D5" s="12"/>
      <c r="G5" s="12"/>
      <c r="H5">
        <v>3</v>
      </c>
      <c r="I5">
        <v>6</v>
      </c>
      <c r="J5">
        <v>10</v>
      </c>
      <c r="K5" s="52"/>
      <c r="L5" s="53"/>
      <c r="M5" s="54"/>
      <c r="Q5" s="12"/>
      <c r="R5" s="45">
        <f>COUNT(H5:P5)</f>
        <v>3</v>
      </c>
      <c r="S5" s="46">
        <f>SUM(V5:X5)</f>
        <v>1</v>
      </c>
      <c r="T5" s="41">
        <f>IF(AND(H5="",I5="",J5="",K5="",L5="",M5="",N5="",O5="",P5=""),"",(H5+I5+J5+K5+L5+M5+N5+O5+P5))</f>
        <v>19</v>
      </c>
      <c r="V5" s="39">
        <f>IF(COUNTA(H5:J5)&gt;0,1,"")</f>
        <v>1</v>
      </c>
      <c r="W5" s="39" t="str">
        <f>IF(COUNTA(K5:M5)&gt;0,1,"")</f>
        <v/>
      </c>
      <c r="X5" s="39" t="str">
        <f>IF(COUNTA(N5:P5)&gt;0,1,"")</f>
        <v/>
      </c>
      <c r="Z5" s="95">
        <f>E5</f>
        <v>0</v>
      </c>
      <c r="AA5" s="12"/>
      <c r="AC5" s="128"/>
      <c r="AD5" s="66"/>
      <c r="AE5" s="128"/>
      <c r="AG5" s="128"/>
      <c r="AH5" s="12"/>
      <c r="AI5" t="str">
        <f>IF(AND(AB5="",AD5="",AF5=""),"",SUM(AB5,AD5,AF5))</f>
        <v/>
      </c>
      <c r="AJ5" t="str">
        <f>IF(AND(AC5="",AE5="",AG5=""),"",SUM(AC5,AE5,AG5))</f>
        <v/>
      </c>
      <c r="AK5" s="12"/>
      <c r="AL5" s="94" t="e">
        <f>AI5/R5</f>
        <v>#VALUE!</v>
      </c>
      <c r="AM5" s="94" t="e">
        <f>AJ5/R5</f>
        <v>#VALUE!</v>
      </c>
      <c r="AN5" s="12"/>
    </row>
    <row r="6" spans="1:40" ht="15.75" thickBot="1" x14ac:dyDescent="0.3">
      <c r="A6" s="12"/>
      <c r="B6" s="21"/>
      <c r="C6" s="21"/>
      <c r="D6" s="12"/>
      <c r="G6" s="12"/>
      <c r="K6" s="52"/>
      <c r="L6" s="53"/>
      <c r="M6" s="54"/>
      <c r="Q6" s="12"/>
      <c r="R6" s="45">
        <f t="shared" ref="R6:R69" si="0">COUNT(H6:P6)</f>
        <v>0</v>
      </c>
      <c r="S6" s="46">
        <f t="shared" ref="S6:S69" si="1">SUM(V6:X6)</f>
        <v>0</v>
      </c>
      <c r="T6" s="41" t="str">
        <f t="shared" ref="T6:T69" si="2">IF(AND(H6="",I6="",J6="",K6="",L6="",M6="",N6="",O6="",P6=""),"",(H6+I6+J6+K6+L6+M6+N6+O6+P6))</f>
        <v/>
      </c>
      <c r="V6" s="39" t="str">
        <f t="shared" ref="V6:V69" si="3">IF(COUNTA(H6:J6)&gt;0,1,"")</f>
        <v/>
      </c>
      <c r="W6" s="39" t="str">
        <f t="shared" ref="W6:W69" si="4">IF(COUNTA(K6:M6)&gt;0,1,"")</f>
        <v/>
      </c>
      <c r="X6" s="39" t="str">
        <f t="shared" ref="X6:X69" si="5">IF(COUNTA(N6:P6)&gt;0,1,"")</f>
        <v/>
      </c>
      <c r="Z6" s="95">
        <f t="shared" ref="Z6:Z69" si="6">E6</f>
        <v>0</v>
      </c>
      <c r="AA6" s="12"/>
      <c r="AC6" s="128"/>
      <c r="AD6" s="66"/>
      <c r="AE6" s="128"/>
      <c r="AG6" s="128"/>
      <c r="AH6" s="12"/>
      <c r="AI6" t="str">
        <f t="shared" ref="AI6:AJ69" si="7">IF(AND(AB6="",AD6="",AF6=""),"",SUM(AB6,AD6,AF6))</f>
        <v/>
      </c>
      <c r="AJ6" t="str">
        <f t="shared" si="7"/>
        <v/>
      </c>
      <c r="AK6" s="12"/>
      <c r="AL6" s="94" t="e">
        <f t="shared" ref="AL6:AL69" si="8">AI6/R6</f>
        <v>#VALUE!</v>
      </c>
      <c r="AM6" s="94" t="e">
        <f t="shared" ref="AM6:AM69" si="9">AJ6/R6</f>
        <v>#VALUE!</v>
      </c>
      <c r="AN6" s="12"/>
    </row>
    <row r="7" spans="1:40" ht="15.75" thickBot="1" x14ac:dyDescent="0.3">
      <c r="A7" s="12"/>
      <c r="B7" s="21"/>
      <c r="C7" s="21"/>
      <c r="D7" s="12"/>
      <c r="G7" s="12"/>
      <c r="K7" s="52"/>
      <c r="L7" s="53"/>
      <c r="M7" s="54"/>
      <c r="Q7" s="12"/>
      <c r="R7" s="45">
        <f t="shared" si="0"/>
        <v>0</v>
      </c>
      <c r="S7" s="46">
        <f t="shared" si="1"/>
        <v>0</v>
      </c>
      <c r="T7" s="41" t="str">
        <f t="shared" si="2"/>
        <v/>
      </c>
      <c r="V7" s="39" t="str">
        <f t="shared" si="3"/>
        <v/>
      </c>
      <c r="W7" s="39" t="str">
        <f t="shared" si="4"/>
        <v/>
      </c>
      <c r="X7" s="39" t="str">
        <f t="shared" si="5"/>
        <v/>
      </c>
      <c r="Z7" s="95">
        <f t="shared" si="6"/>
        <v>0</v>
      </c>
      <c r="AA7" s="12"/>
      <c r="AC7" s="128"/>
      <c r="AD7" s="66"/>
      <c r="AE7" s="128"/>
      <c r="AG7" s="128"/>
      <c r="AH7" s="12"/>
      <c r="AI7" t="str">
        <f t="shared" si="7"/>
        <v/>
      </c>
      <c r="AJ7" t="str">
        <f t="shared" si="7"/>
        <v/>
      </c>
      <c r="AK7" s="12"/>
      <c r="AL7" s="94" t="e">
        <f t="shared" si="8"/>
        <v>#VALUE!</v>
      </c>
      <c r="AM7" s="94" t="e">
        <f t="shared" si="9"/>
        <v>#VALUE!</v>
      </c>
      <c r="AN7" s="12"/>
    </row>
    <row r="8" spans="1:40" ht="15.75" thickBot="1" x14ac:dyDescent="0.3">
      <c r="A8" s="12"/>
      <c r="B8" s="21"/>
      <c r="C8" s="21"/>
      <c r="D8" s="12"/>
      <c r="G8" s="12"/>
      <c r="K8" s="52"/>
      <c r="L8" s="53"/>
      <c r="M8" s="54"/>
      <c r="Q8" s="12"/>
      <c r="R8" s="45">
        <f t="shared" si="0"/>
        <v>0</v>
      </c>
      <c r="S8" s="46">
        <f t="shared" si="1"/>
        <v>0</v>
      </c>
      <c r="T8" s="41" t="str">
        <f t="shared" si="2"/>
        <v/>
      </c>
      <c r="V8" s="39" t="str">
        <f t="shared" si="3"/>
        <v/>
      </c>
      <c r="W8" s="39" t="str">
        <f t="shared" si="4"/>
        <v/>
      </c>
      <c r="X8" s="39" t="str">
        <f t="shared" si="5"/>
        <v/>
      </c>
      <c r="Z8" s="95">
        <f t="shared" si="6"/>
        <v>0</v>
      </c>
      <c r="AA8" s="12"/>
      <c r="AC8" s="128"/>
      <c r="AD8" s="66"/>
      <c r="AE8" s="128"/>
      <c r="AG8" s="128"/>
      <c r="AH8" s="12"/>
      <c r="AI8" t="str">
        <f t="shared" si="7"/>
        <v/>
      </c>
      <c r="AJ8" t="str">
        <f t="shared" si="7"/>
        <v/>
      </c>
      <c r="AK8" s="12"/>
      <c r="AL8" s="94" t="e">
        <f t="shared" si="8"/>
        <v>#VALUE!</v>
      </c>
      <c r="AM8" s="94" t="e">
        <f t="shared" si="9"/>
        <v>#VALUE!</v>
      </c>
      <c r="AN8" s="12"/>
    </row>
    <row r="9" spans="1:40" ht="15.75" thickBot="1" x14ac:dyDescent="0.3">
      <c r="A9" s="12"/>
      <c r="B9" s="21"/>
      <c r="C9" s="21"/>
      <c r="D9" s="12"/>
      <c r="G9" s="12"/>
      <c r="K9" s="52"/>
      <c r="L9" s="53"/>
      <c r="M9" s="54"/>
      <c r="Q9" s="12"/>
      <c r="R9" s="45">
        <f t="shared" si="0"/>
        <v>0</v>
      </c>
      <c r="S9" s="46">
        <f t="shared" si="1"/>
        <v>0</v>
      </c>
      <c r="T9" s="41" t="str">
        <f t="shared" si="2"/>
        <v/>
      </c>
      <c r="V9" s="39" t="str">
        <f t="shared" si="3"/>
        <v/>
      </c>
      <c r="W9" s="39" t="str">
        <f t="shared" si="4"/>
        <v/>
      </c>
      <c r="X9" s="39" t="str">
        <f t="shared" si="5"/>
        <v/>
      </c>
      <c r="Z9" s="95">
        <f t="shared" si="6"/>
        <v>0</v>
      </c>
      <c r="AA9" s="12"/>
      <c r="AC9" s="128"/>
      <c r="AD9" s="66"/>
      <c r="AE9" s="128"/>
      <c r="AG9" s="128"/>
      <c r="AH9" s="12"/>
      <c r="AI9" t="str">
        <f t="shared" si="7"/>
        <v/>
      </c>
      <c r="AJ9" t="str">
        <f t="shared" si="7"/>
        <v/>
      </c>
      <c r="AK9" s="12"/>
      <c r="AL9" s="94" t="e">
        <f t="shared" si="8"/>
        <v>#VALUE!</v>
      </c>
      <c r="AM9" s="94" t="e">
        <f t="shared" si="9"/>
        <v>#VALUE!</v>
      </c>
      <c r="AN9" s="12"/>
    </row>
    <row r="10" spans="1:40" ht="15.75" thickBot="1" x14ac:dyDescent="0.3">
      <c r="A10" s="12"/>
      <c r="B10" s="21"/>
      <c r="C10" s="21"/>
      <c r="D10" s="12"/>
      <c r="G10" s="12"/>
      <c r="K10" s="52"/>
      <c r="L10" s="53"/>
      <c r="M10" s="54"/>
      <c r="Q10" s="12"/>
      <c r="R10" s="45">
        <f t="shared" si="0"/>
        <v>0</v>
      </c>
      <c r="S10" s="46">
        <f t="shared" si="1"/>
        <v>0</v>
      </c>
      <c r="T10" s="41" t="str">
        <f t="shared" si="2"/>
        <v/>
      </c>
      <c r="V10" s="39" t="str">
        <f t="shared" si="3"/>
        <v/>
      </c>
      <c r="W10" s="39" t="str">
        <f t="shared" si="4"/>
        <v/>
      </c>
      <c r="X10" s="39" t="str">
        <f t="shared" si="5"/>
        <v/>
      </c>
      <c r="Z10" s="95">
        <f t="shared" si="6"/>
        <v>0</v>
      </c>
      <c r="AA10" s="12"/>
      <c r="AC10" s="128"/>
      <c r="AD10" s="66"/>
      <c r="AE10" s="128"/>
      <c r="AG10" s="128"/>
      <c r="AH10" s="12"/>
      <c r="AI10" t="str">
        <f t="shared" si="7"/>
        <v/>
      </c>
      <c r="AJ10" t="str">
        <f t="shared" si="7"/>
        <v/>
      </c>
      <c r="AK10" s="12"/>
      <c r="AL10" s="94" t="e">
        <f t="shared" si="8"/>
        <v>#VALUE!</v>
      </c>
      <c r="AM10" s="94" t="e">
        <f t="shared" si="9"/>
        <v>#VALUE!</v>
      </c>
      <c r="AN10" s="12"/>
    </row>
    <row r="11" spans="1:40" ht="15.75" thickBot="1" x14ac:dyDescent="0.3">
      <c r="A11" s="12"/>
      <c r="B11" s="21"/>
      <c r="C11" s="21"/>
      <c r="D11" s="12"/>
      <c r="G11" s="12"/>
      <c r="K11" s="52"/>
      <c r="L11" s="53"/>
      <c r="M11" s="54"/>
      <c r="Q11" s="12"/>
      <c r="R11" s="45">
        <f t="shared" si="0"/>
        <v>0</v>
      </c>
      <c r="S11" s="46">
        <f t="shared" si="1"/>
        <v>0</v>
      </c>
      <c r="T11" s="41" t="str">
        <f t="shared" si="2"/>
        <v/>
      </c>
      <c r="V11" s="39" t="str">
        <f t="shared" si="3"/>
        <v/>
      </c>
      <c r="W11" s="39" t="str">
        <f t="shared" si="4"/>
        <v/>
      </c>
      <c r="X11" s="39" t="str">
        <f t="shared" si="5"/>
        <v/>
      </c>
      <c r="Z11" s="95">
        <f t="shared" si="6"/>
        <v>0</v>
      </c>
      <c r="AA11" s="12"/>
      <c r="AC11" s="128"/>
      <c r="AD11" s="66"/>
      <c r="AE11" s="128"/>
      <c r="AG11" s="128"/>
      <c r="AH11" s="12"/>
      <c r="AI11" t="str">
        <f t="shared" si="7"/>
        <v/>
      </c>
      <c r="AJ11" t="str">
        <f t="shared" si="7"/>
        <v/>
      </c>
      <c r="AK11" s="12"/>
      <c r="AL11" s="94" t="e">
        <f t="shared" si="8"/>
        <v>#VALUE!</v>
      </c>
      <c r="AM11" s="94" t="e">
        <f t="shared" si="9"/>
        <v>#VALUE!</v>
      </c>
      <c r="AN11" s="12"/>
    </row>
    <row r="12" spans="1:40" ht="15.75" thickBot="1" x14ac:dyDescent="0.3">
      <c r="A12" s="12"/>
      <c r="B12" s="21"/>
      <c r="C12" s="21"/>
      <c r="D12" s="12"/>
      <c r="G12" s="12"/>
      <c r="K12" s="52"/>
      <c r="L12" s="53"/>
      <c r="M12" s="54"/>
      <c r="Q12" s="12"/>
      <c r="R12" s="45">
        <f t="shared" si="0"/>
        <v>0</v>
      </c>
      <c r="S12" s="46">
        <f t="shared" si="1"/>
        <v>0</v>
      </c>
      <c r="T12" s="41" t="str">
        <f t="shared" si="2"/>
        <v/>
      </c>
      <c r="V12" s="39" t="str">
        <f t="shared" si="3"/>
        <v/>
      </c>
      <c r="W12" s="39" t="str">
        <f t="shared" si="4"/>
        <v/>
      </c>
      <c r="X12" s="39" t="str">
        <f t="shared" si="5"/>
        <v/>
      </c>
      <c r="Z12" s="95">
        <f t="shared" si="6"/>
        <v>0</v>
      </c>
      <c r="AA12" s="12"/>
      <c r="AC12" s="128"/>
      <c r="AD12" s="66"/>
      <c r="AE12" s="128"/>
      <c r="AG12" s="128"/>
      <c r="AH12" s="12"/>
      <c r="AI12" t="str">
        <f t="shared" si="7"/>
        <v/>
      </c>
      <c r="AJ12" t="str">
        <f t="shared" si="7"/>
        <v/>
      </c>
      <c r="AK12" s="12"/>
      <c r="AL12" s="94" t="e">
        <f t="shared" si="8"/>
        <v>#VALUE!</v>
      </c>
      <c r="AM12" s="94" t="e">
        <f t="shared" si="9"/>
        <v>#VALUE!</v>
      </c>
      <c r="AN12" s="12"/>
    </row>
    <row r="13" spans="1:40" ht="15.75" thickBot="1" x14ac:dyDescent="0.3">
      <c r="A13" s="12"/>
      <c r="B13" s="21"/>
      <c r="C13" s="21"/>
      <c r="D13" s="12"/>
      <c r="G13" s="12"/>
      <c r="K13" s="52"/>
      <c r="L13" s="53"/>
      <c r="M13" s="54"/>
      <c r="Q13" s="12"/>
      <c r="R13" s="45">
        <f t="shared" si="0"/>
        <v>0</v>
      </c>
      <c r="S13" s="46">
        <f t="shared" si="1"/>
        <v>0</v>
      </c>
      <c r="T13" s="41" t="str">
        <f t="shared" si="2"/>
        <v/>
      </c>
      <c r="V13" s="39" t="str">
        <f t="shared" si="3"/>
        <v/>
      </c>
      <c r="W13" s="39" t="str">
        <f t="shared" si="4"/>
        <v/>
      </c>
      <c r="X13" s="39" t="str">
        <f t="shared" si="5"/>
        <v/>
      </c>
      <c r="Z13" s="95">
        <f t="shared" si="6"/>
        <v>0</v>
      </c>
      <c r="AA13" s="12"/>
      <c r="AC13" s="128"/>
      <c r="AD13" s="66"/>
      <c r="AE13" s="128"/>
      <c r="AG13" s="128"/>
      <c r="AH13" s="12"/>
      <c r="AI13" t="str">
        <f t="shared" si="7"/>
        <v/>
      </c>
      <c r="AJ13" t="str">
        <f t="shared" si="7"/>
        <v/>
      </c>
      <c r="AK13" s="12"/>
      <c r="AL13" s="94" t="e">
        <f t="shared" si="8"/>
        <v>#VALUE!</v>
      </c>
      <c r="AM13" s="94" t="e">
        <f t="shared" si="9"/>
        <v>#VALUE!</v>
      </c>
      <c r="AN13" s="12"/>
    </row>
    <row r="14" spans="1:40" ht="15.75" thickBot="1" x14ac:dyDescent="0.3">
      <c r="A14" s="12"/>
      <c r="B14" s="21"/>
      <c r="C14" s="21"/>
      <c r="D14" s="12"/>
      <c r="G14" s="12"/>
      <c r="K14" s="52"/>
      <c r="L14" s="53"/>
      <c r="M14" s="54"/>
      <c r="Q14" s="12"/>
      <c r="R14" s="45">
        <f t="shared" si="0"/>
        <v>0</v>
      </c>
      <c r="S14" s="46">
        <f t="shared" si="1"/>
        <v>0</v>
      </c>
      <c r="T14" s="41" t="str">
        <f t="shared" si="2"/>
        <v/>
      </c>
      <c r="V14" s="39" t="str">
        <f t="shared" si="3"/>
        <v/>
      </c>
      <c r="W14" s="39" t="str">
        <f t="shared" si="4"/>
        <v/>
      </c>
      <c r="X14" s="39" t="str">
        <f t="shared" si="5"/>
        <v/>
      </c>
      <c r="Z14" s="95">
        <f t="shared" si="6"/>
        <v>0</v>
      </c>
      <c r="AA14" s="12"/>
      <c r="AC14" s="128"/>
      <c r="AD14" s="66"/>
      <c r="AE14" s="128"/>
      <c r="AG14" s="128"/>
      <c r="AH14" s="12"/>
      <c r="AI14" t="str">
        <f t="shared" si="7"/>
        <v/>
      </c>
      <c r="AJ14" t="str">
        <f t="shared" si="7"/>
        <v/>
      </c>
      <c r="AK14" s="12"/>
      <c r="AL14" s="94" t="e">
        <f t="shared" si="8"/>
        <v>#VALUE!</v>
      </c>
      <c r="AM14" s="94" t="e">
        <f t="shared" si="9"/>
        <v>#VALUE!</v>
      </c>
      <c r="AN14" s="12"/>
    </row>
    <row r="15" spans="1:40" ht="15.75" thickBot="1" x14ac:dyDescent="0.3">
      <c r="A15" s="12"/>
      <c r="B15" s="21"/>
      <c r="C15" s="21"/>
      <c r="D15" s="12"/>
      <c r="G15" s="12"/>
      <c r="K15" s="52"/>
      <c r="L15" s="53"/>
      <c r="M15" s="54"/>
      <c r="Q15" s="12"/>
      <c r="R15" s="45">
        <f t="shared" si="0"/>
        <v>0</v>
      </c>
      <c r="S15" s="46">
        <f t="shared" si="1"/>
        <v>0</v>
      </c>
      <c r="T15" s="41" t="str">
        <f t="shared" si="2"/>
        <v/>
      </c>
      <c r="V15" s="39" t="str">
        <f t="shared" si="3"/>
        <v/>
      </c>
      <c r="W15" s="39" t="str">
        <f t="shared" si="4"/>
        <v/>
      </c>
      <c r="X15" s="39" t="str">
        <f t="shared" si="5"/>
        <v/>
      </c>
      <c r="Z15" s="95">
        <f t="shared" si="6"/>
        <v>0</v>
      </c>
      <c r="AA15" s="12"/>
      <c r="AC15" s="128"/>
      <c r="AD15" s="66"/>
      <c r="AE15" s="128"/>
      <c r="AG15" s="128"/>
      <c r="AH15" s="12"/>
      <c r="AI15" t="str">
        <f t="shared" si="7"/>
        <v/>
      </c>
      <c r="AJ15" t="str">
        <f t="shared" si="7"/>
        <v/>
      </c>
      <c r="AK15" s="12"/>
      <c r="AL15" s="94" t="e">
        <f t="shared" si="8"/>
        <v>#VALUE!</v>
      </c>
      <c r="AM15" s="94" t="e">
        <f t="shared" si="9"/>
        <v>#VALUE!</v>
      </c>
      <c r="AN15" s="12"/>
    </row>
    <row r="16" spans="1:40" ht="15.75" thickBot="1" x14ac:dyDescent="0.3">
      <c r="A16" s="12"/>
      <c r="B16" s="21"/>
      <c r="C16" s="21"/>
      <c r="D16" s="12"/>
      <c r="G16" s="12"/>
      <c r="K16" s="52"/>
      <c r="L16" s="53"/>
      <c r="M16" s="54"/>
      <c r="Q16" s="12"/>
      <c r="R16" s="45">
        <f t="shared" si="0"/>
        <v>0</v>
      </c>
      <c r="S16" s="46">
        <f t="shared" si="1"/>
        <v>0</v>
      </c>
      <c r="T16" s="41" t="str">
        <f t="shared" si="2"/>
        <v/>
      </c>
      <c r="V16" s="39" t="str">
        <f t="shared" si="3"/>
        <v/>
      </c>
      <c r="W16" s="39" t="str">
        <f t="shared" si="4"/>
        <v/>
      </c>
      <c r="X16" s="39" t="str">
        <f t="shared" si="5"/>
        <v/>
      </c>
      <c r="Z16" s="95">
        <f t="shared" si="6"/>
        <v>0</v>
      </c>
      <c r="AA16" s="12"/>
      <c r="AC16" s="128"/>
      <c r="AD16" s="66"/>
      <c r="AE16" s="128"/>
      <c r="AG16" s="128"/>
      <c r="AH16" s="12"/>
      <c r="AI16" t="str">
        <f t="shared" si="7"/>
        <v/>
      </c>
      <c r="AJ16" t="str">
        <f t="shared" si="7"/>
        <v/>
      </c>
      <c r="AK16" s="12"/>
      <c r="AL16" s="94" t="e">
        <f t="shared" si="8"/>
        <v>#VALUE!</v>
      </c>
      <c r="AM16" s="94" t="e">
        <f t="shared" si="9"/>
        <v>#VALUE!</v>
      </c>
      <c r="AN16" s="12"/>
    </row>
    <row r="17" spans="1:40" ht="15.75" thickBot="1" x14ac:dyDescent="0.3">
      <c r="A17" s="12"/>
      <c r="B17" s="21"/>
      <c r="C17" s="21"/>
      <c r="D17" s="12"/>
      <c r="G17" s="12"/>
      <c r="K17" s="52"/>
      <c r="L17" s="53"/>
      <c r="M17" s="54"/>
      <c r="Q17" s="12"/>
      <c r="R17" s="45">
        <f t="shared" si="0"/>
        <v>0</v>
      </c>
      <c r="S17" s="46">
        <f t="shared" si="1"/>
        <v>0</v>
      </c>
      <c r="T17" s="41" t="str">
        <f t="shared" si="2"/>
        <v/>
      </c>
      <c r="V17" s="39" t="str">
        <f t="shared" si="3"/>
        <v/>
      </c>
      <c r="W17" s="39" t="str">
        <f t="shared" si="4"/>
        <v/>
      </c>
      <c r="X17" s="39" t="str">
        <f t="shared" si="5"/>
        <v/>
      </c>
      <c r="Z17" s="95">
        <f t="shared" si="6"/>
        <v>0</v>
      </c>
      <c r="AA17" s="12"/>
      <c r="AC17" s="128"/>
      <c r="AD17" s="66"/>
      <c r="AE17" s="128"/>
      <c r="AG17" s="128"/>
      <c r="AH17" s="12"/>
      <c r="AI17" t="str">
        <f t="shared" si="7"/>
        <v/>
      </c>
      <c r="AJ17" t="str">
        <f t="shared" si="7"/>
        <v/>
      </c>
      <c r="AK17" s="12"/>
      <c r="AL17" s="94" t="e">
        <f t="shared" si="8"/>
        <v>#VALUE!</v>
      </c>
      <c r="AM17" s="94" t="e">
        <f t="shared" si="9"/>
        <v>#VALUE!</v>
      </c>
      <c r="AN17" s="12"/>
    </row>
    <row r="18" spans="1:40" ht="15.75" thickBot="1" x14ac:dyDescent="0.3">
      <c r="A18" s="12"/>
      <c r="B18" s="21"/>
      <c r="C18" s="21"/>
      <c r="D18" s="12"/>
      <c r="G18" s="12"/>
      <c r="K18" s="52"/>
      <c r="L18" s="53"/>
      <c r="M18" s="54"/>
      <c r="Q18" s="12"/>
      <c r="R18" s="45">
        <f t="shared" si="0"/>
        <v>0</v>
      </c>
      <c r="S18" s="46">
        <f t="shared" si="1"/>
        <v>0</v>
      </c>
      <c r="T18" s="41" t="str">
        <f t="shared" si="2"/>
        <v/>
      </c>
      <c r="V18" s="39" t="str">
        <f t="shared" si="3"/>
        <v/>
      </c>
      <c r="W18" s="39" t="str">
        <f t="shared" si="4"/>
        <v/>
      </c>
      <c r="X18" s="39" t="str">
        <f t="shared" si="5"/>
        <v/>
      </c>
      <c r="Z18" s="95">
        <f t="shared" si="6"/>
        <v>0</v>
      </c>
      <c r="AA18" s="12"/>
      <c r="AC18" s="128"/>
      <c r="AD18" s="66"/>
      <c r="AE18" s="128"/>
      <c r="AG18" s="128"/>
      <c r="AH18" s="12"/>
      <c r="AI18" t="str">
        <f t="shared" si="7"/>
        <v/>
      </c>
      <c r="AJ18" t="str">
        <f t="shared" si="7"/>
        <v/>
      </c>
      <c r="AK18" s="12"/>
      <c r="AL18" s="94" t="e">
        <f t="shared" si="8"/>
        <v>#VALUE!</v>
      </c>
      <c r="AM18" s="94" t="e">
        <f t="shared" si="9"/>
        <v>#VALUE!</v>
      </c>
      <c r="AN18" s="12"/>
    </row>
    <row r="19" spans="1:40" ht="15.75" thickBot="1" x14ac:dyDescent="0.3">
      <c r="A19" s="12"/>
      <c r="B19" s="21"/>
      <c r="C19" s="21"/>
      <c r="D19" s="12"/>
      <c r="G19" s="12"/>
      <c r="K19" s="52"/>
      <c r="L19" s="53"/>
      <c r="M19" s="54"/>
      <c r="Q19" s="12"/>
      <c r="R19" s="45">
        <f t="shared" si="0"/>
        <v>0</v>
      </c>
      <c r="S19" s="46">
        <f t="shared" si="1"/>
        <v>0</v>
      </c>
      <c r="T19" s="41" t="str">
        <f t="shared" si="2"/>
        <v/>
      </c>
      <c r="V19" s="39" t="str">
        <f t="shared" si="3"/>
        <v/>
      </c>
      <c r="W19" s="39" t="str">
        <f t="shared" si="4"/>
        <v/>
      </c>
      <c r="X19" s="39" t="str">
        <f t="shared" si="5"/>
        <v/>
      </c>
      <c r="Z19" s="95">
        <f t="shared" si="6"/>
        <v>0</v>
      </c>
      <c r="AA19" s="12"/>
      <c r="AC19" s="128"/>
      <c r="AD19" s="66"/>
      <c r="AE19" s="128"/>
      <c r="AG19" s="128"/>
      <c r="AH19" s="12"/>
      <c r="AI19" t="str">
        <f t="shared" si="7"/>
        <v/>
      </c>
      <c r="AJ19" t="str">
        <f t="shared" si="7"/>
        <v/>
      </c>
      <c r="AK19" s="12"/>
      <c r="AL19" s="94" t="e">
        <f t="shared" si="8"/>
        <v>#VALUE!</v>
      </c>
      <c r="AM19" s="94" t="e">
        <f t="shared" si="9"/>
        <v>#VALUE!</v>
      </c>
      <c r="AN19" s="12"/>
    </row>
    <row r="20" spans="1:40" ht="15.75" thickBot="1" x14ac:dyDescent="0.3">
      <c r="A20" s="12"/>
      <c r="B20" s="21"/>
      <c r="C20" s="21"/>
      <c r="D20" s="12"/>
      <c r="G20" s="12"/>
      <c r="K20" s="52"/>
      <c r="L20" s="53"/>
      <c r="M20" s="54"/>
      <c r="Q20" s="12"/>
      <c r="R20" s="45">
        <f t="shared" si="0"/>
        <v>0</v>
      </c>
      <c r="S20" s="46">
        <f t="shared" si="1"/>
        <v>0</v>
      </c>
      <c r="T20" s="41" t="str">
        <f t="shared" si="2"/>
        <v/>
      </c>
      <c r="V20" s="39" t="str">
        <f t="shared" si="3"/>
        <v/>
      </c>
      <c r="W20" s="39" t="str">
        <f t="shared" si="4"/>
        <v/>
      </c>
      <c r="X20" s="39" t="str">
        <f t="shared" si="5"/>
        <v/>
      </c>
      <c r="Z20" s="95">
        <f t="shared" si="6"/>
        <v>0</v>
      </c>
      <c r="AA20" s="12"/>
      <c r="AC20" s="128"/>
      <c r="AD20" s="66"/>
      <c r="AE20" s="128"/>
      <c r="AG20" s="128"/>
      <c r="AH20" s="12"/>
      <c r="AI20" t="str">
        <f t="shared" si="7"/>
        <v/>
      </c>
      <c r="AJ20" t="str">
        <f t="shared" si="7"/>
        <v/>
      </c>
      <c r="AK20" s="12"/>
      <c r="AL20" s="94" t="e">
        <f t="shared" si="8"/>
        <v>#VALUE!</v>
      </c>
      <c r="AM20" s="94" t="e">
        <f t="shared" si="9"/>
        <v>#VALUE!</v>
      </c>
      <c r="AN20" s="12"/>
    </row>
    <row r="21" spans="1:40" ht="15.75" thickBot="1" x14ac:dyDescent="0.3">
      <c r="A21" s="12"/>
      <c r="B21" s="21"/>
      <c r="C21" s="21"/>
      <c r="D21" s="12"/>
      <c r="G21" s="12"/>
      <c r="K21" s="52"/>
      <c r="L21" s="53"/>
      <c r="M21" s="54"/>
      <c r="Q21" s="12"/>
      <c r="R21" s="45">
        <f t="shared" si="0"/>
        <v>0</v>
      </c>
      <c r="S21" s="46">
        <f t="shared" si="1"/>
        <v>0</v>
      </c>
      <c r="T21" s="41" t="str">
        <f t="shared" si="2"/>
        <v/>
      </c>
      <c r="V21" s="39" t="str">
        <f t="shared" si="3"/>
        <v/>
      </c>
      <c r="W21" s="39" t="str">
        <f t="shared" si="4"/>
        <v/>
      </c>
      <c r="X21" s="39" t="str">
        <f t="shared" si="5"/>
        <v/>
      </c>
      <c r="Z21" s="95">
        <f t="shared" si="6"/>
        <v>0</v>
      </c>
      <c r="AA21" s="12"/>
      <c r="AC21" s="128"/>
      <c r="AD21" s="66"/>
      <c r="AE21" s="128"/>
      <c r="AG21" s="128"/>
      <c r="AH21" s="12"/>
      <c r="AI21" t="str">
        <f t="shared" si="7"/>
        <v/>
      </c>
      <c r="AJ21" t="str">
        <f t="shared" si="7"/>
        <v/>
      </c>
      <c r="AK21" s="12"/>
      <c r="AL21" s="94" t="e">
        <f t="shared" si="8"/>
        <v>#VALUE!</v>
      </c>
      <c r="AM21" s="94" t="e">
        <f t="shared" si="9"/>
        <v>#VALUE!</v>
      </c>
      <c r="AN21" s="12"/>
    </row>
    <row r="22" spans="1:40" ht="15.75" thickBot="1" x14ac:dyDescent="0.3">
      <c r="A22" s="12"/>
      <c r="B22" s="21"/>
      <c r="C22" s="21"/>
      <c r="D22" s="12"/>
      <c r="G22" s="12"/>
      <c r="K22" s="52"/>
      <c r="L22" s="53"/>
      <c r="M22" s="54"/>
      <c r="Q22" s="12"/>
      <c r="R22" s="45">
        <f t="shared" si="0"/>
        <v>0</v>
      </c>
      <c r="S22" s="46">
        <f t="shared" si="1"/>
        <v>0</v>
      </c>
      <c r="T22" s="41" t="str">
        <f t="shared" si="2"/>
        <v/>
      </c>
      <c r="V22" s="39" t="str">
        <f t="shared" si="3"/>
        <v/>
      </c>
      <c r="W22" s="39" t="str">
        <f t="shared" si="4"/>
        <v/>
      </c>
      <c r="X22" s="39" t="str">
        <f t="shared" si="5"/>
        <v/>
      </c>
      <c r="Z22" s="95">
        <f t="shared" si="6"/>
        <v>0</v>
      </c>
      <c r="AA22" s="12"/>
      <c r="AC22" s="128"/>
      <c r="AD22" s="66"/>
      <c r="AE22" s="128"/>
      <c r="AG22" s="128"/>
      <c r="AH22" s="12"/>
      <c r="AI22" t="str">
        <f t="shared" si="7"/>
        <v/>
      </c>
      <c r="AJ22" t="str">
        <f t="shared" si="7"/>
        <v/>
      </c>
      <c r="AK22" s="12"/>
      <c r="AL22" s="94" t="e">
        <f t="shared" si="8"/>
        <v>#VALUE!</v>
      </c>
      <c r="AM22" s="94" t="e">
        <f t="shared" si="9"/>
        <v>#VALUE!</v>
      </c>
      <c r="AN22" s="12"/>
    </row>
    <row r="23" spans="1:40" ht="15.75" thickBot="1" x14ac:dyDescent="0.3">
      <c r="A23" s="12"/>
      <c r="B23" s="21"/>
      <c r="C23" s="21"/>
      <c r="D23" s="12"/>
      <c r="G23" s="12"/>
      <c r="K23" s="52"/>
      <c r="L23" s="53"/>
      <c r="M23" s="54"/>
      <c r="Q23" s="12"/>
      <c r="R23" s="45">
        <f t="shared" si="0"/>
        <v>0</v>
      </c>
      <c r="S23" s="46">
        <f t="shared" si="1"/>
        <v>0</v>
      </c>
      <c r="T23" s="41" t="str">
        <f t="shared" si="2"/>
        <v/>
      </c>
      <c r="V23" s="39" t="str">
        <f t="shared" si="3"/>
        <v/>
      </c>
      <c r="W23" s="39" t="str">
        <f t="shared" si="4"/>
        <v/>
      </c>
      <c r="X23" s="39" t="str">
        <f t="shared" si="5"/>
        <v/>
      </c>
      <c r="Z23" s="95">
        <f t="shared" si="6"/>
        <v>0</v>
      </c>
      <c r="AA23" s="12"/>
      <c r="AC23" s="128"/>
      <c r="AD23" s="66"/>
      <c r="AE23" s="128"/>
      <c r="AG23" s="128"/>
      <c r="AH23" s="12"/>
      <c r="AI23" t="str">
        <f t="shared" si="7"/>
        <v/>
      </c>
      <c r="AJ23" t="str">
        <f t="shared" si="7"/>
        <v/>
      </c>
      <c r="AK23" s="12"/>
      <c r="AL23" s="94" t="e">
        <f t="shared" si="8"/>
        <v>#VALUE!</v>
      </c>
      <c r="AM23" s="94" t="e">
        <f t="shared" si="9"/>
        <v>#VALUE!</v>
      </c>
      <c r="AN23" s="12"/>
    </row>
    <row r="24" spans="1:40" ht="15.75" thickBot="1" x14ac:dyDescent="0.3">
      <c r="A24" s="12"/>
      <c r="B24" s="21"/>
      <c r="C24" s="21"/>
      <c r="D24" s="12"/>
      <c r="G24" s="12"/>
      <c r="K24" s="52"/>
      <c r="L24" s="53"/>
      <c r="M24" s="54"/>
      <c r="Q24" s="12"/>
      <c r="R24" s="45">
        <f t="shared" si="0"/>
        <v>0</v>
      </c>
      <c r="S24" s="46">
        <f t="shared" si="1"/>
        <v>0</v>
      </c>
      <c r="T24" s="41" t="str">
        <f t="shared" si="2"/>
        <v/>
      </c>
      <c r="V24" s="39" t="str">
        <f t="shared" si="3"/>
        <v/>
      </c>
      <c r="W24" s="39" t="str">
        <f t="shared" si="4"/>
        <v/>
      </c>
      <c r="X24" s="39" t="str">
        <f t="shared" si="5"/>
        <v/>
      </c>
      <c r="Z24" s="95">
        <f t="shared" si="6"/>
        <v>0</v>
      </c>
      <c r="AA24" s="12"/>
      <c r="AC24" s="128"/>
      <c r="AD24" s="66"/>
      <c r="AE24" s="128"/>
      <c r="AG24" s="128"/>
      <c r="AH24" s="12"/>
      <c r="AI24" t="str">
        <f t="shared" si="7"/>
        <v/>
      </c>
      <c r="AJ24" t="str">
        <f t="shared" si="7"/>
        <v/>
      </c>
      <c r="AK24" s="12"/>
      <c r="AL24" s="94" t="e">
        <f t="shared" si="8"/>
        <v>#VALUE!</v>
      </c>
      <c r="AM24" s="94" t="e">
        <f t="shared" si="9"/>
        <v>#VALUE!</v>
      </c>
      <c r="AN24" s="12"/>
    </row>
    <row r="25" spans="1:40" ht="15.75" thickBot="1" x14ac:dyDescent="0.3">
      <c r="A25" s="12"/>
      <c r="B25" s="21"/>
      <c r="C25" s="21"/>
      <c r="D25" s="12"/>
      <c r="G25" s="12"/>
      <c r="K25" s="52"/>
      <c r="L25" s="53"/>
      <c r="M25" s="54"/>
      <c r="Q25" s="12"/>
      <c r="R25" s="45">
        <f t="shared" si="0"/>
        <v>0</v>
      </c>
      <c r="S25" s="46">
        <f t="shared" si="1"/>
        <v>0</v>
      </c>
      <c r="T25" s="41" t="str">
        <f t="shared" si="2"/>
        <v/>
      </c>
      <c r="V25" s="39" t="str">
        <f t="shared" si="3"/>
        <v/>
      </c>
      <c r="W25" s="39" t="str">
        <f t="shared" si="4"/>
        <v/>
      </c>
      <c r="X25" s="39" t="str">
        <f t="shared" si="5"/>
        <v/>
      </c>
      <c r="Z25" s="95">
        <f t="shared" si="6"/>
        <v>0</v>
      </c>
      <c r="AA25" s="12"/>
      <c r="AC25" s="128"/>
      <c r="AD25" s="66"/>
      <c r="AE25" s="128"/>
      <c r="AG25" s="128"/>
      <c r="AH25" s="12"/>
      <c r="AI25" t="str">
        <f t="shared" si="7"/>
        <v/>
      </c>
      <c r="AJ25" t="str">
        <f t="shared" si="7"/>
        <v/>
      </c>
      <c r="AK25" s="12"/>
      <c r="AL25" s="94" t="e">
        <f t="shared" si="8"/>
        <v>#VALUE!</v>
      </c>
      <c r="AM25" s="94" t="e">
        <f t="shared" si="9"/>
        <v>#VALUE!</v>
      </c>
      <c r="AN25" s="12"/>
    </row>
    <row r="26" spans="1:40" ht="15.75" thickBot="1" x14ac:dyDescent="0.3">
      <c r="A26" s="12"/>
      <c r="B26" s="21"/>
      <c r="C26" s="21"/>
      <c r="D26" s="12"/>
      <c r="G26" s="12"/>
      <c r="K26" s="52"/>
      <c r="L26" s="53"/>
      <c r="M26" s="54"/>
      <c r="Q26" s="12"/>
      <c r="R26" s="45">
        <f t="shared" si="0"/>
        <v>0</v>
      </c>
      <c r="S26" s="46">
        <f t="shared" si="1"/>
        <v>0</v>
      </c>
      <c r="T26" s="41" t="str">
        <f t="shared" si="2"/>
        <v/>
      </c>
      <c r="V26" s="39" t="str">
        <f t="shared" si="3"/>
        <v/>
      </c>
      <c r="W26" s="39" t="str">
        <f t="shared" si="4"/>
        <v/>
      </c>
      <c r="X26" s="39" t="str">
        <f t="shared" si="5"/>
        <v/>
      </c>
      <c r="Z26" s="95">
        <f t="shared" si="6"/>
        <v>0</v>
      </c>
      <c r="AA26" s="12"/>
      <c r="AC26" s="128"/>
      <c r="AD26" s="66"/>
      <c r="AE26" s="128"/>
      <c r="AG26" s="128"/>
      <c r="AH26" s="12"/>
      <c r="AI26" t="str">
        <f t="shared" si="7"/>
        <v/>
      </c>
      <c r="AJ26" t="str">
        <f t="shared" si="7"/>
        <v/>
      </c>
      <c r="AK26" s="12"/>
      <c r="AL26" s="94" t="e">
        <f t="shared" si="8"/>
        <v>#VALUE!</v>
      </c>
      <c r="AM26" s="94" t="e">
        <f t="shared" si="9"/>
        <v>#VALUE!</v>
      </c>
      <c r="AN26" s="12"/>
    </row>
    <row r="27" spans="1:40" ht="15.75" thickBot="1" x14ac:dyDescent="0.3">
      <c r="A27" s="12"/>
      <c r="B27" s="21"/>
      <c r="C27" s="21"/>
      <c r="D27" s="12"/>
      <c r="G27" s="12"/>
      <c r="K27" s="52"/>
      <c r="L27" s="53"/>
      <c r="M27" s="54"/>
      <c r="Q27" s="12"/>
      <c r="R27" s="45">
        <f t="shared" si="0"/>
        <v>0</v>
      </c>
      <c r="S27" s="46">
        <f t="shared" si="1"/>
        <v>0</v>
      </c>
      <c r="T27" s="41" t="str">
        <f t="shared" si="2"/>
        <v/>
      </c>
      <c r="V27" s="39" t="str">
        <f t="shared" si="3"/>
        <v/>
      </c>
      <c r="W27" s="39" t="str">
        <f t="shared" si="4"/>
        <v/>
      </c>
      <c r="X27" s="39" t="str">
        <f t="shared" si="5"/>
        <v/>
      </c>
      <c r="Z27" s="95">
        <f t="shared" si="6"/>
        <v>0</v>
      </c>
      <c r="AA27" s="12"/>
      <c r="AC27" s="128"/>
      <c r="AD27" s="66"/>
      <c r="AE27" s="128"/>
      <c r="AG27" s="128"/>
      <c r="AH27" s="12"/>
      <c r="AI27" t="str">
        <f t="shared" si="7"/>
        <v/>
      </c>
      <c r="AJ27" t="str">
        <f t="shared" si="7"/>
        <v/>
      </c>
      <c r="AK27" s="12"/>
      <c r="AL27" s="94" t="e">
        <f t="shared" si="8"/>
        <v>#VALUE!</v>
      </c>
      <c r="AM27" s="94" t="e">
        <f t="shared" si="9"/>
        <v>#VALUE!</v>
      </c>
      <c r="AN27" s="12"/>
    </row>
    <row r="28" spans="1:40" ht="15.75" thickBot="1" x14ac:dyDescent="0.3">
      <c r="A28" s="12"/>
      <c r="B28" s="21"/>
      <c r="C28" s="21"/>
      <c r="D28" s="12"/>
      <c r="G28" s="12"/>
      <c r="K28" s="52"/>
      <c r="L28" s="53"/>
      <c r="M28" s="54"/>
      <c r="Q28" s="12"/>
      <c r="R28" s="45">
        <f t="shared" si="0"/>
        <v>0</v>
      </c>
      <c r="S28" s="46">
        <f t="shared" si="1"/>
        <v>0</v>
      </c>
      <c r="T28" s="41" t="str">
        <f t="shared" si="2"/>
        <v/>
      </c>
      <c r="V28" s="39" t="str">
        <f t="shared" si="3"/>
        <v/>
      </c>
      <c r="W28" s="39" t="str">
        <f t="shared" si="4"/>
        <v/>
      </c>
      <c r="X28" s="39" t="str">
        <f t="shared" si="5"/>
        <v/>
      </c>
      <c r="Z28" s="95">
        <f t="shared" si="6"/>
        <v>0</v>
      </c>
      <c r="AA28" s="12"/>
      <c r="AC28" s="128"/>
      <c r="AD28" s="66"/>
      <c r="AE28" s="128"/>
      <c r="AG28" s="128"/>
      <c r="AH28" s="12"/>
      <c r="AI28" t="str">
        <f t="shared" si="7"/>
        <v/>
      </c>
      <c r="AJ28" t="str">
        <f t="shared" si="7"/>
        <v/>
      </c>
      <c r="AK28" s="12"/>
      <c r="AL28" s="94" t="e">
        <f t="shared" si="8"/>
        <v>#VALUE!</v>
      </c>
      <c r="AM28" s="94" t="e">
        <f t="shared" si="9"/>
        <v>#VALUE!</v>
      </c>
      <c r="AN28" s="12"/>
    </row>
    <row r="29" spans="1:40" ht="15.75" thickBot="1" x14ac:dyDescent="0.3">
      <c r="A29" s="12"/>
      <c r="B29" s="21"/>
      <c r="C29" s="21"/>
      <c r="D29" s="12"/>
      <c r="G29" s="12"/>
      <c r="K29" s="52"/>
      <c r="L29" s="53"/>
      <c r="M29" s="54"/>
      <c r="Q29" s="12"/>
      <c r="R29" s="45">
        <f t="shared" si="0"/>
        <v>0</v>
      </c>
      <c r="S29" s="46">
        <f t="shared" si="1"/>
        <v>0</v>
      </c>
      <c r="T29" s="41" t="str">
        <f t="shared" si="2"/>
        <v/>
      </c>
      <c r="V29" s="39" t="str">
        <f t="shared" si="3"/>
        <v/>
      </c>
      <c r="W29" s="39" t="str">
        <f t="shared" si="4"/>
        <v/>
      </c>
      <c r="X29" s="39" t="str">
        <f t="shared" si="5"/>
        <v/>
      </c>
      <c r="Z29" s="95">
        <f t="shared" si="6"/>
        <v>0</v>
      </c>
      <c r="AA29" s="12"/>
      <c r="AC29" s="128"/>
      <c r="AD29" s="66"/>
      <c r="AE29" s="128"/>
      <c r="AG29" s="128"/>
      <c r="AH29" s="12"/>
      <c r="AI29" t="str">
        <f t="shared" si="7"/>
        <v/>
      </c>
      <c r="AJ29" t="str">
        <f t="shared" si="7"/>
        <v/>
      </c>
      <c r="AK29" s="12"/>
      <c r="AL29" s="94" t="e">
        <f t="shared" si="8"/>
        <v>#VALUE!</v>
      </c>
      <c r="AM29" s="94" t="e">
        <f t="shared" si="9"/>
        <v>#VALUE!</v>
      </c>
      <c r="AN29" s="12"/>
    </row>
    <row r="30" spans="1:40" ht="15.75" thickBot="1" x14ac:dyDescent="0.3">
      <c r="A30" s="12"/>
      <c r="B30" s="21"/>
      <c r="C30" s="21"/>
      <c r="D30" s="12"/>
      <c r="G30" s="12"/>
      <c r="K30" s="52"/>
      <c r="L30" s="53"/>
      <c r="M30" s="54"/>
      <c r="Q30" s="12"/>
      <c r="R30" s="45">
        <f t="shared" si="0"/>
        <v>0</v>
      </c>
      <c r="S30" s="46">
        <f t="shared" si="1"/>
        <v>0</v>
      </c>
      <c r="T30" s="41" t="str">
        <f t="shared" si="2"/>
        <v/>
      </c>
      <c r="V30" s="39" t="str">
        <f t="shared" si="3"/>
        <v/>
      </c>
      <c r="W30" s="39" t="str">
        <f t="shared" si="4"/>
        <v/>
      </c>
      <c r="X30" s="39" t="str">
        <f t="shared" si="5"/>
        <v/>
      </c>
      <c r="Z30" s="95">
        <f t="shared" si="6"/>
        <v>0</v>
      </c>
      <c r="AA30" s="12"/>
      <c r="AC30" s="128"/>
      <c r="AD30" s="66"/>
      <c r="AE30" s="128"/>
      <c r="AG30" s="128"/>
      <c r="AH30" s="12"/>
      <c r="AI30" t="str">
        <f t="shared" si="7"/>
        <v/>
      </c>
      <c r="AJ30" t="str">
        <f t="shared" si="7"/>
        <v/>
      </c>
      <c r="AK30" s="12"/>
      <c r="AL30" s="94" t="e">
        <f t="shared" si="8"/>
        <v>#VALUE!</v>
      </c>
      <c r="AM30" s="94" t="e">
        <f t="shared" si="9"/>
        <v>#VALUE!</v>
      </c>
      <c r="AN30" s="12"/>
    </row>
    <row r="31" spans="1:40" ht="15.75" thickBot="1" x14ac:dyDescent="0.3">
      <c r="A31" s="12"/>
      <c r="B31" s="21"/>
      <c r="C31" s="21"/>
      <c r="D31" s="12"/>
      <c r="G31" s="12"/>
      <c r="K31" s="52"/>
      <c r="L31" s="53"/>
      <c r="M31" s="54"/>
      <c r="Q31" s="12"/>
      <c r="R31" s="45">
        <f t="shared" si="0"/>
        <v>0</v>
      </c>
      <c r="S31" s="46">
        <f t="shared" si="1"/>
        <v>0</v>
      </c>
      <c r="T31" s="41" t="str">
        <f t="shared" si="2"/>
        <v/>
      </c>
      <c r="V31" s="39" t="str">
        <f t="shared" si="3"/>
        <v/>
      </c>
      <c r="W31" s="39" t="str">
        <f t="shared" si="4"/>
        <v/>
      </c>
      <c r="X31" s="39" t="str">
        <f t="shared" si="5"/>
        <v/>
      </c>
      <c r="Z31" s="95">
        <f t="shared" si="6"/>
        <v>0</v>
      </c>
      <c r="AA31" s="12"/>
      <c r="AC31" s="128"/>
      <c r="AD31" s="66"/>
      <c r="AE31" s="128"/>
      <c r="AG31" s="128"/>
      <c r="AH31" s="12"/>
      <c r="AI31" t="str">
        <f t="shared" si="7"/>
        <v/>
      </c>
      <c r="AJ31" t="str">
        <f t="shared" si="7"/>
        <v/>
      </c>
      <c r="AK31" s="12"/>
      <c r="AL31" s="94" t="e">
        <f t="shared" si="8"/>
        <v>#VALUE!</v>
      </c>
      <c r="AM31" s="94" t="e">
        <f t="shared" si="9"/>
        <v>#VALUE!</v>
      </c>
      <c r="AN31" s="12"/>
    </row>
    <row r="32" spans="1:40" ht="15.75" thickBot="1" x14ac:dyDescent="0.3">
      <c r="A32" s="12"/>
      <c r="B32" s="21"/>
      <c r="C32" s="21"/>
      <c r="D32" s="12"/>
      <c r="G32" s="12"/>
      <c r="K32" s="52"/>
      <c r="L32" s="53"/>
      <c r="M32" s="54"/>
      <c r="Q32" s="12"/>
      <c r="R32" s="45">
        <f t="shared" si="0"/>
        <v>0</v>
      </c>
      <c r="S32" s="46">
        <f t="shared" si="1"/>
        <v>0</v>
      </c>
      <c r="T32" s="41" t="str">
        <f t="shared" si="2"/>
        <v/>
      </c>
      <c r="V32" s="39" t="str">
        <f t="shared" si="3"/>
        <v/>
      </c>
      <c r="W32" s="39" t="str">
        <f t="shared" si="4"/>
        <v/>
      </c>
      <c r="X32" s="39" t="str">
        <f t="shared" si="5"/>
        <v/>
      </c>
      <c r="Z32" s="95">
        <f t="shared" si="6"/>
        <v>0</v>
      </c>
      <c r="AA32" s="12"/>
      <c r="AC32" s="128"/>
      <c r="AD32" s="66"/>
      <c r="AE32" s="128"/>
      <c r="AG32" s="128"/>
      <c r="AH32" s="12"/>
      <c r="AI32" t="str">
        <f t="shared" si="7"/>
        <v/>
      </c>
      <c r="AJ32" t="str">
        <f t="shared" si="7"/>
        <v/>
      </c>
      <c r="AK32" s="12"/>
      <c r="AL32" s="94" t="e">
        <f t="shared" si="8"/>
        <v>#VALUE!</v>
      </c>
      <c r="AM32" s="94" t="e">
        <f t="shared" si="9"/>
        <v>#VALUE!</v>
      </c>
      <c r="AN32" s="12"/>
    </row>
    <row r="33" spans="1:40" ht="15.75" thickBot="1" x14ac:dyDescent="0.3">
      <c r="A33" s="12"/>
      <c r="B33" s="21"/>
      <c r="C33" s="21"/>
      <c r="D33" s="12"/>
      <c r="G33" s="12"/>
      <c r="K33" s="52"/>
      <c r="L33" s="53"/>
      <c r="M33" s="54"/>
      <c r="Q33" s="12"/>
      <c r="R33" s="45">
        <f t="shared" si="0"/>
        <v>0</v>
      </c>
      <c r="S33" s="46">
        <f t="shared" si="1"/>
        <v>0</v>
      </c>
      <c r="T33" s="41" t="str">
        <f t="shared" si="2"/>
        <v/>
      </c>
      <c r="V33" s="39" t="str">
        <f t="shared" si="3"/>
        <v/>
      </c>
      <c r="W33" s="39" t="str">
        <f t="shared" si="4"/>
        <v/>
      </c>
      <c r="X33" s="39" t="str">
        <f t="shared" si="5"/>
        <v/>
      </c>
      <c r="Z33" s="95">
        <f t="shared" si="6"/>
        <v>0</v>
      </c>
      <c r="AA33" s="12"/>
      <c r="AC33" s="128"/>
      <c r="AD33" s="66"/>
      <c r="AE33" s="128"/>
      <c r="AG33" s="128"/>
      <c r="AH33" s="12"/>
      <c r="AI33" t="str">
        <f t="shared" si="7"/>
        <v/>
      </c>
      <c r="AJ33" t="str">
        <f t="shared" si="7"/>
        <v/>
      </c>
      <c r="AK33" s="12"/>
      <c r="AL33" s="94" t="e">
        <f t="shared" si="8"/>
        <v>#VALUE!</v>
      </c>
      <c r="AM33" s="94" t="e">
        <f t="shared" si="9"/>
        <v>#VALUE!</v>
      </c>
      <c r="AN33" s="12"/>
    </row>
    <row r="34" spans="1:40" ht="15.75" thickBot="1" x14ac:dyDescent="0.3">
      <c r="A34" s="12"/>
      <c r="B34" s="21"/>
      <c r="C34" s="21"/>
      <c r="D34" s="12"/>
      <c r="G34" s="12"/>
      <c r="K34" s="52"/>
      <c r="L34" s="53"/>
      <c r="M34" s="54"/>
      <c r="Q34" s="12"/>
      <c r="R34" s="45">
        <f t="shared" si="0"/>
        <v>0</v>
      </c>
      <c r="S34" s="46">
        <f t="shared" si="1"/>
        <v>0</v>
      </c>
      <c r="T34" s="41" t="str">
        <f t="shared" si="2"/>
        <v/>
      </c>
      <c r="V34" s="39" t="str">
        <f t="shared" si="3"/>
        <v/>
      </c>
      <c r="W34" s="39" t="str">
        <f t="shared" si="4"/>
        <v/>
      </c>
      <c r="X34" s="39" t="str">
        <f t="shared" si="5"/>
        <v/>
      </c>
      <c r="Z34" s="95">
        <f t="shared" si="6"/>
        <v>0</v>
      </c>
      <c r="AA34" s="12"/>
      <c r="AC34" s="128"/>
      <c r="AD34" s="66"/>
      <c r="AE34" s="128"/>
      <c r="AG34" s="128"/>
      <c r="AH34" s="12"/>
      <c r="AI34" t="str">
        <f t="shared" si="7"/>
        <v/>
      </c>
      <c r="AJ34" t="str">
        <f t="shared" si="7"/>
        <v/>
      </c>
      <c r="AK34" s="12"/>
      <c r="AL34" s="94" t="e">
        <f t="shared" si="8"/>
        <v>#VALUE!</v>
      </c>
      <c r="AM34" s="94" t="e">
        <f t="shared" si="9"/>
        <v>#VALUE!</v>
      </c>
      <c r="AN34" s="12"/>
    </row>
    <row r="35" spans="1:40" ht="15.75" thickBot="1" x14ac:dyDescent="0.3">
      <c r="A35" s="12"/>
      <c r="B35" s="21"/>
      <c r="C35" s="21"/>
      <c r="D35" s="12"/>
      <c r="G35" s="12"/>
      <c r="K35" s="52"/>
      <c r="L35" s="53"/>
      <c r="M35" s="54"/>
      <c r="Q35" s="12"/>
      <c r="R35" s="45">
        <f t="shared" si="0"/>
        <v>0</v>
      </c>
      <c r="S35" s="46">
        <f t="shared" si="1"/>
        <v>0</v>
      </c>
      <c r="T35" s="41" t="str">
        <f t="shared" si="2"/>
        <v/>
      </c>
      <c r="V35" s="39" t="str">
        <f t="shared" si="3"/>
        <v/>
      </c>
      <c r="W35" s="39" t="str">
        <f t="shared" si="4"/>
        <v/>
      </c>
      <c r="X35" s="39" t="str">
        <f t="shared" si="5"/>
        <v/>
      </c>
      <c r="Z35" s="95">
        <f t="shared" si="6"/>
        <v>0</v>
      </c>
      <c r="AA35" s="12"/>
      <c r="AC35" s="128"/>
      <c r="AD35" s="66"/>
      <c r="AE35" s="128"/>
      <c r="AG35" s="128"/>
      <c r="AH35" s="12"/>
      <c r="AI35" t="str">
        <f t="shared" si="7"/>
        <v/>
      </c>
      <c r="AJ35" t="str">
        <f t="shared" si="7"/>
        <v/>
      </c>
      <c r="AK35" s="12"/>
      <c r="AL35" s="94" t="e">
        <f t="shared" si="8"/>
        <v>#VALUE!</v>
      </c>
      <c r="AM35" s="94" t="e">
        <f t="shared" si="9"/>
        <v>#VALUE!</v>
      </c>
      <c r="AN35" s="12"/>
    </row>
    <row r="36" spans="1:40" ht="15.75" thickBot="1" x14ac:dyDescent="0.3">
      <c r="A36" s="12"/>
      <c r="B36" s="21"/>
      <c r="C36" s="21"/>
      <c r="D36" s="12"/>
      <c r="G36" s="12"/>
      <c r="K36" s="52"/>
      <c r="L36" s="53"/>
      <c r="M36" s="54"/>
      <c r="Q36" s="12"/>
      <c r="R36" s="45">
        <f t="shared" si="0"/>
        <v>0</v>
      </c>
      <c r="S36" s="46">
        <f t="shared" si="1"/>
        <v>0</v>
      </c>
      <c r="T36" s="41" t="str">
        <f t="shared" si="2"/>
        <v/>
      </c>
      <c r="V36" s="39" t="str">
        <f t="shared" si="3"/>
        <v/>
      </c>
      <c r="W36" s="39" t="str">
        <f t="shared" si="4"/>
        <v/>
      </c>
      <c r="X36" s="39" t="str">
        <f t="shared" si="5"/>
        <v/>
      </c>
      <c r="Z36" s="95">
        <f t="shared" si="6"/>
        <v>0</v>
      </c>
      <c r="AA36" s="12"/>
      <c r="AC36" s="128"/>
      <c r="AD36" s="66"/>
      <c r="AE36" s="128"/>
      <c r="AG36" s="128"/>
      <c r="AH36" s="12"/>
      <c r="AI36" t="str">
        <f t="shared" si="7"/>
        <v/>
      </c>
      <c r="AJ36" t="str">
        <f t="shared" si="7"/>
        <v/>
      </c>
      <c r="AK36" s="12"/>
      <c r="AL36" s="94" t="e">
        <f t="shared" si="8"/>
        <v>#VALUE!</v>
      </c>
      <c r="AM36" s="94" t="e">
        <f t="shared" si="9"/>
        <v>#VALUE!</v>
      </c>
      <c r="AN36" s="12"/>
    </row>
    <row r="37" spans="1:40" ht="15.75" thickBot="1" x14ac:dyDescent="0.3">
      <c r="A37" s="12"/>
      <c r="B37" s="21"/>
      <c r="C37" s="21"/>
      <c r="D37" s="12"/>
      <c r="G37" s="12"/>
      <c r="K37" s="52"/>
      <c r="L37" s="53"/>
      <c r="M37" s="54"/>
      <c r="Q37" s="12"/>
      <c r="R37" s="45">
        <f t="shared" si="0"/>
        <v>0</v>
      </c>
      <c r="S37" s="46">
        <f t="shared" si="1"/>
        <v>0</v>
      </c>
      <c r="T37" s="41" t="str">
        <f t="shared" si="2"/>
        <v/>
      </c>
      <c r="V37" s="39" t="str">
        <f t="shared" si="3"/>
        <v/>
      </c>
      <c r="W37" s="39" t="str">
        <f t="shared" si="4"/>
        <v/>
      </c>
      <c r="X37" s="39" t="str">
        <f t="shared" si="5"/>
        <v/>
      </c>
      <c r="Z37" s="95">
        <f t="shared" si="6"/>
        <v>0</v>
      </c>
      <c r="AA37" s="12"/>
      <c r="AC37" s="128"/>
      <c r="AD37" s="66"/>
      <c r="AE37" s="128"/>
      <c r="AG37" s="128"/>
      <c r="AH37" s="12"/>
      <c r="AI37" t="str">
        <f t="shared" si="7"/>
        <v/>
      </c>
      <c r="AJ37" t="str">
        <f t="shared" si="7"/>
        <v/>
      </c>
      <c r="AK37" s="12"/>
      <c r="AL37" s="94" t="e">
        <f t="shared" si="8"/>
        <v>#VALUE!</v>
      </c>
      <c r="AM37" s="94" t="e">
        <f t="shared" si="9"/>
        <v>#VALUE!</v>
      </c>
      <c r="AN37" s="12"/>
    </row>
    <row r="38" spans="1:40" ht="15.75" thickBot="1" x14ac:dyDescent="0.3">
      <c r="A38" s="12"/>
      <c r="B38" s="21"/>
      <c r="C38" s="21"/>
      <c r="D38" s="12"/>
      <c r="G38" s="12"/>
      <c r="K38" s="52"/>
      <c r="L38" s="53"/>
      <c r="M38" s="54"/>
      <c r="Q38" s="12"/>
      <c r="R38" s="45">
        <f t="shared" si="0"/>
        <v>0</v>
      </c>
      <c r="S38" s="46">
        <f t="shared" si="1"/>
        <v>0</v>
      </c>
      <c r="T38" s="41" t="str">
        <f t="shared" si="2"/>
        <v/>
      </c>
      <c r="V38" s="39" t="str">
        <f t="shared" si="3"/>
        <v/>
      </c>
      <c r="W38" s="39" t="str">
        <f t="shared" si="4"/>
        <v/>
      </c>
      <c r="X38" s="39" t="str">
        <f t="shared" si="5"/>
        <v/>
      </c>
      <c r="Z38" s="95">
        <f t="shared" si="6"/>
        <v>0</v>
      </c>
      <c r="AA38" s="12"/>
      <c r="AC38" s="128"/>
      <c r="AD38" s="66"/>
      <c r="AE38" s="128"/>
      <c r="AG38" s="128"/>
      <c r="AH38" s="12"/>
      <c r="AI38" t="str">
        <f t="shared" si="7"/>
        <v/>
      </c>
      <c r="AJ38" t="str">
        <f t="shared" si="7"/>
        <v/>
      </c>
      <c r="AK38" s="12"/>
      <c r="AL38" s="94" t="e">
        <f t="shared" si="8"/>
        <v>#VALUE!</v>
      </c>
      <c r="AM38" s="94" t="e">
        <f t="shared" si="9"/>
        <v>#VALUE!</v>
      </c>
      <c r="AN38" s="12"/>
    </row>
    <row r="39" spans="1:40" ht="15.75" thickBot="1" x14ac:dyDescent="0.3">
      <c r="A39" s="12"/>
      <c r="B39" s="21"/>
      <c r="C39" s="21"/>
      <c r="D39" s="12"/>
      <c r="G39" s="12"/>
      <c r="K39" s="52"/>
      <c r="L39" s="53"/>
      <c r="M39" s="54"/>
      <c r="Q39" s="12"/>
      <c r="R39" s="45">
        <f t="shared" si="0"/>
        <v>0</v>
      </c>
      <c r="S39" s="46">
        <f t="shared" si="1"/>
        <v>0</v>
      </c>
      <c r="T39" s="41" t="str">
        <f t="shared" si="2"/>
        <v/>
      </c>
      <c r="V39" s="39" t="str">
        <f t="shared" si="3"/>
        <v/>
      </c>
      <c r="W39" s="39" t="str">
        <f t="shared" si="4"/>
        <v/>
      </c>
      <c r="X39" s="39" t="str">
        <f t="shared" si="5"/>
        <v/>
      </c>
      <c r="Z39" s="95">
        <f t="shared" si="6"/>
        <v>0</v>
      </c>
      <c r="AA39" s="12"/>
      <c r="AC39" s="128"/>
      <c r="AD39" s="66"/>
      <c r="AE39" s="128"/>
      <c r="AG39" s="128"/>
      <c r="AH39" s="12"/>
      <c r="AI39" t="str">
        <f t="shared" si="7"/>
        <v/>
      </c>
      <c r="AJ39" t="str">
        <f t="shared" si="7"/>
        <v/>
      </c>
      <c r="AK39" s="12"/>
      <c r="AL39" s="94" t="e">
        <f t="shared" si="8"/>
        <v>#VALUE!</v>
      </c>
      <c r="AM39" s="94" t="e">
        <f t="shared" si="9"/>
        <v>#VALUE!</v>
      </c>
      <c r="AN39" s="12"/>
    </row>
    <row r="40" spans="1:40" ht="15.75" thickBot="1" x14ac:dyDescent="0.3">
      <c r="A40" s="12"/>
      <c r="B40" s="21"/>
      <c r="C40" s="21"/>
      <c r="D40" s="12"/>
      <c r="G40" s="12"/>
      <c r="K40" s="52"/>
      <c r="L40" s="53"/>
      <c r="M40" s="54"/>
      <c r="Q40" s="12"/>
      <c r="R40" s="45">
        <f t="shared" si="0"/>
        <v>0</v>
      </c>
      <c r="S40" s="46">
        <f t="shared" si="1"/>
        <v>0</v>
      </c>
      <c r="T40" s="41" t="str">
        <f t="shared" si="2"/>
        <v/>
      </c>
      <c r="V40" s="39" t="str">
        <f t="shared" si="3"/>
        <v/>
      </c>
      <c r="W40" s="39" t="str">
        <f t="shared" si="4"/>
        <v/>
      </c>
      <c r="X40" s="39" t="str">
        <f t="shared" si="5"/>
        <v/>
      </c>
      <c r="Z40" s="95">
        <f t="shared" si="6"/>
        <v>0</v>
      </c>
      <c r="AA40" s="12"/>
      <c r="AC40" s="128"/>
      <c r="AD40" s="66"/>
      <c r="AE40" s="128"/>
      <c r="AG40" s="128"/>
      <c r="AH40" s="12"/>
      <c r="AI40" t="str">
        <f t="shared" si="7"/>
        <v/>
      </c>
      <c r="AJ40" t="str">
        <f t="shared" si="7"/>
        <v/>
      </c>
      <c r="AK40" s="12"/>
      <c r="AL40" s="94" t="e">
        <f t="shared" si="8"/>
        <v>#VALUE!</v>
      </c>
      <c r="AM40" s="94" t="e">
        <f t="shared" si="9"/>
        <v>#VALUE!</v>
      </c>
      <c r="AN40" s="12"/>
    </row>
    <row r="41" spans="1:40" ht="15.75" thickBot="1" x14ac:dyDescent="0.3">
      <c r="A41" s="12"/>
      <c r="B41" s="21"/>
      <c r="C41" s="21"/>
      <c r="D41" s="12"/>
      <c r="G41" s="12"/>
      <c r="K41" s="52"/>
      <c r="L41" s="53"/>
      <c r="M41" s="54"/>
      <c r="Q41" s="12"/>
      <c r="R41" s="45">
        <f t="shared" si="0"/>
        <v>0</v>
      </c>
      <c r="S41" s="46">
        <f t="shared" si="1"/>
        <v>0</v>
      </c>
      <c r="T41" s="41" t="str">
        <f t="shared" si="2"/>
        <v/>
      </c>
      <c r="V41" s="39" t="str">
        <f t="shared" si="3"/>
        <v/>
      </c>
      <c r="W41" s="39" t="str">
        <f t="shared" si="4"/>
        <v/>
      </c>
      <c r="X41" s="39" t="str">
        <f t="shared" si="5"/>
        <v/>
      </c>
      <c r="Z41" s="95">
        <f t="shared" si="6"/>
        <v>0</v>
      </c>
      <c r="AA41" s="12"/>
      <c r="AC41" s="128"/>
      <c r="AD41" s="66"/>
      <c r="AE41" s="128"/>
      <c r="AG41" s="128"/>
      <c r="AH41" s="12"/>
      <c r="AI41" t="str">
        <f t="shared" si="7"/>
        <v/>
      </c>
      <c r="AJ41" t="str">
        <f t="shared" si="7"/>
        <v/>
      </c>
      <c r="AK41" s="12"/>
      <c r="AL41" s="94" t="e">
        <f t="shared" si="8"/>
        <v>#VALUE!</v>
      </c>
      <c r="AM41" s="94" t="e">
        <f t="shared" si="9"/>
        <v>#VALUE!</v>
      </c>
      <c r="AN41" s="12"/>
    </row>
    <row r="42" spans="1:40" ht="15.75" thickBot="1" x14ac:dyDescent="0.3">
      <c r="A42" s="12"/>
      <c r="B42" s="21"/>
      <c r="C42" s="21"/>
      <c r="D42" s="12"/>
      <c r="G42" s="12"/>
      <c r="K42" s="52"/>
      <c r="L42" s="53"/>
      <c r="M42" s="54"/>
      <c r="Q42" s="12"/>
      <c r="R42" s="45">
        <f t="shared" si="0"/>
        <v>0</v>
      </c>
      <c r="S42" s="46">
        <f t="shared" si="1"/>
        <v>0</v>
      </c>
      <c r="T42" s="41" t="str">
        <f t="shared" si="2"/>
        <v/>
      </c>
      <c r="V42" s="39" t="str">
        <f t="shared" si="3"/>
        <v/>
      </c>
      <c r="W42" s="39" t="str">
        <f t="shared" si="4"/>
        <v/>
      </c>
      <c r="X42" s="39" t="str">
        <f t="shared" si="5"/>
        <v/>
      </c>
      <c r="Z42" s="95">
        <f t="shared" si="6"/>
        <v>0</v>
      </c>
      <c r="AA42" s="12"/>
      <c r="AC42" s="128"/>
      <c r="AD42" s="66"/>
      <c r="AE42" s="128"/>
      <c r="AG42" s="128"/>
      <c r="AH42" s="12"/>
      <c r="AI42" t="str">
        <f t="shared" si="7"/>
        <v/>
      </c>
      <c r="AJ42" t="str">
        <f t="shared" si="7"/>
        <v/>
      </c>
      <c r="AK42" s="12"/>
      <c r="AL42" s="94" t="e">
        <f t="shared" si="8"/>
        <v>#VALUE!</v>
      </c>
      <c r="AM42" s="94" t="e">
        <f t="shared" si="9"/>
        <v>#VALUE!</v>
      </c>
      <c r="AN42" s="12"/>
    </row>
    <row r="43" spans="1:40" ht="15.75" thickBot="1" x14ac:dyDescent="0.3">
      <c r="A43" s="12"/>
      <c r="B43" s="21"/>
      <c r="C43" s="21"/>
      <c r="D43" s="12"/>
      <c r="G43" s="12"/>
      <c r="K43" s="52"/>
      <c r="L43" s="53"/>
      <c r="M43" s="54"/>
      <c r="Q43" s="12"/>
      <c r="R43" s="45">
        <f t="shared" si="0"/>
        <v>0</v>
      </c>
      <c r="S43" s="46">
        <f t="shared" si="1"/>
        <v>0</v>
      </c>
      <c r="T43" s="41" t="str">
        <f t="shared" si="2"/>
        <v/>
      </c>
      <c r="V43" s="39" t="str">
        <f t="shared" si="3"/>
        <v/>
      </c>
      <c r="W43" s="39" t="str">
        <f t="shared" si="4"/>
        <v/>
      </c>
      <c r="X43" s="39" t="str">
        <f t="shared" si="5"/>
        <v/>
      </c>
      <c r="Z43" s="95">
        <f t="shared" si="6"/>
        <v>0</v>
      </c>
      <c r="AA43" s="12"/>
      <c r="AC43" s="128"/>
      <c r="AD43" s="66"/>
      <c r="AE43" s="128"/>
      <c r="AG43" s="128"/>
      <c r="AH43" s="12"/>
      <c r="AI43" t="str">
        <f t="shared" si="7"/>
        <v/>
      </c>
      <c r="AJ43" t="str">
        <f t="shared" si="7"/>
        <v/>
      </c>
      <c r="AK43" s="12"/>
      <c r="AL43" s="94" t="e">
        <f t="shared" si="8"/>
        <v>#VALUE!</v>
      </c>
      <c r="AM43" s="94" t="e">
        <f t="shared" si="9"/>
        <v>#VALUE!</v>
      </c>
      <c r="AN43" s="12"/>
    </row>
    <row r="44" spans="1:40" ht="15.75" thickBot="1" x14ac:dyDescent="0.3">
      <c r="A44" s="12"/>
      <c r="B44" s="21"/>
      <c r="C44" s="21"/>
      <c r="D44" s="12"/>
      <c r="G44" s="12"/>
      <c r="K44" s="52"/>
      <c r="L44" s="53"/>
      <c r="M44" s="54"/>
      <c r="Q44" s="12"/>
      <c r="R44" s="45">
        <f t="shared" si="0"/>
        <v>0</v>
      </c>
      <c r="S44" s="46">
        <f t="shared" si="1"/>
        <v>0</v>
      </c>
      <c r="T44" s="41" t="str">
        <f t="shared" si="2"/>
        <v/>
      </c>
      <c r="V44" s="39" t="str">
        <f t="shared" si="3"/>
        <v/>
      </c>
      <c r="W44" s="39" t="str">
        <f t="shared" si="4"/>
        <v/>
      </c>
      <c r="X44" s="39" t="str">
        <f t="shared" si="5"/>
        <v/>
      </c>
      <c r="Z44" s="95">
        <f t="shared" si="6"/>
        <v>0</v>
      </c>
      <c r="AA44" s="12"/>
      <c r="AC44" s="128"/>
      <c r="AD44" s="66"/>
      <c r="AE44" s="128"/>
      <c r="AG44" s="128"/>
      <c r="AH44" s="12"/>
      <c r="AI44" t="str">
        <f t="shared" si="7"/>
        <v/>
      </c>
      <c r="AJ44" t="str">
        <f t="shared" si="7"/>
        <v/>
      </c>
      <c r="AK44" s="12"/>
      <c r="AL44" s="94" t="e">
        <f t="shared" si="8"/>
        <v>#VALUE!</v>
      </c>
      <c r="AM44" s="94" t="e">
        <f t="shared" si="9"/>
        <v>#VALUE!</v>
      </c>
      <c r="AN44" s="12"/>
    </row>
    <row r="45" spans="1:40" ht="15.75" thickBot="1" x14ac:dyDescent="0.3">
      <c r="A45" s="12"/>
      <c r="B45" s="21"/>
      <c r="C45" s="21"/>
      <c r="D45" s="12"/>
      <c r="G45" s="12"/>
      <c r="K45" s="52"/>
      <c r="L45" s="53"/>
      <c r="M45" s="54"/>
      <c r="Q45" s="12"/>
      <c r="R45" s="45">
        <f t="shared" si="0"/>
        <v>0</v>
      </c>
      <c r="S45" s="46">
        <f t="shared" si="1"/>
        <v>0</v>
      </c>
      <c r="T45" s="41" t="str">
        <f t="shared" si="2"/>
        <v/>
      </c>
      <c r="V45" s="39" t="str">
        <f t="shared" si="3"/>
        <v/>
      </c>
      <c r="W45" s="39" t="str">
        <f t="shared" si="4"/>
        <v/>
      </c>
      <c r="X45" s="39" t="str">
        <f t="shared" si="5"/>
        <v/>
      </c>
      <c r="Z45" s="95">
        <f t="shared" si="6"/>
        <v>0</v>
      </c>
      <c r="AA45" s="12"/>
      <c r="AC45" s="128"/>
      <c r="AD45" s="66"/>
      <c r="AE45" s="128"/>
      <c r="AG45" s="128"/>
      <c r="AH45" s="12"/>
      <c r="AI45" t="str">
        <f t="shared" si="7"/>
        <v/>
      </c>
      <c r="AJ45" t="str">
        <f t="shared" si="7"/>
        <v/>
      </c>
      <c r="AK45" s="12"/>
      <c r="AL45" s="94" t="e">
        <f t="shared" si="8"/>
        <v>#VALUE!</v>
      </c>
      <c r="AM45" s="94" t="e">
        <f t="shared" si="9"/>
        <v>#VALUE!</v>
      </c>
      <c r="AN45" s="12"/>
    </row>
    <row r="46" spans="1:40" ht="15.75" thickBot="1" x14ac:dyDescent="0.3">
      <c r="A46" s="12"/>
      <c r="B46" s="21"/>
      <c r="C46" s="21"/>
      <c r="D46" s="12"/>
      <c r="G46" s="12"/>
      <c r="K46" s="52"/>
      <c r="L46" s="53"/>
      <c r="M46" s="54"/>
      <c r="Q46" s="12"/>
      <c r="R46" s="45">
        <f t="shared" si="0"/>
        <v>0</v>
      </c>
      <c r="S46" s="46">
        <f t="shared" si="1"/>
        <v>0</v>
      </c>
      <c r="T46" s="41" t="str">
        <f t="shared" si="2"/>
        <v/>
      </c>
      <c r="V46" s="39" t="str">
        <f t="shared" si="3"/>
        <v/>
      </c>
      <c r="W46" s="39" t="str">
        <f t="shared" si="4"/>
        <v/>
      </c>
      <c r="X46" s="39" t="str">
        <f t="shared" si="5"/>
        <v/>
      </c>
      <c r="Z46" s="95">
        <f t="shared" si="6"/>
        <v>0</v>
      </c>
      <c r="AA46" s="12"/>
      <c r="AC46" s="128"/>
      <c r="AD46" s="66"/>
      <c r="AE46" s="128"/>
      <c r="AG46" s="128"/>
      <c r="AH46" s="12"/>
      <c r="AI46" t="str">
        <f t="shared" si="7"/>
        <v/>
      </c>
      <c r="AJ46" t="str">
        <f t="shared" si="7"/>
        <v/>
      </c>
      <c r="AK46" s="12"/>
      <c r="AL46" s="94" t="e">
        <f t="shared" si="8"/>
        <v>#VALUE!</v>
      </c>
      <c r="AM46" s="94" t="e">
        <f t="shared" si="9"/>
        <v>#VALUE!</v>
      </c>
      <c r="AN46" s="12"/>
    </row>
    <row r="47" spans="1:40" ht="15.75" thickBot="1" x14ac:dyDescent="0.3">
      <c r="A47" s="12"/>
      <c r="B47" s="21"/>
      <c r="C47" s="21"/>
      <c r="D47" s="12"/>
      <c r="G47" s="12"/>
      <c r="K47" s="52"/>
      <c r="L47" s="53"/>
      <c r="M47" s="54"/>
      <c r="Q47" s="12"/>
      <c r="R47" s="45">
        <f t="shared" si="0"/>
        <v>0</v>
      </c>
      <c r="S47" s="46">
        <f t="shared" si="1"/>
        <v>0</v>
      </c>
      <c r="T47" s="41" t="str">
        <f t="shared" si="2"/>
        <v/>
      </c>
      <c r="V47" s="39" t="str">
        <f t="shared" si="3"/>
        <v/>
      </c>
      <c r="W47" s="39" t="str">
        <f t="shared" si="4"/>
        <v/>
      </c>
      <c r="X47" s="39" t="str">
        <f t="shared" si="5"/>
        <v/>
      </c>
      <c r="Z47" s="95">
        <f t="shared" si="6"/>
        <v>0</v>
      </c>
      <c r="AA47" s="12"/>
      <c r="AC47" s="128"/>
      <c r="AD47" s="66"/>
      <c r="AE47" s="128"/>
      <c r="AG47" s="128"/>
      <c r="AH47" s="12"/>
      <c r="AI47" t="str">
        <f t="shared" si="7"/>
        <v/>
      </c>
      <c r="AJ47" t="str">
        <f t="shared" si="7"/>
        <v/>
      </c>
      <c r="AK47" s="12"/>
      <c r="AL47" s="94" t="e">
        <f t="shared" si="8"/>
        <v>#VALUE!</v>
      </c>
      <c r="AM47" s="94" t="e">
        <f t="shared" si="9"/>
        <v>#VALUE!</v>
      </c>
      <c r="AN47" s="12"/>
    </row>
    <row r="48" spans="1:40" ht="15.75" thickBot="1" x14ac:dyDescent="0.3">
      <c r="A48" s="12"/>
      <c r="B48" s="21"/>
      <c r="C48" s="21"/>
      <c r="D48" s="12"/>
      <c r="G48" s="12"/>
      <c r="K48" s="52"/>
      <c r="L48" s="53"/>
      <c r="M48" s="54"/>
      <c r="Q48" s="12"/>
      <c r="R48" s="45">
        <f t="shared" si="0"/>
        <v>0</v>
      </c>
      <c r="S48" s="46">
        <f t="shared" si="1"/>
        <v>0</v>
      </c>
      <c r="T48" s="41" t="str">
        <f t="shared" si="2"/>
        <v/>
      </c>
      <c r="V48" s="39" t="str">
        <f t="shared" si="3"/>
        <v/>
      </c>
      <c r="W48" s="39" t="str">
        <f t="shared" si="4"/>
        <v/>
      </c>
      <c r="X48" s="39" t="str">
        <f t="shared" si="5"/>
        <v/>
      </c>
      <c r="Z48" s="95">
        <f t="shared" si="6"/>
        <v>0</v>
      </c>
      <c r="AA48" s="12"/>
      <c r="AC48" s="128"/>
      <c r="AD48" s="66"/>
      <c r="AE48" s="128"/>
      <c r="AG48" s="128"/>
      <c r="AH48" s="12"/>
      <c r="AI48" t="str">
        <f t="shared" si="7"/>
        <v/>
      </c>
      <c r="AJ48" t="str">
        <f t="shared" si="7"/>
        <v/>
      </c>
      <c r="AK48" s="12"/>
      <c r="AL48" s="94" t="e">
        <f t="shared" si="8"/>
        <v>#VALUE!</v>
      </c>
      <c r="AM48" s="94" t="e">
        <f t="shared" si="9"/>
        <v>#VALUE!</v>
      </c>
      <c r="AN48" s="12"/>
    </row>
    <row r="49" spans="1:40" ht="15.75" thickBot="1" x14ac:dyDescent="0.3">
      <c r="A49" s="12"/>
      <c r="B49" s="21"/>
      <c r="C49" s="21"/>
      <c r="D49" s="12"/>
      <c r="G49" s="12"/>
      <c r="K49" s="52"/>
      <c r="L49" s="53"/>
      <c r="M49" s="54"/>
      <c r="Q49" s="12"/>
      <c r="R49" s="45">
        <f t="shared" si="0"/>
        <v>0</v>
      </c>
      <c r="S49" s="46">
        <f t="shared" si="1"/>
        <v>0</v>
      </c>
      <c r="T49" s="41" t="str">
        <f t="shared" si="2"/>
        <v/>
      </c>
      <c r="V49" s="39" t="str">
        <f t="shared" si="3"/>
        <v/>
      </c>
      <c r="W49" s="39" t="str">
        <f t="shared" si="4"/>
        <v/>
      </c>
      <c r="X49" s="39" t="str">
        <f t="shared" si="5"/>
        <v/>
      </c>
      <c r="Z49" s="95">
        <f t="shared" si="6"/>
        <v>0</v>
      </c>
      <c r="AA49" s="12"/>
      <c r="AC49" s="128"/>
      <c r="AD49" s="66"/>
      <c r="AE49" s="128"/>
      <c r="AG49" s="128"/>
      <c r="AH49" s="12"/>
      <c r="AI49" t="str">
        <f t="shared" si="7"/>
        <v/>
      </c>
      <c r="AJ49" t="str">
        <f t="shared" si="7"/>
        <v/>
      </c>
      <c r="AK49" s="12"/>
      <c r="AL49" s="94" t="e">
        <f t="shared" si="8"/>
        <v>#VALUE!</v>
      </c>
      <c r="AM49" s="94" t="e">
        <f t="shared" si="9"/>
        <v>#VALUE!</v>
      </c>
      <c r="AN49" s="12"/>
    </row>
    <row r="50" spans="1:40" ht="15.75" thickBot="1" x14ac:dyDescent="0.3">
      <c r="A50" s="12"/>
      <c r="B50" s="21"/>
      <c r="C50" s="21"/>
      <c r="D50" s="12"/>
      <c r="G50" s="12"/>
      <c r="K50" s="52"/>
      <c r="L50" s="53"/>
      <c r="M50" s="54"/>
      <c r="Q50" s="12"/>
      <c r="R50" s="45">
        <f t="shared" si="0"/>
        <v>0</v>
      </c>
      <c r="S50" s="46">
        <f t="shared" si="1"/>
        <v>0</v>
      </c>
      <c r="T50" s="41" t="str">
        <f t="shared" si="2"/>
        <v/>
      </c>
      <c r="V50" s="39" t="str">
        <f t="shared" si="3"/>
        <v/>
      </c>
      <c r="W50" s="39" t="str">
        <f t="shared" si="4"/>
        <v/>
      </c>
      <c r="X50" s="39" t="str">
        <f t="shared" si="5"/>
        <v/>
      </c>
      <c r="Z50" s="95">
        <f t="shared" si="6"/>
        <v>0</v>
      </c>
      <c r="AA50" s="12"/>
      <c r="AC50" s="128"/>
      <c r="AD50" s="66"/>
      <c r="AE50" s="128"/>
      <c r="AG50" s="128"/>
      <c r="AH50" s="12"/>
      <c r="AI50" t="str">
        <f t="shared" si="7"/>
        <v/>
      </c>
      <c r="AJ50" t="str">
        <f t="shared" si="7"/>
        <v/>
      </c>
      <c r="AK50" s="12"/>
      <c r="AL50" s="94" t="e">
        <f t="shared" si="8"/>
        <v>#VALUE!</v>
      </c>
      <c r="AM50" s="94" t="e">
        <f t="shared" si="9"/>
        <v>#VALUE!</v>
      </c>
      <c r="AN50" s="12"/>
    </row>
    <row r="51" spans="1:40" ht="15.75" thickBot="1" x14ac:dyDescent="0.3">
      <c r="A51" s="12"/>
      <c r="B51" s="21"/>
      <c r="C51" s="21"/>
      <c r="D51" s="12"/>
      <c r="G51" s="12"/>
      <c r="K51" s="52"/>
      <c r="L51" s="53"/>
      <c r="M51" s="54"/>
      <c r="Q51" s="12"/>
      <c r="R51" s="45">
        <f t="shared" si="0"/>
        <v>0</v>
      </c>
      <c r="S51" s="46">
        <f t="shared" si="1"/>
        <v>0</v>
      </c>
      <c r="T51" s="41" t="str">
        <f t="shared" si="2"/>
        <v/>
      </c>
      <c r="V51" s="39" t="str">
        <f t="shared" si="3"/>
        <v/>
      </c>
      <c r="W51" s="39" t="str">
        <f t="shared" si="4"/>
        <v/>
      </c>
      <c r="X51" s="39" t="str">
        <f t="shared" si="5"/>
        <v/>
      </c>
      <c r="Z51" s="95">
        <f t="shared" si="6"/>
        <v>0</v>
      </c>
      <c r="AA51" s="12"/>
      <c r="AC51" s="128"/>
      <c r="AD51" s="66"/>
      <c r="AE51" s="128"/>
      <c r="AG51" s="128"/>
      <c r="AH51" s="12"/>
      <c r="AI51" t="str">
        <f t="shared" si="7"/>
        <v/>
      </c>
      <c r="AJ51" t="str">
        <f t="shared" si="7"/>
        <v/>
      </c>
      <c r="AK51" s="12"/>
      <c r="AL51" s="94" t="e">
        <f t="shared" si="8"/>
        <v>#VALUE!</v>
      </c>
      <c r="AM51" s="94" t="e">
        <f t="shared" si="9"/>
        <v>#VALUE!</v>
      </c>
      <c r="AN51" s="12"/>
    </row>
    <row r="52" spans="1:40" ht="15.75" thickBot="1" x14ac:dyDescent="0.3">
      <c r="A52" s="12"/>
      <c r="B52" s="21"/>
      <c r="C52" s="21"/>
      <c r="D52" s="12"/>
      <c r="G52" s="12"/>
      <c r="K52" s="52"/>
      <c r="L52" s="53"/>
      <c r="M52" s="54"/>
      <c r="Q52" s="12"/>
      <c r="R52" s="45">
        <f t="shared" si="0"/>
        <v>0</v>
      </c>
      <c r="S52" s="46">
        <f t="shared" si="1"/>
        <v>0</v>
      </c>
      <c r="T52" s="41" t="str">
        <f t="shared" si="2"/>
        <v/>
      </c>
      <c r="V52" s="39" t="str">
        <f t="shared" si="3"/>
        <v/>
      </c>
      <c r="W52" s="39" t="str">
        <f t="shared" si="4"/>
        <v/>
      </c>
      <c r="X52" s="39" t="str">
        <f t="shared" si="5"/>
        <v/>
      </c>
      <c r="Z52" s="95">
        <f t="shared" si="6"/>
        <v>0</v>
      </c>
      <c r="AA52" s="12"/>
      <c r="AC52" s="128"/>
      <c r="AD52" s="66"/>
      <c r="AE52" s="128"/>
      <c r="AG52" s="128"/>
      <c r="AH52" s="12"/>
      <c r="AI52" t="str">
        <f t="shared" si="7"/>
        <v/>
      </c>
      <c r="AJ52" t="str">
        <f t="shared" si="7"/>
        <v/>
      </c>
      <c r="AK52" s="12"/>
      <c r="AL52" s="94" t="e">
        <f t="shared" si="8"/>
        <v>#VALUE!</v>
      </c>
      <c r="AM52" s="94" t="e">
        <f t="shared" si="9"/>
        <v>#VALUE!</v>
      </c>
      <c r="AN52" s="12"/>
    </row>
    <row r="53" spans="1:40" ht="15.75" thickBot="1" x14ac:dyDescent="0.3">
      <c r="A53" s="12"/>
      <c r="B53" s="21"/>
      <c r="C53" s="21"/>
      <c r="D53" s="12"/>
      <c r="G53" s="12"/>
      <c r="K53" s="52"/>
      <c r="L53" s="53"/>
      <c r="M53" s="54"/>
      <c r="Q53" s="12"/>
      <c r="R53" s="45">
        <f t="shared" si="0"/>
        <v>0</v>
      </c>
      <c r="S53" s="46">
        <f t="shared" si="1"/>
        <v>0</v>
      </c>
      <c r="T53" s="41" t="str">
        <f t="shared" si="2"/>
        <v/>
      </c>
      <c r="V53" s="39" t="str">
        <f t="shared" si="3"/>
        <v/>
      </c>
      <c r="W53" s="39" t="str">
        <f t="shared" si="4"/>
        <v/>
      </c>
      <c r="X53" s="39" t="str">
        <f t="shared" si="5"/>
        <v/>
      </c>
      <c r="Z53" s="95">
        <f t="shared" si="6"/>
        <v>0</v>
      </c>
      <c r="AA53" s="12"/>
      <c r="AC53" s="128"/>
      <c r="AD53" s="66"/>
      <c r="AE53" s="128"/>
      <c r="AG53" s="128"/>
      <c r="AH53" s="12"/>
      <c r="AI53" t="str">
        <f t="shared" si="7"/>
        <v/>
      </c>
      <c r="AJ53" t="str">
        <f t="shared" si="7"/>
        <v/>
      </c>
      <c r="AK53" s="12"/>
      <c r="AL53" s="94" t="e">
        <f t="shared" si="8"/>
        <v>#VALUE!</v>
      </c>
      <c r="AM53" s="94" t="e">
        <f t="shared" si="9"/>
        <v>#VALUE!</v>
      </c>
      <c r="AN53" s="12"/>
    </row>
    <row r="54" spans="1:40" ht="15.75" thickBot="1" x14ac:dyDescent="0.3">
      <c r="A54" s="12"/>
      <c r="B54" s="21"/>
      <c r="C54" s="21"/>
      <c r="D54" s="12"/>
      <c r="G54" s="12"/>
      <c r="K54" s="52"/>
      <c r="L54" s="53"/>
      <c r="M54" s="54"/>
      <c r="Q54" s="12"/>
      <c r="R54" s="45">
        <f t="shared" si="0"/>
        <v>0</v>
      </c>
      <c r="S54" s="46">
        <f t="shared" si="1"/>
        <v>0</v>
      </c>
      <c r="T54" s="41" t="str">
        <f t="shared" si="2"/>
        <v/>
      </c>
      <c r="V54" s="39" t="str">
        <f t="shared" si="3"/>
        <v/>
      </c>
      <c r="W54" s="39" t="str">
        <f t="shared" si="4"/>
        <v/>
      </c>
      <c r="X54" s="39" t="str">
        <f t="shared" si="5"/>
        <v/>
      </c>
      <c r="Z54" s="95">
        <f t="shared" si="6"/>
        <v>0</v>
      </c>
      <c r="AA54" s="12"/>
      <c r="AC54" s="128"/>
      <c r="AD54" s="66"/>
      <c r="AE54" s="128"/>
      <c r="AG54" s="128"/>
      <c r="AH54" s="12"/>
      <c r="AI54" t="str">
        <f t="shared" si="7"/>
        <v/>
      </c>
      <c r="AJ54" t="str">
        <f t="shared" si="7"/>
        <v/>
      </c>
      <c r="AK54" s="12"/>
      <c r="AL54" s="94" t="e">
        <f t="shared" si="8"/>
        <v>#VALUE!</v>
      </c>
      <c r="AM54" s="94" t="e">
        <f t="shared" si="9"/>
        <v>#VALUE!</v>
      </c>
      <c r="AN54" s="12"/>
    </row>
    <row r="55" spans="1:40" ht="15.75" thickBot="1" x14ac:dyDescent="0.3">
      <c r="A55" s="12"/>
      <c r="B55" s="21"/>
      <c r="C55" s="21"/>
      <c r="D55" s="12"/>
      <c r="G55" s="12"/>
      <c r="K55" s="52"/>
      <c r="L55" s="53"/>
      <c r="M55" s="54"/>
      <c r="Q55" s="12"/>
      <c r="R55" s="45">
        <f t="shared" si="0"/>
        <v>0</v>
      </c>
      <c r="S55" s="46">
        <f t="shared" si="1"/>
        <v>0</v>
      </c>
      <c r="T55" s="41" t="str">
        <f t="shared" si="2"/>
        <v/>
      </c>
      <c r="V55" s="39" t="str">
        <f t="shared" si="3"/>
        <v/>
      </c>
      <c r="W55" s="39" t="str">
        <f t="shared" si="4"/>
        <v/>
      </c>
      <c r="X55" s="39" t="str">
        <f t="shared" si="5"/>
        <v/>
      </c>
      <c r="Z55" s="95">
        <f t="shared" si="6"/>
        <v>0</v>
      </c>
      <c r="AA55" s="12"/>
      <c r="AC55" s="128"/>
      <c r="AD55" s="66"/>
      <c r="AE55" s="128"/>
      <c r="AG55" s="128"/>
      <c r="AH55" s="12"/>
      <c r="AI55" t="str">
        <f t="shared" si="7"/>
        <v/>
      </c>
      <c r="AJ55" t="str">
        <f t="shared" si="7"/>
        <v/>
      </c>
      <c r="AK55" s="12"/>
      <c r="AL55" s="94" t="e">
        <f t="shared" si="8"/>
        <v>#VALUE!</v>
      </c>
      <c r="AM55" s="94" t="e">
        <f t="shared" si="9"/>
        <v>#VALUE!</v>
      </c>
      <c r="AN55" s="12"/>
    </row>
    <row r="56" spans="1:40" ht="15.75" thickBot="1" x14ac:dyDescent="0.3">
      <c r="A56" s="12"/>
      <c r="B56" s="21"/>
      <c r="C56" s="21"/>
      <c r="D56" s="12"/>
      <c r="G56" s="12"/>
      <c r="K56" s="52"/>
      <c r="L56" s="53"/>
      <c r="M56" s="54"/>
      <c r="Q56" s="12"/>
      <c r="R56" s="45">
        <f t="shared" si="0"/>
        <v>0</v>
      </c>
      <c r="S56" s="46">
        <f t="shared" si="1"/>
        <v>0</v>
      </c>
      <c r="T56" s="41" t="str">
        <f t="shared" si="2"/>
        <v/>
      </c>
      <c r="V56" s="39" t="str">
        <f t="shared" si="3"/>
        <v/>
      </c>
      <c r="W56" s="39" t="str">
        <f t="shared" si="4"/>
        <v/>
      </c>
      <c r="X56" s="39" t="str">
        <f t="shared" si="5"/>
        <v/>
      </c>
      <c r="Z56" s="95">
        <f t="shared" si="6"/>
        <v>0</v>
      </c>
      <c r="AA56" s="12"/>
      <c r="AC56" s="128"/>
      <c r="AD56" s="66"/>
      <c r="AE56" s="128"/>
      <c r="AG56" s="128"/>
      <c r="AH56" s="12"/>
      <c r="AI56" t="str">
        <f t="shared" si="7"/>
        <v/>
      </c>
      <c r="AJ56" t="str">
        <f t="shared" si="7"/>
        <v/>
      </c>
      <c r="AK56" s="12"/>
      <c r="AL56" s="94" t="e">
        <f t="shared" si="8"/>
        <v>#VALUE!</v>
      </c>
      <c r="AM56" s="94" t="e">
        <f t="shared" si="9"/>
        <v>#VALUE!</v>
      </c>
      <c r="AN56" s="12"/>
    </row>
    <row r="57" spans="1:40" ht="15.75" thickBot="1" x14ac:dyDescent="0.3">
      <c r="A57" s="12"/>
      <c r="B57" s="21"/>
      <c r="C57" s="21"/>
      <c r="D57" s="12"/>
      <c r="G57" s="12"/>
      <c r="K57" s="52"/>
      <c r="L57" s="53"/>
      <c r="M57" s="54"/>
      <c r="Q57" s="12"/>
      <c r="R57" s="45">
        <f t="shared" si="0"/>
        <v>0</v>
      </c>
      <c r="S57" s="46">
        <f t="shared" si="1"/>
        <v>0</v>
      </c>
      <c r="T57" s="41" t="str">
        <f t="shared" si="2"/>
        <v/>
      </c>
      <c r="V57" s="39" t="str">
        <f t="shared" si="3"/>
        <v/>
      </c>
      <c r="W57" s="39" t="str">
        <f t="shared" si="4"/>
        <v/>
      </c>
      <c r="X57" s="39" t="str">
        <f t="shared" si="5"/>
        <v/>
      </c>
      <c r="Z57" s="95">
        <f t="shared" si="6"/>
        <v>0</v>
      </c>
      <c r="AA57" s="12"/>
      <c r="AC57" s="128"/>
      <c r="AD57" s="66"/>
      <c r="AE57" s="128"/>
      <c r="AG57" s="128"/>
      <c r="AH57" s="12"/>
      <c r="AI57" t="str">
        <f t="shared" si="7"/>
        <v/>
      </c>
      <c r="AJ57" t="str">
        <f t="shared" si="7"/>
        <v/>
      </c>
      <c r="AK57" s="12"/>
      <c r="AL57" s="94" t="e">
        <f t="shared" si="8"/>
        <v>#VALUE!</v>
      </c>
      <c r="AM57" s="94" t="e">
        <f t="shared" si="9"/>
        <v>#VALUE!</v>
      </c>
      <c r="AN57" s="12"/>
    </row>
    <row r="58" spans="1:40" ht="15.75" thickBot="1" x14ac:dyDescent="0.3">
      <c r="A58" s="12"/>
      <c r="B58" s="21"/>
      <c r="C58" s="21"/>
      <c r="D58" s="12"/>
      <c r="G58" s="12"/>
      <c r="K58" s="52"/>
      <c r="L58" s="53"/>
      <c r="M58" s="54"/>
      <c r="Q58" s="12"/>
      <c r="R58" s="45">
        <f t="shared" si="0"/>
        <v>0</v>
      </c>
      <c r="S58" s="46">
        <f t="shared" si="1"/>
        <v>0</v>
      </c>
      <c r="T58" s="41" t="str">
        <f t="shared" si="2"/>
        <v/>
      </c>
      <c r="V58" s="39" t="str">
        <f t="shared" si="3"/>
        <v/>
      </c>
      <c r="W58" s="39" t="str">
        <f t="shared" si="4"/>
        <v/>
      </c>
      <c r="X58" s="39" t="str">
        <f t="shared" si="5"/>
        <v/>
      </c>
      <c r="Z58" s="95">
        <f t="shared" si="6"/>
        <v>0</v>
      </c>
      <c r="AA58" s="12"/>
      <c r="AC58" s="128"/>
      <c r="AD58" s="66"/>
      <c r="AE58" s="128"/>
      <c r="AG58" s="128"/>
      <c r="AH58" s="12"/>
      <c r="AI58" t="str">
        <f t="shared" si="7"/>
        <v/>
      </c>
      <c r="AJ58" t="str">
        <f t="shared" si="7"/>
        <v/>
      </c>
      <c r="AK58" s="12"/>
      <c r="AL58" s="94" t="e">
        <f t="shared" si="8"/>
        <v>#VALUE!</v>
      </c>
      <c r="AM58" s="94" t="e">
        <f t="shared" si="9"/>
        <v>#VALUE!</v>
      </c>
      <c r="AN58" s="12"/>
    </row>
    <row r="59" spans="1:40" ht="15.75" thickBot="1" x14ac:dyDescent="0.3">
      <c r="A59" s="12"/>
      <c r="B59" s="21"/>
      <c r="C59" s="21"/>
      <c r="D59" s="12"/>
      <c r="G59" s="12"/>
      <c r="K59" s="52"/>
      <c r="L59" s="53"/>
      <c r="M59" s="54"/>
      <c r="Q59" s="12"/>
      <c r="R59" s="45">
        <f t="shared" si="0"/>
        <v>0</v>
      </c>
      <c r="S59" s="46">
        <f t="shared" si="1"/>
        <v>0</v>
      </c>
      <c r="T59" s="41" t="str">
        <f t="shared" si="2"/>
        <v/>
      </c>
      <c r="V59" s="39" t="str">
        <f t="shared" si="3"/>
        <v/>
      </c>
      <c r="W59" s="39" t="str">
        <f t="shared" si="4"/>
        <v/>
      </c>
      <c r="X59" s="39" t="str">
        <f t="shared" si="5"/>
        <v/>
      </c>
      <c r="Z59" s="95">
        <f t="shared" si="6"/>
        <v>0</v>
      </c>
      <c r="AA59" s="12"/>
      <c r="AC59" s="128"/>
      <c r="AD59" s="66"/>
      <c r="AE59" s="128"/>
      <c r="AG59" s="128"/>
      <c r="AH59" s="12"/>
      <c r="AI59" t="str">
        <f t="shared" si="7"/>
        <v/>
      </c>
      <c r="AJ59" t="str">
        <f t="shared" si="7"/>
        <v/>
      </c>
      <c r="AK59" s="12"/>
      <c r="AL59" s="94" t="e">
        <f t="shared" si="8"/>
        <v>#VALUE!</v>
      </c>
      <c r="AM59" s="94" t="e">
        <f t="shared" si="9"/>
        <v>#VALUE!</v>
      </c>
      <c r="AN59" s="12"/>
    </row>
    <row r="60" spans="1:40" ht="15.75" thickBot="1" x14ac:dyDescent="0.3">
      <c r="A60" s="12"/>
      <c r="B60" s="21"/>
      <c r="C60" s="21"/>
      <c r="D60" s="12"/>
      <c r="G60" s="12"/>
      <c r="K60" s="52"/>
      <c r="L60" s="53"/>
      <c r="M60" s="54"/>
      <c r="Q60" s="12"/>
      <c r="R60" s="45">
        <f t="shared" si="0"/>
        <v>0</v>
      </c>
      <c r="S60" s="46">
        <f t="shared" si="1"/>
        <v>0</v>
      </c>
      <c r="T60" s="41" t="str">
        <f t="shared" si="2"/>
        <v/>
      </c>
      <c r="V60" s="39" t="str">
        <f t="shared" si="3"/>
        <v/>
      </c>
      <c r="W60" s="39" t="str">
        <f t="shared" si="4"/>
        <v/>
      </c>
      <c r="X60" s="39" t="str">
        <f t="shared" si="5"/>
        <v/>
      </c>
      <c r="Z60" s="95">
        <f t="shared" si="6"/>
        <v>0</v>
      </c>
      <c r="AA60" s="12"/>
      <c r="AC60" s="128"/>
      <c r="AD60" s="66"/>
      <c r="AE60" s="128"/>
      <c r="AG60" s="128"/>
      <c r="AH60" s="12"/>
      <c r="AI60" t="str">
        <f t="shared" si="7"/>
        <v/>
      </c>
      <c r="AJ60" t="str">
        <f t="shared" si="7"/>
        <v/>
      </c>
      <c r="AK60" s="12"/>
      <c r="AL60" s="94" t="e">
        <f t="shared" si="8"/>
        <v>#VALUE!</v>
      </c>
      <c r="AM60" s="94" t="e">
        <f t="shared" si="9"/>
        <v>#VALUE!</v>
      </c>
      <c r="AN60" s="12"/>
    </row>
    <row r="61" spans="1:40" ht="15.75" thickBot="1" x14ac:dyDescent="0.3">
      <c r="A61" s="12"/>
      <c r="B61" s="21"/>
      <c r="C61" s="21"/>
      <c r="D61" s="12"/>
      <c r="G61" s="12"/>
      <c r="K61" s="52"/>
      <c r="L61" s="53"/>
      <c r="M61" s="54"/>
      <c r="Q61" s="12"/>
      <c r="R61" s="45">
        <f t="shared" si="0"/>
        <v>0</v>
      </c>
      <c r="S61" s="46">
        <f t="shared" si="1"/>
        <v>0</v>
      </c>
      <c r="T61" s="41" t="str">
        <f t="shared" si="2"/>
        <v/>
      </c>
      <c r="V61" s="39" t="str">
        <f t="shared" si="3"/>
        <v/>
      </c>
      <c r="W61" s="39" t="str">
        <f t="shared" si="4"/>
        <v/>
      </c>
      <c r="X61" s="39" t="str">
        <f t="shared" si="5"/>
        <v/>
      </c>
      <c r="Z61" s="95">
        <f t="shared" si="6"/>
        <v>0</v>
      </c>
      <c r="AA61" s="12"/>
      <c r="AC61" s="128"/>
      <c r="AD61" s="66"/>
      <c r="AE61" s="128"/>
      <c r="AG61" s="128"/>
      <c r="AH61" s="12"/>
      <c r="AI61" t="str">
        <f t="shared" si="7"/>
        <v/>
      </c>
      <c r="AJ61" t="str">
        <f t="shared" si="7"/>
        <v/>
      </c>
      <c r="AK61" s="12"/>
      <c r="AL61" s="94" t="e">
        <f t="shared" si="8"/>
        <v>#VALUE!</v>
      </c>
      <c r="AM61" s="94" t="e">
        <f t="shared" si="9"/>
        <v>#VALUE!</v>
      </c>
      <c r="AN61" s="12"/>
    </row>
    <row r="62" spans="1:40" ht="15.75" thickBot="1" x14ac:dyDescent="0.3">
      <c r="A62" s="12"/>
      <c r="B62" s="21"/>
      <c r="C62" s="21"/>
      <c r="D62" s="12"/>
      <c r="G62" s="12"/>
      <c r="K62" s="52"/>
      <c r="L62" s="53"/>
      <c r="M62" s="54"/>
      <c r="Q62" s="12"/>
      <c r="R62" s="45">
        <f t="shared" si="0"/>
        <v>0</v>
      </c>
      <c r="S62" s="46">
        <f t="shared" si="1"/>
        <v>0</v>
      </c>
      <c r="T62" s="41" t="str">
        <f t="shared" si="2"/>
        <v/>
      </c>
      <c r="V62" s="39" t="str">
        <f t="shared" si="3"/>
        <v/>
      </c>
      <c r="W62" s="39" t="str">
        <f t="shared" si="4"/>
        <v/>
      </c>
      <c r="X62" s="39" t="str">
        <f t="shared" si="5"/>
        <v/>
      </c>
      <c r="Z62" s="95">
        <f t="shared" si="6"/>
        <v>0</v>
      </c>
      <c r="AA62" s="12"/>
      <c r="AC62" s="128"/>
      <c r="AD62" s="66"/>
      <c r="AE62" s="128"/>
      <c r="AG62" s="128"/>
      <c r="AH62" s="12"/>
      <c r="AI62" t="str">
        <f t="shared" si="7"/>
        <v/>
      </c>
      <c r="AJ62" t="str">
        <f t="shared" si="7"/>
        <v/>
      </c>
      <c r="AK62" s="12"/>
      <c r="AL62" s="94" t="e">
        <f t="shared" si="8"/>
        <v>#VALUE!</v>
      </c>
      <c r="AM62" s="94" t="e">
        <f t="shared" si="9"/>
        <v>#VALUE!</v>
      </c>
      <c r="AN62" s="12"/>
    </row>
    <row r="63" spans="1:40" ht="15.75" thickBot="1" x14ac:dyDescent="0.3">
      <c r="A63" s="12"/>
      <c r="B63" s="21"/>
      <c r="C63" s="21"/>
      <c r="D63" s="12"/>
      <c r="G63" s="12"/>
      <c r="K63" s="52"/>
      <c r="L63" s="53"/>
      <c r="M63" s="54"/>
      <c r="Q63" s="12"/>
      <c r="R63" s="45">
        <f t="shared" si="0"/>
        <v>0</v>
      </c>
      <c r="S63" s="46">
        <f t="shared" si="1"/>
        <v>0</v>
      </c>
      <c r="T63" s="41" t="str">
        <f t="shared" si="2"/>
        <v/>
      </c>
      <c r="V63" s="39" t="str">
        <f t="shared" si="3"/>
        <v/>
      </c>
      <c r="W63" s="39" t="str">
        <f t="shared" si="4"/>
        <v/>
      </c>
      <c r="X63" s="39" t="str">
        <f t="shared" si="5"/>
        <v/>
      </c>
      <c r="Z63" s="95">
        <f t="shared" si="6"/>
        <v>0</v>
      </c>
      <c r="AA63" s="12"/>
      <c r="AC63" s="128"/>
      <c r="AD63" s="66"/>
      <c r="AE63" s="128"/>
      <c r="AG63" s="128"/>
      <c r="AH63" s="12"/>
      <c r="AI63" t="str">
        <f t="shared" si="7"/>
        <v/>
      </c>
      <c r="AJ63" t="str">
        <f t="shared" si="7"/>
        <v/>
      </c>
      <c r="AK63" s="12"/>
      <c r="AL63" s="94" t="e">
        <f t="shared" si="8"/>
        <v>#VALUE!</v>
      </c>
      <c r="AM63" s="94" t="e">
        <f t="shared" si="9"/>
        <v>#VALUE!</v>
      </c>
      <c r="AN63" s="12"/>
    </row>
    <row r="64" spans="1:40" ht="15.75" thickBot="1" x14ac:dyDescent="0.3">
      <c r="A64" s="12"/>
      <c r="B64" s="21"/>
      <c r="C64" s="21"/>
      <c r="D64" s="12"/>
      <c r="G64" s="12"/>
      <c r="K64" s="52"/>
      <c r="L64" s="53"/>
      <c r="M64" s="54"/>
      <c r="Q64" s="12"/>
      <c r="R64" s="45">
        <f t="shared" si="0"/>
        <v>0</v>
      </c>
      <c r="S64" s="46">
        <f t="shared" si="1"/>
        <v>0</v>
      </c>
      <c r="T64" s="41" t="str">
        <f t="shared" si="2"/>
        <v/>
      </c>
      <c r="V64" s="39" t="str">
        <f t="shared" si="3"/>
        <v/>
      </c>
      <c r="W64" s="39" t="str">
        <f t="shared" si="4"/>
        <v/>
      </c>
      <c r="X64" s="39" t="str">
        <f t="shared" si="5"/>
        <v/>
      </c>
      <c r="Z64" s="95">
        <f t="shared" si="6"/>
        <v>0</v>
      </c>
      <c r="AA64" s="12"/>
      <c r="AC64" s="128"/>
      <c r="AD64" s="66"/>
      <c r="AE64" s="128"/>
      <c r="AG64" s="128"/>
      <c r="AH64" s="12"/>
      <c r="AI64" t="str">
        <f t="shared" si="7"/>
        <v/>
      </c>
      <c r="AJ64" t="str">
        <f t="shared" si="7"/>
        <v/>
      </c>
      <c r="AK64" s="12"/>
      <c r="AL64" s="94" t="e">
        <f t="shared" si="8"/>
        <v>#VALUE!</v>
      </c>
      <c r="AM64" s="94" t="e">
        <f t="shared" si="9"/>
        <v>#VALUE!</v>
      </c>
      <c r="AN64" s="12"/>
    </row>
    <row r="65" spans="1:40" ht="15.75" thickBot="1" x14ac:dyDescent="0.3">
      <c r="A65" s="12"/>
      <c r="B65" s="21"/>
      <c r="C65" s="21"/>
      <c r="D65" s="12"/>
      <c r="G65" s="12"/>
      <c r="K65" s="52"/>
      <c r="L65" s="53"/>
      <c r="M65" s="54"/>
      <c r="Q65" s="12"/>
      <c r="R65" s="45">
        <f t="shared" si="0"/>
        <v>0</v>
      </c>
      <c r="S65" s="46">
        <f t="shared" si="1"/>
        <v>0</v>
      </c>
      <c r="T65" s="41" t="str">
        <f t="shared" si="2"/>
        <v/>
      </c>
      <c r="V65" s="39" t="str">
        <f t="shared" si="3"/>
        <v/>
      </c>
      <c r="W65" s="39" t="str">
        <f t="shared" si="4"/>
        <v/>
      </c>
      <c r="X65" s="39" t="str">
        <f t="shared" si="5"/>
        <v/>
      </c>
      <c r="Z65" s="95">
        <f t="shared" si="6"/>
        <v>0</v>
      </c>
      <c r="AA65" s="12"/>
      <c r="AC65" s="128"/>
      <c r="AD65" s="66"/>
      <c r="AE65" s="128"/>
      <c r="AG65" s="128"/>
      <c r="AH65" s="12"/>
      <c r="AI65" t="str">
        <f t="shared" si="7"/>
        <v/>
      </c>
      <c r="AJ65" t="str">
        <f t="shared" si="7"/>
        <v/>
      </c>
      <c r="AK65" s="12"/>
      <c r="AL65" s="94" t="e">
        <f t="shared" si="8"/>
        <v>#VALUE!</v>
      </c>
      <c r="AM65" s="94" t="e">
        <f t="shared" si="9"/>
        <v>#VALUE!</v>
      </c>
      <c r="AN65" s="12"/>
    </row>
    <row r="66" spans="1:40" ht="15.75" thickBot="1" x14ac:dyDescent="0.3">
      <c r="A66" s="12"/>
      <c r="B66" s="21"/>
      <c r="C66" s="21"/>
      <c r="D66" s="12"/>
      <c r="G66" s="12"/>
      <c r="K66" s="52"/>
      <c r="L66" s="53"/>
      <c r="M66" s="54"/>
      <c r="Q66" s="12"/>
      <c r="R66" s="45">
        <f t="shared" si="0"/>
        <v>0</v>
      </c>
      <c r="S66" s="46">
        <f t="shared" si="1"/>
        <v>0</v>
      </c>
      <c r="T66" s="41" t="str">
        <f t="shared" si="2"/>
        <v/>
      </c>
      <c r="V66" s="39" t="str">
        <f t="shared" si="3"/>
        <v/>
      </c>
      <c r="W66" s="39" t="str">
        <f t="shared" si="4"/>
        <v/>
      </c>
      <c r="X66" s="39" t="str">
        <f t="shared" si="5"/>
        <v/>
      </c>
      <c r="Z66" s="95">
        <f t="shared" si="6"/>
        <v>0</v>
      </c>
      <c r="AA66" s="12"/>
      <c r="AC66" s="128"/>
      <c r="AD66" s="66"/>
      <c r="AE66" s="128"/>
      <c r="AG66" s="128"/>
      <c r="AH66" s="12"/>
      <c r="AI66" t="str">
        <f t="shared" si="7"/>
        <v/>
      </c>
      <c r="AJ66" t="str">
        <f t="shared" si="7"/>
        <v/>
      </c>
      <c r="AK66" s="12"/>
      <c r="AL66" s="94" t="e">
        <f t="shared" si="8"/>
        <v>#VALUE!</v>
      </c>
      <c r="AM66" s="94" t="e">
        <f t="shared" si="9"/>
        <v>#VALUE!</v>
      </c>
      <c r="AN66" s="12"/>
    </row>
    <row r="67" spans="1:40" ht="15.75" thickBot="1" x14ac:dyDescent="0.3">
      <c r="A67" s="12"/>
      <c r="B67" s="21"/>
      <c r="C67" s="21"/>
      <c r="D67" s="12"/>
      <c r="G67" s="12"/>
      <c r="K67" s="52"/>
      <c r="L67" s="53"/>
      <c r="M67" s="54"/>
      <c r="Q67" s="12"/>
      <c r="R67" s="45">
        <f t="shared" si="0"/>
        <v>0</v>
      </c>
      <c r="S67" s="46">
        <f t="shared" si="1"/>
        <v>0</v>
      </c>
      <c r="T67" s="41" t="str">
        <f t="shared" si="2"/>
        <v/>
      </c>
      <c r="V67" s="39" t="str">
        <f t="shared" si="3"/>
        <v/>
      </c>
      <c r="W67" s="39" t="str">
        <f t="shared" si="4"/>
        <v/>
      </c>
      <c r="X67" s="39" t="str">
        <f t="shared" si="5"/>
        <v/>
      </c>
      <c r="Z67" s="95">
        <f t="shared" si="6"/>
        <v>0</v>
      </c>
      <c r="AA67" s="12"/>
      <c r="AC67" s="128"/>
      <c r="AD67" s="66"/>
      <c r="AE67" s="128"/>
      <c r="AG67" s="128"/>
      <c r="AH67" s="12"/>
      <c r="AI67" t="str">
        <f t="shared" si="7"/>
        <v/>
      </c>
      <c r="AJ67" t="str">
        <f t="shared" si="7"/>
        <v/>
      </c>
      <c r="AK67" s="12"/>
      <c r="AL67" s="94" t="e">
        <f t="shared" si="8"/>
        <v>#VALUE!</v>
      </c>
      <c r="AM67" s="94" t="e">
        <f t="shared" si="9"/>
        <v>#VALUE!</v>
      </c>
      <c r="AN67" s="12"/>
    </row>
    <row r="68" spans="1:40" ht="15.75" thickBot="1" x14ac:dyDescent="0.3">
      <c r="A68" s="12"/>
      <c r="B68" s="21"/>
      <c r="C68" s="21"/>
      <c r="D68" s="12"/>
      <c r="G68" s="12"/>
      <c r="K68" s="52"/>
      <c r="L68" s="53"/>
      <c r="M68" s="54"/>
      <c r="Q68" s="12"/>
      <c r="R68" s="45">
        <f t="shared" si="0"/>
        <v>0</v>
      </c>
      <c r="S68" s="46">
        <f t="shared" si="1"/>
        <v>0</v>
      </c>
      <c r="T68" s="41" t="str">
        <f t="shared" si="2"/>
        <v/>
      </c>
      <c r="V68" s="39" t="str">
        <f t="shared" si="3"/>
        <v/>
      </c>
      <c r="W68" s="39" t="str">
        <f t="shared" si="4"/>
        <v/>
      </c>
      <c r="X68" s="39" t="str">
        <f t="shared" si="5"/>
        <v/>
      </c>
      <c r="Z68" s="95">
        <f t="shared" si="6"/>
        <v>0</v>
      </c>
      <c r="AA68" s="12"/>
      <c r="AC68" s="128"/>
      <c r="AD68" s="66"/>
      <c r="AE68" s="128"/>
      <c r="AG68" s="128"/>
      <c r="AH68" s="12"/>
      <c r="AI68" t="str">
        <f t="shared" si="7"/>
        <v/>
      </c>
      <c r="AJ68" t="str">
        <f t="shared" si="7"/>
        <v/>
      </c>
      <c r="AK68" s="12"/>
      <c r="AL68" s="94" t="e">
        <f t="shared" si="8"/>
        <v>#VALUE!</v>
      </c>
      <c r="AM68" s="94" t="e">
        <f t="shared" si="9"/>
        <v>#VALUE!</v>
      </c>
      <c r="AN68" s="12"/>
    </row>
    <row r="69" spans="1:40" ht="15.75" thickBot="1" x14ac:dyDescent="0.3">
      <c r="A69" s="12"/>
      <c r="B69" s="21"/>
      <c r="C69" s="21"/>
      <c r="D69" s="12"/>
      <c r="G69" s="12"/>
      <c r="K69" s="52"/>
      <c r="L69" s="53"/>
      <c r="M69" s="54"/>
      <c r="Q69" s="12"/>
      <c r="R69" s="45">
        <f t="shared" si="0"/>
        <v>0</v>
      </c>
      <c r="S69" s="46">
        <f t="shared" si="1"/>
        <v>0</v>
      </c>
      <c r="T69" s="41" t="str">
        <f t="shared" si="2"/>
        <v/>
      </c>
      <c r="V69" s="39" t="str">
        <f t="shared" si="3"/>
        <v/>
      </c>
      <c r="W69" s="39" t="str">
        <f t="shared" si="4"/>
        <v/>
      </c>
      <c r="X69" s="39" t="str">
        <f t="shared" si="5"/>
        <v/>
      </c>
      <c r="Z69" s="95">
        <f t="shared" si="6"/>
        <v>0</v>
      </c>
      <c r="AA69" s="12"/>
      <c r="AC69" s="128"/>
      <c r="AD69" s="66"/>
      <c r="AE69" s="128"/>
      <c r="AG69" s="128"/>
      <c r="AH69" s="12"/>
      <c r="AI69" t="str">
        <f t="shared" si="7"/>
        <v/>
      </c>
      <c r="AJ69" t="str">
        <f t="shared" si="7"/>
        <v/>
      </c>
      <c r="AK69" s="12"/>
      <c r="AL69" s="94" t="e">
        <f t="shared" si="8"/>
        <v>#VALUE!</v>
      </c>
      <c r="AM69" s="94" t="e">
        <f t="shared" si="9"/>
        <v>#VALUE!</v>
      </c>
      <c r="AN69" s="12"/>
    </row>
    <row r="70" spans="1:40" ht="15.75" thickBot="1" x14ac:dyDescent="0.3">
      <c r="A70" s="12"/>
      <c r="B70" s="21"/>
      <c r="C70" s="21"/>
      <c r="D70" s="12"/>
      <c r="G70" s="12"/>
      <c r="K70" s="52"/>
      <c r="L70" s="53"/>
      <c r="M70" s="54"/>
      <c r="Q70" s="12"/>
      <c r="R70" s="45">
        <f t="shared" ref="R70:R133" si="10">COUNT(H70:P70)</f>
        <v>0</v>
      </c>
      <c r="S70" s="46">
        <f t="shared" ref="S70:S133" si="11">SUM(V70:X70)</f>
        <v>0</v>
      </c>
      <c r="T70" s="41" t="str">
        <f t="shared" ref="T70:T133" si="12">IF(AND(H70="",I70="",J70="",K70="",L70="",M70="",N70="",O70="",P70=""),"",(H70+I70+J70+K70+L70+M70+N70+O70+P70))</f>
        <v/>
      </c>
      <c r="V70" s="39" t="str">
        <f t="shared" ref="V70:V133" si="13">IF(COUNTA(H70:J70)&gt;0,1,"")</f>
        <v/>
      </c>
      <c r="W70" s="39" t="str">
        <f t="shared" ref="W70:W133" si="14">IF(COUNTA(K70:M70)&gt;0,1,"")</f>
        <v/>
      </c>
      <c r="X70" s="39" t="str">
        <f t="shared" ref="X70:X133" si="15">IF(COUNTA(N70:P70)&gt;0,1,"")</f>
        <v/>
      </c>
      <c r="Z70" s="95">
        <f t="shared" ref="Z70:Z133" si="16">E70</f>
        <v>0</v>
      </c>
      <c r="AA70" s="12"/>
      <c r="AC70" s="128"/>
      <c r="AD70" s="66"/>
      <c r="AE70" s="128"/>
      <c r="AG70" s="128"/>
      <c r="AH70" s="12"/>
      <c r="AI70" t="str">
        <f t="shared" ref="AI70:AJ133" si="17">IF(AND(AB70="",AD70="",AF70=""),"",SUM(AB70,AD70,AF70))</f>
        <v/>
      </c>
      <c r="AJ70" t="str">
        <f t="shared" si="17"/>
        <v/>
      </c>
      <c r="AK70" s="12"/>
      <c r="AL70" s="94" t="e">
        <f t="shared" ref="AL70:AL133" si="18">AI70/R70</f>
        <v>#VALUE!</v>
      </c>
      <c r="AM70" s="94" t="e">
        <f t="shared" ref="AM70:AM133" si="19">AJ70/R70</f>
        <v>#VALUE!</v>
      </c>
      <c r="AN70" s="12"/>
    </row>
    <row r="71" spans="1:40" ht="15.75" thickBot="1" x14ac:dyDescent="0.3">
      <c r="A71" s="12"/>
      <c r="B71" s="21"/>
      <c r="C71" s="21"/>
      <c r="D71" s="12"/>
      <c r="G71" s="12"/>
      <c r="K71" s="52"/>
      <c r="L71" s="53"/>
      <c r="M71" s="54"/>
      <c r="Q71" s="12"/>
      <c r="R71" s="45">
        <f t="shared" si="10"/>
        <v>0</v>
      </c>
      <c r="S71" s="46">
        <f t="shared" si="11"/>
        <v>0</v>
      </c>
      <c r="T71" s="41" t="str">
        <f t="shared" si="12"/>
        <v/>
      </c>
      <c r="V71" s="39" t="str">
        <f t="shared" si="13"/>
        <v/>
      </c>
      <c r="W71" s="39" t="str">
        <f t="shared" si="14"/>
        <v/>
      </c>
      <c r="X71" s="39" t="str">
        <f t="shared" si="15"/>
        <v/>
      </c>
      <c r="Z71" s="95">
        <f t="shared" si="16"/>
        <v>0</v>
      </c>
      <c r="AA71" s="12"/>
      <c r="AC71" s="128"/>
      <c r="AD71" s="66"/>
      <c r="AE71" s="128"/>
      <c r="AG71" s="128"/>
      <c r="AH71" s="12"/>
      <c r="AI71" t="str">
        <f t="shared" si="17"/>
        <v/>
      </c>
      <c r="AJ71" t="str">
        <f t="shared" si="17"/>
        <v/>
      </c>
      <c r="AK71" s="12"/>
      <c r="AL71" s="94" t="e">
        <f t="shared" si="18"/>
        <v>#VALUE!</v>
      </c>
      <c r="AM71" s="94" t="e">
        <f t="shared" si="19"/>
        <v>#VALUE!</v>
      </c>
      <c r="AN71" s="12"/>
    </row>
    <row r="72" spans="1:40" ht="15.75" thickBot="1" x14ac:dyDescent="0.3">
      <c r="A72" s="12"/>
      <c r="B72" s="21"/>
      <c r="C72" s="21"/>
      <c r="D72" s="12"/>
      <c r="G72" s="12"/>
      <c r="K72" s="52"/>
      <c r="L72" s="53"/>
      <c r="M72" s="54"/>
      <c r="Q72" s="12"/>
      <c r="R72" s="45">
        <f t="shared" si="10"/>
        <v>0</v>
      </c>
      <c r="S72" s="46">
        <f t="shared" si="11"/>
        <v>0</v>
      </c>
      <c r="T72" s="41" t="str">
        <f t="shared" si="12"/>
        <v/>
      </c>
      <c r="V72" s="39" t="str">
        <f t="shared" si="13"/>
        <v/>
      </c>
      <c r="W72" s="39" t="str">
        <f t="shared" si="14"/>
        <v/>
      </c>
      <c r="X72" s="39" t="str">
        <f t="shared" si="15"/>
        <v/>
      </c>
      <c r="Z72" s="95">
        <f t="shared" si="16"/>
        <v>0</v>
      </c>
      <c r="AA72" s="12"/>
      <c r="AC72" s="128"/>
      <c r="AD72" s="66"/>
      <c r="AE72" s="128"/>
      <c r="AG72" s="128"/>
      <c r="AH72" s="12"/>
      <c r="AI72" t="str">
        <f t="shared" si="17"/>
        <v/>
      </c>
      <c r="AJ72" t="str">
        <f t="shared" si="17"/>
        <v/>
      </c>
      <c r="AK72" s="12"/>
      <c r="AL72" s="94" t="e">
        <f t="shared" si="18"/>
        <v>#VALUE!</v>
      </c>
      <c r="AM72" s="94" t="e">
        <f t="shared" si="19"/>
        <v>#VALUE!</v>
      </c>
      <c r="AN72" s="12"/>
    </row>
    <row r="73" spans="1:40" ht="15.75" thickBot="1" x14ac:dyDescent="0.3">
      <c r="A73" s="12"/>
      <c r="B73" s="21"/>
      <c r="C73" s="21"/>
      <c r="D73" s="12"/>
      <c r="G73" s="12"/>
      <c r="K73" s="52"/>
      <c r="L73" s="53"/>
      <c r="M73" s="54"/>
      <c r="Q73" s="12"/>
      <c r="R73" s="45">
        <f t="shared" si="10"/>
        <v>0</v>
      </c>
      <c r="S73" s="46">
        <f t="shared" si="11"/>
        <v>0</v>
      </c>
      <c r="T73" s="41" t="str">
        <f t="shared" si="12"/>
        <v/>
      </c>
      <c r="V73" s="39" t="str">
        <f t="shared" si="13"/>
        <v/>
      </c>
      <c r="W73" s="39" t="str">
        <f t="shared" si="14"/>
        <v/>
      </c>
      <c r="X73" s="39" t="str">
        <f t="shared" si="15"/>
        <v/>
      </c>
      <c r="Z73" s="95">
        <f t="shared" si="16"/>
        <v>0</v>
      </c>
      <c r="AA73" s="12"/>
      <c r="AC73" s="128"/>
      <c r="AD73" s="66"/>
      <c r="AE73" s="128"/>
      <c r="AG73" s="128"/>
      <c r="AH73" s="12"/>
      <c r="AI73" t="str">
        <f t="shared" si="17"/>
        <v/>
      </c>
      <c r="AJ73" t="str">
        <f t="shared" si="17"/>
        <v/>
      </c>
      <c r="AK73" s="12"/>
      <c r="AL73" s="94" t="e">
        <f t="shared" si="18"/>
        <v>#VALUE!</v>
      </c>
      <c r="AM73" s="94" t="e">
        <f t="shared" si="19"/>
        <v>#VALUE!</v>
      </c>
      <c r="AN73" s="12"/>
    </row>
    <row r="74" spans="1:40" ht="15.75" thickBot="1" x14ac:dyDescent="0.3">
      <c r="A74" s="12"/>
      <c r="B74" s="21"/>
      <c r="C74" s="21"/>
      <c r="D74" s="12"/>
      <c r="G74" s="12"/>
      <c r="K74" s="52"/>
      <c r="L74" s="53"/>
      <c r="M74" s="54"/>
      <c r="Q74" s="12"/>
      <c r="R74" s="45">
        <f t="shared" si="10"/>
        <v>0</v>
      </c>
      <c r="S74" s="46">
        <f t="shared" si="11"/>
        <v>0</v>
      </c>
      <c r="T74" s="41" t="str">
        <f t="shared" si="12"/>
        <v/>
      </c>
      <c r="V74" s="39" t="str">
        <f t="shared" si="13"/>
        <v/>
      </c>
      <c r="W74" s="39" t="str">
        <f t="shared" si="14"/>
        <v/>
      </c>
      <c r="X74" s="39" t="str">
        <f t="shared" si="15"/>
        <v/>
      </c>
      <c r="Z74" s="95">
        <f t="shared" si="16"/>
        <v>0</v>
      </c>
      <c r="AA74" s="12"/>
      <c r="AC74" s="128"/>
      <c r="AD74" s="66"/>
      <c r="AE74" s="128"/>
      <c r="AG74" s="128"/>
      <c r="AH74" s="12"/>
      <c r="AI74" t="str">
        <f t="shared" si="17"/>
        <v/>
      </c>
      <c r="AJ74" t="str">
        <f t="shared" si="17"/>
        <v/>
      </c>
      <c r="AK74" s="12"/>
      <c r="AL74" s="94" t="e">
        <f t="shared" si="18"/>
        <v>#VALUE!</v>
      </c>
      <c r="AM74" s="94" t="e">
        <f t="shared" si="19"/>
        <v>#VALUE!</v>
      </c>
      <c r="AN74" s="12"/>
    </row>
    <row r="75" spans="1:40" ht="15.75" thickBot="1" x14ac:dyDescent="0.3">
      <c r="A75" s="12"/>
      <c r="B75" s="21"/>
      <c r="C75" s="21"/>
      <c r="D75" s="12"/>
      <c r="G75" s="12"/>
      <c r="K75" s="52"/>
      <c r="L75" s="53"/>
      <c r="M75" s="54"/>
      <c r="Q75" s="12"/>
      <c r="R75" s="45">
        <f t="shared" si="10"/>
        <v>0</v>
      </c>
      <c r="S75" s="46">
        <f t="shared" si="11"/>
        <v>0</v>
      </c>
      <c r="T75" s="41" t="str">
        <f t="shared" si="12"/>
        <v/>
      </c>
      <c r="V75" s="39" t="str">
        <f t="shared" si="13"/>
        <v/>
      </c>
      <c r="W75" s="39" t="str">
        <f t="shared" si="14"/>
        <v/>
      </c>
      <c r="X75" s="39" t="str">
        <f t="shared" si="15"/>
        <v/>
      </c>
      <c r="Z75" s="95">
        <f t="shared" si="16"/>
        <v>0</v>
      </c>
      <c r="AA75" s="12"/>
      <c r="AC75" s="128"/>
      <c r="AD75" s="66"/>
      <c r="AE75" s="128"/>
      <c r="AG75" s="128"/>
      <c r="AH75" s="12"/>
      <c r="AI75" t="str">
        <f t="shared" si="17"/>
        <v/>
      </c>
      <c r="AJ75" t="str">
        <f t="shared" si="17"/>
        <v/>
      </c>
      <c r="AK75" s="12"/>
      <c r="AL75" s="94" t="e">
        <f t="shared" si="18"/>
        <v>#VALUE!</v>
      </c>
      <c r="AM75" s="94" t="e">
        <f t="shared" si="19"/>
        <v>#VALUE!</v>
      </c>
      <c r="AN75" s="12"/>
    </row>
    <row r="76" spans="1:40" ht="15.75" thickBot="1" x14ac:dyDescent="0.3">
      <c r="A76" s="12"/>
      <c r="B76" s="21"/>
      <c r="C76" s="21"/>
      <c r="D76" s="12"/>
      <c r="G76" s="12"/>
      <c r="K76" s="52"/>
      <c r="L76" s="53"/>
      <c r="M76" s="54"/>
      <c r="Q76" s="12"/>
      <c r="R76" s="45">
        <f t="shared" si="10"/>
        <v>0</v>
      </c>
      <c r="S76" s="46">
        <f t="shared" si="11"/>
        <v>0</v>
      </c>
      <c r="T76" s="41" t="str">
        <f t="shared" si="12"/>
        <v/>
      </c>
      <c r="V76" s="39" t="str">
        <f t="shared" si="13"/>
        <v/>
      </c>
      <c r="W76" s="39" t="str">
        <f t="shared" si="14"/>
        <v/>
      </c>
      <c r="X76" s="39" t="str">
        <f t="shared" si="15"/>
        <v/>
      </c>
      <c r="Z76" s="95">
        <f t="shared" si="16"/>
        <v>0</v>
      </c>
      <c r="AA76" s="12"/>
      <c r="AC76" s="128"/>
      <c r="AD76" s="66"/>
      <c r="AE76" s="128"/>
      <c r="AG76" s="128"/>
      <c r="AH76" s="12"/>
      <c r="AI76" t="str">
        <f t="shared" si="17"/>
        <v/>
      </c>
      <c r="AJ76" t="str">
        <f t="shared" si="17"/>
        <v/>
      </c>
      <c r="AK76" s="12"/>
      <c r="AL76" s="94" t="e">
        <f t="shared" si="18"/>
        <v>#VALUE!</v>
      </c>
      <c r="AM76" s="94" t="e">
        <f t="shared" si="19"/>
        <v>#VALUE!</v>
      </c>
      <c r="AN76" s="12"/>
    </row>
    <row r="77" spans="1:40" ht="15.75" thickBot="1" x14ac:dyDescent="0.3">
      <c r="A77" s="12"/>
      <c r="B77" s="21"/>
      <c r="C77" s="21"/>
      <c r="D77" s="12"/>
      <c r="G77" s="12"/>
      <c r="K77" s="52"/>
      <c r="L77" s="53"/>
      <c r="M77" s="54"/>
      <c r="Q77" s="12"/>
      <c r="R77" s="45">
        <f t="shared" si="10"/>
        <v>0</v>
      </c>
      <c r="S77" s="46">
        <f t="shared" si="11"/>
        <v>0</v>
      </c>
      <c r="T77" s="41" t="str">
        <f t="shared" si="12"/>
        <v/>
      </c>
      <c r="V77" s="39" t="str">
        <f t="shared" si="13"/>
        <v/>
      </c>
      <c r="W77" s="39" t="str">
        <f t="shared" si="14"/>
        <v/>
      </c>
      <c r="X77" s="39" t="str">
        <f t="shared" si="15"/>
        <v/>
      </c>
      <c r="Z77" s="95">
        <f t="shared" si="16"/>
        <v>0</v>
      </c>
      <c r="AA77" s="12"/>
      <c r="AC77" s="128"/>
      <c r="AD77" s="66"/>
      <c r="AE77" s="128"/>
      <c r="AG77" s="128"/>
      <c r="AH77" s="12"/>
      <c r="AI77" t="str">
        <f t="shared" si="17"/>
        <v/>
      </c>
      <c r="AJ77" t="str">
        <f t="shared" si="17"/>
        <v/>
      </c>
      <c r="AK77" s="12"/>
      <c r="AL77" s="94" t="e">
        <f t="shared" si="18"/>
        <v>#VALUE!</v>
      </c>
      <c r="AM77" s="94" t="e">
        <f t="shared" si="19"/>
        <v>#VALUE!</v>
      </c>
      <c r="AN77" s="12"/>
    </row>
    <row r="78" spans="1:40" ht="15.75" thickBot="1" x14ac:dyDescent="0.3">
      <c r="A78" s="12"/>
      <c r="B78" s="21"/>
      <c r="C78" s="21"/>
      <c r="D78" s="12"/>
      <c r="G78" s="12"/>
      <c r="K78" s="52"/>
      <c r="L78" s="53"/>
      <c r="M78" s="54"/>
      <c r="Q78" s="12"/>
      <c r="R78" s="45">
        <f t="shared" si="10"/>
        <v>0</v>
      </c>
      <c r="S78" s="46">
        <f t="shared" si="11"/>
        <v>0</v>
      </c>
      <c r="T78" s="41" t="str">
        <f t="shared" si="12"/>
        <v/>
      </c>
      <c r="V78" s="39" t="str">
        <f t="shared" si="13"/>
        <v/>
      </c>
      <c r="W78" s="39" t="str">
        <f t="shared" si="14"/>
        <v/>
      </c>
      <c r="X78" s="39" t="str">
        <f t="shared" si="15"/>
        <v/>
      </c>
      <c r="Z78" s="95">
        <f t="shared" si="16"/>
        <v>0</v>
      </c>
      <c r="AA78" s="12"/>
      <c r="AC78" s="128"/>
      <c r="AD78" s="66"/>
      <c r="AE78" s="128"/>
      <c r="AG78" s="128"/>
      <c r="AH78" s="12"/>
      <c r="AI78" t="str">
        <f t="shared" si="17"/>
        <v/>
      </c>
      <c r="AJ78" t="str">
        <f t="shared" si="17"/>
        <v/>
      </c>
      <c r="AK78" s="12"/>
      <c r="AL78" s="94" t="e">
        <f t="shared" si="18"/>
        <v>#VALUE!</v>
      </c>
      <c r="AM78" s="94" t="e">
        <f t="shared" si="19"/>
        <v>#VALUE!</v>
      </c>
      <c r="AN78" s="12"/>
    </row>
    <row r="79" spans="1:40" ht="15.75" thickBot="1" x14ac:dyDescent="0.3">
      <c r="A79" s="12"/>
      <c r="B79" s="21"/>
      <c r="C79" s="21"/>
      <c r="D79" s="12"/>
      <c r="G79" s="12"/>
      <c r="K79" s="52"/>
      <c r="L79" s="53"/>
      <c r="M79" s="54"/>
      <c r="Q79" s="12"/>
      <c r="R79" s="45">
        <f t="shared" si="10"/>
        <v>0</v>
      </c>
      <c r="S79" s="46">
        <f t="shared" si="11"/>
        <v>0</v>
      </c>
      <c r="T79" s="41" t="str">
        <f t="shared" si="12"/>
        <v/>
      </c>
      <c r="V79" s="39" t="str">
        <f t="shared" si="13"/>
        <v/>
      </c>
      <c r="W79" s="39" t="str">
        <f t="shared" si="14"/>
        <v/>
      </c>
      <c r="X79" s="39" t="str">
        <f t="shared" si="15"/>
        <v/>
      </c>
      <c r="Z79" s="95">
        <f t="shared" si="16"/>
        <v>0</v>
      </c>
      <c r="AA79" s="12"/>
      <c r="AC79" s="128"/>
      <c r="AD79" s="66"/>
      <c r="AE79" s="128"/>
      <c r="AG79" s="128"/>
      <c r="AH79" s="12"/>
      <c r="AI79" t="str">
        <f t="shared" si="17"/>
        <v/>
      </c>
      <c r="AJ79" t="str">
        <f t="shared" si="17"/>
        <v/>
      </c>
      <c r="AK79" s="12"/>
      <c r="AL79" s="94" t="e">
        <f t="shared" si="18"/>
        <v>#VALUE!</v>
      </c>
      <c r="AM79" s="94" t="e">
        <f t="shared" si="19"/>
        <v>#VALUE!</v>
      </c>
      <c r="AN79" s="12"/>
    </row>
    <row r="80" spans="1:40" ht="15.75" thickBot="1" x14ac:dyDescent="0.3">
      <c r="A80" s="12"/>
      <c r="B80" s="21"/>
      <c r="C80" s="21"/>
      <c r="D80" s="12"/>
      <c r="G80" s="12"/>
      <c r="K80" s="52"/>
      <c r="L80" s="53"/>
      <c r="M80" s="54"/>
      <c r="Q80" s="12"/>
      <c r="R80" s="45">
        <f t="shared" si="10"/>
        <v>0</v>
      </c>
      <c r="S80" s="46">
        <f t="shared" si="11"/>
        <v>0</v>
      </c>
      <c r="T80" s="41" t="str">
        <f t="shared" si="12"/>
        <v/>
      </c>
      <c r="V80" s="39" t="str">
        <f t="shared" si="13"/>
        <v/>
      </c>
      <c r="W80" s="39" t="str">
        <f t="shared" si="14"/>
        <v/>
      </c>
      <c r="X80" s="39" t="str">
        <f t="shared" si="15"/>
        <v/>
      </c>
      <c r="Z80" s="95">
        <f t="shared" si="16"/>
        <v>0</v>
      </c>
      <c r="AA80" s="12"/>
      <c r="AC80" s="128"/>
      <c r="AD80" s="66"/>
      <c r="AE80" s="128"/>
      <c r="AG80" s="128"/>
      <c r="AH80" s="12"/>
      <c r="AI80" t="str">
        <f t="shared" si="17"/>
        <v/>
      </c>
      <c r="AJ80" t="str">
        <f t="shared" si="17"/>
        <v/>
      </c>
      <c r="AK80" s="12"/>
      <c r="AL80" s="94" t="e">
        <f t="shared" si="18"/>
        <v>#VALUE!</v>
      </c>
      <c r="AM80" s="94" t="e">
        <f t="shared" si="19"/>
        <v>#VALUE!</v>
      </c>
      <c r="AN80" s="12"/>
    </row>
    <row r="81" spans="1:40" ht="15.75" thickBot="1" x14ac:dyDescent="0.3">
      <c r="A81" s="12"/>
      <c r="B81" s="21"/>
      <c r="C81" s="21"/>
      <c r="D81" s="12"/>
      <c r="G81" s="12"/>
      <c r="K81" s="52"/>
      <c r="L81" s="53"/>
      <c r="M81" s="54"/>
      <c r="Q81" s="12"/>
      <c r="R81" s="45">
        <f t="shared" si="10"/>
        <v>0</v>
      </c>
      <c r="S81" s="46">
        <f t="shared" si="11"/>
        <v>0</v>
      </c>
      <c r="T81" s="41" t="str">
        <f t="shared" si="12"/>
        <v/>
      </c>
      <c r="V81" s="39" t="str">
        <f t="shared" si="13"/>
        <v/>
      </c>
      <c r="W81" s="39" t="str">
        <f t="shared" si="14"/>
        <v/>
      </c>
      <c r="X81" s="39" t="str">
        <f t="shared" si="15"/>
        <v/>
      </c>
      <c r="Z81" s="95">
        <f t="shared" si="16"/>
        <v>0</v>
      </c>
      <c r="AA81" s="12"/>
      <c r="AC81" s="128"/>
      <c r="AD81" s="66"/>
      <c r="AE81" s="128"/>
      <c r="AG81" s="128"/>
      <c r="AH81" s="12"/>
      <c r="AI81" t="str">
        <f t="shared" si="17"/>
        <v/>
      </c>
      <c r="AJ81" t="str">
        <f t="shared" si="17"/>
        <v/>
      </c>
      <c r="AK81" s="12"/>
      <c r="AL81" s="94" t="e">
        <f t="shared" si="18"/>
        <v>#VALUE!</v>
      </c>
      <c r="AM81" s="94" t="e">
        <f t="shared" si="19"/>
        <v>#VALUE!</v>
      </c>
      <c r="AN81" s="12"/>
    </row>
    <row r="82" spans="1:40" ht="15.75" thickBot="1" x14ac:dyDescent="0.3">
      <c r="A82" s="12"/>
      <c r="B82" s="21"/>
      <c r="C82" s="21"/>
      <c r="D82" s="12"/>
      <c r="G82" s="12"/>
      <c r="K82" s="52"/>
      <c r="L82" s="53"/>
      <c r="M82" s="54"/>
      <c r="Q82" s="12"/>
      <c r="R82" s="45">
        <f t="shared" si="10"/>
        <v>0</v>
      </c>
      <c r="S82" s="46">
        <f t="shared" si="11"/>
        <v>0</v>
      </c>
      <c r="T82" s="41" t="str">
        <f t="shared" si="12"/>
        <v/>
      </c>
      <c r="V82" s="39" t="str">
        <f t="shared" si="13"/>
        <v/>
      </c>
      <c r="W82" s="39" t="str">
        <f t="shared" si="14"/>
        <v/>
      </c>
      <c r="X82" s="39" t="str">
        <f t="shared" si="15"/>
        <v/>
      </c>
      <c r="Z82" s="95">
        <f t="shared" si="16"/>
        <v>0</v>
      </c>
      <c r="AA82" s="12"/>
      <c r="AC82" s="128"/>
      <c r="AD82" s="66"/>
      <c r="AE82" s="128"/>
      <c r="AG82" s="128"/>
      <c r="AH82" s="12"/>
      <c r="AI82" t="str">
        <f t="shared" si="17"/>
        <v/>
      </c>
      <c r="AJ82" t="str">
        <f t="shared" si="17"/>
        <v/>
      </c>
      <c r="AK82" s="12"/>
      <c r="AL82" s="94" t="e">
        <f t="shared" si="18"/>
        <v>#VALUE!</v>
      </c>
      <c r="AM82" s="94" t="e">
        <f t="shared" si="19"/>
        <v>#VALUE!</v>
      </c>
      <c r="AN82" s="12"/>
    </row>
    <row r="83" spans="1:40" ht="15.75" thickBot="1" x14ac:dyDescent="0.3">
      <c r="A83" s="12"/>
      <c r="B83" s="21"/>
      <c r="C83" s="21"/>
      <c r="D83" s="12"/>
      <c r="G83" s="12"/>
      <c r="K83" s="52"/>
      <c r="L83" s="53"/>
      <c r="M83" s="54"/>
      <c r="Q83" s="12"/>
      <c r="R83" s="45">
        <f t="shared" si="10"/>
        <v>0</v>
      </c>
      <c r="S83" s="46">
        <f t="shared" si="11"/>
        <v>0</v>
      </c>
      <c r="T83" s="41" t="str">
        <f t="shared" si="12"/>
        <v/>
      </c>
      <c r="V83" s="39" t="str">
        <f t="shared" si="13"/>
        <v/>
      </c>
      <c r="W83" s="39" t="str">
        <f t="shared" si="14"/>
        <v/>
      </c>
      <c r="X83" s="39" t="str">
        <f t="shared" si="15"/>
        <v/>
      </c>
      <c r="Z83" s="95">
        <f t="shared" si="16"/>
        <v>0</v>
      </c>
      <c r="AA83" s="12"/>
      <c r="AC83" s="128"/>
      <c r="AD83" s="66"/>
      <c r="AE83" s="128"/>
      <c r="AG83" s="128"/>
      <c r="AH83" s="12"/>
      <c r="AI83" t="str">
        <f t="shared" si="17"/>
        <v/>
      </c>
      <c r="AJ83" t="str">
        <f t="shared" si="17"/>
        <v/>
      </c>
      <c r="AK83" s="12"/>
      <c r="AL83" s="94" t="e">
        <f t="shared" si="18"/>
        <v>#VALUE!</v>
      </c>
      <c r="AM83" s="94" t="e">
        <f t="shared" si="19"/>
        <v>#VALUE!</v>
      </c>
      <c r="AN83" s="12"/>
    </row>
    <row r="84" spans="1:40" ht="15.75" thickBot="1" x14ac:dyDescent="0.3">
      <c r="A84" s="12"/>
      <c r="B84" s="21"/>
      <c r="C84" s="21"/>
      <c r="D84" s="12"/>
      <c r="G84" s="12"/>
      <c r="K84" s="52"/>
      <c r="L84" s="53"/>
      <c r="M84" s="54"/>
      <c r="Q84" s="12"/>
      <c r="R84" s="45">
        <f t="shared" si="10"/>
        <v>0</v>
      </c>
      <c r="S84" s="46">
        <f t="shared" si="11"/>
        <v>0</v>
      </c>
      <c r="T84" s="41" t="str">
        <f t="shared" si="12"/>
        <v/>
      </c>
      <c r="V84" s="39" t="str">
        <f t="shared" si="13"/>
        <v/>
      </c>
      <c r="W84" s="39" t="str">
        <f t="shared" si="14"/>
        <v/>
      </c>
      <c r="X84" s="39" t="str">
        <f t="shared" si="15"/>
        <v/>
      </c>
      <c r="Z84" s="95">
        <f t="shared" si="16"/>
        <v>0</v>
      </c>
      <c r="AA84" s="12"/>
      <c r="AC84" s="128"/>
      <c r="AD84" s="66"/>
      <c r="AE84" s="128"/>
      <c r="AG84" s="128"/>
      <c r="AH84" s="12"/>
      <c r="AI84" t="str">
        <f t="shared" si="17"/>
        <v/>
      </c>
      <c r="AJ84" t="str">
        <f t="shared" si="17"/>
        <v/>
      </c>
      <c r="AK84" s="12"/>
      <c r="AL84" s="94" t="e">
        <f t="shared" si="18"/>
        <v>#VALUE!</v>
      </c>
      <c r="AM84" s="94" t="e">
        <f t="shared" si="19"/>
        <v>#VALUE!</v>
      </c>
      <c r="AN84" s="12"/>
    </row>
    <row r="85" spans="1:40" ht="15.75" thickBot="1" x14ac:dyDescent="0.3">
      <c r="A85" s="12"/>
      <c r="B85" s="21"/>
      <c r="C85" s="21"/>
      <c r="D85" s="12"/>
      <c r="G85" s="12"/>
      <c r="K85" s="52"/>
      <c r="L85" s="53"/>
      <c r="M85" s="54"/>
      <c r="Q85" s="12"/>
      <c r="R85" s="45">
        <f t="shared" si="10"/>
        <v>0</v>
      </c>
      <c r="S85" s="46">
        <f t="shared" si="11"/>
        <v>0</v>
      </c>
      <c r="T85" s="41" t="str">
        <f t="shared" si="12"/>
        <v/>
      </c>
      <c r="V85" s="39" t="str">
        <f t="shared" si="13"/>
        <v/>
      </c>
      <c r="W85" s="39" t="str">
        <f t="shared" si="14"/>
        <v/>
      </c>
      <c r="X85" s="39" t="str">
        <f t="shared" si="15"/>
        <v/>
      </c>
      <c r="Z85" s="95">
        <f t="shared" si="16"/>
        <v>0</v>
      </c>
      <c r="AA85" s="12"/>
      <c r="AC85" s="128"/>
      <c r="AD85" s="66"/>
      <c r="AE85" s="128"/>
      <c r="AG85" s="128"/>
      <c r="AH85" s="12"/>
      <c r="AI85" t="str">
        <f t="shared" si="17"/>
        <v/>
      </c>
      <c r="AJ85" t="str">
        <f t="shared" si="17"/>
        <v/>
      </c>
      <c r="AK85" s="12"/>
      <c r="AL85" s="94" t="e">
        <f t="shared" si="18"/>
        <v>#VALUE!</v>
      </c>
      <c r="AM85" s="94" t="e">
        <f t="shared" si="19"/>
        <v>#VALUE!</v>
      </c>
      <c r="AN85" s="12"/>
    </row>
    <row r="86" spans="1:40" ht="15.75" thickBot="1" x14ac:dyDescent="0.3">
      <c r="A86" s="12"/>
      <c r="B86" s="21"/>
      <c r="C86" s="21"/>
      <c r="D86" s="12"/>
      <c r="G86" s="12"/>
      <c r="K86" s="52"/>
      <c r="L86" s="53"/>
      <c r="M86" s="54"/>
      <c r="Q86" s="12"/>
      <c r="R86" s="45">
        <f t="shared" si="10"/>
        <v>0</v>
      </c>
      <c r="S86" s="46">
        <f t="shared" si="11"/>
        <v>0</v>
      </c>
      <c r="T86" s="41" t="str">
        <f t="shared" si="12"/>
        <v/>
      </c>
      <c r="V86" s="39" t="str">
        <f t="shared" si="13"/>
        <v/>
      </c>
      <c r="W86" s="39" t="str">
        <f t="shared" si="14"/>
        <v/>
      </c>
      <c r="X86" s="39" t="str">
        <f t="shared" si="15"/>
        <v/>
      </c>
      <c r="Z86" s="95">
        <f t="shared" si="16"/>
        <v>0</v>
      </c>
      <c r="AA86" s="12"/>
      <c r="AC86" s="128"/>
      <c r="AD86" s="66"/>
      <c r="AE86" s="128"/>
      <c r="AG86" s="128"/>
      <c r="AH86" s="12"/>
      <c r="AI86" t="str">
        <f t="shared" si="17"/>
        <v/>
      </c>
      <c r="AJ86" t="str">
        <f t="shared" si="17"/>
        <v/>
      </c>
      <c r="AK86" s="12"/>
      <c r="AL86" s="94" t="e">
        <f t="shared" si="18"/>
        <v>#VALUE!</v>
      </c>
      <c r="AM86" s="94" t="e">
        <f t="shared" si="19"/>
        <v>#VALUE!</v>
      </c>
      <c r="AN86" s="12"/>
    </row>
    <row r="87" spans="1:40" ht="15.75" thickBot="1" x14ac:dyDescent="0.3">
      <c r="A87" s="12"/>
      <c r="B87" s="21"/>
      <c r="C87" s="21"/>
      <c r="D87" s="12"/>
      <c r="G87" s="12"/>
      <c r="K87" s="52"/>
      <c r="L87" s="53"/>
      <c r="M87" s="54"/>
      <c r="Q87" s="12"/>
      <c r="R87" s="45">
        <f t="shared" si="10"/>
        <v>0</v>
      </c>
      <c r="S87" s="46">
        <f t="shared" si="11"/>
        <v>0</v>
      </c>
      <c r="T87" s="41" t="str">
        <f t="shared" si="12"/>
        <v/>
      </c>
      <c r="V87" s="39" t="str">
        <f t="shared" si="13"/>
        <v/>
      </c>
      <c r="W87" s="39" t="str">
        <f t="shared" si="14"/>
        <v/>
      </c>
      <c r="X87" s="39" t="str">
        <f t="shared" si="15"/>
        <v/>
      </c>
      <c r="Z87" s="95">
        <f t="shared" si="16"/>
        <v>0</v>
      </c>
      <c r="AA87" s="12"/>
      <c r="AC87" s="128"/>
      <c r="AD87" s="66"/>
      <c r="AE87" s="128"/>
      <c r="AG87" s="128"/>
      <c r="AH87" s="12"/>
      <c r="AI87" t="str">
        <f t="shared" si="17"/>
        <v/>
      </c>
      <c r="AJ87" t="str">
        <f t="shared" si="17"/>
        <v/>
      </c>
      <c r="AK87" s="12"/>
      <c r="AL87" s="94" t="e">
        <f t="shared" si="18"/>
        <v>#VALUE!</v>
      </c>
      <c r="AM87" s="94" t="e">
        <f t="shared" si="19"/>
        <v>#VALUE!</v>
      </c>
      <c r="AN87" s="12"/>
    </row>
    <row r="88" spans="1:40" ht="15.75" thickBot="1" x14ac:dyDescent="0.3">
      <c r="A88" s="12"/>
      <c r="B88" s="21"/>
      <c r="C88" s="21"/>
      <c r="D88" s="12"/>
      <c r="G88" s="12"/>
      <c r="K88" s="52"/>
      <c r="L88" s="53"/>
      <c r="M88" s="54"/>
      <c r="Q88" s="12"/>
      <c r="R88" s="45">
        <f t="shared" si="10"/>
        <v>0</v>
      </c>
      <c r="S88" s="46">
        <f t="shared" si="11"/>
        <v>0</v>
      </c>
      <c r="T88" s="41" t="str">
        <f t="shared" si="12"/>
        <v/>
      </c>
      <c r="V88" s="39" t="str">
        <f t="shared" si="13"/>
        <v/>
      </c>
      <c r="W88" s="39" t="str">
        <f t="shared" si="14"/>
        <v/>
      </c>
      <c r="X88" s="39" t="str">
        <f t="shared" si="15"/>
        <v/>
      </c>
      <c r="Z88" s="95">
        <f t="shared" si="16"/>
        <v>0</v>
      </c>
      <c r="AA88" s="12"/>
      <c r="AC88" s="128"/>
      <c r="AD88" s="66"/>
      <c r="AE88" s="128"/>
      <c r="AG88" s="128"/>
      <c r="AH88" s="12"/>
      <c r="AI88" t="str">
        <f t="shared" si="17"/>
        <v/>
      </c>
      <c r="AJ88" t="str">
        <f t="shared" si="17"/>
        <v/>
      </c>
      <c r="AK88" s="12"/>
      <c r="AL88" s="94" t="e">
        <f t="shared" si="18"/>
        <v>#VALUE!</v>
      </c>
      <c r="AM88" s="94" t="e">
        <f t="shared" si="19"/>
        <v>#VALUE!</v>
      </c>
      <c r="AN88" s="12"/>
    </row>
    <row r="89" spans="1:40" ht="15.75" thickBot="1" x14ac:dyDescent="0.3">
      <c r="A89" s="12"/>
      <c r="B89" s="21"/>
      <c r="C89" s="21"/>
      <c r="D89" s="12"/>
      <c r="G89" s="12"/>
      <c r="K89" s="52"/>
      <c r="L89" s="53"/>
      <c r="M89" s="54"/>
      <c r="Q89" s="12"/>
      <c r="R89" s="45">
        <f t="shared" si="10"/>
        <v>0</v>
      </c>
      <c r="S89" s="46">
        <f t="shared" si="11"/>
        <v>0</v>
      </c>
      <c r="T89" s="41" t="str">
        <f t="shared" si="12"/>
        <v/>
      </c>
      <c r="V89" s="39" t="str">
        <f t="shared" si="13"/>
        <v/>
      </c>
      <c r="W89" s="39" t="str">
        <f t="shared" si="14"/>
        <v/>
      </c>
      <c r="X89" s="39" t="str">
        <f t="shared" si="15"/>
        <v/>
      </c>
      <c r="Z89" s="95">
        <f t="shared" si="16"/>
        <v>0</v>
      </c>
      <c r="AA89" s="12"/>
      <c r="AC89" s="128"/>
      <c r="AD89" s="66"/>
      <c r="AE89" s="128"/>
      <c r="AG89" s="128"/>
      <c r="AH89" s="12"/>
      <c r="AI89" t="str">
        <f t="shared" si="17"/>
        <v/>
      </c>
      <c r="AJ89" t="str">
        <f t="shared" si="17"/>
        <v/>
      </c>
      <c r="AK89" s="12"/>
      <c r="AL89" s="94" t="e">
        <f t="shared" si="18"/>
        <v>#VALUE!</v>
      </c>
      <c r="AM89" s="94" t="e">
        <f t="shared" si="19"/>
        <v>#VALUE!</v>
      </c>
      <c r="AN89" s="12"/>
    </row>
    <row r="90" spans="1:40" ht="15.75" thickBot="1" x14ac:dyDescent="0.3">
      <c r="A90" s="12"/>
      <c r="B90" s="21"/>
      <c r="C90" s="21"/>
      <c r="D90" s="12"/>
      <c r="G90" s="12"/>
      <c r="K90" s="52"/>
      <c r="L90" s="53"/>
      <c r="M90" s="54"/>
      <c r="Q90" s="12"/>
      <c r="R90" s="45">
        <f t="shared" si="10"/>
        <v>0</v>
      </c>
      <c r="S90" s="46">
        <f t="shared" si="11"/>
        <v>0</v>
      </c>
      <c r="T90" s="41" t="str">
        <f t="shared" si="12"/>
        <v/>
      </c>
      <c r="V90" s="39" t="str">
        <f t="shared" si="13"/>
        <v/>
      </c>
      <c r="W90" s="39" t="str">
        <f t="shared" si="14"/>
        <v/>
      </c>
      <c r="X90" s="39" t="str">
        <f t="shared" si="15"/>
        <v/>
      </c>
      <c r="Z90" s="95">
        <f t="shared" si="16"/>
        <v>0</v>
      </c>
      <c r="AA90" s="12"/>
      <c r="AC90" s="128"/>
      <c r="AD90" s="66"/>
      <c r="AE90" s="128"/>
      <c r="AG90" s="128"/>
      <c r="AH90" s="12"/>
      <c r="AI90" t="str">
        <f t="shared" si="17"/>
        <v/>
      </c>
      <c r="AJ90" t="str">
        <f t="shared" si="17"/>
        <v/>
      </c>
      <c r="AK90" s="12"/>
      <c r="AL90" s="94" t="e">
        <f t="shared" si="18"/>
        <v>#VALUE!</v>
      </c>
      <c r="AM90" s="94" t="e">
        <f t="shared" si="19"/>
        <v>#VALUE!</v>
      </c>
      <c r="AN90" s="12"/>
    </row>
    <row r="91" spans="1:40" ht="15.75" thickBot="1" x14ac:dyDescent="0.3">
      <c r="A91" s="12"/>
      <c r="B91" s="21"/>
      <c r="C91" s="21"/>
      <c r="D91" s="12"/>
      <c r="G91" s="12"/>
      <c r="K91" s="52"/>
      <c r="L91" s="53"/>
      <c r="M91" s="54"/>
      <c r="Q91" s="12"/>
      <c r="R91" s="45">
        <f t="shared" si="10"/>
        <v>0</v>
      </c>
      <c r="S91" s="46">
        <f t="shared" si="11"/>
        <v>0</v>
      </c>
      <c r="T91" s="41" t="str">
        <f t="shared" si="12"/>
        <v/>
      </c>
      <c r="V91" s="39" t="str">
        <f t="shared" si="13"/>
        <v/>
      </c>
      <c r="W91" s="39" t="str">
        <f t="shared" si="14"/>
        <v/>
      </c>
      <c r="X91" s="39" t="str">
        <f t="shared" si="15"/>
        <v/>
      </c>
      <c r="Z91" s="95">
        <f t="shared" si="16"/>
        <v>0</v>
      </c>
      <c r="AA91" s="12"/>
      <c r="AC91" s="128"/>
      <c r="AD91" s="66"/>
      <c r="AE91" s="128"/>
      <c r="AG91" s="128"/>
      <c r="AH91" s="12"/>
      <c r="AI91" t="str">
        <f t="shared" si="17"/>
        <v/>
      </c>
      <c r="AJ91" t="str">
        <f t="shared" si="17"/>
        <v/>
      </c>
      <c r="AK91" s="12"/>
      <c r="AL91" s="94" t="e">
        <f t="shared" si="18"/>
        <v>#VALUE!</v>
      </c>
      <c r="AM91" s="94" t="e">
        <f t="shared" si="19"/>
        <v>#VALUE!</v>
      </c>
      <c r="AN91" s="12"/>
    </row>
    <row r="92" spans="1:40" ht="15.75" thickBot="1" x14ac:dyDescent="0.3">
      <c r="A92" s="12"/>
      <c r="B92" s="21"/>
      <c r="C92" s="21"/>
      <c r="D92" s="12"/>
      <c r="G92" s="12"/>
      <c r="K92" s="52"/>
      <c r="L92" s="53"/>
      <c r="M92" s="54"/>
      <c r="Q92" s="12"/>
      <c r="R92" s="45">
        <f t="shared" si="10"/>
        <v>0</v>
      </c>
      <c r="S92" s="46">
        <f t="shared" si="11"/>
        <v>0</v>
      </c>
      <c r="T92" s="41" t="str">
        <f t="shared" si="12"/>
        <v/>
      </c>
      <c r="V92" s="39" t="str">
        <f t="shared" si="13"/>
        <v/>
      </c>
      <c r="W92" s="39" t="str">
        <f t="shared" si="14"/>
        <v/>
      </c>
      <c r="X92" s="39" t="str">
        <f t="shared" si="15"/>
        <v/>
      </c>
      <c r="Z92" s="95">
        <f t="shared" si="16"/>
        <v>0</v>
      </c>
      <c r="AA92" s="12"/>
      <c r="AC92" s="128"/>
      <c r="AD92" s="66"/>
      <c r="AE92" s="128"/>
      <c r="AG92" s="128"/>
      <c r="AH92" s="12"/>
      <c r="AI92" t="str">
        <f t="shared" si="17"/>
        <v/>
      </c>
      <c r="AJ92" t="str">
        <f t="shared" si="17"/>
        <v/>
      </c>
      <c r="AK92" s="12"/>
      <c r="AL92" s="94" t="e">
        <f t="shared" si="18"/>
        <v>#VALUE!</v>
      </c>
      <c r="AM92" s="94" t="e">
        <f t="shared" si="19"/>
        <v>#VALUE!</v>
      </c>
      <c r="AN92" s="12"/>
    </row>
    <row r="93" spans="1:40" ht="15.75" thickBot="1" x14ac:dyDescent="0.3">
      <c r="A93" s="12"/>
      <c r="B93" s="21"/>
      <c r="C93" s="21"/>
      <c r="D93" s="12"/>
      <c r="G93" s="12"/>
      <c r="K93" s="52"/>
      <c r="L93" s="53"/>
      <c r="M93" s="54"/>
      <c r="Q93" s="12"/>
      <c r="R93" s="45">
        <f t="shared" si="10"/>
        <v>0</v>
      </c>
      <c r="S93" s="46">
        <f t="shared" si="11"/>
        <v>0</v>
      </c>
      <c r="T93" s="41" t="str">
        <f t="shared" si="12"/>
        <v/>
      </c>
      <c r="V93" s="39" t="str">
        <f t="shared" si="13"/>
        <v/>
      </c>
      <c r="W93" s="39" t="str">
        <f t="shared" si="14"/>
        <v/>
      </c>
      <c r="X93" s="39" t="str">
        <f t="shared" si="15"/>
        <v/>
      </c>
      <c r="Z93" s="95">
        <f t="shared" si="16"/>
        <v>0</v>
      </c>
      <c r="AA93" s="12"/>
      <c r="AC93" s="128"/>
      <c r="AD93" s="66"/>
      <c r="AE93" s="128"/>
      <c r="AG93" s="128"/>
      <c r="AH93" s="12"/>
      <c r="AI93" t="str">
        <f t="shared" si="17"/>
        <v/>
      </c>
      <c r="AJ93" t="str">
        <f t="shared" si="17"/>
        <v/>
      </c>
      <c r="AK93" s="12"/>
      <c r="AL93" s="94" t="e">
        <f t="shared" si="18"/>
        <v>#VALUE!</v>
      </c>
      <c r="AM93" s="94" t="e">
        <f t="shared" si="19"/>
        <v>#VALUE!</v>
      </c>
      <c r="AN93" s="12"/>
    </row>
    <row r="94" spans="1:40" ht="15.75" thickBot="1" x14ac:dyDescent="0.3">
      <c r="A94" s="12"/>
      <c r="B94" s="21"/>
      <c r="C94" s="21"/>
      <c r="D94" s="12"/>
      <c r="G94" s="12"/>
      <c r="K94" s="52"/>
      <c r="L94" s="53"/>
      <c r="M94" s="54"/>
      <c r="Q94" s="12"/>
      <c r="R94" s="45">
        <f t="shared" si="10"/>
        <v>0</v>
      </c>
      <c r="S94" s="46">
        <f t="shared" si="11"/>
        <v>0</v>
      </c>
      <c r="T94" s="41" t="str">
        <f t="shared" si="12"/>
        <v/>
      </c>
      <c r="V94" s="39" t="str">
        <f t="shared" si="13"/>
        <v/>
      </c>
      <c r="W94" s="39" t="str">
        <f t="shared" si="14"/>
        <v/>
      </c>
      <c r="X94" s="39" t="str">
        <f t="shared" si="15"/>
        <v/>
      </c>
      <c r="Z94" s="95">
        <f t="shared" si="16"/>
        <v>0</v>
      </c>
      <c r="AA94" s="12"/>
      <c r="AC94" s="128"/>
      <c r="AD94" s="66"/>
      <c r="AE94" s="128"/>
      <c r="AG94" s="128"/>
      <c r="AH94" s="12"/>
      <c r="AI94" t="str">
        <f t="shared" si="17"/>
        <v/>
      </c>
      <c r="AJ94" t="str">
        <f t="shared" si="17"/>
        <v/>
      </c>
      <c r="AK94" s="12"/>
      <c r="AL94" s="94" t="e">
        <f t="shared" si="18"/>
        <v>#VALUE!</v>
      </c>
      <c r="AM94" s="94" t="e">
        <f t="shared" si="19"/>
        <v>#VALUE!</v>
      </c>
      <c r="AN94" s="12"/>
    </row>
    <row r="95" spans="1:40" ht="15.75" thickBot="1" x14ac:dyDescent="0.3">
      <c r="A95" s="12"/>
      <c r="B95" s="21"/>
      <c r="C95" s="21"/>
      <c r="D95" s="12"/>
      <c r="G95" s="12"/>
      <c r="K95" s="52"/>
      <c r="L95" s="53"/>
      <c r="M95" s="54"/>
      <c r="Q95" s="12"/>
      <c r="R95" s="45">
        <f t="shared" si="10"/>
        <v>0</v>
      </c>
      <c r="S95" s="46">
        <f t="shared" si="11"/>
        <v>0</v>
      </c>
      <c r="T95" s="41" t="str">
        <f t="shared" si="12"/>
        <v/>
      </c>
      <c r="V95" s="39" t="str">
        <f t="shared" si="13"/>
        <v/>
      </c>
      <c r="W95" s="39" t="str">
        <f t="shared" si="14"/>
        <v/>
      </c>
      <c r="X95" s="39" t="str">
        <f t="shared" si="15"/>
        <v/>
      </c>
      <c r="Z95" s="95">
        <f t="shared" si="16"/>
        <v>0</v>
      </c>
      <c r="AA95" s="12"/>
      <c r="AC95" s="128"/>
      <c r="AD95" s="66"/>
      <c r="AE95" s="128"/>
      <c r="AG95" s="128"/>
      <c r="AH95" s="12"/>
      <c r="AI95" t="str">
        <f t="shared" si="17"/>
        <v/>
      </c>
      <c r="AJ95" t="str">
        <f t="shared" si="17"/>
        <v/>
      </c>
      <c r="AK95" s="12"/>
      <c r="AL95" s="94" t="e">
        <f t="shared" si="18"/>
        <v>#VALUE!</v>
      </c>
      <c r="AM95" s="94" t="e">
        <f t="shared" si="19"/>
        <v>#VALUE!</v>
      </c>
      <c r="AN95" s="12"/>
    </row>
    <row r="96" spans="1:40" ht="15.75" thickBot="1" x14ac:dyDescent="0.3">
      <c r="A96" s="12"/>
      <c r="B96" s="21"/>
      <c r="C96" s="21"/>
      <c r="D96" s="12"/>
      <c r="G96" s="12"/>
      <c r="K96" s="52"/>
      <c r="L96" s="53"/>
      <c r="M96" s="54"/>
      <c r="Q96" s="12"/>
      <c r="R96" s="45">
        <f t="shared" si="10"/>
        <v>0</v>
      </c>
      <c r="S96" s="46">
        <f t="shared" si="11"/>
        <v>0</v>
      </c>
      <c r="T96" s="41" t="str">
        <f t="shared" si="12"/>
        <v/>
      </c>
      <c r="V96" s="39" t="str">
        <f t="shared" si="13"/>
        <v/>
      </c>
      <c r="W96" s="39" t="str">
        <f t="shared" si="14"/>
        <v/>
      </c>
      <c r="X96" s="39" t="str">
        <f t="shared" si="15"/>
        <v/>
      </c>
      <c r="Z96" s="95">
        <f t="shared" si="16"/>
        <v>0</v>
      </c>
      <c r="AA96" s="12"/>
      <c r="AC96" s="128"/>
      <c r="AD96" s="66"/>
      <c r="AE96" s="128"/>
      <c r="AG96" s="128"/>
      <c r="AH96" s="12"/>
      <c r="AI96" t="str">
        <f t="shared" si="17"/>
        <v/>
      </c>
      <c r="AJ96" t="str">
        <f t="shared" si="17"/>
        <v/>
      </c>
      <c r="AK96" s="12"/>
      <c r="AL96" s="94" t="e">
        <f t="shared" si="18"/>
        <v>#VALUE!</v>
      </c>
      <c r="AM96" s="94" t="e">
        <f t="shared" si="19"/>
        <v>#VALUE!</v>
      </c>
      <c r="AN96" s="12"/>
    </row>
    <row r="97" spans="1:40" ht="15.75" thickBot="1" x14ac:dyDescent="0.3">
      <c r="A97" s="12"/>
      <c r="B97" s="21"/>
      <c r="C97" s="21"/>
      <c r="D97" s="12"/>
      <c r="G97" s="12"/>
      <c r="K97" s="52"/>
      <c r="L97" s="53"/>
      <c r="M97" s="54"/>
      <c r="Q97" s="12"/>
      <c r="R97" s="45">
        <f t="shared" si="10"/>
        <v>0</v>
      </c>
      <c r="S97" s="46">
        <f t="shared" si="11"/>
        <v>0</v>
      </c>
      <c r="T97" s="41" t="str">
        <f t="shared" si="12"/>
        <v/>
      </c>
      <c r="V97" s="39" t="str">
        <f t="shared" si="13"/>
        <v/>
      </c>
      <c r="W97" s="39" t="str">
        <f t="shared" si="14"/>
        <v/>
      </c>
      <c r="X97" s="39" t="str">
        <f t="shared" si="15"/>
        <v/>
      </c>
      <c r="Z97" s="95">
        <f t="shared" si="16"/>
        <v>0</v>
      </c>
      <c r="AA97" s="12"/>
      <c r="AC97" s="128"/>
      <c r="AD97" s="66"/>
      <c r="AE97" s="128"/>
      <c r="AG97" s="128"/>
      <c r="AH97" s="12"/>
      <c r="AI97" t="str">
        <f t="shared" si="17"/>
        <v/>
      </c>
      <c r="AJ97" t="str">
        <f t="shared" si="17"/>
        <v/>
      </c>
      <c r="AK97" s="12"/>
      <c r="AL97" s="94" t="e">
        <f t="shared" si="18"/>
        <v>#VALUE!</v>
      </c>
      <c r="AM97" s="94" t="e">
        <f t="shared" si="19"/>
        <v>#VALUE!</v>
      </c>
      <c r="AN97" s="12"/>
    </row>
    <row r="98" spans="1:40" ht="15.75" thickBot="1" x14ac:dyDescent="0.3">
      <c r="A98" s="12"/>
      <c r="B98" s="21"/>
      <c r="C98" s="21"/>
      <c r="D98" s="12"/>
      <c r="G98" s="12"/>
      <c r="K98" s="52"/>
      <c r="L98" s="53"/>
      <c r="M98" s="54"/>
      <c r="Q98" s="12"/>
      <c r="R98" s="45">
        <f t="shared" si="10"/>
        <v>0</v>
      </c>
      <c r="S98" s="46">
        <f t="shared" si="11"/>
        <v>0</v>
      </c>
      <c r="T98" s="41" t="str">
        <f t="shared" si="12"/>
        <v/>
      </c>
      <c r="V98" s="39" t="str">
        <f t="shared" si="13"/>
        <v/>
      </c>
      <c r="W98" s="39" t="str">
        <f t="shared" si="14"/>
        <v/>
      </c>
      <c r="X98" s="39" t="str">
        <f t="shared" si="15"/>
        <v/>
      </c>
      <c r="Z98" s="95">
        <f t="shared" si="16"/>
        <v>0</v>
      </c>
      <c r="AA98" s="12"/>
      <c r="AC98" s="128"/>
      <c r="AD98" s="66"/>
      <c r="AE98" s="128"/>
      <c r="AG98" s="128"/>
      <c r="AH98" s="12"/>
      <c r="AI98" t="str">
        <f t="shared" si="17"/>
        <v/>
      </c>
      <c r="AJ98" t="str">
        <f t="shared" si="17"/>
        <v/>
      </c>
      <c r="AK98" s="12"/>
      <c r="AL98" s="94" t="e">
        <f t="shared" si="18"/>
        <v>#VALUE!</v>
      </c>
      <c r="AM98" s="94" t="e">
        <f t="shared" si="19"/>
        <v>#VALUE!</v>
      </c>
      <c r="AN98" s="12"/>
    </row>
    <row r="99" spans="1:40" ht="15.75" thickBot="1" x14ac:dyDescent="0.3">
      <c r="A99" s="12"/>
      <c r="B99" s="21"/>
      <c r="C99" s="21"/>
      <c r="D99" s="12"/>
      <c r="G99" s="12"/>
      <c r="K99" s="52"/>
      <c r="L99" s="53"/>
      <c r="M99" s="54"/>
      <c r="Q99" s="12"/>
      <c r="R99" s="45">
        <f t="shared" si="10"/>
        <v>0</v>
      </c>
      <c r="S99" s="46">
        <f t="shared" si="11"/>
        <v>0</v>
      </c>
      <c r="T99" s="41" t="str">
        <f t="shared" si="12"/>
        <v/>
      </c>
      <c r="V99" s="39" t="str">
        <f t="shared" si="13"/>
        <v/>
      </c>
      <c r="W99" s="39" t="str">
        <f t="shared" si="14"/>
        <v/>
      </c>
      <c r="X99" s="39" t="str">
        <f t="shared" si="15"/>
        <v/>
      </c>
      <c r="Z99" s="95">
        <f t="shared" si="16"/>
        <v>0</v>
      </c>
      <c r="AA99" s="12"/>
      <c r="AC99" s="128"/>
      <c r="AD99" s="66"/>
      <c r="AE99" s="128"/>
      <c r="AG99" s="128"/>
      <c r="AH99" s="12"/>
      <c r="AI99" t="str">
        <f t="shared" si="17"/>
        <v/>
      </c>
      <c r="AJ99" t="str">
        <f t="shared" si="17"/>
        <v/>
      </c>
      <c r="AK99" s="12"/>
      <c r="AL99" s="94" t="e">
        <f t="shared" si="18"/>
        <v>#VALUE!</v>
      </c>
      <c r="AM99" s="94" t="e">
        <f t="shared" si="19"/>
        <v>#VALUE!</v>
      </c>
      <c r="AN99" s="12"/>
    </row>
    <row r="100" spans="1:40" ht="15.75" thickBot="1" x14ac:dyDescent="0.3">
      <c r="A100" s="12"/>
      <c r="B100" s="21"/>
      <c r="C100" s="21"/>
      <c r="D100" s="12"/>
      <c r="G100" s="12"/>
      <c r="K100" s="52"/>
      <c r="L100" s="53"/>
      <c r="M100" s="54"/>
      <c r="Q100" s="12"/>
      <c r="R100" s="45">
        <f t="shared" si="10"/>
        <v>0</v>
      </c>
      <c r="S100" s="46">
        <f t="shared" si="11"/>
        <v>0</v>
      </c>
      <c r="T100" s="41" t="str">
        <f t="shared" si="12"/>
        <v/>
      </c>
      <c r="V100" s="39" t="str">
        <f t="shared" si="13"/>
        <v/>
      </c>
      <c r="W100" s="39" t="str">
        <f t="shared" si="14"/>
        <v/>
      </c>
      <c r="X100" s="39" t="str">
        <f t="shared" si="15"/>
        <v/>
      </c>
      <c r="Z100" s="95">
        <f t="shared" si="16"/>
        <v>0</v>
      </c>
      <c r="AA100" s="12"/>
      <c r="AC100" s="128"/>
      <c r="AD100" s="66"/>
      <c r="AE100" s="128"/>
      <c r="AG100" s="128"/>
      <c r="AH100" s="12"/>
      <c r="AI100" t="str">
        <f t="shared" si="17"/>
        <v/>
      </c>
      <c r="AJ100" t="str">
        <f t="shared" si="17"/>
        <v/>
      </c>
      <c r="AK100" s="12"/>
      <c r="AL100" s="94" t="e">
        <f t="shared" si="18"/>
        <v>#VALUE!</v>
      </c>
      <c r="AM100" s="94" t="e">
        <f t="shared" si="19"/>
        <v>#VALUE!</v>
      </c>
      <c r="AN100" s="12"/>
    </row>
    <row r="101" spans="1:40" ht="15.75" thickBot="1" x14ac:dyDescent="0.3">
      <c r="A101" s="12"/>
      <c r="B101" s="21"/>
      <c r="C101" s="21"/>
      <c r="D101" s="12"/>
      <c r="G101" s="12"/>
      <c r="K101" s="52"/>
      <c r="L101" s="53"/>
      <c r="M101" s="54"/>
      <c r="Q101" s="12"/>
      <c r="R101" s="45">
        <f t="shared" si="10"/>
        <v>0</v>
      </c>
      <c r="S101" s="46">
        <f t="shared" si="11"/>
        <v>0</v>
      </c>
      <c r="T101" s="41" t="str">
        <f t="shared" si="12"/>
        <v/>
      </c>
      <c r="V101" s="39" t="str">
        <f t="shared" si="13"/>
        <v/>
      </c>
      <c r="W101" s="39" t="str">
        <f t="shared" si="14"/>
        <v/>
      </c>
      <c r="X101" s="39" t="str">
        <f t="shared" si="15"/>
        <v/>
      </c>
      <c r="Z101" s="95">
        <f t="shared" si="16"/>
        <v>0</v>
      </c>
      <c r="AA101" s="12"/>
      <c r="AC101" s="128"/>
      <c r="AD101" s="66"/>
      <c r="AE101" s="128"/>
      <c r="AG101" s="128"/>
      <c r="AH101" s="12"/>
      <c r="AI101" t="str">
        <f t="shared" si="17"/>
        <v/>
      </c>
      <c r="AJ101" t="str">
        <f t="shared" si="17"/>
        <v/>
      </c>
      <c r="AK101" s="12"/>
      <c r="AL101" s="94" t="e">
        <f t="shared" si="18"/>
        <v>#VALUE!</v>
      </c>
      <c r="AM101" s="94" t="e">
        <f t="shared" si="19"/>
        <v>#VALUE!</v>
      </c>
      <c r="AN101" s="12"/>
    </row>
    <row r="102" spans="1:40" ht="15.75" thickBot="1" x14ac:dyDescent="0.3">
      <c r="A102" s="12"/>
      <c r="B102" s="21"/>
      <c r="C102" s="21"/>
      <c r="D102" s="12"/>
      <c r="G102" s="12"/>
      <c r="K102" s="52"/>
      <c r="L102" s="53"/>
      <c r="M102" s="54"/>
      <c r="Q102" s="12"/>
      <c r="R102" s="45">
        <f t="shared" si="10"/>
        <v>0</v>
      </c>
      <c r="S102" s="46">
        <f t="shared" si="11"/>
        <v>0</v>
      </c>
      <c r="T102" s="41" t="str">
        <f t="shared" si="12"/>
        <v/>
      </c>
      <c r="V102" s="39" t="str">
        <f t="shared" si="13"/>
        <v/>
      </c>
      <c r="W102" s="39" t="str">
        <f t="shared" si="14"/>
        <v/>
      </c>
      <c r="X102" s="39" t="str">
        <f t="shared" si="15"/>
        <v/>
      </c>
      <c r="Z102" s="95">
        <f t="shared" si="16"/>
        <v>0</v>
      </c>
      <c r="AA102" s="12"/>
      <c r="AC102" s="128"/>
      <c r="AD102" s="66"/>
      <c r="AE102" s="128"/>
      <c r="AG102" s="128"/>
      <c r="AH102" s="12"/>
      <c r="AI102" t="str">
        <f t="shared" si="17"/>
        <v/>
      </c>
      <c r="AJ102" t="str">
        <f t="shared" si="17"/>
        <v/>
      </c>
      <c r="AK102" s="12"/>
      <c r="AL102" s="94" t="e">
        <f t="shared" si="18"/>
        <v>#VALUE!</v>
      </c>
      <c r="AM102" s="94" t="e">
        <f t="shared" si="19"/>
        <v>#VALUE!</v>
      </c>
      <c r="AN102" s="12"/>
    </row>
    <row r="103" spans="1:40" ht="15.75" thickBot="1" x14ac:dyDescent="0.3">
      <c r="A103" s="12"/>
      <c r="B103" s="21"/>
      <c r="C103" s="21"/>
      <c r="D103" s="12"/>
      <c r="G103" s="12"/>
      <c r="K103" s="52"/>
      <c r="L103" s="53"/>
      <c r="M103" s="54"/>
      <c r="Q103" s="12"/>
      <c r="R103" s="45">
        <f t="shared" si="10"/>
        <v>0</v>
      </c>
      <c r="S103" s="46">
        <f t="shared" si="11"/>
        <v>0</v>
      </c>
      <c r="T103" s="41" t="str">
        <f t="shared" si="12"/>
        <v/>
      </c>
      <c r="V103" s="39" t="str">
        <f t="shared" si="13"/>
        <v/>
      </c>
      <c r="W103" s="39" t="str">
        <f t="shared" si="14"/>
        <v/>
      </c>
      <c r="X103" s="39" t="str">
        <f t="shared" si="15"/>
        <v/>
      </c>
      <c r="Z103" s="95">
        <f t="shared" si="16"/>
        <v>0</v>
      </c>
      <c r="AA103" s="12"/>
      <c r="AC103" s="128"/>
      <c r="AD103" s="66"/>
      <c r="AE103" s="128"/>
      <c r="AG103" s="128"/>
      <c r="AH103" s="12"/>
      <c r="AI103" t="str">
        <f t="shared" si="17"/>
        <v/>
      </c>
      <c r="AJ103" t="str">
        <f t="shared" si="17"/>
        <v/>
      </c>
      <c r="AK103" s="12"/>
      <c r="AL103" s="94" t="e">
        <f t="shared" si="18"/>
        <v>#VALUE!</v>
      </c>
      <c r="AM103" s="94" t="e">
        <f t="shared" si="19"/>
        <v>#VALUE!</v>
      </c>
      <c r="AN103" s="12"/>
    </row>
    <row r="104" spans="1:40" ht="15.75" thickBot="1" x14ac:dyDescent="0.3">
      <c r="A104" s="12"/>
      <c r="B104" s="21"/>
      <c r="C104" s="21"/>
      <c r="D104" s="12"/>
      <c r="G104" s="12"/>
      <c r="K104" s="52"/>
      <c r="L104" s="53"/>
      <c r="M104" s="54"/>
      <c r="Q104" s="12"/>
      <c r="R104" s="45">
        <f t="shared" si="10"/>
        <v>0</v>
      </c>
      <c r="S104" s="46">
        <f t="shared" si="11"/>
        <v>0</v>
      </c>
      <c r="T104" s="41" t="str">
        <f t="shared" si="12"/>
        <v/>
      </c>
      <c r="V104" s="39" t="str">
        <f t="shared" si="13"/>
        <v/>
      </c>
      <c r="W104" s="39" t="str">
        <f t="shared" si="14"/>
        <v/>
      </c>
      <c r="X104" s="39" t="str">
        <f t="shared" si="15"/>
        <v/>
      </c>
      <c r="Z104" s="95">
        <f t="shared" si="16"/>
        <v>0</v>
      </c>
      <c r="AA104" s="12"/>
      <c r="AC104" s="128"/>
      <c r="AD104" s="66"/>
      <c r="AE104" s="128"/>
      <c r="AG104" s="128"/>
      <c r="AH104" s="12"/>
      <c r="AI104" t="str">
        <f t="shared" si="17"/>
        <v/>
      </c>
      <c r="AJ104" t="str">
        <f t="shared" si="17"/>
        <v/>
      </c>
      <c r="AK104" s="12"/>
      <c r="AL104" s="94" t="e">
        <f t="shared" si="18"/>
        <v>#VALUE!</v>
      </c>
      <c r="AM104" s="94" t="e">
        <f t="shared" si="19"/>
        <v>#VALUE!</v>
      </c>
      <c r="AN104" s="12"/>
    </row>
    <row r="105" spans="1:40" ht="15.75" thickBot="1" x14ac:dyDescent="0.3">
      <c r="A105" s="12"/>
      <c r="B105" s="21"/>
      <c r="C105" s="21"/>
      <c r="D105" s="12"/>
      <c r="G105" s="12"/>
      <c r="K105" s="52"/>
      <c r="L105" s="53"/>
      <c r="M105" s="54"/>
      <c r="Q105" s="12"/>
      <c r="R105" s="45">
        <f t="shared" si="10"/>
        <v>0</v>
      </c>
      <c r="S105" s="46">
        <f t="shared" si="11"/>
        <v>0</v>
      </c>
      <c r="T105" s="41" t="str">
        <f t="shared" si="12"/>
        <v/>
      </c>
      <c r="V105" s="39" t="str">
        <f t="shared" si="13"/>
        <v/>
      </c>
      <c r="W105" s="39" t="str">
        <f t="shared" si="14"/>
        <v/>
      </c>
      <c r="X105" s="39" t="str">
        <f t="shared" si="15"/>
        <v/>
      </c>
      <c r="Z105" s="95">
        <f t="shared" si="16"/>
        <v>0</v>
      </c>
      <c r="AA105" s="12"/>
      <c r="AC105" s="128"/>
      <c r="AD105" s="66"/>
      <c r="AE105" s="128"/>
      <c r="AG105" s="128"/>
      <c r="AH105" s="12"/>
      <c r="AI105" t="str">
        <f t="shared" si="17"/>
        <v/>
      </c>
      <c r="AJ105" t="str">
        <f t="shared" si="17"/>
        <v/>
      </c>
      <c r="AK105" s="12"/>
      <c r="AL105" s="94" t="e">
        <f t="shared" si="18"/>
        <v>#VALUE!</v>
      </c>
      <c r="AM105" s="94" t="e">
        <f t="shared" si="19"/>
        <v>#VALUE!</v>
      </c>
      <c r="AN105" s="12"/>
    </row>
    <row r="106" spans="1:40" ht="15.75" thickBot="1" x14ac:dyDescent="0.3">
      <c r="A106" s="12"/>
      <c r="B106" s="21"/>
      <c r="C106" s="21"/>
      <c r="D106" s="12"/>
      <c r="G106" s="12"/>
      <c r="K106" s="52"/>
      <c r="L106" s="53"/>
      <c r="M106" s="54"/>
      <c r="Q106" s="12"/>
      <c r="R106" s="45">
        <f t="shared" si="10"/>
        <v>0</v>
      </c>
      <c r="S106" s="46">
        <f t="shared" si="11"/>
        <v>0</v>
      </c>
      <c r="T106" s="41" t="str">
        <f t="shared" si="12"/>
        <v/>
      </c>
      <c r="V106" s="39" t="str">
        <f t="shared" si="13"/>
        <v/>
      </c>
      <c r="W106" s="39" t="str">
        <f t="shared" si="14"/>
        <v/>
      </c>
      <c r="X106" s="39" t="str">
        <f t="shared" si="15"/>
        <v/>
      </c>
      <c r="Z106" s="95">
        <f t="shared" si="16"/>
        <v>0</v>
      </c>
      <c r="AA106" s="12"/>
      <c r="AC106" s="128"/>
      <c r="AD106" s="66"/>
      <c r="AE106" s="128"/>
      <c r="AG106" s="128"/>
      <c r="AH106" s="12"/>
      <c r="AI106" t="str">
        <f t="shared" si="17"/>
        <v/>
      </c>
      <c r="AJ106" t="str">
        <f t="shared" si="17"/>
        <v/>
      </c>
      <c r="AK106" s="12"/>
      <c r="AL106" s="94" t="e">
        <f t="shared" si="18"/>
        <v>#VALUE!</v>
      </c>
      <c r="AM106" s="94" t="e">
        <f t="shared" si="19"/>
        <v>#VALUE!</v>
      </c>
      <c r="AN106" s="12"/>
    </row>
    <row r="107" spans="1:40" ht="15.75" thickBot="1" x14ac:dyDescent="0.3">
      <c r="A107" s="12"/>
      <c r="B107" s="21"/>
      <c r="C107" s="21"/>
      <c r="D107" s="12"/>
      <c r="G107" s="12"/>
      <c r="K107" s="52"/>
      <c r="L107" s="53"/>
      <c r="M107" s="54"/>
      <c r="Q107" s="12"/>
      <c r="R107" s="45">
        <f t="shared" si="10"/>
        <v>0</v>
      </c>
      <c r="S107" s="46">
        <f t="shared" si="11"/>
        <v>0</v>
      </c>
      <c r="T107" s="41" t="str">
        <f t="shared" si="12"/>
        <v/>
      </c>
      <c r="V107" s="39" t="str">
        <f t="shared" si="13"/>
        <v/>
      </c>
      <c r="W107" s="39" t="str">
        <f t="shared" si="14"/>
        <v/>
      </c>
      <c r="X107" s="39" t="str">
        <f t="shared" si="15"/>
        <v/>
      </c>
      <c r="Z107" s="95">
        <f t="shared" si="16"/>
        <v>0</v>
      </c>
      <c r="AA107" s="12"/>
      <c r="AC107" s="128"/>
      <c r="AD107" s="66"/>
      <c r="AE107" s="128"/>
      <c r="AG107" s="128"/>
      <c r="AH107" s="12"/>
      <c r="AI107" t="str">
        <f t="shared" si="17"/>
        <v/>
      </c>
      <c r="AJ107" t="str">
        <f t="shared" si="17"/>
        <v/>
      </c>
      <c r="AK107" s="12"/>
      <c r="AL107" s="94" t="e">
        <f t="shared" si="18"/>
        <v>#VALUE!</v>
      </c>
      <c r="AM107" s="94" t="e">
        <f t="shared" si="19"/>
        <v>#VALUE!</v>
      </c>
      <c r="AN107" s="12"/>
    </row>
    <row r="108" spans="1:40" ht="15.75" thickBot="1" x14ac:dyDescent="0.3">
      <c r="A108" s="12"/>
      <c r="B108" s="21"/>
      <c r="C108" s="21"/>
      <c r="D108" s="12"/>
      <c r="G108" s="12"/>
      <c r="K108" s="52"/>
      <c r="L108" s="53"/>
      <c r="M108" s="54"/>
      <c r="Q108" s="12"/>
      <c r="R108" s="45">
        <f t="shared" si="10"/>
        <v>0</v>
      </c>
      <c r="S108" s="46">
        <f t="shared" si="11"/>
        <v>0</v>
      </c>
      <c r="T108" s="41" t="str">
        <f t="shared" si="12"/>
        <v/>
      </c>
      <c r="V108" s="39" t="str">
        <f t="shared" si="13"/>
        <v/>
      </c>
      <c r="W108" s="39" t="str">
        <f t="shared" si="14"/>
        <v/>
      </c>
      <c r="X108" s="39" t="str">
        <f t="shared" si="15"/>
        <v/>
      </c>
      <c r="Z108" s="95">
        <f t="shared" si="16"/>
        <v>0</v>
      </c>
      <c r="AA108" s="12"/>
      <c r="AC108" s="128"/>
      <c r="AD108" s="66"/>
      <c r="AE108" s="128"/>
      <c r="AG108" s="128"/>
      <c r="AH108" s="12"/>
      <c r="AI108" t="str">
        <f t="shared" si="17"/>
        <v/>
      </c>
      <c r="AJ108" t="str">
        <f t="shared" si="17"/>
        <v/>
      </c>
      <c r="AK108" s="12"/>
      <c r="AL108" s="94" t="e">
        <f t="shared" si="18"/>
        <v>#VALUE!</v>
      </c>
      <c r="AM108" s="94" t="e">
        <f t="shared" si="19"/>
        <v>#VALUE!</v>
      </c>
      <c r="AN108" s="12"/>
    </row>
    <row r="109" spans="1:40" ht="15.75" thickBot="1" x14ac:dyDescent="0.3">
      <c r="A109" s="12"/>
      <c r="B109" s="21"/>
      <c r="C109" s="21"/>
      <c r="D109" s="12"/>
      <c r="G109" s="12"/>
      <c r="K109" s="52"/>
      <c r="L109" s="53"/>
      <c r="M109" s="54"/>
      <c r="Q109" s="12"/>
      <c r="R109" s="45">
        <f t="shared" si="10"/>
        <v>0</v>
      </c>
      <c r="S109" s="46">
        <f t="shared" si="11"/>
        <v>0</v>
      </c>
      <c r="T109" s="41" t="str">
        <f t="shared" si="12"/>
        <v/>
      </c>
      <c r="V109" s="39" t="str">
        <f t="shared" si="13"/>
        <v/>
      </c>
      <c r="W109" s="39" t="str">
        <f t="shared" si="14"/>
        <v/>
      </c>
      <c r="X109" s="39" t="str">
        <f t="shared" si="15"/>
        <v/>
      </c>
      <c r="Z109" s="95">
        <f t="shared" si="16"/>
        <v>0</v>
      </c>
      <c r="AA109" s="12"/>
      <c r="AC109" s="128"/>
      <c r="AD109" s="66"/>
      <c r="AE109" s="128"/>
      <c r="AG109" s="128"/>
      <c r="AH109" s="12"/>
      <c r="AI109" t="str">
        <f t="shared" si="17"/>
        <v/>
      </c>
      <c r="AJ109" t="str">
        <f t="shared" si="17"/>
        <v/>
      </c>
      <c r="AK109" s="12"/>
      <c r="AL109" s="94" t="e">
        <f t="shared" si="18"/>
        <v>#VALUE!</v>
      </c>
      <c r="AM109" s="94" t="e">
        <f t="shared" si="19"/>
        <v>#VALUE!</v>
      </c>
      <c r="AN109" s="12"/>
    </row>
    <row r="110" spans="1:40" ht="15.75" thickBot="1" x14ac:dyDescent="0.3">
      <c r="A110" s="12"/>
      <c r="B110" s="21"/>
      <c r="C110" s="21"/>
      <c r="D110" s="12"/>
      <c r="G110" s="12"/>
      <c r="K110" s="52"/>
      <c r="L110" s="53"/>
      <c r="M110" s="54"/>
      <c r="Q110" s="12"/>
      <c r="R110" s="45">
        <f t="shared" si="10"/>
        <v>0</v>
      </c>
      <c r="S110" s="46">
        <f t="shared" si="11"/>
        <v>0</v>
      </c>
      <c r="T110" s="41" t="str">
        <f t="shared" si="12"/>
        <v/>
      </c>
      <c r="V110" s="39" t="str">
        <f t="shared" si="13"/>
        <v/>
      </c>
      <c r="W110" s="39" t="str">
        <f t="shared" si="14"/>
        <v/>
      </c>
      <c r="X110" s="39" t="str">
        <f t="shared" si="15"/>
        <v/>
      </c>
      <c r="Z110" s="95">
        <f t="shared" si="16"/>
        <v>0</v>
      </c>
      <c r="AA110" s="12"/>
      <c r="AC110" s="128"/>
      <c r="AD110" s="66"/>
      <c r="AE110" s="128"/>
      <c r="AG110" s="128"/>
      <c r="AH110" s="12"/>
      <c r="AI110" t="str">
        <f t="shared" si="17"/>
        <v/>
      </c>
      <c r="AJ110" t="str">
        <f t="shared" si="17"/>
        <v/>
      </c>
      <c r="AK110" s="12"/>
      <c r="AL110" s="94" t="e">
        <f t="shared" si="18"/>
        <v>#VALUE!</v>
      </c>
      <c r="AM110" s="94" t="e">
        <f t="shared" si="19"/>
        <v>#VALUE!</v>
      </c>
      <c r="AN110" s="12"/>
    </row>
    <row r="111" spans="1:40" ht="15.75" thickBot="1" x14ac:dyDescent="0.3">
      <c r="A111" s="12"/>
      <c r="B111" s="21"/>
      <c r="C111" s="21"/>
      <c r="D111" s="12"/>
      <c r="G111" s="12"/>
      <c r="K111" s="52"/>
      <c r="L111" s="53"/>
      <c r="M111" s="54"/>
      <c r="Q111" s="12"/>
      <c r="R111" s="45">
        <f t="shared" si="10"/>
        <v>0</v>
      </c>
      <c r="S111" s="46">
        <f t="shared" si="11"/>
        <v>0</v>
      </c>
      <c r="T111" s="41" t="str">
        <f t="shared" si="12"/>
        <v/>
      </c>
      <c r="V111" s="39" t="str">
        <f t="shared" si="13"/>
        <v/>
      </c>
      <c r="W111" s="39" t="str">
        <f t="shared" si="14"/>
        <v/>
      </c>
      <c r="X111" s="39" t="str">
        <f t="shared" si="15"/>
        <v/>
      </c>
      <c r="Z111" s="95">
        <f t="shared" si="16"/>
        <v>0</v>
      </c>
      <c r="AA111" s="12"/>
      <c r="AC111" s="128"/>
      <c r="AD111" s="66"/>
      <c r="AE111" s="128"/>
      <c r="AG111" s="128"/>
      <c r="AH111" s="12"/>
      <c r="AI111" t="str">
        <f t="shared" si="17"/>
        <v/>
      </c>
      <c r="AJ111" t="str">
        <f t="shared" si="17"/>
        <v/>
      </c>
      <c r="AK111" s="12"/>
      <c r="AL111" s="94" t="e">
        <f t="shared" si="18"/>
        <v>#VALUE!</v>
      </c>
      <c r="AM111" s="94" t="e">
        <f t="shared" si="19"/>
        <v>#VALUE!</v>
      </c>
      <c r="AN111" s="12"/>
    </row>
    <row r="112" spans="1:40" ht="15.75" thickBot="1" x14ac:dyDescent="0.3">
      <c r="A112" s="12"/>
      <c r="B112" s="21"/>
      <c r="C112" s="21"/>
      <c r="D112" s="12"/>
      <c r="G112" s="12"/>
      <c r="K112" s="52"/>
      <c r="L112" s="53"/>
      <c r="M112" s="54"/>
      <c r="Q112" s="12"/>
      <c r="R112" s="45">
        <f t="shared" si="10"/>
        <v>0</v>
      </c>
      <c r="S112" s="46">
        <f t="shared" si="11"/>
        <v>0</v>
      </c>
      <c r="T112" s="41" t="str">
        <f t="shared" si="12"/>
        <v/>
      </c>
      <c r="V112" s="39" t="str">
        <f t="shared" si="13"/>
        <v/>
      </c>
      <c r="W112" s="39" t="str">
        <f t="shared" si="14"/>
        <v/>
      </c>
      <c r="X112" s="39" t="str">
        <f t="shared" si="15"/>
        <v/>
      </c>
      <c r="Z112" s="95">
        <f t="shared" si="16"/>
        <v>0</v>
      </c>
      <c r="AA112" s="12"/>
      <c r="AC112" s="128"/>
      <c r="AD112" s="66"/>
      <c r="AE112" s="128"/>
      <c r="AG112" s="128"/>
      <c r="AH112" s="12"/>
      <c r="AI112" t="str">
        <f t="shared" si="17"/>
        <v/>
      </c>
      <c r="AJ112" t="str">
        <f t="shared" si="17"/>
        <v/>
      </c>
      <c r="AK112" s="12"/>
      <c r="AL112" s="94" t="e">
        <f t="shared" si="18"/>
        <v>#VALUE!</v>
      </c>
      <c r="AM112" s="94" t="e">
        <f t="shared" si="19"/>
        <v>#VALUE!</v>
      </c>
      <c r="AN112" s="12"/>
    </row>
    <row r="113" spans="1:40" ht="15.75" thickBot="1" x14ac:dyDescent="0.3">
      <c r="A113" s="12"/>
      <c r="B113" s="21"/>
      <c r="C113" s="21"/>
      <c r="D113" s="12"/>
      <c r="G113" s="12"/>
      <c r="K113" s="52"/>
      <c r="L113" s="53"/>
      <c r="M113" s="54"/>
      <c r="Q113" s="12"/>
      <c r="R113" s="45">
        <f t="shared" si="10"/>
        <v>0</v>
      </c>
      <c r="S113" s="46">
        <f t="shared" si="11"/>
        <v>0</v>
      </c>
      <c r="T113" s="41" t="str">
        <f t="shared" si="12"/>
        <v/>
      </c>
      <c r="V113" s="39" t="str">
        <f t="shared" si="13"/>
        <v/>
      </c>
      <c r="W113" s="39" t="str">
        <f t="shared" si="14"/>
        <v/>
      </c>
      <c r="X113" s="39" t="str">
        <f t="shared" si="15"/>
        <v/>
      </c>
      <c r="Z113" s="95">
        <f t="shared" si="16"/>
        <v>0</v>
      </c>
      <c r="AA113" s="12"/>
      <c r="AC113" s="128"/>
      <c r="AD113" s="66"/>
      <c r="AE113" s="128"/>
      <c r="AG113" s="128"/>
      <c r="AH113" s="12"/>
      <c r="AI113" t="str">
        <f t="shared" si="17"/>
        <v/>
      </c>
      <c r="AJ113" t="str">
        <f t="shared" si="17"/>
        <v/>
      </c>
      <c r="AK113" s="12"/>
      <c r="AL113" s="94" t="e">
        <f t="shared" si="18"/>
        <v>#VALUE!</v>
      </c>
      <c r="AM113" s="94" t="e">
        <f t="shared" si="19"/>
        <v>#VALUE!</v>
      </c>
      <c r="AN113" s="12"/>
    </row>
    <row r="114" spans="1:40" ht="15.75" thickBot="1" x14ac:dyDescent="0.3">
      <c r="A114" s="12"/>
      <c r="B114" s="21"/>
      <c r="C114" s="21"/>
      <c r="D114" s="12"/>
      <c r="G114" s="12"/>
      <c r="K114" s="52"/>
      <c r="L114" s="53"/>
      <c r="M114" s="54"/>
      <c r="Q114" s="12"/>
      <c r="R114" s="45">
        <f t="shared" si="10"/>
        <v>0</v>
      </c>
      <c r="S114" s="46">
        <f t="shared" si="11"/>
        <v>0</v>
      </c>
      <c r="T114" s="41" t="str">
        <f t="shared" si="12"/>
        <v/>
      </c>
      <c r="V114" s="39" t="str">
        <f t="shared" si="13"/>
        <v/>
      </c>
      <c r="W114" s="39" t="str">
        <f t="shared" si="14"/>
        <v/>
      </c>
      <c r="X114" s="39" t="str">
        <f t="shared" si="15"/>
        <v/>
      </c>
      <c r="Z114" s="95">
        <f t="shared" si="16"/>
        <v>0</v>
      </c>
      <c r="AA114" s="12"/>
      <c r="AC114" s="128"/>
      <c r="AD114" s="66"/>
      <c r="AE114" s="128"/>
      <c r="AG114" s="128"/>
      <c r="AH114" s="12"/>
      <c r="AI114" t="str">
        <f t="shared" si="17"/>
        <v/>
      </c>
      <c r="AJ114" t="str">
        <f t="shared" si="17"/>
        <v/>
      </c>
      <c r="AK114" s="12"/>
      <c r="AL114" s="94" t="e">
        <f t="shared" si="18"/>
        <v>#VALUE!</v>
      </c>
      <c r="AM114" s="94" t="e">
        <f t="shared" si="19"/>
        <v>#VALUE!</v>
      </c>
      <c r="AN114" s="12"/>
    </row>
    <row r="115" spans="1:40" ht="15.75" thickBot="1" x14ac:dyDescent="0.3">
      <c r="A115" s="12"/>
      <c r="B115" s="21"/>
      <c r="C115" s="21"/>
      <c r="D115" s="12"/>
      <c r="G115" s="12"/>
      <c r="K115" s="52"/>
      <c r="L115" s="53"/>
      <c r="M115" s="54"/>
      <c r="Q115" s="12"/>
      <c r="R115" s="45">
        <f t="shared" si="10"/>
        <v>0</v>
      </c>
      <c r="S115" s="46">
        <f t="shared" si="11"/>
        <v>0</v>
      </c>
      <c r="T115" s="41" t="str">
        <f t="shared" si="12"/>
        <v/>
      </c>
      <c r="V115" s="39" t="str">
        <f t="shared" si="13"/>
        <v/>
      </c>
      <c r="W115" s="39" t="str">
        <f t="shared" si="14"/>
        <v/>
      </c>
      <c r="X115" s="39" t="str">
        <f t="shared" si="15"/>
        <v/>
      </c>
      <c r="Z115" s="95">
        <f t="shared" si="16"/>
        <v>0</v>
      </c>
      <c r="AA115" s="12"/>
      <c r="AC115" s="128"/>
      <c r="AD115" s="66"/>
      <c r="AE115" s="128"/>
      <c r="AG115" s="128"/>
      <c r="AH115" s="12"/>
      <c r="AI115" t="str">
        <f t="shared" si="17"/>
        <v/>
      </c>
      <c r="AJ115" t="str">
        <f t="shared" si="17"/>
        <v/>
      </c>
      <c r="AK115" s="12"/>
      <c r="AL115" s="94" t="e">
        <f t="shared" si="18"/>
        <v>#VALUE!</v>
      </c>
      <c r="AM115" s="94" t="e">
        <f t="shared" si="19"/>
        <v>#VALUE!</v>
      </c>
      <c r="AN115" s="12"/>
    </row>
    <row r="116" spans="1:40" ht="15.75" thickBot="1" x14ac:dyDescent="0.3">
      <c r="A116" s="12"/>
      <c r="B116" s="21"/>
      <c r="C116" s="21"/>
      <c r="D116" s="12"/>
      <c r="G116" s="12"/>
      <c r="K116" s="52"/>
      <c r="L116" s="53"/>
      <c r="M116" s="54"/>
      <c r="Q116" s="12"/>
      <c r="R116" s="45">
        <f t="shared" si="10"/>
        <v>0</v>
      </c>
      <c r="S116" s="46">
        <f t="shared" si="11"/>
        <v>0</v>
      </c>
      <c r="T116" s="41" t="str">
        <f t="shared" si="12"/>
        <v/>
      </c>
      <c r="V116" s="39" t="str">
        <f t="shared" si="13"/>
        <v/>
      </c>
      <c r="W116" s="39" t="str">
        <f t="shared" si="14"/>
        <v/>
      </c>
      <c r="X116" s="39" t="str">
        <f t="shared" si="15"/>
        <v/>
      </c>
      <c r="Z116" s="95">
        <f t="shared" si="16"/>
        <v>0</v>
      </c>
      <c r="AA116" s="12"/>
      <c r="AC116" s="128"/>
      <c r="AD116" s="66"/>
      <c r="AE116" s="128"/>
      <c r="AG116" s="128"/>
      <c r="AH116" s="12"/>
      <c r="AI116" t="str">
        <f t="shared" si="17"/>
        <v/>
      </c>
      <c r="AJ116" t="str">
        <f t="shared" si="17"/>
        <v/>
      </c>
      <c r="AK116" s="12"/>
      <c r="AL116" s="94" t="e">
        <f t="shared" si="18"/>
        <v>#VALUE!</v>
      </c>
      <c r="AM116" s="94" t="e">
        <f t="shared" si="19"/>
        <v>#VALUE!</v>
      </c>
      <c r="AN116" s="12"/>
    </row>
    <row r="117" spans="1:40" ht="15.75" thickBot="1" x14ac:dyDescent="0.3">
      <c r="A117" s="12"/>
      <c r="B117" s="21"/>
      <c r="C117" s="21"/>
      <c r="D117" s="12"/>
      <c r="G117" s="12"/>
      <c r="K117" s="52"/>
      <c r="L117" s="53"/>
      <c r="M117" s="54"/>
      <c r="Q117" s="12"/>
      <c r="R117" s="45">
        <f t="shared" si="10"/>
        <v>0</v>
      </c>
      <c r="S117" s="46">
        <f t="shared" si="11"/>
        <v>0</v>
      </c>
      <c r="T117" s="41" t="str">
        <f t="shared" si="12"/>
        <v/>
      </c>
      <c r="V117" s="39" t="str">
        <f t="shared" si="13"/>
        <v/>
      </c>
      <c r="W117" s="39" t="str">
        <f t="shared" si="14"/>
        <v/>
      </c>
      <c r="X117" s="39" t="str">
        <f t="shared" si="15"/>
        <v/>
      </c>
      <c r="Z117" s="95">
        <f t="shared" si="16"/>
        <v>0</v>
      </c>
      <c r="AA117" s="12"/>
      <c r="AC117" s="128"/>
      <c r="AD117" s="66"/>
      <c r="AE117" s="128"/>
      <c r="AG117" s="128"/>
      <c r="AH117" s="12"/>
      <c r="AI117" t="str">
        <f t="shared" si="17"/>
        <v/>
      </c>
      <c r="AJ117" t="str">
        <f t="shared" si="17"/>
        <v/>
      </c>
      <c r="AK117" s="12"/>
      <c r="AL117" s="94" t="e">
        <f t="shared" si="18"/>
        <v>#VALUE!</v>
      </c>
      <c r="AM117" s="94" t="e">
        <f t="shared" si="19"/>
        <v>#VALUE!</v>
      </c>
      <c r="AN117" s="12"/>
    </row>
    <row r="118" spans="1:40" ht="15.75" thickBot="1" x14ac:dyDescent="0.3">
      <c r="A118" s="12"/>
      <c r="B118" s="21"/>
      <c r="C118" s="21"/>
      <c r="D118" s="12"/>
      <c r="G118" s="12"/>
      <c r="K118" s="52"/>
      <c r="L118" s="53"/>
      <c r="M118" s="54"/>
      <c r="Q118" s="12"/>
      <c r="R118" s="45">
        <f t="shared" si="10"/>
        <v>0</v>
      </c>
      <c r="S118" s="46">
        <f t="shared" si="11"/>
        <v>0</v>
      </c>
      <c r="T118" s="41" t="str">
        <f t="shared" si="12"/>
        <v/>
      </c>
      <c r="V118" s="39" t="str">
        <f t="shared" si="13"/>
        <v/>
      </c>
      <c r="W118" s="39" t="str">
        <f t="shared" si="14"/>
        <v/>
      </c>
      <c r="X118" s="39" t="str">
        <f t="shared" si="15"/>
        <v/>
      </c>
      <c r="Z118" s="95">
        <f t="shared" si="16"/>
        <v>0</v>
      </c>
      <c r="AA118" s="12"/>
      <c r="AC118" s="128"/>
      <c r="AD118" s="66"/>
      <c r="AE118" s="128"/>
      <c r="AG118" s="128"/>
      <c r="AH118" s="12"/>
      <c r="AI118" t="str">
        <f t="shared" si="17"/>
        <v/>
      </c>
      <c r="AJ118" t="str">
        <f t="shared" si="17"/>
        <v/>
      </c>
      <c r="AK118" s="12"/>
      <c r="AL118" s="94" t="e">
        <f t="shared" si="18"/>
        <v>#VALUE!</v>
      </c>
      <c r="AM118" s="94" t="e">
        <f t="shared" si="19"/>
        <v>#VALUE!</v>
      </c>
      <c r="AN118" s="12"/>
    </row>
    <row r="119" spans="1:40" ht="15.75" thickBot="1" x14ac:dyDescent="0.3">
      <c r="A119" s="12"/>
      <c r="B119" s="21"/>
      <c r="C119" s="21"/>
      <c r="D119" s="12"/>
      <c r="G119" s="12"/>
      <c r="K119" s="52"/>
      <c r="L119" s="53"/>
      <c r="M119" s="54"/>
      <c r="Q119" s="12"/>
      <c r="R119" s="45">
        <f t="shared" si="10"/>
        <v>0</v>
      </c>
      <c r="S119" s="46">
        <f t="shared" si="11"/>
        <v>0</v>
      </c>
      <c r="T119" s="41" t="str">
        <f t="shared" si="12"/>
        <v/>
      </c>
      <c r="V119" s="39" t="str">
        <f t="shared" si="13"/>
        <v/>
      </c>
      <c r="W119" s="39" t="str">
        <f t="shared" si="14"/>
        <v/>
      </c>
      <c r="X119" s="39" t="str">
        <f t="shared" si="15"/>
        <v/>
      </c>
      <c r="Z119" s="95">
        <f t="shared" si="16"/>
        <v>0</v>
      </c>
      <c r="AA119" s="12"/>
      <c r="AC119" s="128"/>
      <c r="AD119" s="66"/>
      <c r="AE119" s="128"/>
      <c r="AG119" s="128"/>
      <c r="AH119" s="12"/>
      <c r="AI119" t="str">
        <f t="shared" si="17"/>
        <v/>
      </c>
      <c r="AJ119" t="str">
        <f t="shared" si="17"/>
        <v/>
      </c>
      <c r="AK119" s="12"/>
      <c r="AL119" s="94" t="e">
        <f t="shared" si="18"/>
        <v>#VALUE!</v>
      </c>
      <c r="AM119" s="94" t="e">
        <f t="shared" si="19"/>
        <v>#VALUE!</v>
      </c>
      <c r="AN119" s="12"/>
    </row>
    <row r="120" spans="1:40" ht="15.75" thickBot="1" x14ac:dyDescent="0.3">
      <c r="A120" s="12"/>
      <c r="B120" s="21"/>
      <c r="C120" s="21"/>
      <c r="D120" s="12"/>
      <c r="G120" s="12"/>
      <c r="K120" s="52"/>
      <c r="L120" s="53"/>
      <c r="M120" s="54"/>
      <c r="Q120" s="12"/>
      <c r="R120" s="45">
        <f t="shared" si="10"/>
        <v>0</v>
      </c>
      <c r="S120" s="46">
        <f t="shared" si="11"/>
        <v>0</v>
      </c>
      <c r="T120" s="41" t="str">
        <f t="shared" si="12"/>
        <v/>
      </c>
      <c r="V120" s="39" t="str">
        <f t="shared" si="13"/>
        <v/>
      </c>
      <c r="W120" s="39" t="str">
        <f t="shared" si="14"/>
        <v/>
      </c>
      <c r="X120" s="39" t="str">
        <f t="shared" si="15"/>
        <v/>
      </c>
      <c r="Z120" s="95">
        <f t="shared" si="16"/>
        <v>0</v>
      </c>
      <c r="AA120" s="12"/>
      <c r="AC120" s="128"/>
      <c r="AD120" s="66"/>
      <c r="AE120" s="128"/>
      <c r="AG120" s="128"/>
      <c r="AH120" s="12"/>
      <c r="AI120" t="str">
        <f t="shared" si="17"/>
        <v/>
      </c>
      <c r="AJ120" t="str">
        <f t="shared" si="17"/>
        <v/>
      </c>
      <c r="AK120" s="12"/>
      <c r="AL120" s="94" t="e">
        <f t="shared" si="18"/>
        <v>#VALUE!</v>
      </c>
      <c r="AM120" s="94" t="e">
        <f t="shared" si="19"/>
        <v>#VALUE!</v>
      </c>
      <c r="AN120" s="12"/>
    </row>
    <row r="121" spans="1:40" ht="15.75" thickBot="1" x14ac:dyDescent="0.3">
      <c r="A121" s="12"/>
      <c r="B121" s="21"/>
      <c r="C121" s="21"/>
      <c r="D121" s="12"/>
      <c r="G121" s="12"/>
      <c r="K121" s="52"/>
      <c r="L121" s="53"/>
      <c r="M121" s="54"/>
      <c r="Q121" s="12"/>
      <c r="R121" s="45">
        <f t="shared" si="10"/>
        <v>0</v>
      </c>
      <c r="S121" s="46">
        <f t="shared" si="11"/>
        <v>0</v>
      </c>
      <c r="T121" s="41" t="str">
        <f t="shared" si="12"/>
        <v/>
      </c>
      <c r="V121" s="39" t="str">
        <f t="shared" si="13"/>
        <v/>
      </c>
      <c r="W121" s="39" t="str">
        <f t="shared" si="14"/>
        <v/>
      </c>
      <c r="X121" s="39" t="str">
        <f t="shared" si="15"/>
        <v/>
      </c>
      <c r="Z121" s="95">
        <f t="shared" si="16"/>
        <v>0</v>
      </c>
      <c r="AA121" s="12"/>
      <c r="AC121" s="128"/>
      <c r="AD121" s="66"/>
      <c r="AE121" s="128"/>
      <c r="AG121" s="128"/>
      <c r="AH121" s="12"/>
      <c r="AI121" t="str">
        <f t="shared" si="17"/>
        <v/>
      </c>
      <c r="AJ121" t="str">
        <f t="shared" si="17"/>
        <v/>
      </c>
      <c r="AK121" s="12"/>
      <c r="AL121" s="94" t="e">
        <f t="shared" si="18"/>
        <v>#VALUE!</v>
      </c>
      <c r="AM121" s="94" t="e">
        <f t="shared" si="19"/>
        <v>#VALUE!</v>
      </c>
      <c r="AN121" s="12"/>
    </row>
    <row r="122" spans="1:40" ht="15.75" thickBot="1" x14ac:dyDescent="0.3">
      <c r="A122" s="12"/>
      <c r="B122" s="21"/>
      <c r="C122" s="21"/>
      <c r="D122" s="12"/>
      <c r="G122" s="12"/>
      <c r="K122" s="52"/>
      <c r="L122" s="53"/>
      <c r="M122" s="54"/>
      <c r="Q122" s="12"/>
      <c r="R122" s="45">
        <f t="shared" si="10"/>
        <v>0</v>
      </c>
      <c r="S122" s="46">
        <f t="shared" si="11"/>
        <v>0</v>
      </c>
      <c r="T122" s="41" t="str">
        <f t="shared" si="12"/>
        <v/>
      </c>
      <c r="V122" s="39" t="str">
        <f t="shared" si="13"/>
        <v/>
      </c>
      <c r="W122" s="39" t="str">
        <f t="shared" si="14"/>
        <v/>
      </c>
      <c r="X122" s="39" t="str">
        <f t="shared" si="15"/>
        <v/>
      </c>
      <c r="Z122" s="95">
        <f t="shared" si="16"/>
        <v>0</v>
      </c>
      <c r="AA122" s="12"/>
      <c r="AC122" s="128"/>
      <c r="AD122" s="66"/>
      <c r="AE122" s="128"/>
      <c r="AG122" s="128"/>
      <c r="AH122" s="12"/>
      <c r="AI122" t="str">
        <f t="shared" si="17"/>
        <v/>
      </c>
      <c r="AJ122" t="str">
        <f t="shared" si="17"/>
        <v/>
      </c>
      <c r="AK122" s="12"/>
      <c r="AL122" s="94" t="e">
        <f t="shared" si="18"/>
        <v>#VALUE!</v>
      </c>
      <c r="AM122" s="94" t="e">
        <f t="shared" si="19"/>
        <v>#VALUE!</v>
      </c>
      <c r="AN122" s="12"/>
    </row>
    <row r="123" spans="1:40" ht="15.75" thickBot="1" x14ac:dyDescent="0.3">
      <c r="A123" s="12"/>
      <c r="B123" s="21"/>
      <c r="C123" s="21"/>
      <c r="D123" s="12"/>
      <c r="G123" s="12"/>
      <c r="K123" s="52"/>
      <c r="L123" s="53"/>
      <c r="M123" s="54"/>
      <c r="Q123" s="12"/>
      <c r="R123" s="45">
        <f t="shared" si="10"/>
        <v>0</v>
      </c>
      <c r="S123" s="46">
        <f t="shared" si="11"/>
        <v>0</v>
      </c>
      <c r="T123" s="41" t="str">
        <f t="shared" si="12"/>
        <v/>
      </c>
      <c r="V123" s="39" t="str">
        <f t="shared" si="13"/>
        <v/>
      </c>
      <c r="W123" s="39" t="str">
        <f t="shared" si="14"/>
        <v/>
      </c>
      <c r="X123" s="39" t="str">
        <f t="shared" si="15"/>
        <v/>
      </c>
      <c r="Z123" s="95">
        <f t="shared" si="16"/>
        <v>0</v>
      </c>
      <c r="AA123" s="12"/>
      <c r="AC123" s="128"/>
      <c r="AD123" s="66"/>
      <c r="AE123" s="128"/>
      <c r="AG123" s="128"/>
      <c r="AH123" s="12"/>
      <c r="AI123" t="str">
        <f t="shared" si="17"/>
        <v/>
      </c>
      <c r="AJ123" t="str">
        <f t="shared" si="17"/>
        <v/>
      </c>
      <c r="AK123" s="12"/>
      <c r="AL123" s="94" t="e">
        <f t="shared" si="18"/>
        <v>#VALUE!</v>
      </c>
      <c r="AM123" s="94" t="e">
        <f t="shared" si="19"/>
        <v>#VALUE!</v>
      </c>
      <c r="AN123" s="12"/>
    </row>
    <row r="124" spans="1:40" ht="15.75" thickBot="1" x14ac:dyDescent="0.3">
      <c r="A124" s="12"/>
      <c r="B124" s="21"/>
      <c r="C124" s="21"/>
      <c r="D124" s="12"/>
      <c r="G124" s="12"/>
      <c r="K124" s="52"/>
      <c r="L124" s="53"/>
      <c r="M124" s="54"/>
      <c r="Q124" s="12"/>
      <c r="R124" s="45">
        <f t="shared" si="10"/>
        <v>0</v>
      </c>
      <c r="S124" s="46">
        <f t="shared" si="11"/>
        <v>0</v>
      </c>
      <c r="T124" s="41" t="str">
        <f t="shared" si="12"/>
        <v/>
      </c>
      <c r="V124" s="39" t="str">
        <f t="shared" si="13"/>
        <v/>
      </c>
      <c r="W124" s="39" t="str">
        <f t="shared" si="14"/>
        <v/>
      </c>
      <c r="X124" s="39" t="str">
        <f t="shared" si="15"/>
        <v/>
      </c>
      <c r="Z124" s="95">
        <f t="shared" si="16"/>
        <v>0</v>
      </c>
      <c r="AA124" s="12"/>
      <c r="AC124" s="128"/>
      <c r="AD124" s="66"/>
      <c r="AE124" s="128"/>
      <c r="AG124" s="128"/>
      <c r="AH124" s="12"/>
      <c r="AI124" t="str">
        <f t="shared" si="17"/>
        <v/>
      </c>
      <c r="AJ124" t="str">
        <f t="shared" si="17"/>
        <v/>
      </c>
      <c r="AK124" s="12"/>
      <c r="AL124" s="94" t="e">
        <f t="shared" si="18"/>
        <v>#VALUE!</v>
      </c>
      <c r="AM124" s="94" t="e">
        <f t="shared" si="19"/>
        <v>#VALUE!</v>
      </c>
      <c r="AN124" s="12"/>
    </row>
    <row r="125" spans="1:40" ht="15.75" thickBot="1" x14ac:dyDescent="0.3">
      <c r="A125" s="12"/>
      <c r="B125" s="21"/>
      <c r="C125" s="21"/>
      <c r="D125" s="12"/>
      <c r="G125" s="12"/>
      <c r="K125" s="52"/>
      <c r="L125" s="53"/>
      <c r="M125" s="54"/>
      <c r="Q125" s="12"/>
      <c r="R125" s="45">
        <f t="shared" si="10"/>
        <v>0</v>
      </c>
      <c r="S125" s="46">
        <f t="shared" si="11"/>
        <v>0</v>
      </c>
      <c r="T125" s="41" t="str">
        <f t="shared" si="12"/>
        <v/>
      </c>
      <c r="V125" s="39" t="str">
        <f t="shared" si="13"/>
        <v/>
      </c>
      <c r="W125" s="39" t="str">
        <f t="shared" si="14"/>
        <v/>
      </c>
      <c r="X125" s="39" t="str">
        <f t="shared" si="15"/>
        <v/>
      </c>
      <c r="Z125" s="95">
        <f t="shared" si="16"/>
        <v>0</v>
      </c>
      <c r="AA125" s="12"/>
      <c r="AC125" s="128"/>
      <c r="AD125" s="66"/>
      <c r="AE125" s="128"/>
      <c r="AG125" s="128"/>
      <c r="AH125" s="12"/>
      <c r="AI125" t="str">
        <f t="shared" si="17"/>
        <v/>
      </c>
      <c r="AJ125" t="str">
        <f t="shared" si="17"/>
        <v/>
      </c>
      <c r="AK125" s="12"/>
      <c r="AL125" s="94" t="e">
        <f t="shared" si="18"/>
        <v>#VALUE!</v>
      </c>
      <c r="AM125" s="94" t="e">
        <f t="shared" si="19"/>
        <v>#VALUE!</v>
      </c>
      <c r="AN125" s="12"/>
    </row>
    <row r="126" spans="1:40" ht="15.75" thickBot="1" x14ac:dyDescent="0.3">
      <c r="A126" s="12"/>
      <c r="B126" s="21"/>
      <c r="C126" s="21"/>
      <c r="D126" s="12"/>
      <c r="G126" s="12"/>
      <c r="K126" s="52"/>
      <c r="L126" s="53"/>
      <c r="M126" s="54"/>
      <c r="Q126" s="12"/>
      <c r="R126" s="45">
        <f t="shared" si="10"/>
        <v>0</v>
      </c>
      <c r="S126" s="46">
        <f t="shared" si="11"/>
        <v>0</v>
      </c>
      <c r="T126" s="41" t="str">
        <f t="shared" si="12"/>
        <v/>
      </c>
      <c r="V126" s="39" t="str">
        <f t="shared" si="13"/>
        <v/>
      </c>
      <c r="W126" s="39" t="str">
        <f t="shared" si="14"/>
        <v/>
      </c>
      <c r="X126" s="39" t="str">
        <f t="shared" si="15"/>
        <v/>
      </c>
      <c r="Z126" s="95">
        <f t="shared" si="16"/>
        <v>0</v>
      </c>
      <c r="AA126" s="12"/>
      <c r="AC126" s="128"/>
      <c r="AD126" s="66"/>
      <c r="AE126" s="128"/>
      <c r="AG126" s="128"/>
      <c r="AH126" s="12"/>
      <c r="AI126" t="str">
        <f t="shared" si="17"/>
        <v/>
      </c>
      <c r="AJ126" t="str">
        <f t="shared" si="17"/>
        <v/>
      </c>
      <c r="AK126" s="12"/>
      <c r="AL126" s="94" t="e">
        <f t="shared" si="18"/>
        <v>#VALUE!</v>
      </c>
      <c r="AM126" s="94" t="e">
        <f t="shared" si="19"/>
        <v>#VALUE!</v>
      </c>
      <c r="AN126" s="12"/>
    </row>
    <row r="127" spans="1:40" ht="15.75" thickBot="1" x14ac:dyDescent="0.3">
      <c r="A127" s="12"/>
      <c r="B127" s="21"/>
      <c r="C127" s="21"/>
      <c r="D127" s="12"/>
      <c r="G127" s="12"/>
      <c r="K127" s="52"/>
      <c r="L127" s="53"/>
      <c r="M127" s="54"/>
      <c r="Q127" s="12"/>
      <c r="R127" s="45">
        <f t="shared" si="10"/>
        <v>0</v>
      </c>
      <c r="S127" s="46">
        <f t="shared" si="11"/>
        <v>0</v>
      </c>
      <c r="T127" s="41" t="str">
        <f t="shared" si="12"/>
        <v/>
      </c>
      <c r="V127" s="39" t="str">
        <f t="shared" si="13"/>
        <v/>
      </c>
      <c r="W127" s="39" t="str">
        <f t="shared" si="14"/>
        <v/>
      </c>
      <c r="X127" s="39" t="str">
        <f t="shared" si="15"/>
        <v/>
      </c>
      <c r="Z127" s="95">
        <f t="shared" si="16"/>
        <v>0</v>
      </c>
      <c r="AA127" s="12"/>
      <c r="AC127" s="128"/>
      <c r="AD127" s="66"/>
      <c r="AE127" s="128"/>
      <c r="AG127" s="128"/>
      <c r="AH127" s="12"/>
      <c r="AI127" t="str">
        <f t="shared" si="17"/>
        <v/>
      </c>
      <c r="AJ127" t="str">
        <f t="shared" si="17"/>
        <v/>
      </c>
      <c r="AK127" s="12"/>
      <c r="AL127" s="94" t="e">
        <f t="shared" si="18"/>
        <v>#VALUE!</v>
      </c>
      <c r="AM127" s="94" t="e">
        <f t="shared" si="19"/>
        <v>#VALUE!</v>
      </c>
      <c r="AN127" s="12"/>
    </row>
    <row r="128" spans="1:40" ht="15.75" thickBot="1" x14ac:dyDescent="0.3">
      <c r="A128" s="12"/>
      <c r="B128" s="21"/>
      <c r="C128" s="21"/>
      <c r="D128" s="12"/>
      <c r="G128" s="12"/>
      <c r="K128" s="52"/>
      <c r="L128" s="53"/>
      <c r="M128" s="54"/>
      <c r="Q128" s="12"/>
      <c r="R128" s="45">
        <f t="shared" si="10"/>
        <v>0</v>
      </c>
      <c r="S128" s="46">
        <f t="shared" si="11"/>
        <v>0</v>
      </c>
      <c r="T128" s="41" t="str">
        <f t="shared" si="12"/>
        <v/>
      </c>
      <c r="V128" s="39" t="str">
        <f t="shared" si="13"/>
        <v/>
      </c>
      <c r="W128" s="39" t="str">
        <f t="shared" si="14"/>
        <v/>
      </c>
      <c r="X128" s="39" t="str">
        <f t="shared" si="15"/>
        <v/>
      </c>
      <c r="Z128" s="95">
        <f t="shared" si="16"/>
        <v>0</v>
      </c>
      <c r="AA128" s="12"/>
      <c r="AC128" s="128"/>
      <c r="AD128" s="66"/>
      <c r="AE128" s="128"/>
      <c r="AG128" s="128"/>
      <c r="AH128" s="12"/>
      <c r="AI128" t="str">
        <f t="shared" si="17"/>
        <v/>
      </c>
      <c r="AJ128" t="str">
        <f t="shared" si="17"/>
        <v/>
      </c>
      <c r="AK128" s="12"/>
      <c r="AL128" s="94" t="e">
        <f t="shared" si="18"/>
        <v>#VALUE!</v>
      </c>
      <c r="AM128" s="94" t="e">
        <f t="shared" si="19"/>
        <v>#VALUE!</v>
      </c>
      <c r="AN128" s="12"/>
    </row>
    <row r="129" spans="1:40" ht="15.75" thickBot="1" x14ac:dyDescent="0.3">
      <c r="A129" s="12"/>
      <c r="B129" s="21"/>
      <c r="C129" s="21"/>
      <c r="D129" s="12"/>
      <c r="G129" s="12"/>
      <c r="K129" s="52"/>
      <c r="L129" s="53"/>
      <c r="M129" s="54"/>
      <c r="Q129" s="12"/>
      <c r="R129" s="45">
        <f t="shared" si="10"/>
        <v>0</v>
      </c>
      <c r="S129" s="46">
        <f t="shared" si="11"/>
        <v>0</v>
      </c>
      <c r="T129" s="41" t="str">
        <f t="shared" si="12"/>
        <v/>
      </c>
      <c r="V129" s="39" t="str">
        <f t="shared" si="13"/>
        <v/>
      </c>
      <c r="W129" s="39" t="str">
        <f t="shared" si="14"/>
        <v/>
      </c>
      <c r="X129" s="39" t="str">
        <f t="shared" si="15"/>
        <v/>
      </c>
      <c r="Z129" s="95">
        <f t="shared" si="16"/>
        <v>0</v>
      </c>
      <c r="AA129" s="12"/>
      <c r="AC129" s="128"/>
      <c r="AD129" s="66"/>
      <c r="AE129" s="128"/>
      <c r="AG129" s="128"/>
      <c r="AH129" s="12"/>
      <c r="AI129" t="str">
        <f t="shared" si="17"/>
        <v/>
      </c>
      <c r="AJ129" t="str">
        <f t="shared" si="17"/>
        <v/>
      </c>
      <c r="AK129" s="12"/>
      <c r="AL129" s="94" t="e">
        <f t="shared" si="18"/>
        <v>#VALUE!</v>
      </c>
      <c r="AM129" s="94" t="e">
        <f t="shared" si="19"/>
        <v>#VALUE!</v>
      </c>
      <c r="AN129" s="12"/>
    </row>
    <row r="130" spans="1:40" ht="15.75" thickBot="1" x14ac:dyDescent="0.3">
      <c r="A130" s="12"/>
      <c r="B130" s="21"/>
      <c r="C130" s="21"/>
      <c r="D130" s="12"/>
      <c r="G130" s="12"/>
      <c r="K130" s="52"/>
      <c r="L130" s="53"/>
      <c r="M130" s="54"/>
      <c r="Q130" s="12"/>
      <c r="R130" s="45">
        <f t="shared" si="10"/>
        <v>0</v>
      </c>
      <c r="S130" s="46">
        <f t="shared" si="11"/>
        <v>0</v>
      </c>
      <c r="T130" s="41" t="str">
        <f t="shared" si="12"/>
        <v/>
      </c>
      <c r="V130" s="39" t="str">
        <f t="shared" si="13"/>
        <v/>
      </c>
      <c r="W130" s="39" t="str">
        <f t="shared" si="14"/>
        <v/>
      </c>
      <c r="X130" s="39" t="str">
        <f t="shared" si="15"/>
        <v/>
      </c>
      <c r="Z130" s="95">
        <f t="shared" si="16"/>
        <v>0</v>
      </c>
      <c r="AA130" s="12"/>
      <c r="AC130" s="128"/>
      <c r="AD130" s="66"/>
      <c r="AE130" s="128"/>
      <c r="AG130" s="128"/>
      <c r="AH130" s="12"/>
      <c r="AI130" t="str">
        <f t="shared" si="17"/>
        <v/>
      </c>
      <c r="AJ130" t="str">
        <f t="shared" si="17"/>
        <v/>
      </c>
      <c r="AK130" s="12"/>
      <c r="AL130" s="94" t="e">
        <f t="shared" si="18"/>
        <v>#VALUE!</v>
      </c>
      <c r="AM130" s="94" t="e">
        <f t="shared" si="19"/>
        <v>#VALUE!</v>
      </c>
      <c r="AN130" s="12"/>
    </row>
    <row r="131" spans="1:40" ht="15.75" thickBot="1" x14ac:dyDescent="0.3">
      <c r="A131" s="12"/>
      <c r="B131" s="21"/>
      <c r="C131" s="21"/>
      <c r="D131" s="12"/>
      <c r="G131" s="12"/>
      <c r="K131" s="52"/>
      <c r="L131" s="53"/>
      <c r="M131" s="54"/>
      <c r="Q131" s="12"/>
      <c r="R131" s="45">
        <f t="shared" si="10"/>
        <v>0</v>
      </c>
      <c r="S131" s="46">
        <f t="shared" si="11"/>
        <v>0</v>
      </c>
      <c r="T131" s="41" t="str">
        <f t="shared" si="12"/>
        <v/>
      </c>
      <c r="V131" s="39" t="str">
        <f t="shared" si="13"/>
        <v/>
      </c>
      <c r="W131" s="39" t="str">
        <f t="shared" si="14"/>
        <v/>
      </c>
      <c r="X131" s="39" t="str">
        <f t="shared" si="15"/>
        <v/>
      </c>
      <c r="Z131" s="95">
        <f t="shared" si="16"/>
        <v>0</v>
      </c>
      <c r="AA131" s="12"/>
      <c r="AC131" s="128"/>
      <c r="AD131" s="66"/>
      <c r="AE131" s="128"/>
      <c r="AG131" s="128"/>
      <c r="AH131" s="12"/>
      <c r="AI131" t="str">
        <f t="shared" si="17"/>
        <v/>
      </c>
      <c r="AJ131" t="str">
        <f t="shared" si="17"/>
        <v/>
      </c>
      <c r="AK131" s="12"/>
      <c r="AL131" s="94" t="e">
        <f t="shared" si="18"/>
        <v>#VALUE!</v>
      </c>
      <c r="AM131" s="94" t="e">
        <f t="shared" si="19"/>
        <v>#VALUE!</v>
      </c>
      <c r="AN131" s="12"/>
    </row>
    <row r="132" spans="1:40" ht="15.75" thickBot="1" x14ac:dyDescent="0.3">
      <c r="A132" s="12"/>
      <c r="B132" s="21"/>
      <c r="C132" s="21"/>
      <c r="D132" s="12"/>
      <c r="G132" s="12"/>
      <c r="K132" s="52"/>
      <c r="L132" s="53"/>
      <c r="M132" s="54"/>
      <c r="Q132" s="12"/>
      <c r="R132" s="45">
        <f t="shared" si="10"/>
        <v>0</v>
      </c>
      <c r="S132" s="46">
        <f t="shared" si="11"/>
        <v>0</v>
      </c>
      <c r="T132" s="41" t="str">
        <f t="shared" si="12"/>
        <v/>
      </c>
      <c r="V132" s="39" t="str">
        <f t="shared" si="13"/>
        <v/>
      </c>
      <c r="W132" s="39" t="str">
        <f t="shared" si="14"/>
        <v/>
      </c>
      <c r="X132" s="39" t="str">
        <f t="shared" si="15"/>
        <v/>
      </c>
      <c r="Z132" s="95">
        <f t="shared" si="16"/>
        <v>0</v>
      </c>
      <c r="AA132" s="12"/>
      <c r="AC132" s="128"/>
      <c r="AD132" s="66"/>
      <c r="AE132" s="128"/>
      <c r="AG132" s="128"/>
      <c r="AH132" s="12"/>
      <c r="AI132" t="str">
        <f t="shared" si="17"/>
        <v/>
      </c>
      <c r="AJ132" t="str">
        <f t="shared" si="17"/>
        <v/>
      </c>
      <c r="AK132" s="12"/>
      <c r="AL132" s="94" t="e">
        <f t="shared" si="18"/>
        <v>#VALUE!</v>
      </c>
      <c r="AM132" s="94" t="e">
        <f t="shared" si="19"/>
        <v>#VALUE!</v>
      </c>
      <c r="AN132" s="12"/>
    </row>
    <row r="133" spans="1:40" ht="15.75" thickBot="1" x14ac:dyDescent="0.3">
      <c r="A133" s="12"/>
      <c r="B133" s="21"/>
      <c r="C133" s="21"/>
      <c r="D133" s="12"/>
      <c r="G133" s="12"/>
      <c r="K133" s="52"/>
      <c r="L133" s="53"/>
      <c r="M133" s="54"/>
      <c r="Q133" s="12"/>
      <c r="R133" s="45">
        <f t="shared" si="10"/>
        <v>0</v>
      </c>
      <c r="S133" s="46">
        <f t="shared" si="11"/>
        <v>0</v>
      </c>
      <c r="T133" s="41" t="str">
        <f t="shared" si="12"/>
        <v/>
      </c>
      <c r="V133" s="39" t="str">
        <f t="shared" si="13"/>
        <v/>
      </c>
      <c r="W133" s="39" t="str">
        <f t="shared" si="14"/>
        <v/>
      </c>
      <c r="X133" s="39" t="str">
        <f t="shared" si="15"/>
        <v/>
      </c>
      <c r="Z133" s="95">
        <f t="shared" si="16"/>
        <v>0</v>
      </c>
      <c r="AA133" s="12"/>
      <c r="AC133" s="128"/>
      <c r="AD133" s="66"/>
      <c r="AE133" s="128"/>
      <c r="AG133" s="128"/>
      <c r="AH133" s="12"/>
      <c r="AI133" t="str">
        <f t="shared" si="17"/>
        <v/>
      </c>
      <c r="AJ133" t="str">
        <f t="shared" si="17"/>
        <v/>
      </c>
      <c r="AK133" s="12"/>
      <c r="AL133" s="94" t="e">
        <f t="shared" si="18"/>
        <v>#VALUE!</v>
      </c>
      <c r="AM133" s="94" t="e">
        <f t="shared" si="19"/>
        <v>#VALUE!</v>
      </c>
      <c r="AN133" s="12"/>
    </row>
    <row r="134" spans="1:40" ht="15.75" thickBot="1" x14ac:dyDescent="0.3">
      <c r="A134" s="12"/>
      <c r="B134" s="21"/>
      <c r="C134" s="21"/>
      <c r="D134" s="12"/>
      <c r="G134" s="12"/>
      <c r="K134" s="52"/>
      <c r="L134" s="53"/>
      <c r="M134" s="54"/>
      <c r="Q134" s="12"/>
      <c r="R134" s="45">
        <f t="shared" ref="R134:R150" si="20">COUNT(H134:P134)</f>
        <v>0</v>
      </c>
      <c r="S134" s="46">
        <f t="shared" ref="S134:S150" si="21">SUM(V134:X134)</f>
        <v>0</v>
      </c>
      <c r="T134" s="41" t="str">
        <f t="shared" ref="T134:T150" si="22">IF(AND(H134="",I134="",J134="",K134="",L134="",M134="",N134="",O134="",P134=""),"",(H134+I134+J134+K134+L134+M134+N134+O134+P134))</f>
        <v/>
      </c>
      <c r="V134" s="39" t="str">
        <f t="shared" ref="V134:V150" si="23">IF(COUNTA(H134:J134)&gt;0,1,"")</f>
        <v/>
      </c>
      <c r="W134" s="39" t="str">
        <f t="shared" ref="W134:W150" si="24">IF(COUNTA(K134:M134)&gt;0,1,"")</f>
        <v/>
      </c>
      <c r="X134" s="39" t="str">
        <f t="shared" ref="X134:X150" si="25">IF(COUNTA(N134:P134)&gt;0,1,"")</f>
        <v/>
      </c>
      <c r="Z134" s="95">
        <f t="shared" ref="Z134:Z197" si="26">E134</f>
        <v>0</v>
      </c>
      <c r="AA134" s="12"/>
      <c r="AC134" s="128"/>
      <c r="AD134" s="66"/>
      <c r="AE134" s="128"/>
      <c r="AG134" s="128"/>
      <c r="AH134" s="12"/>
      <c r="AI134" t="str">
        <f t="shared" ref="AI134:AJ197" si="27">IF(AND(AB134="",AD134="",AF134=""),"",SUM(AB134,AD134,AF134))</f>
        <v/>
      </c>
      <c r="AJ134" t="str">
        <f t="shared" si="27"/>
        <v/>
      </c>
      <c r="AK134" s="12"/>
      <c r="AL134" s="94" t="e">
        <f t="shared" ref="AL134:AL197" si="28">AI134/R134</f>
        <v>#VALUE!</v>
      </c>
      <c r="AM134" s="94" t="e">
        <f t="shared" ref="AM134:AM197" si="29">AJ134/R134</f>
        <v>#VALUE!</v>
      </c>
      <c r="AN134" s="12"/>
    </row>
    <row r="135" spans="1:40" ht="15.75" thickBot="1" x14ac:dyDescent="0.3">
      <c r="A135" s="12"/>
      <c r="B135" s="21"/>
      <c r="C135" s="21"/>
      <c r="D135" s="12"/>
      <c r="G135" s="12"/>
      <c r="K135" s="52"/>
      <c r="L135" s="53"/>
      <c r="M135" s="54"/>
      <c r="Q135" s="12"/>
      <c r="R135" s="45">
        <f t="shared" si="20"/>
        <v>0</v>
      </c>
      <c r="S135" s="46">
        <f t="shared" si="21"/>
        <v>0</v>
      </c>
      <c r="T135" s="41" t="str">
        <f t="shared" si="22"/>
        <v/>
      </c>
      <c r="V135" s="39" t="str">
        <f t="shared" si="23"/>
        <v/>
      </c>
      <c r="W135" s="39" t="str">
        <f t="shared" si="24"/>
        <v/>
      </c>
      <c r="X135" s="39" t="str">
        <f t="shared" si="25"/>
        <v/>
      </c>
      <c r="Z135" s="95">
        <f t="shared" si="26"/>
        <v>0</v>
      </c>
      <c r="AA135" s="12"/>
      <c r="AC135" s="128"/>
      <c r="AD135" s="66"/>
      <c r="AE135" s="128"/>
      <c r="AG135" s="128"/>
      <c r="AH135" s="12"/>
      <c r="AI135" t="str">
        <f t="shared" si="27"/>
        <v/>
      </c>
      <c r="AJ135" t="str">
        <f t="shared" si="27"/>
        <v/>
      </c>
      <c r="AK135" s="12"/>
      <c r="AL135" s="94" t="e">
        <f t="shared" si="28"/>
        <v>#VALUE!</v>
      </c>
      <c r="AM135" s="94" t="e">
        <f t="shared" si="29"/>
        <v>#VALUE!</v>
      </c>
      <c r="AN135" s="12"/>
    </row>
    <row r="136" spans="1:40" ht="15.75" thickBot="1" x14ac:dyDescent="0.3">
      <c r="A136" s="12"/>
      <c r="B136" s="21"/>
      <c r="C136" s="21"/>
      <c r="D136" s="12"/>
      <c r="G136" s="12"/>
      <c r="K136" s="52"/>
      <c r="L136" s="53"/>
      <c r="M136" s="54"/>
      <c r="Q136" s="12"/>
      <c r="R136" s="45">
        <f t="shared" si="20"/>
        <v>0</v>
      </c>
      <c r="S136" s="46">
        <f t="shared" si="21"/>
        <v>0</v>
      </c>
      <c r="T136" s="41" t="str">
        <f t="shared" si="22"/>
        <v/>
      </c>
      <c r="V136" s="39" t="str">
        <f t="shared" si="23"/>
        <v/>
      </c>
      <c r="W136" s="39" t="str">
        <f t="shared" si="24"/>
        <v/>
      </c>
      <c r="X136" s="39" t="str">
        <f t="shared" si="25"/>
        <v/>
      </c>
      <c r="Z136" s="95">
        <f t="shared" si="26"/>
        <v>0</v>
      </c>
      <c r="AA136" s="12"/>
      <c r="AC136" s="128"/>
      <c r="AD136" s="66"/>
      <c r="AE136" s="128"/>
      <c r="AG136" s="128"/>
      <c r="AH136" s="12"/>
      <c r="AI136" t="str">
        <f t="shared" si="27"/>
        <v/>
      </c>
      <c r="AJ136" t="str">
        <f t="shared" si="27"/>
        <v/>
      </c>
      <c r="AK136" s="12"/>
      <c r="AL136" s="94" t="e">
        <f t="shared" si="28"/>
        <v>#VALUE!</v>
      </c>
      <c r="AM136" s="94" t="e">
        <f t="shared" si="29"/>
        <v>#VALUE!</v>
      </c>
      <c r="AN136" s="12"/>
    </row>
    <row r="137" spans="1:40" ht="15.75" thickBot="1" x14ac:dyDescent="0.3">
      <c r="A137" s="12"/>
      <c r="B137" s="21"/>
      <c r="C137" s="21"/>
      <c r="D137" s="12"/>
      <c r="G137" s="12"/>
      <c r="K137" s="52"/>
      <c r="L137" s="53"/>
      <c r="M137" s="54"/>
      <c r="Q137" s="12"/>
      <c r="R137" s="45">
        <f t="shared" si="20"/>
        <v>0</v>
      </c>
      <c r="S137" s="46">
        <f t="shared" si="21"/>
        <v>0</v>
      </c>
      <c r="T137" s="41" t="str">
        <f t="shared" si="22"/>
        <v/>
      </c>
      <c r="V137" s="39" t="str">
        <f t="shared" si="23"/>
        <v/>
      </c>
      <c r="W137" s="39" t="str">
        <f t="shared" si="24"/>
        <v/>
      </c>
      <c r="X137" s="39" t="str">
        <f t="shared" si="25"/>
        <v/>
      </c>
      <c r="Z137" s="95">
        <f t="shared" si="26"/>
        <v>0</v>
      </c>
      <c r="AA137" s="12"/>
      <c r="AC137" s="128"/>
      <c r="AD137" s="66"/>
      <c r="AE137" s="128"/>
      <c r="AG137" s="128"/>
      <c r="AH137" s="12"/>
      <c r="AI137" t="str">
        <f t="shared" si="27"/>
        <v/>
      </c>
      <c r="AJ137" t="str">
        <f t="shared" si="27"/>
        <v/>
      </c>
      <c r="AK137" s="12"/>
      <c r="AL137" s="94" t="e">
        <f t="shared" si="28"/>
        <v>#VALUE!</v>
      </c>
      <c r="AM137" s="94" t="e">
        <f t="shared" si="29"/>
        <v>#VALUE!</v>
      </c>
      <c r="AN137" s="12"/>
    </row>
    <row r="138" spans="1:40" ht="15.75" thickBot="1" x14ac:dyDescent="0.3">
      <c r="A138" s="12"/>
      <c r="B138" s="21"/>
      <c r="C138" s="21"/>
      <c r="D138" s="12"/>
      <c r="G138" s="12"/>
      <c r="K138" s="52"/>
      <c r="L138" s="53"/>
      <c r="M138" s="54"/>
      <c r="Q138" s="12"/>
      <c r="R138" s="45">
        <f t="shared" si="20"/>
        <v>0</v>
      </c>
      <c r="S138" s="46">
        <f t="shared" si="21"/>
        <v>0</v>
      </c>
      <c r="T138" s="41" t="str">
        <f t="shared" si="22"/>
        <v/>
      </c>
      <c r="V138" s="39" t="str">
        <f t="shared" si="23"/>
        <v/>
      </c>
      <c r="W138" s="39" t="str">
        <f t="shared" si="24"/>
        <v/>
      </c>
      <c r="X138" s="39" t="str">
        <f t="shared" si="25"/>
        <v/>
      </c>
      <c r="Z138" s="95">
        <f t="shared" si="26"/>
        <v>0</v>
      </c>
      <c r="AA138" s="12"/>
      <c r="AC138" s="128"/>
      <c r="AD138" s="66"/>
      <c r="AE138" s="128"/>
      <c r="AG138" s="128"/>
      <c r="AH138" s="12"/>
      <c r="AI138" t="str">
        <f t="shared" si="27"/>
        <v/>
      </c>
      <c r="AJ138" t="str">
        <f t="shared" si="27"/>
        <v/>
      </c>
      <c r="AK138" s="12"/>
      <c r="AL138" s="94" t="e">
        <f t="shared" si="28"/>
        <v>#VALUE!</v>
      </c>
      <c r="AM138" s="94" t="e">
        <f t="shared" si="29"/>
        <v>#VALUE!</v>
      </c>
      <c r="AN138" s="12"/>
    </row>
    <row r="139" spans="1:40" ht="15.75" thickBot="1" x14ac:dyDescent="0.3">
      <c r="A139" s="12"/>
      <c r="B139" s="21"/>
      <c r="C139" s="21"/>
      <c r="D139" s="12"/>
      <c r="G139" s="12"/>
      <c r="K139" s="52"/>
      <c r="L139" s="53"/>
      <c r="M139" s="54"/>
      <c r="Q139" s="12"/>
      <c r="R139" s="45">
        <f t="shared" si="20"/>
        <v>0</v>
      </c>
      <c r="S139" s="46">
        <f t="shared" si="21"/>
        <v>0</v>
      </c>
      <c r="T139" s="41" t="str">
        <f t="shared" si="22"/>
        <v/>
      </c>
      <c r="V139" s="39" t="str">
        <f t="shared" si="23"/>
        <v/>
      </c>
      <c r="W139" s="39" t="str">
        <f t="shared" si="24"/>
        <v/>
      </c>
      <c r="X139" s="39" t="str">
        <f t="shared" si="25"/>
        <v/>
      </c>
      <c r="Z139" s="95">
        <f t="shared" si="26"/>
        <v>0</v>
      </c>
      <c r="AA139" s="12"/>
      <c r="AC139" s="128"/>
      <c r="AD139" s="66"/>
      <c r="AE139" s="128"/>
      <c r="AG139" s="128"/>
      <c r="AH139" s="12"/>
      <c r="AI139" t="str">
        <f t="shared" si="27"/>
        <v/>
      </c>
      <c r="AJ139" t="str">
        <f t="shared" si="27"/>
        <v/>
      </c>
      <c r="AK139" s="12"/>
      <c r="AL139" s="94" t="e">
        <f t="shared" si="28"/>
        <v>#VALUE!</v>
      </c>
      <c r="AM139" s="94" t="e">
        <f t="shared" si="29"/>
        <v>#VALUE!</v>
      </c>
      <c r="AN139" s="12"/>
    </row>
    <row r="140" spans="1:40" ht="15.75" thickBot="1" x14ac:dyDescent="0.3">
      <c r="A140" s="12"/>
      <c r="B140" s="21"/>
      <c r="C140" s="21"/>
      <c r="D140" s="12"/>
      <c r="G140" s="12"/>
      <c r="K140" s="52"/>
      <c r="L140" s="53"/>
      <c r="M140" s="54"/>
      <c r="Q140" s="12"/>
      <c r="R140" s="45">
        <f t="shared" si="20"/>
        <v>0</v>
      </c>
      <c r="S140" s="46">
        <f t="shared" si="21"/>
        <v>0</v>
      </c>
      <c r="T140" s="41" t="str">
        <f t="shared" si="22"/>
        <v/>
      </c>
      <c r="V140" s="39" t="str">
        <f t="shared" si="23"/>
        <v/>
      </c>
      <c r="W140" s="39" t="str">
        <f t="shared" si="24"/>
        <v/>
      </c>
      <c r="X140" s="39" t="str">
        <f t="shared" si="25"/>
        <v/>
      </c>
      <c r="Z140" s="95">
        <f t="shared" si="26"/>
        <v>0</v>
      </c>
      <c r="AA140" s="12"/>
      <c r="AC140" s="128"/>
      <c r="AD140" s="66"/>
      <c r="AE140" s="128"/>
      <c r="AG140" s="128"/>
      <c r="AH140" s="12"/>
      <c r="AI140" t="str">
        <f t="shared" si="27"/>
        <v/>
      </c>
      <c r="AJ140" t="str">
        <f t="shared" si="27"/>
        <v/>
      </c>
      <c r="AK140" s="12"/>
      <c r="AL140" s="94" t="e">
        <f t="shared" si="28"/>
        <v>#VALUE!</v>
      </c>
      <c r="AM140" s="94" t="e">
        <f t="shared" si="29"/>
        <v>#VALUE!</v>
      </c>
      <c r="AN140" s="12"/>
    </row>
    <row r="141" spans="1:40" ht="15.75" thickBot="1" x14ac:dyDescent="0.3">
      <c r="A141" s="12"/>
      <c r="B141" s="21"/>
      <c r="C141" s="21"/>
      <c r="D141" s="12"/>
      <c r="G141" s="12"/>
      <c r="K141" s="52"/>
      <c r="L141" s="53"/>
      <c r="M141" s="54"/>
      <c r="Q141" s="12"/>
      <c r="R141" s="45">
        <f t="shared" si="20"/>
        <v>0</v>
      </c>
      <c r="S141" s="46">
        <f t="shared" si="21"/>
        <v>0</v>
      </c>
      <c r="T141" s="41" t="str">
        <f t="shared" si="22"/>
        <v/>
      </c>
      <c r="V141" s="39" t="str">
        <f t="shared" si="23"/>
        <v/>
      </c>
      <c r="W141" s="39" t="str">
        <f t="shared" si="24"/>
        <v/>
      </c>
      <c r="X141" s="39" t="str">
        <f t="shared" si="25"/>
        <v/>
      </c>
      <c r="Z141" s="95">
        <f t="shared" si="26"/>
        <v>0</v>
      </c>
      <c r="AA141" s="12"/>
      <c r="AC141" s="128"/>
      <c r="AD141" s="66"/>
      <c r="AE141" s="128"/>
      <c r="AG141" s="128"/>
      <c r="AH141" s="12"/>
      <c r="AI141" t="str">
        <f t="shared" si="27"/>
        <v/>
      </c>
      <c r="AJ141" t="str">
        <f t="shared" si="27"/>
        <v/>
      </c>
      <c r="AK141" s="12"/>
      <c r="AL141" s="94" t="e">
        <f t="shared" si="28"/>
        <v>#VALUE!</v>
      </c>
      <c r="AM141" s="94" t="e">
        <f t="shared" si="29"/>
        <v>#VALUE!</v>
      </c>
      <c r="AN141" s="12"/>
    </row>
    <row r="142" spans="1:40" ht="15.75" thickBot="1" x14ac:dyDescent="0.3">
      <c r="A142" s="12"/>
      <c r="B142" s="21"/>
      <c r="C142" s="21"/>
      <c r="D142" s="12"/>
      <c r="G142" s="12"/>
      <c r="K142" s="52"/>
      <c r="L142" s="53"/>
      <c r="M142" s="54"/>
      <c r="Q142" s="12"/>
      <c r="R142" s="45">
        <f t="shared" si="20"/>
        <v>0</v>
      </c>
      <c r="S142" s="46">
        <f t="shared" si="21"/>
        <v>0</v>
      </c>
      <c r="T142" s="41" t="str">
        <f t="shared" si="22"/>
        <v/>
      </c>
      <c r="V142" s="39" t="str">
        <f t="shared" si="23"/>
        <v/>
      </c>
      <c r="W142" s="39" t="str">
        <f t="shared" si="24"/>
        <v/>
      </c>
      <c r="X142" s="39" t="str">
        <f t="shared" si="25"/>
        <v/>
      </c>
      <c r="Z142" s="95">
        <f t="shared" si="26"/>
        <v>0</v>
      </c>
      <c r="AA142" s="12"/>
      <c r="AC142" s="128"/>
      <c r="AD142" s="66"/>
      <c r="AE142" s="128"/>
      <c r="AG142" s="128"/>
      <c r="AH142" s="12"/>
      <c r="AI142" t="str">
        <f t="shared" si="27"/>
        <v/>
      </c>
      <c r="AJ142" t="str">
        <f t="shared" si="27"/>
        <v/>
      </c>
      <c r="AK142" s="12"/>
      <c r="AL142" s="94" t="e">
        <f t="shared" si="28"/>
        <v>#VALUE!</v>
      </c>
      <c r="AM142" s="94" t="e">
        <f t="shared" si="29"/>
        <v>#VALUE!</v>
      </c>
      <c r="AN142" s="12"/>
    </row>
    <row r="143" spans="1:40" ht="15.75" thickBot="1" x14ac:dyDescent="0.3">
      <c r="A143" s="12"/>
      <c r="B143" s="21"/>
      <c r="C143" s="21"/>
      <c r="D143" s="12"/>
      <c r="G143" s="12"/>
      <c r="K143" s="52"/>
      <c r="L143" s="53"/>
      <c r="M143" s="54"/>
      <c r="Q143" s="12"/>
      <c r="R143" s="45">
        <f t="shared" si="20"/>
        <v>0</v>
      </c>
      <c r="S143" s="46">
        <f t="shared" si="21"/>
        <v>0</v>
      </c>
      <c r="T143" s="41" t="str">
        <f t="shared" si="22"/>
        <v/>
      </c>
      <c r="V143" s="39" t="str">
        <f t="shared" si="23"/>
        <v/>
      </c>
      <c r="W143" s="39" t="str">
        <f t="shared" si="24"/>
        <v/>
      </c>
      <c r="X143" s="39" t="str">
        <f t="shared" si="25"/>
        <v/>
      </c>
      <c r="Z143" s="95">
        <f t="shared" si="26"/>
        <v>0</v>
      </c>
      <c r="AA143" s="12"/>
      <c r="AC143" s="128"/>
      <c r="AD143" s="66"/>
      <c r="AE143" s="128"/>
      <c r="AG143" s="128"/>
      <c r="AH143" s="12"/>
      <c r="AI143" t="str">
        <f t="shared" si="27"/>
        <v/>
      </c>
      <c r="AJ143" t="str">
        <f t="shared" si="27"/>
        <v/>
      </c>
      <c r="AK143" s="12"/>
      <c r="AL143" s="94" t="e">
        <f t="shared" si="28"/>
        <v>#VALUE!</v>
      </c>
      <c r="AM143" s="94" t="e">
        <f t="shared" si="29"/>
        <v>#VALUE!</v>
      </c>
      <c r="AN143" s="12"/>
    </row>
    <row r="144" spans="1:40" ht="15.75" thickBot="1" x14ac:dyDescent="0.3">
      <c r="A144" s="12"/>
      <c r="B144" s="21"/>
      <c r="C144" s="21"/>
      <c r="D144" s="12"/>
      <c r="G144" s="12"/>
      <c r="K144" s="52"/>
      <c r="L144" s="53"/>
      <c r="M144" s="54"/>
      <c r="Q144" s="12"/>
      <c r="R144" s="45">
        <f t="shared" si="20"/>
        <v>0</v>
      </c>
      <c r="S144" s="46">
        <f t="shared" si="21"/>
        <v>0</v>
      </c>
      <c r="T144" s="41" t="str">
        <f t="shared" si="22"/>
        <v/>
      </c>
      <c r="V144" s="39" t="str">
        <f t="shared" si="23"/>
        <v/>
      </c>
      <c r="W144" s="39" t="str">
        <f t="shared" si="24"/>
        <v/>
      </c>
      <c r="X144" s="39" t="str">
        <f t="shared" si="25"/>
        <v/>
      </c>
      <c r="Z144" s="95">
        <f t="shared" si="26"/>
        <v>0</v>
      </c>
      <c r="AA144" s="12"/>
      <c r="AC144" s="128"/>
      <c r="AD144" s="66"/>
      <c r="AE144" s="128"/>
      <c r="AG144" s="128"/>
      <c r="AH144" s="12"/>
      <c r="AI144" t="str">
        <f t="shared" si="27"/>
        <v/>
      </c>
      <c r="AJ144" t="str">
        <f t="shared" si="27"/>
        <v/>
      </c>
      <c r="AK144" s="12"/>
      <c r="AL144" s="94" t="e">
        <f t="shared" si="28"/>
        <v>#VALUE!</v>
      </c>
      <c r="AM144" s="94" t="e">
        <f t="shared" si="29"/>
        <v>#VALUE!</v>
      </c>
      <c r="AN144" s="12"/>
    </row>
    <row r="145" spans="1:40" ht="15.75" thickBot="1" x14ac:dyDescent="0.3">
      <c r="A145" s="12"/>
      <c r="B145" s="21"/>
      <c r="C145" s="21"/>
      <c r="D145" s="12"/>
      <c r="G145" s="12"/>
      <c r="K145" s="52"/>
      <c r="L145" s="53"/>
      <c r="M145" s="54"/>
      <c r="Q145" s="12"/>
      <c r="R145" s="45">
        <f t="shared" si="20"/>
        <v>0</v>
      </c>
      <c r="S145" s="46">
        <f t="shared" si="21"/>
        <v>0</v>
      </c>
      <c r="T145" s="41" t="str">
        <f t="shared" si="22"/>
        <v/>
      </c>
      <c r="V145" s="39" t="str">
        <f t="shared" si="23"/>
        <v/>
      </c>
      <c r="W145" s="39" t="str">
        <f t="shared" si="24"/>
        <v/>
      </c>
      <c r="X145" s="39" t="str">
        <f t="shared" si="25"/>
        <v/>
      </c>
      <c r="Z145" s="95">
        <f t="shared" si="26"/>
        <v>0</v>
      </c>
      <c r="AA145" s="12"/>
      <c r="AC145" s="128"/>
      <c r="AD145" s="66"/>
      <c r="AE145" s="128"/>
      <c r="AG145" s="128"/>
      <c r="AH145" s="12"/>
      <c r="AI145" t="str">
        <f t="shared" si="27"/>
        <v/>
      </c>
      <c r="AJ145" t="str">
        <f t="shared" si="27"/>
        <v/>
      </c>
      <c r="AK145" s="12"/>
      <c r="AL145" s="94" t="e">
        <f t="shared" si="28"/>
        <v>#VALUE!</v>
      </c>
      <c r="AM145" s="94" t="e">
        <f t="shared" si="29"/>
        <v>#VALUE!</v>
      </c>
      <c r="AN145" s="12"/>
    </row>
    <row r="146" spans="1:40" ht="15.75" thickBot="1" x14ac:dyDescent="0.3">
      <c r="A146" s="12"/>
      <c r="B146" s="21"/>
      <c r="C146" s="21"/>
      <c r="D146" s="12"/>
      <c r="G146" s="12"/>
      <c r="K146" s="52"/>
      <c r="L146" s="53"/>
      <c r="M146" s="54"/>
      <c r="Q146" s="12"/>
      <c r="R146" s="45">
        <f t="shared" si="20"/>
        <v>0</v>
      </c>
      <c r="S146" s="46">
        <f t="shared" si="21"/>
        <v>0</v>
      </c>
      <c r="T146" s="41" t="str">
        <f t="shared" si="22"/>
        <v/>
      </c>
      <c r="V146" s="39" t="str">
        <f t="shared" si="23"/>
        <v/>
      </c>
      <c r="W146" s="39" t="str">
        <f t="shared" si="24"/>
        <v/>
      </c>
      <c r="X146" s="39" t="str">
        <f t="shared" si="25"/>
        <v/>
      </c>
      <c r="Z146" s="95">
        <f t="shared" si="26"/>
        <v>0</v>
      </c>
      <c r="AA146" s="12"/>
      <c r="AC146" s="128"/>
      <c r="AD146" s="66"/>
      <c r="AE146" s="128"/>
      <c r="AG146" s="128"/>
      <c r="AH146" s="12"/>
      <c r="AI146" t="str">
        <f t="shared" si="27"/>
        <v/>
      </c>
      <c r="AJ146" t="str">
        <f t="shared" si="27"/>
        <v/>
      </c>
      <c r="AK146" s="12"/>
      <c r="AL146" s="94" t="e">
        <f t="shared" si="28"/>
        <v>#VALUE!</v>
      </c>
      <c r="AM146" s="94" t="e">
        <f t="shared" si="29"/>
        <v>#VALUE!</v>
      </c>
      <c r="AN146" s="12"/>
    </row>
    <row r="147" spans="1:40" ht="15.75" thickBot="1" x14ac:dyDescent="0.3">
      <c r="A147" s="12"/>
      <c r="B147" s="21"/>
      <c r="C147" s="21"/>
      <c r="D147" s="12"/>
      <c r="G147" s="12"/>
      <c r="K147" s="52"/>
      <c r="L147" s="53"/>
      <c r="M147" s="54"/>
      <c r="Q147" s="12"/>
      <c r="R147" s="45">
        <f t="shared" si="20"/>
        <v>0</v>
      </c>
      <c r="S147" s="46">
        <f t="shared" si="21"/>
        <v>0</v>
      </c>
      <c r="T147" s="41" t="str">
        <f t="shared" si="22"/>
        <v/>
      </c>
      <c r="V147" s="39" t="str">
        <f t="shared" si="23"/>
        <v/>
      </c>
      <c r="W147" s="39" t="str">
        <f t="shared" si="24"/>
        <v/>
      </c>
      <c r="X147" s="39" t="str">
        <f t="shared" si="25"/>
        <v/>
      </c>
      <c r="Z147" s="95">
        <f t="shared" si="26"/>
        <v>0</v>
      </c>
      <c r="AA147" s="12"/>
      <c r="AC147" s="128"/>
      <c r="AD147" s="66"/>
      <c r="AE147" s="128"/>
      <c r="AG147" s="128"/>
      <c r="AH147" s="12"/>
      <c r="AI147" t="str">
        <f t="shared" si="27"/>
        <v/>
      </c>
      <c r="AJ147" t="str">
        <f t="shared" si="27"/>
        <v/>
      </c>
      <c r="AK147" s="12"/>
      <c r="AL147" s="94" t="e">
        <f t="shared" si="28"/>
        <v>#VALUE!</v>
      </c>
      <c r="AM147" s="94" t="e">
        <f t="shared" si="29"/>
        <v>#VALUE!</v>
      </c>
      <c r="AN147" s="12"/>
    </row>
    <row r="148" spans="1:40" ht="15.75" thickBot="1" x14ac:dyDescent="0.3">
      <c r="A148" s="12"/>
      <c r="B148" s="21"/>
      <c r="C148" s="21"/>
      <c r="D148" s="12"/>
      <c r="G148" s="12"/>
      <c r="K148" s="52"/>
      <c r="L148" s="53"/>
      <c r="M148" s="54"/>
      <c r="Q148" s="12"/>
      <c r="R148" s="45">
        <f t="shared" si="20"/>
        <v>0</v>
      </c>
      <c r="S148" s="46">
        <f t="shared" si="21"/>
        <v>0</v>
      </c>
      <c r="T148" s="41" t="str">
        <f t="shared" si="22"/>
        <v/>
      </c>
      <c r="V148" s="39" t="str">
        <f t="shared" si="23"/>
        <v/>
      </c>
      <c r="W148" s="39" t="str">
        <f t="shared" si="24"/>
        <v/>
      </c>
      <c r="X148" s="39" t="str">
        <f t="shared" si="25"/>
        <v/>
      </c>
      <c r="Z148" s="95">
        <f t="shared" si="26"/>
        <v>0</v>
      </c>
      <c r="AA148" s="12"/>
      <c r="AC148" s="128"/>
      <c r="AD148" s="66"/>
      <c r="AE148" s="128"/>
      <c r="AG148" s="128"/>
      <c r="AH148" s="12"/>
      <c r="AI148" t="str">
        <f t="shared" si="27"/>
        <v/>
      </c>
      <c r="AJ148" t="str">
        <f t="shared" si="27"/>
        <v/>
      </c>
      <c r="AK148" s="12"/>
      <c r="AL148" s="94" t="e">
        <f t="shared" si="28"/>
        <v>#VALUE!</v>
      </c>
      <c r="AM148" s="94" t="e">
        <f t="shared" si="29"/>
        <v>#VALUE!</v>
      </c>
      <c r="AN148" s="12"/>
    </row>
    <row r="149" spans="1:40" ht="15.75" thickBot="1" x14ac:dyDescent="0.3">
      <c r="A149" s="12"/>
      <c r="B149" s="21"/>
      <c r="C149" s="21"/>
      <c r="D149" s="12"/>
      <c r="G149" s="12"/>
      <c r="K149" s="52"/>
      <c r="L149" s="53"/>
      <c r="M149" s="54"/>
      <c r="Q149" s="12"/>
      <c r="R149" s="45">
        <f t="shared" si="20"/>
        <v>0</v>
      </c>
      <c r="S149" s="46">
        <f t="shared" si="21"/>
        <v>0</v>
      </c>
      <c r="T149" s="41" t="str">
        <f t="shared" si="22"/>
        <v/>
      </c>
      <c r="V149" s="39" t="str">
        <f t="shared" si="23"/>
        <v/>
      </c>
      <c r="W149" s="39" t="str">
        <f t="shared" si="24"/>
        <v/>
      </c>
      <c r="X149" s="39" t="str">
        <f t="shared" si="25"/>
        <v/>
      </c>
      <c r="Z149" s="95">
        <f t="shared" si="26"/>
        <v>0</v>
      </c>
      <c r="AA149" s="12"/>
      <c r="AC149" s="128"/>
      <c r="AD149" s="66"/>
      <c r="AE149" s="128"/>
      <c r="AG149" s="128"/>
      <c r="AH149" s="12"/>
      <c r="AI149" t="str">
        <f t="shared" si="27"/>
        <v/>
      </c>
      <c r="AJ149" t="str">
        <f t="shared" si="27"/>
        <v/>
      </c>
      <c r="AK149" s="12"/>
      <c r="AL149" s="94" t="e">
        <f t="shared" si="28"/>
        <v>#VALUE!</v>
      </c>
      <c r="AM149" s="94" t="e">
        <f t="shared" si="29"/>
        <v>#VALUE!</v>
      </c>
      <c r="AN149" s="12"/>
    </row>
    <row r="150" spans="1:40" ht="15.75" thickBot="1" x14ac:dyDescent="0.3">
      <c r="A150" s="12"/>
      <c r="B150" s="21"/>
      <c r="C150" s="21"/>
      <c r="D150" s="12"/>
      <c r="G150" s="12"/>
      <c r="K150" s="55"/>
      <c r="L150" s="56"/>
      <c r="M150" s="57"/>
      <c r="Q150" s="12"/>
      <c r="R150" s="47">
        <f t="shared" si="20"/>
        <v>0</v>
      </c>
      <c r="S150" s="48">
        <f t="shared" si="21"/>
        <v>0</v>
      </c>
      <c r="T150" s="42" t="str">
        <f t="shared" si="22"/>
        <v/>
      </c>
      <c r="V150" s="39" t="str">
        <f t="shared" si="23"/>
        <v/>
      </c>
      <c r="W150" s="39" t="str">
        <f t="shared" si="24"/>
        <v/>
      </c>
      <c r="X150" s="39" t="str">
        <f t="shared" si="25"/>
        <v/>
      </c>
      <c r="Z150" s="95">
        <f t="shared" si="26"/>
        <v>0</v>
      </c>
      <c r="AA150" s="12"/>
      <c r="AC150" s="128"/>
      <c r="AD150" s="66"/>
      <c r="AE150" s="128"/>
      <c r="AG150" s="128"/>
      <c r="AH150" s="12"/>
      <c r="AI150" t="str">
        <f t="shared" si="27"/>
        <v/>
      </c>
      <c r="AJ150" t="str">
        <f t="shared" si="27"/>
        <v/>
      </c>
      <c r="AK150" s="12"/>
      <c r="AL150" s="94" t="e">
        <f t="shared" si="28"/>
        <v>#VALUE!</v>
      </c>
      <c r="AM150" s="94" t="e">
        <f t="shared" si="29"/>
        <v>#VALUE!</v>
      </c>
      <c r="AN150" s="12"/>
    </row>
    <row r="151" spans="1:40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33"/>
      <c r="S151" s="33"/>
      <c r="T151" s="12"/>
      <c r="U151" s="12"/>
      <c r="V151" s="39"/>
      <c r="W151" s="39"/>
      <c r="X151" s="39"/>
      <c r="Y151" s="12"/>
      <c r="Z151" s="133">
        <f t="shared" si="26"/>
        <v>0</v>
      </c>
      <c r="AA151" s="12"/>
      <c r="AB151" s="12"/>
      <c r="AC151" s="134"/>
      <c r="AD151" s="135"/>
      <c r="AE151" s="134"/>
      <c r="AF151" s="12"/>
      <c r="AG151" s="134"/>
      <c r="AH151" s="12"/>
      <c r="AI151" s="12" t="str">
        <f t="shared" si="27"/>
        <v/>
      </c>
      <c r="AJ151" s="12" t="str">
        <f t="shared" si="27"/>
        <v/>
      </c>
      <c r="AK151" s="12"/>
      <c r="AL151" s="136" t="e">
        <f t="shared" si="28"/>
        <v>#VALUE!</v>
      </c>
      <c r="AM151" s="136" t="e">
        <f t="shared" si="29"/>
        <v>#VALUE!</v>
      </c>
      <c r="AN151" s="12"/>
    </row>
    <row r="152" spans="1:40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33"/>
      <c r="S152" s="33"/>
      <c r="T152" s="12"/>
      <c r="U152" s="12"/>
      <c r="V152" s="39"/>
      <c r="W152" s="39"/>
      <c r="X152" s="39"/>
      <c r="Y152" s="12"/>
      <c r="Z152" s="133">
        <f t="shared" si="26"/>
        <v>0</v>
      </c>
      <c r="AA152" s="12"/>
      <c r="AB152" s="12"/>
      <c r="AC152" s="134"/>
      <c r="AD152" s="135"/>
      <c r="AE152" s="134"/>
      <c r="AF152" s="12"/>
      <c r="AG152" s="134"/>
      <c r="AH152" s="12"/>
      <c r="AI152" s="12" t="str">
        <f t="shared" si="27"/>
        <v/>
      </c>
      <c r="AJ152" s="12" t="str">
        <f t="shared" si="27"/>
        <v/>
      </c>
      <c r="AK152" s="12"/>
      <c r="AL152" s="136" t="e">
        <f t="shared" si="28"/>
        <v>#VALUE!</v>
      </c>
      <c r="AM152" s="136" t="e">
        <f t="shared" si="29"/>
        <v>#VALUE!</v>
      </c>
      <c r="AN152" s="12"/>
    </row>
    <row r="153" spans="1:40" ht="15.75" thickBot="1" x14ac:dyDescent="0.3">
      <c r="Z153" s="95">
        <f t="shared" si="26"/>
        <v>0</v>
      </c>
      <c r="AA153" s="12"/>
      <c r="AC153" s="128"/>
      <c r="AD153" s="66"/>
      <c r="AE153" s="128"/>
      <c r="AG153" s="128"/>
      <c r="AH153" s="12"/>
      <c r="AI153" t="str">
        <f t="shared" si="27"/>
        <v/>
      </c>
      <c r="AJ153" t="str">
        <f t="shared" si="27"/>
        <v/>
      </c>
      <c r="AK153" s="12"/>
      <c r="AL153" s="94" t="e">
        <f t="shared" si="28"/>
        <v>#VALUE!</v>
      </c>
      <c r="AM153" s="94" t="e">
        <f t="shared" si="29"/>
        <v>#VALUE!</v>
      </c>
      <c r="AN153" s="12"/>
    </row>
    <row r="154" spans="1:40" ht="15.75" thickBot="1" x14ac:dyDescent="0.3">
      <c r="Z154" s="95">
        <f t="shared" si="26"/>
        <v>0</v>
      </c>
      <c r="AA154" s="12"/>
      <c r="AC154" s="128"/>
      <c r="AD154" s="66"/>
      <c r="AE154" s="128"/>
      <c r="AG154" s="128"/>
      <c r="AH154" s="12"/>
      <c r="AI154" t="str">
        <f t="shared" si="27"/>
        <v/>
      </c>
      <c r="AJ154" t="str">
        <f t="shared" si="27"/>
        <v/>
      </c>
      <c r="AK154" s="12"/>
      <c r="AL154" s="94" t="e">
        <f t="shared" si="28"/>
        <v>#VALUE!</v>
      </c>
      <c r="AM154" s="94" t="e">
        <f t="shared" si="29"/>
        <v>#VALUE!</v>
      </c>
      <c r="AN154" s="12"/>
    </row>
    <row r="155" spans="1:40" ht="15.75" thickBot="1" x14ac:dyDescent="0.3">
      <c r="Z155" s="95">
        <f t="shared" si="26"/>
        <v>0</v>
      </c>
      <c r="AA155" s="12"/>
      <c r="AC155" s="128"/>
      <c r="AD155" s="66"/>
      <c r="AE155" s="128"/>
      <c r="AG155" s="128"/>
      <c r="AH155" s="12"/>
      <c r="AI155" t="str">
        <f t="shared" si="27"/>
        <v/>
      </c>
      <c r="AJ155" t="str">
        <f t="shared" si="27"/>
        <v/>
      </c>
      <c r="AK155" s="12"/>
      <c r="AL155" s="94" t="e">
        <f t="shared" si="28"/>
        <v>#VALUE!</v>
      </c>
      <c r="AM155" s="94" t="e">
        <f t="shared" si="29"/>
        <v>#VALUE!</v>
      </c>
      <c r="AN155" s="12"/>
    </row>
    <row r="156" spans="1:40" ht="15.75" thickBot="1" x14ac:dyDescent="0.3">
      <c r="Z156" s="95">
        <f t="shared" si="26"/>
        <v>0</v>
      </c>
      <c r="AA156" s="12"/>
      <c r="AC156" s="128"/>
      <c r="AD156" s="66"/>
      <c r="AE156" s="128"/>
      <c r="AG156" s="128"/>
      <c r="AH156" s="12"/>
      <c r="AI156" t="str">
        <f t="shared" si="27"/>
        <v/>
      </c>
      <c r="AJ156" t="str">
        <f t="shared" si="27"/>
        <v/>
      </c>
      <c r="AK156" s="12"/>
      <c r="AL156" s="94" t="e">
        <f t="shared" si="28"/>
        <v>#VALUE!</v>
      </c>
      <c r="AM156" s="94" t="e">
        <f t="shared" si="29"/>
        <v>#VALUE!</v>
      </c>
      <c r="AN156" s="12"/>
    </row>
    <row r="157" spans="1:40" ht="15.75" thickBot="1" x14ac:dyDescent="0.3">
      <c r="Z157" s="95">
        <f t="shared" si="26"/>
        <v>0</v>
      </c>
      <c r="AA157" s="12"/>
      <c r="AC157" s="128"/>
      <c r="AD157" s="66"/>
      <c r="AE157" s="128"/>
      <c r="AG157" s="128"/>
      <c r="AH157" s="12"/>
      <c r="AI157" t="str">
        <f t="shared" si="27"/>
        <v/>
      </c>
      <c r="AJ157" t="str">
        <f t="shared" si="27"/>
        <v/>
      </c>
      <c r="AK157" s="12"/>
      <c r="AL157" s="94" t="e">
        <f t="shared" si="28"/>
        <v>#VALUE!</v>
      </c>
      <c r="AM157" s="94" t="e">
        <f t="shared" si="29"/>
        <v>#VALUE!</v>
      </c>
      <c r="AN157" s="12"/>
    </row>
    <row r="158" spans="1:40" ht="15.75" thickBot="1" x14ac:dyDescent="0.3">
      <c r="Z158" s="95">
        <f t="shared" si="26"/>
        <v>0</v>
      </c>
      <c r="AA158" s="12"/>
      <c r="AC158" s="128"/>
      <c r="AD158" s="66"/>
      <c r="AE158" s="128"/>
      <c r="AG158" s="128"/>
      <c r="AH158" s="12"/>
      <c r="AI158" t="str">
        <f t="shared" si="27"/>
        <v/>
      </c>
      <c r="AJ158" t="str">
        <f t="shared" si="27"/>
        <v/>
      </c>
      <c r="AK158" s="12"/>
      <c r="AL158" s="94" t="e">
        <f t="shared" si="28"/>
        <v>#VALUE!</v>
      </c>
      <c r="AM158" s="94" t="e">
        <f t="shared" si="29"/>
        <v>#VALUE!</v>
      </c>
      <c r="AN158" s="12"/>
    </row>
    <row r="159" spans="1:40" ht="15.75" thickBot="1" x14ac:dyDescent="0.3">
      <c r="Z159" s="95">
        <f t="shared" si="26"/>
        <v>0</v>
      </c>
      <c r="AA159" s="12"/>
      <c r="AC159" s="128"/>
      <c r="AD159" s="66"/>
      <c r="AE159" s="128"/>
      <c r="AG159" s="128"/>
      <c r="AH159" s="12"/>
      <c r="AI159" t="str">
        <f t="shared" si="27"/>
        <v/>
      </c>
      <c r="AJ159" t="str">
        <f t="shared" si="27"/>
        <v/>
      </c>
      <c r="AK159" s="12"/>
      <c r="AL159" s="94" t="e">
        <f t="shared" si="28"/>
        <v>#VALUE!</v>
      </c>
      <c r="AM159" s="94" t="e">
        <f t="shared" si="29"/>
        <v>#VALUE!</v>
      </c>
      <c r="AN159" s="12"/>
    </row>
    <row r="160" spans="1:40" ht="15.75" thickBot="1" x14ac:dyDescent="0.3">
      <c r="Z160" s="95">
        <f t="shared" si="26"/>
        <v>0</v>
      </c>
      <c r="AA160" s="12"/>
      <c r="AC160" s="128"/>
      <c r="AD160" s="66"/>
      <c r="AE160" s="128"/>
      <c r="AG160" s="128"/>
      <c r="AH160" s="12"/>
      <c r="AI160" t="str">
        <f t="shared" si="27"/>
        <v/>
      </c>
      <c r="AJ160" t="str">
        <f t="shared" si="27"/>
        <v/>
      </c>
      <c r="AK160" s="12"/>
      <c r="AL160" s="94" t="e">
        <f t="shared" si="28"/>
        <v>#VALUE!</v>
      </c>
      <c r="AM160" s="94" t="e">
        <f t="shared" si="29"/>
        <v>#VALUE!</v>
      </c>
      <c r="AN160" s="12"/>
    </row>
    <row r="161" spans="26:40" ht="15.75" thickBot="1" x14ac:dyDescent="0.3">
      <c r="Z161" s="95">
        <f t="shared" si="26"/>
        <v>0</v>
      </c>
      <c r="AA161" s="12"/>
      <c r="AC161" s="128"/>
      <c r="AD161" s="66"/>
      <c r="AE161" s="128"/>
      <c r="AG161" s="128"/>
      <c r="AH161" s="12"/>
      <c r="AI161" t="str">
        <f t="shared" si="27"/>
        <v/>
      </c>
      <c r="AJ161" t="str">
        <f t="shared" si="27"/>
        <v/>
      </c>
      <c r="AK161" s="12"/>
      <c r="AL161" s="94" t="e">
        <f t="shared" si="28"/>
        <v>#VALUE!</v>
      </c>
      <c r="AM161" s="94" t="e">
        <f t="shared" si="29"/>
        <v>#VALUE!</v>
      </c>
      <c r="AN161" s="12"/>
    </row>
    <row r="162" spans="26:40" ht="15.75" thickBot="1" x14ac:dyDescent="0.3">
      <c r="Z162" s="95">
        <f t="shared" si="26"/>
        <v>0</v>
      </c>
      <c r="AA162" s="12"/>
      <c r="AC162" s="128"/>
      <c r="AD162" s="66"/>
      <c r="AE162" s="128"/>
      <c r="AG162" s="128"/>
      <c r="AH162" s="12"/>
      <c r="AI162" t="str">
        <f t="shared" si="27"/>
        <v/>
      </c>
      <c r="AJ162" t="str">
        <f t="shared" si="27"/>
        <v/>
      </c>
      <c r="AK162" s="12"/>
      <c r="AL162" s="94" t="e">
        <f t="shared" si="28"/>
        <v>#VALUE!</v>
      </c>
      <c r="AM162" s="94" t="e">
        <f t="shared" si="29"/>
        <v>#VALUE!</v>
      </c>
      <c r="AN162" s="12"/>
    </row>
    <row r="163" spans="26:40" ht="15.75" thickBot="1" x14ac:dyDescent="0.3">
      <c r="Z163" s="95">
        <f t="shared" si="26"/>
        <v>0</v>
      </c>
      <c r="AA163" s="12"/>
      <c r="AC163" s="128"/>
      <c r="AD163" s="66"/>
      <c r="AE163" s="128"/>
      <c r="AG163" s="128"/>
      <c r="AH163" s="12"/>
      <c r="AI163" t="str">
        <f t="shared" si="27"/>
        <v/>
      </c>
      <c r="AJ163" t="str">
        <f t="shared" si="27"/>
        <v/>
      </c>
      <c r="AK163" s="12"/>
      <c r="AL163" s="94" t="e">
        <f t="shared" si="28"/>
        <v>#VALUE!</v>
      </c>
      <c r="AM163" s="94" t="e">
        <f t="shared" si="29"/>
        <v>#VALUE!</v>
      </c>
      <c r="AN163" s="12"/>
    </row>
    <row r="164" spans="26:40" ht="15.75" thickBot="1" x14ac:dyDescent="0.3">
      <c r="Z164" s="95">
        <f t="shared" si="26"/>
        <v>0</v>
      </c>
      <c r="AA164" s="12"/>
      <c r="AC164" s="128"/>
      <c r="AD164" s="66"/>
      <c r="AE164" s="128"/>
      <c r="AG164" s="128"/>
      <c r="AH164" s="12"/>
      <c r="AI164" t="str">
        <f t="shared" si="27"/>
        <v/>
      </c>
      <c r="AJ164" t="str">
        <f t="shared" si="27"/>
        <v/>
      </c>
      <c r="AK164" s="12"/>
      <c r="AL164" s="94" t="e">
        <f t="shared" si="28"/>
        <v>#VALUE!</v>
      </c>
      <c r="AM164" s="94" t="e">
        <f t="shared" si="29"/>
        <v>#VALUE!</v>
      </c>
      <c r="AN164" s="12"/>
    </row>
    <row r="165" spans="26:40" ht="15.75" thickBot="1" x14ac:dyDescent="0.3">
      <c r="Z165" s="95">
        <f t="shared" si="26"/>
        <v>0</v>
      </c>
      <c r="AA165" s="12"/>
      <c r="AC165" s="128"/>
      <c r="AD165" s="66"/>
      <c r="AE165" s="128"/>
      <c r="AG165" s="128"/>
      <c r="AH165" s="12"/>
      <c r="AI165" t="str">
        <f t="shared" si="27"/>
        <v/>
      </c>
      <c r="AJ165" t="str">
        <f t="shared" si="27"/>
        <v/>
      </c>
      <c r="AK165" s="12"/>
      <c r="AL165" s="94" t="e">
        <f t="shared" si="28"/>
        <v>#VALUE!</v>
      </c>
      <c r="AM165" s="94" t="e">
        <f t="shared" si="29"/>
        <v>#VALUE!</v>
      </c>
      <c r="AN165" s="12"/>
    </row>
    <row r="166" spans="26:40" ht="15.75" thickBot="1" x14ac:dyDescent="0.3">
      <c r="Z166" s="95">
        <f t="shared" si="26"/>
        <v>0</v>
      </c>
      <c r="AA166" s="12"/>
      <c r="AC166" s="128"/>
      <c r="AD166" s="66"/>
      <c r="AE166" s="128"/>
      <c r="AG166" s="128"/>
      <c r="AH166" s="12"/>
      <c r="AI166" t="str">
        <f t="shared" si="27"/>
        <v/>
      </c>
      <c r="AJ166" t="str">
        <f t="shared" si="27"/>
        <v/>
      </c>
      <c r="AK166" s="12"/>
      <c r="AL166" s="94" t="e">
        <f t="shared" si="28"/>
        <v>#VALUE!</v>
      </c>
      <c r="AM166" s="94" t="e">
        <f t="shared" si="29"/>
        <v>#VALUE!</v>
      </c>
      <c r="AN166" s="12"/>
    </row>
    <row r="167" spans="26:40" ht="15.75" thickBot="1" x14ac:dyDescent="0.3">
      <c r="Z167" s="95">
        <f t="shared" si="26"/>
        <v>0</v>
      </c>
      <c r="AA167" s="12"/>
      <c r="AC167" s="128"/>
      <c r="AD167" s="66"/>
      <c r="AE167" s="128"/>
      <c r="AG167" s="128"/>
      <c r="AH167" s="12"/>
      <c r="AI167" t="str">
        <f t="shared" si="27"/>
        <v/>
      </c>
      <c r="AJ167" t="str">
        <f t="shared" si="27"/>
        <v/>
      </c>
      <c r="AK167" s="12"/>
      <c r="AL167" s="94" t="e">
        <f t="shared" si="28"/>
        <v>#VALUE!</v>
      </c>
      <c r="AM167" s="94" t="e">
        <f t="shared" si="29"/>
        <v>#VALUE!</v>
      </c>
      <c r="AN167" s="12"/>
    </row>
    <row r="168" spans="26:40" ht="15.75" thickBot="1" x14ac:dyDescent="0.3">
      <c r="Z168" s="95">
        <f t="shared" si="26"/>
        <v>0</v>
      </c>
      <c r="AA168" s="12"/>
      <c r="AC168" s="128"/>
      <c r="AD168" s="66"/>
      <c r="AE168" s="128"/>
      <c r="AG168" s="128"/>
      <c r="AH168" s="12"/>
      <c r="AI168" t="str">
        <f t="shared" si="27"/>
        <v/>
      </c>
      <c r="AJ168" t="str">
        <f t="shared" si="27"/>
        <v/>
      </c>
      <c r="AK168" s="12"/>
      <c r="AL168" s="94" t="e">
        <f t="shared" si="28"/>
        <v>#VALUE!</v>
      </c>
      <c r="AM168" s="94" t="e">
        <f t="shared" si="29"/>
        <v>#VALUE!</v>
      </c>
      <c r="AN168" s="12"/>
    </row>
    <row r="169" spans="26:40" ht="15.75" thickBot="1" x14ac:dyDescent="0.3">
      <c r="Z169" s="95">
        <f t="shared" si="26"/>
        <v>0</v>
      </c>
      <c r="AA169" s="12"/>
      <c r="AC169" s="128"/>
      <c r="AD169" s="66"/>
      <c r="AE169" s="128"/>
      <c r="AG169" s="128"/>
      <c r="AH169" s="12"/>
      <c r="AI169" t="str">
        <f t="shared" si="27"/>
        <v/>
      </c>
      <c r="AJ169" t="str">
        <f t="shared" si="27"/>
        <v/>
      </c>
      <c r="AK169" s="12"/>
      <c r="AL169" s="94" t="e">
        <f t="shared" si="28"/>
        <v>#VALUE!</v>
      </c>
      <c r="AM169" s="94" t="e">
        <f t="shared" si="29"/>
        <v>#VALUE!</v>
      </c>
      <c r="AN169" s="12"/>
    </row>
    <row r="170" spans="26:40" ht="15.75" thickBot="1" x14ac:dyDescent="0.3">
      <c r="Z170" s="95">
        <f t="shared" si="26"/>
        <v>0</v>
      </c>
      <c r="AA170" s="12"/>
      <c r="AC170" s="128"/>
      <c r="AD170" s="66"/>
      <c r="AE170" s="128"/>
      <c r="AG170" s="128"/>
      <c r="AH170" s="12"/>
      <c r="AI170" t="str">
        <f t="shared" si="27"/>
        <v/>
      </c>
      <c r="AJ170" t="str">
        <f t="shared" si="27"/>
        <v/>
      </c>
      <c r="AK170" s="12"/>
      <c r="AL170" s="94" t="e">
        <f t="shared" si="28"/>
        <v>#VALUE!</v>
      </c>
      <c r="AM170" s="94" t="e">
        <f t="shared" si="29"/>
        <v>#VALUE!</v>
      </c>
      <c r="AN170" s="12"/>
    </row>
    <row r="171" spans="26:40" ht="15.75" thickBot="1" x14ac:dyDescent="0.3">
      <c r="Z171" s="95">
        <f t="shared" si="26"/>
        <v>0</v>
      </c>
      <c r="AA171" s="12"/>
      <c r="AC171" s="128"/>
      <c r="AD171" s="66"/>
      <c r="AE171" s="128"/>
      <c r="AG171" s="128"/>
      <c r="AH171" s="12"/>
      <c r="AI171" t="str">
        <f t="shared" si="27"/>
        <v/>
      </c>
      <c r="AJ171" t="str">
        <f t="shared" si="27"/>
        <v/>
      </c>
      <c r="AK171" s="12"/>
      <c r="AL171" s="94" t="e">
        <f t="shared" si="28"/>
        <v>#VALUE!</v>
      </c>
      <c r="AM171" s="94" t="e">
        <f t="shared" si="29"/>
        <v>#VALUE!</v>
      </c>
      <c r="AN171" s="12"/>
    </row>
    <row r="172" spans="26:40" ht="15.75" thickBot="1" x14ac:dyDescent="0.3">
      <c r="Z172" s="95">
        <f t="shared" si="26"/>
        <v>0</v>
      </c>
      <c r="AA172" s="12"/>
      <c r="AC172" s="128"/>
      <c r="AD172" s="66"/>
      <c r="AE172" s="128"/>
      <c r="AG172" s="128"/>
      <c r="AH172" s="12"/>
      <c r="AI172" t="str">
        <f t="shared" si="27"/>
        <v/>
      </c>
      <c r="AJ172" t="str">
        <f t="shared" si="27"/>
        <v/>
      </c>
      <c r="AK172" s="12"/>
      <c r="AL172" s="94" t="e">
        <f t="shared" si="28"/>
        <v>#VALUE!</v>
      </c>
      <c r="AM172" s="94" t="e">
        <f t="shared" si="29"/>
        <v>#VALUE!</v>
      </c>
      <c r="AN172" s="12"/>
    </row>
    <row r="173" spans="26:40" ht="15.75" thickBot="1" x14ac:dyDescent="0.3">
      <c r="Z173" s="95">
        <f t="shared" si="26"/>
        <v>0</v>
      </c>
      <c r="AA173" s="12"/>
      <c r="AC173" s="128"/>
      <c r="AD173" s="66"/>
      <c r="AE173" s="128"/>
      <c r="AG173" s="128"/>
      <c r="AH173" s="12"/>
      <c r="AI173" t="str">
        <f t="shared" si="27"/>
        <v/>
      </c>
      <c r="AJ173" t="str">
        <f t="shared" si="27"/>
        <v/>
      </c>
      <c r="AK173" s="12"/>
      <c r="AL173" s="94" t="e">
        <f t="shared" si="28"/>
        <v>#VALUE!</v>
      </c>
      <c r="AM173" s="94" t="e">
        <f t="shared" si="29"/>
        <v>#VALUE!</v>
      </c>
      <c r="AN173" s="12"/>
    </row>
    <row r="174" spans="26:40" ht="15.75" thickBot="1" x14ac:dyDescent="0.3">
      <c r="Z174" s="95">
        <f t="shared" si="26"/>
        <v>0</v>
      </c>
      <c r="AA174" s="12"/>
      <c r="AC174" s="128"/>
      <c r="AD174" s="66"/>
      <c r="AE174" s="128"/>
      <c r="AG174" s="128"/>
      <c r="AH174" s="12"/>
      <c r="AI174" t="str">
        <f t="shared" si="27"/>
        <v/>
      </c>
      <c r="AJ174" t="str">
        <f t="shared" si="27"/>
        <v/>
      </c>
      <c r="AK174" s="12"/>
      <c r="AL174" s="94" t="e">
        <f t="shared" si="28"/>
        <v>#VALUE!</v>
      </c>
      <c r="AM174" s="94" t="e">
        <f t="shared" si="29"/>
        <v>#VALUE!</v>
      </c>
      <c r="AN174" s="12"/>
    </row>
    <row r="175" spans="26:40" ht="15.75" thickBot="1" x14ac:dyDescent="0.3">
      <c r="Z175" s="95">
        <f t="shared" si="26"/>
        <v>0</v>
      </c>
      <c r="AA175" s="12"/>
      <c r="AC175" s="128"/>
      <c r="AD175" s="66"/>
      <c r="AE175" s="128"/>
      <c r="AG175" s="128"/>
      <c r="AH175" s="12"/>
      <c r="AI175" t="str">
        <f t="shared" si="27"/>
        <v/>
      </c>
      <c r="AJ175" t="str">
        <f t="shared" si="27"/>
        <v/>
      </c>
      <c r="AK175" s="12"/>
      <c r="AL175" s="94" t="e">
        <f t="shared" si="28"/>
        <v>#VALUE!</v>
      </c>
      <c r="AM175" s="94" t="e">
        <f t="shared" si="29"/>
        <v>#VALUE!</v>
      </c>
      <c r="AN175" s="12"/>
    </row>
    <row r="176" spans="26:40" ht="15.75" thickBot="1" x14ac:dyDescent="0.3">
      <c r="Z176" s="95">
        <f t="shared" si="26"/>
        <v>0</v>
      </c>
      <c r="AA176" s="12"/>
      <c r="AC176" s="128"/>
      <c r="AD176" s="66"/>
      <c r="AE176" s="128"/>
      <c r="AG176" s="128"/>
      <c r="AH176" s="12"/>
      <c r="AI176" t="str">
        <f t="shared" si="27"/>
        <v/>
      </c>
      <c r="AJ176" t="str">
        <f t="shared" si="27"/>
        <v/>
      </c>
      <c r="AK176" s="12"/>
      <c r="AL176" s="94" t="e">
        <f t="shared" si="28"/>
        <v>#VALUE!</v>
      </c>
      <c r="AM176" s="94" t="e">
        <f t="shared" si="29"/>
        <v>#VALUE!</v>
      </c>
      <c r="AN176" s="12"/>
    </row>
    <row r="177" spans="26:40" ht="15.75" thickBot="1" x14ac:dyDescent="0.3">
      <c r="Z177" s="95">
        <f t="shared" si="26"/>
        <v>0</v>
      </c>
      <c r="AA177" s="12"/>
      <c r="AC177" s="128"/>
      <c r="AD177" s="66"/>
      <c r="AE177" s="128"/>
      <c r="AG177" s="128"/>
      <c r="AH177" s="12"/>
      <c r="AI177" t="str">
        <f t="shared" si="27"/>
        <v/>
      </c>
      <c r="AJ177" t="str">
        <f t="shared" si="27"/>
        <v/>
      </c>
      <c r="AK177" s="12"/>
      <c r="AL177" s="94" t="e">
        <f t="shared" si="28"/>
        <v>#VALUE!</v>
      </c>
      <c r="AM177" s="94" t="e">
        <f t="shared" si="29"/>
        <v>#VALUE!</v>
      </c>
      <c r="AN177" s="12"/>
    </row>
    <row r="178" spans="26:40" ht="15.75" thickBot="1" x14ac:dyDescent="0.3">
      <c r="Z178" s="95">
        <f t="shared" si="26"/>
        <v>0</v>
      </c>
      <c r="AA178" s="12"/>
      <c r="AC178" s="128"/>
      <c r="AD178" s="66"/>
      <c r="AE178" s="128"/>
      <c r="AG178" s="128"/>
      <c r="AH178" s="12"/>
      <c r="AI178" t="str">
        <f t="shared" si="27"/>
        <v/>
      </c>
      <c r="AJ178" t="str">
        <f t="shared" si="27"/>
        <v/>
      </c>
      <c r="AK178" s="12"/>
      <c r="AL178" s="94" t="e">
        <f t="shared" si="28"/>
        <v>#VALUE!</v>
      </c>
      <c r="AM178" s="94" t="e">
        <f t="shared" si="29"/>
        <v>#VALUE!</v>
      </c>
      <c r="AN178" s="12"/>
    </row>
    <row r="179" spans="26:40" ht="15.75" thickBot="1" x14ac:dyDescent="0.3">
      <c r="Z179" s="95">
        <f t="shared" si="26"/>
        <v>0</v>
      </c>
      <c r="AA179" s="12"/>
      <c r="AC179" s="128"/>
      <c r="AD179" s="66"/>
      <c r="AE179" s="128"/>
      <c r="AG179" s="128"/>
      <c r="AH179" s="12"/>
      <c r="AI179" t="str">
        <f t="shared" si="27"/>
        <v/>
      </c>
      <c r="AJ179" t="str">
        <f t="shared" si="27"/>
        <v/>
      </c>
      <c r="AK179" s="12"/>
      <c r="AL179" s="94" t="e">
        <f t="shared" si="28"/>
        <v>#VALUE!</v>
      </c>
      <c r="AM179" s="94" t="e">
        <f t="shared" si="29"/>
        <v>#VALUE!</v>
      </c>
      <c r="AN179" s="12"/>
    </row>
    <row r="180" spans="26:40" ht="15.75" thickBot="1" x14ac:dyDescent="0.3">
      <c r="Z180" s="95">
        <f t="shared" si="26"/>
        <v>0</v>
      </c>
      <c r="AA180" s="12"/>
      <c r="AC180" s="128"/>
      <c r="AD180" s="66"/>
      <c r="AE180" s="128"/>
      <c r="AG180" s="128"/>
      <c r="AH180" s="12"/>
      <c r="AI180" t="str">
        <f t="shared" si="27"/>
        <v/>
      </c>
      <c r="AJ180" t="str">
        <f t="shared" si="27"/>
        <v/>
      </c>
      <c r="AK180" s="12"/>
      <c r="AL180" s="94" t="e">
        <f t="shared" si="28"/>
        <v>#VALUE!</v>
      </c>
      <c r="AM180" s="94" t="e">
        <f t="shared" si="29"/>
        <v>#VALUE!</v>
      </c>
      <c r="AN180" s="12"/>
    </row>
    <row r="181" spans="26:40" ht="15.75" thickBot="1" x14ac:dyDescent="0.3">
      <c r="Z181" s="95">
        <f t="shared" si="26"/>
        <v>0</v>
      </c>
      <c r="AA181" s="12"/>
      <c r="AC181" s="128"/>
      <c r="AD181" s="66"/>
      <c r="AE181" s="128"/>
      <c r="AG181" s="128"/>
      <c r="AH181" s="12"/>
      <c r="AI181" t="str">
        <f t="shared" si="27"/>
        <v/>
      </c>
      <c r="AJ181" t="str">
        <f t="shared" si="27"/>
        <v/>
      </c>
      <c r="AK181" s="12"/>
      <c r="AL181" s="94" t="e">
        <f t="shared" si="28"/>
        <v>#VALUE!</v>
      </c>
      <c r="AM181" s="94" t="e">
        <f t="shared" si="29"/>
        <v>#VALUE!</v>
      </c>
      <c r="AN181" s="12"/>
    </row>
    <row r="182" spans="26:40" ht="15.75" thickBot="1" x14ac:dyDescent="0.3">
      <c r="Z182" s="95">
        <f t="shared" si="26"/>
        <v>0</v>
      </c>
      <c r="AA182" s="12"/>
      <c r="AC182" s="128"/>
      <c r="AD182" s="66"/>
      <c r="AE182" s="128"/>
      <c r="AG182" s="128"/>
      <c r="AH182" s="12"/>
      <c r="AI182" t="str">
        <f t="shared" si="27"/>
        <v/>
      </c>
      <c r="AJ182" t="str">
        <f t="shared" si="27"/>
        <v/>
      </c>
      <c r="AK182" s="12"/>
      <c r="AL182" s="94" t="e">
        <f t="shared" si="28"/>
        <v>#VALUE!</v>
      </c>
      <c r="AM182" s="94" t="e">
        <f t="shared" si="29"/>
        <v>#VALUE!</v>
      </c>
      <c r="AN182" s="12"/>
    </row>
    <row r="183" spans="26:40" ht="15.75" thickBot="1" x14ac:dyDescent="0.3">
      <c r="Z183" s="95">
        <f t="shared" si="26"/>
        <v>0</v>
      </c>
      <c r="AA183" s="12"/>
      <c r="AC183" s="128"/>
      <c r="AD183" s="66"/>
      <c r="AE183" s="128"/>
      <c r="AG183" s="128"/>
      <c r="AH183" s="12"/>
      <c r="AI183" t="str">
        <f t="shared" si="27"/>
        <v/>
      </c>
      <c r="AJ183" t="str">
        <f t="shared" si="27"/>
        <v/>
      </c>
      <c r="AK183" s="12"/>
      <c r="AL183" s="94" t="e">
        <f t="shared" si="28"/>
        <v>#VALUE!</v>
      </c>
      <c r="AM183" s="94" t="e">
        <f t="shared" si="29"/>
        <v>#VALUE!</v>
      </c>
      <c r="AN183" s="12"/>
    </row>
    <row r="184" spans="26:40" ht="15.75" thickBot="1" x14ac:dyDescent="0.3">
      <c r="Z184" s="95">
        <f t="shared" si="26"/>
        <v>0</v>
      </c>
      <c r="AA184" s="12"/>
      <c r="AC184" s="128"/>
      <c r="AD184" s="66"/>
      <c r="AE184" s="128"/>
      <c r="AG184" s="128"/>
      <c r="AH184" s="12"/>
      <c r="AI184" t="str">
        <f t="shared" si="27"/>
        <v/>
      </c>
      <c r="AJ184" t="str">
        <f t="shared" si="27"/>
        <v/>
      </c>
      <c r="AK184" s="12"/>
      <c r="AL184" s="94" t="e">
        <f t="shared" si="28"/>
        <v>#VALUE!</v>
      </c>
      <c r="AM184" s="94" t="e">
        <f t="shared" si="29"/>
        <v>#VALUE!</v>
      </c>
      <c r="AN184" s="12"/>
    </row>
    <row r="185" spans="26:40" ht="15.75" thickBot="1" x14ac:dyDescent="0.3">
      <c r="Z185" s="95">
        <f t="shared" si="26"/>
        <v>0</v>
      </c>
      <c r="AA185" s="12"/>
      <c r="AC185" s="128"/>
      <c r="AD185" s="66"/>
      <c r="AE185" s="128"/>
      <c r="AG185" s="128"/>
      <c r="AH185" s="12"/>
      <c r="AI185" t="str">
        <f t="shared" si="27"/>
        <v/>
      </c>
      <c r="AJ185" t="str">
        <f t="shared" si="27"/>
        <v/>
      </c>
      <c r="AK185" s="12"/>
      <c r="AL185" s="94" t="e">
        <f t="shared" si="28"/>
        <v>#VALUE!</v>
      </c>
      <c r="AM185" s="94" t="e">
        <f t="shared" si="29"/>
        <v>#VALUE!</v>
      </c>
      <c r="AN185" s="12"/>
    </row>
    <row r="186" spans="26:40" ht="15.75" thickBot="1" x14ac:dyDescent="0.3">
      <c r="Z186" s="95">
        <f t="shared" si="26"/>
        <v>0</v>
      </c>
      <c r="AA186" s="12"/>
      <c r="AC186" s="128"/>
      <c r="AD186" s="66"/>
      <c r="AE186" s="128"/>
      <c r="AG186" s="128"/>
      <c r="AH186" s="12"/>
      <c r="AI186" t="str">
        <f t="shared" si="27"/>
        <v/>
      </c>
      <c r="AJ186" t="str">
        <f t="shared" si="27"/>
        <v/>
      </c>
      <c r="AK186" s="12"/>
      <c r="AL186" s="94" t="e">
        <f t="shared" si="28"/>
        <v>#VALUE!</v>
      </c>
      <c r="AM186" s="94" t="e">
        <f t="shared" si="29"/>
        <v>#VALUE!</v>
      </c>
      <c r="AN186" s="12"/>
    </row>
    <row r="187" spans="26:40" ht="15.75" thickBot="1" x14ac:dyDescent="0.3">
      <c r="Z187" s="95">
        <f t="shared" si="26"/>
        <v>0</v>
      </c>
      <c r="AA187" s="12"/>
      <c r="AC187" s="128"/>
      <c r="AD187" s="66"/>
      <c r="AE187" s="128"/>
      <c r="AG187" s="128"/>
      <c r="AH187" s="12"/>
      <c r="AI187" t="str">
        <f t="shared" si="27"/>
        <v/>
      </c>
      <c r="AJ187" t="str">
        <f t="shared" si="27"/>
        <v/>
      </c>
      <c r="AK187" s="12"/>
      <c r="AL187" s="94" t="e">
        <f t="shared" si="28"/>
        <v>#VALUE!</v>
      </c>
      <c r="AM187" s="94" t="e">
        <f t="shared" si="29"/>
        <v>#VALUE!</v>
      </c>
      <c r="AN187" s="12"/>
    </row>
    <row r="188" spans="26:40" ht="15.75" thickBot="1" x14ac:dyDescent="0.3">
      <c r="Z188" s="95">
        <f t="shared" si="26"/>
        <v>0</v>
      </c>
      <c r="AA188" s="12"/>
      <c r="AC188" s="128"/>
      <c r="AD188" s="66"/>
      <c r="AE188" s="128"/>
      <c r="AG188" s="128"/>
      <c r="AH188" s="12"/>
      <c r="AI188" t="str">
        <f t="shared" si="27"/>
        <v/>
      </c>
      <c r="AJ188" t="str">
        <f t="shared" si="27"/>
        <v/>
      </c>
      <c r="AK188" s="12"/>
      <c r="AL188" s="94" t="e">
        <f t="shared" si="28"/>
        <v>#VALUE!</v>
      </c>
      <c r="AM188" s="94" t="e">
        <f t="shared" si="29"/>
        <v>#VALUE!</v>
      </c>
      <c r="AN188" s="12"/>
    </row>
    <row r="189" spans="26:40" ht="15.75" thickBot="1" x14ac:dyDescent="0.3">
      <c r="Z189" s="95">
        <f t="shared" si="26"/>
        <v>0</v>
      </c>
      <c r="AA189" s="12"/>
      <c r="AC189" s="128"/>
      <c r="AD189" s="66"/>
      <c r="AE189" s="128"/>
      <c r="AG189" s="128"/>
      <c r="AH189" s="12"/>
      <c r="AI189" t="str">
        <f t="shared" si="27"/>
        <v/>
      </c>
      <c r="AJ189" t="str">
        <f t="shared" si="27"/>
        <v/>
      </c>
      <c r="AK189" s="12"/>
      <c r="AL189" s="94" t="e">
        <f t="shared" si="28"/>
        <v>#VALUE!</v>
      </c>
      <c r="AM189" s="94" t="e">
        <f t="shared" si="29"/>
        <v>#VALUE!</v>
      </c>
      <c r="AN189" s="12"/>
    </row>
    <row r="190" spans="26:40" ht="15.75" thickBot="1" x14ac:dyDescent="0.3">
      <c r="Z190" s="95">
        <f t="shared" si="26"/>
        <v>0</v>
      </c>
      <c r="AA190" s="12"/>
      <c r="AC190" s="128"/>
      <c r="AD190" s="66"/>
      <c r="AE190" s="128"/>
      <c r="AG190" s="128"/>
      <c r="AH190" s="12"/>
      <c r="AI190" t="str">
        <f t="shared" si="27"/>
        <v/>
      </c>
      <c r="AJ190" t="str">
        <f t="shared" si="27"/>
        <v/>
      </c>
      <c r="AK190" s="12"/>
      <c r="AL190" s="94" t="e">
        <f t="shared" si="28"/>
        <v>#VALUE!</v>
      </c>
      <c r="AM190" s="94" t="e">
        <f t="shared" si="29"/>
        <v>#VALUE!</v>
      </c>
      <c r="AN190" s="12"/>
    </row>
    <row r="191" spans="26:40" ht="15.75" thickBot="1" x14ac:dyDescent="0.3">
      <c r="Z191" s="95">
        <f t="shared" si="26"/>
        <v>0</v>
      </c>
      <c r="AA191" s="12"/>
      <c r="AC191" s="128"/>
      <c r="AD191" s="66"/>
      <c r="AE191" s="128"/>
      <c r="AG191" s="128"/>
      <c r="AH191" s="12"/>
      <c r="AI191" t="str">
        <f t="shared" si="27"/>
        <v/>
      </c>
      <c r="AJ191" t="str">
        <f t="shared" si="27"/>
        <v/>
      </c>
      <c r="AK191" s="12"/>
      <c r="AL191" s="94" t="e">
        <f t="shared" si="28"/>
        <v>#VALUE!</v>
      </c>
      <c r="AM191" s="94" t="e">
        <f t="shared" si="29"/>
        <v>#VALUE!</v>
      </c>
      <c r="AN191" s="12"/>
    </row>
    <row r="192" spans="26:40" ht="15.75" thickBot="1" x14ac:dyDescent="0.3">
      <c r="Z192" s="95">
        <f t="shared" si="26"/>
        <v>0</v>
      </c>
      <c r="AA192" s="12"/>
      <c r="AC192" s="128"/>
      <c r="AD192" s="66"/>
      <c r="AE192" s="128"/>
      <c r="AG192" s="128"/>
      <c r="AH192" s="12"/>
      <c r="AI192" t="str">
        <f t="shared" si="27"/>
        <v/>
      </c>
      <c r="AJ192" t="str">
        <f t="shared" si="27"/>
        <v/>
      </c>
      <c r="AK192" s="12"/>
      <c r="AL192" s="94" t="e">
        <f t="shared" si="28"/>
        <v>#VALUE!</v>
      </c>
      <c r="AM192" s="94" t="e">
        <f t="shared" si="29"/>
        <v>#VALUE!</v>
      </c>
      <c r="AN192" s="12"/>
    </row>
    <row r="193" spans="26:40" ht="15.75" thickBot="1" x14ac:dyDescent="0.3">
      <c r="Z193" s="95">
        <f t="shared" si="26"/>
        <v>0</v>
      </c>
      <c r="AA193" s="12"/>
      <c r="AC193" s="128"/>
      <c r="AD193" s="66"/>
      <c r="AE193" s="128"/>
      <c r="AG193" s="128"/>
      <c r="AH193" s="12"/>
      <c r="AI193" t="str">
        <f t="shared" si="27"/>
        <v/>
      </c>
      <c r="AJ193" t="str">
        <f t="shared" si="27"/>
        <v/>
      </c>
      <c r="AK193" s="12"/>
      <c r="AL193" s="94" t="e">
        <f t="shared" si="28"/>
        <v>#VALUE!</v>
      </c>
      <c r="AM193" s="94" t="e">
        <f t="shared" si="29"/>
        <v>#VALUE!</v>
      </c>
      <c r="AN193" s="12"/>
    </row>
    <row r="194" spans="26:40" ht="15.75" thickBot="1" x14ac:dyDescent="0.3">
      <c r="Z194" s="95">
        <f t="shared" si="26"/>
        <v>0</v>
      </c>
      <c r="AA194" s="12"/>
      <c r="AC194" s="128"/>
      <c r="AD194" s="66"/>
      <c r="AE194" s="128"/>
      <c r="AG194" s="128"/>
      <c r="AH194" s="12"/>
      <c r="AI194" t="str">
        <f t="shared" si="27"/>
        <v/>
      </c>
      <c r="AJ194" t="str">
        <f t="shared" si="27"/>
        <v/>
      </c>
      <c r="AK194" s="12"/>
      <c r="AL194" s="94" t="e">
        <f t="shared" si="28"/>
        <v>#VALUE!</v>
      </c>
      <c r="AM194" s="94" t="e">
        <f t="shared" si="29"/>
        <v>#VALUE!</v>
      </c>
      <c r="AN194" s="12"/>
    </row>
    <row r="195" spans="26:40" ht="15.75" thickBot="1" x14ac:dyDescent="0.3">
      <c r="Z195" s="95">
        <f t="shared" si="26"/>
        <v>0</v>
      </c>
      <c r="AA195" s="12"/>
      <c r="AC195" s="128"/>
      <c r="AD195" s="66"/>
      <c r="AE195" s="128"/>
      <c r="AG195" s="128"/>
      <c r="AH195" s="12"/>
      <c r="AI195" t="str">
        <f t="shared" si="27"/>
        <v/>
      </c>
      <c r="AJ195" t="str">
        <f t="shared" si="27"/>
        <v/>
      </c>
      <c r="AK195" s="12"/>
      <c r="AL195" s="94" t="e">
        <f t="shared" si="28"/>
        <v>#VALUE!</v>
      </c>
      <c r="AM195" s="94" t="e">
        <f t="shared" si="29"/>
        <v>#VALUE!</v>
      </c>
      <c r="AN195" s="12"/>
    </row>
    <row r="196" spans="26:40" ht="15.75" thickBot="1" x14ac:dyDescent="0.3">
      <c r="Z196" s="95">
        <f t="shared" si="26"/>
        <v>0</v>
      </c>
      <c r="AA196" s="12"/>
      <c r="AC196" s="128"/>
      <c r="AD196" s="66"/>
      <c r="AE196" s="128"/>
      <c r="AG196" s="128"/>
      <c r="AH196" s="12"/>
      <c r="AI196" t="str">
        <f t="shared" si="27"/>
        <v/>
      </c>
      <c r="AJ196" t="str">
        <f t="shared" si="27"/>
        <v/>
      </c>
      <c r="AK196" s="12"/>
      <c r="AL196" s="94" t="e">
        <f t="shared" si="28"/>
        <v>#VALUE!</v>
      </c>
      <c r="AM196" s="94" t="e">
        <f t="shared" si="29"/>
        <v>#VALUE!</v>
      </c>
      <c r="AN196" s="12"/>
    </row>
    <row r="197" spans="26:40" ht="15.75" thickBot="1" x14ac:dyDescent="0.3">
      <c r="Z197" s="95">
        <f t="shared" si="26"/>
        <v>0</v>
      </c>
      <c r="AA197" s="12"/>
      <c r="AC197" s="128"/>
      <c r="AD197" s="66"/>
      <c r="AE197" s="128"/>
      <c r="AG197" s="128"/>
      <c r="AH197" s="12"/>
      <c r="AI197" t="str">
        <f t="shared" si="27"/>
        <v/>
      </c>
      <c r="AJ197" t="str">
        <f t="shared" si="27"/>
        <v/>
      </c>
      <c r="AK197" s="12"/>
      <c r="AL197" s="94" t="e">
        <f t="shared" si="28"/>
        <v>#VALUE!</v>
      </c>
      <c r="AM197" s="94" t="e">
        <f t="shared" si="29"/>
        <v>#VALUE!</v>
      </c>
      <c r="AN197" s="12"/>
    </row>
    <row r="198" spans="26:40" ht="15.75" thickBot="1" x14ac:dyDescent="0.3">
      <c r="Z198" s="95">
        <f t="shared" ref="Z198:Z261" si="30">E198</f>
        <v>0</v>
      </c>
      <c r="AA198" s="12"/>
      <c r="AC198" s="128"/>
      <c r="AD198" s="66"/>
      <c r="AE198" s="128"/>
      <c r="AG198" s="128"/>
      <c r="AH198" s="12"/>
      <c r="AI198" t="str">
        <f t="shared" ref="AI198:AJ261" si="31">IF(AND(AB198="",AD198="",AF198=""),"",SUM(AB198,AD198,AF198))</f>
        <v/>
      </c>
      <c r="AJ198" t="str">
        <f t="shared" si="31"/>
        <v/>
      </c>
      <c r="AK198" s="12"/>
      <c r="AL198" s="94" t="e">
        <f t="shared" ref="AL198:AL261" si="32">AI198/R198</f>
        <v>#VALUE!</v>
      </c>
      <c r="AM198" s="94" t="e">
        <f t="shared" ref="AM198:AM261" si="33">AJ198/R198</f>
        <v>#VALUE!</v>
      </c>
      <c r="AN198" s="12"/>
    </row>
    <row r="199" spans="26:40" ht="15.75" thickBot="1" x14ac:dyDescent="0.3">
      <c r="Z199" s="95">
        <f t="shared" si="30"/>
        <v>0</v>
      </c>
      <c r="AA199" s="12"/>
      <c r="AC199" s="128"/>
      <c r="AD199" s="66"/>
      <c r="AE199" s="128"/>
      <c r="AG199" s="128"/>
      <c r="AH199" s="12"/>
      <c r="AI199" t="str">
        <f t="shared" si="31"/>
        <v/>
      </c>
      <c r="AJ199" t="str">
        <f t="shared" si="31"/>
        <v/>
      </c>
      <c r="AK199" s="12"/>
      <c r="AL199" s="94" t="e">
        <f t="shared" si="32"/>
        <v>#VALUE!</v>
      </c>
      <c r="AM199" s="94" t="e">
        <f t="shared" si="33"/>
        <v>#VALUE!</v>
      </c>
      <c r="AN199" s="12"/>
    </row>
    <row r="200" spans="26:40" ht="15.75" thickBot="1" x14ac:dyDescent="0.3">
      <c r="Z200" s="95">
        <f t="shared" si="30"/>
        <v>0</v>
      </c>
      <c r="AA200" s="12"/>
      <c r="AC200" s="128"/>
      <c r="AD200" s="66"/>
      <c r="AE200" s="128"/>
      <c r="AG200" s="128"/>
      <c r="AH200" s="12"/>
      <c r="AI200" t="str">
        <f t="shared" si="31"/>
        <v/>
      </c>
      <c r="AJ200" t="str">
        <f t="shared" si="31"/>
        <v/>
      </c>
      <c r="AK200" s="12"/>
      <c r="AL200" s="94" t="e">
        <f t="shared" si="32"/>
        <v>#VALUE!</v>
      </c>
      <c r="AM200" s="94" t="e">
        <f t="shared" si="33"/>
        <v>#VALUE!</v>
      </c>
      <c r="AN200" s="12"/>
    </row>
    <row r="201" spans="26:40" ht="15.75" thickBot="1" x14ac:dyDescent="0.3">
      <c r="Z201" s="95">
        <f t="shared" si="30"/>
        <v>0</v>
      </c>
      <c r="AA201" s="12"/>
      <c r="AC201" s="128"/>
      <c r="AD201" s="66"/>
      <c r="AE201" s="128"/>
      <c r="AG201" s="128"/>
      <c r="AH201" s="12"/>
      <c r="AI201" t="str">
        <f t="shared" si="31"/>
        <v/>
      </c>
      <c r="AJ201" t="str">
        <f t="shared" si="31"/>
        <v/>
      </c>
      <c r="AK201" s="12"/>
      <c r="AL201" s="94" t="e">
        <f t="shared" si="32"/>
        <v>#VALUE!</v>
      </c>
      <c r="AM201" s="94" t="e">
        <f t="shared" si="33"/>
        <v>#VALUE!</v>
      </c>
      <c r="AN201" s="12"/>
    </row>
    <row r="202" spans="26:40" ht="15.75" thickBot="1" x14ac:dyDescent="0.3">
      <c r="Z202" s="95">
        <f t="shared" si="30"/>
        <v>0</v>
      </c>
      <c r="AA202" s="12"/>
      <c r="AC202" s="128"/>
      <c r="AD202" s="66"/>
      <c r="AE202" s="128"/>
      <c r="AG202" s="128"/>
      <c r="AH202" s="12"/>
      <c r="AI202" t="str">
        <f t="shared" si="31"/>
        <v/>
      </c>
      <c r="AJ202" t="str">
        <f t="shared" si="31"/>
        <v/>
      </c>
      <c r="AK202" s="12"/>
      <c r="AL202" s="94" t="e">
        <f t="shared" si="32"/>
        <v>#VALUE!</v>
      </c>
      <c r="AM202" s="94" t="e">
        <f t="shared" si="33"/>
        <v>#VALUE!</v>
      </c>
      <c r="AN202" s="12"/>
    </row>
    <row r="203" spans="26:40" ht="15.75" thickBot="1" x14ac:dyDescent="0.3">
      <c r="Z203" s="95">
        <f t="shared" si="30"/>
        <v>0</v>
      </c>
      <c r="AA203" s="12"/>
      <c r="AC203" s="128"/>
      <c r="AD203" s="66"/>
      <c r="AE203" s="128"/>
      <c r="AG203" s="128"/>
      <c r="AH203" s="12"/>
      <c r="AI203" t="str">
        <f t="shared" si="31"/>
        <v/>
      </c>
      <c r="AJ203" t="str">
        <f t="shared" si="31"/>
        <v/>
      </c>
      <c r="AK203" s="12"/>
      <c r="AL203" s="94" t="e">
        <f t="shared" si="32"/>
        <v>#VALUE!</v>
      </c>
      <c r="AM203" s="94" t="e">
        <f t="shared" si="33"/>
        <v>#VALUE!</v>
      </c>
      <c r="AN203" s="12"/>
    </row>
    <row r="204" spans="26:40" ht="15.75" thickBot="1" x14ac:dyDescent="0.3">
      <c r="Z204" s="95">
        <f t="shared" si="30"/>
        <v>0</v>
      </c>
      <c r="AA204" s="12"/>
      <c r="AC204" s="128"/>
      <c r="AD204" s="66"/>
      <c r="AE204" s="128"/>
      <c r="AG204" s="128"/>
      <c r="AH204" s="12"/>
      <c r="AI204" t="str">
        <f t="shared" si="31"/>
        <v/>
      </c>
      <c r="AJ204" t="str">
        <f t="shared" si="31"/>
        <v/>
      </c>
      <c r="AK204" s="12"/>
      <c r="AL204" s="94" t="e">
        <f t="shared" si="32"/>
        <v>#VALUE!</v>
      </c>
      <c r="AM204" s="94" t="e">
        <f t="shared" si="33"/>
        <v>#VALUE!</v>
      </c>
      <c r="AN204" s="12"/>
    </row>
    <row r="205" spans="26:40" ht="15.75" thickBot="1" x14ac:dyDescent="0.3">
      <c r="Z205" s="95">
        <f t="shared" si="30"/>
        <v>0</v>
      </c>
      <c r="AA205" s="12"/>
      <c r="AC205" s="128"/>
      <c r="AD205" s="66"/>
      <c r="AE205" s="128"/>
      <c r="AG205" s="128"/>
      <c r="AH205" s="12"/>
      <c r="AI205" t="str">
        <f t="shared" si="31"/>
        <v/>
      </c>
      <c r="AJ205" t="str">
        <f t="shared" si="31"/>
        <v/>
      </c>
      <c r="AK205" s="12"/>
      <c r="AL205" s="94" t="e">
        <f t="shared" si="32"/>
        <v>#VALUE!</v>
      </c>
      <c r="AM205" s="94" t="e">
        <f t="shared" si="33"/>
        <v>#VALUE!</v>
      </c>
      <c r="AN205" s="12"/>
    </row>
    <row r="206" spans="26:40" ht="15.75" thickBot="1" x14ac:dyDescent="0.3">
      <c r="Z206" s="95">
        <f t="shared" si="30"/>
        <v>0</v>
      </c>
      <c r="AA206" s="12"/>
      <c r="AC206" s="128"/>
      <c r="AD206" s="66"/>
      <c r="AE206" s="128"/>
      <c r="AG206" s="128"/>
      <c r="AH206" s="12"/>
      <c r="AI206" t="str">
        <f t="shared" si="31"/>
        <v/>
      </c>
      <c r="AJ206" t="str">
        <f t="shared" si="31"/>
        <v/>
      </c>
      <c r="AK206" s="12"/>
      <c r="AL206" s="94" t="e">
        <f t="shared" si="32"/>
        <v>#VALUE!</v>
      </c>
      <c r="AM206" s="94" t="e">
        <f t="shared" si="33"/>
        <v>#VALUE!</v>
      </c>
      <c r="AN206" s="12"/>
    </row>
    <row r="207" spans="26:40" ht="15.75" thickBot="1" x14ac:dyDescent="0.3">
      <c r="Z207" s="95">
        <f t="shared" si="30"/>
        <v>0</v>
      </c>
      <c r="AA207" s="12"/>
      <c r="AC207" s="128"/>
      <c r="AD207" s="66"/>
      <c r="AE207" s="128"/>
      <c r="AG207" s="128"/>
      <c r="AH207" s="12"/>
      <c r="AI207" t="str">
        <f t="shared" si="31"/>
        <v/>
      </c>
      <c r="AJ207" t="str">
        <f t="shared" si="31"/>
        <v/>
      </c>
      <c r="AK207" s="12"/>
      <c r="AL207" s="94" t="e">
        <f t="shared" si="32"/>
        <v>#VALUE!</v>
      </c>
      <c r="AM207" s="94" t="e">
        <f t="shared" si="33"/>
        <v>#VALUE!</v>
      </c>
      <c r="AN207" s="12"/>
    </row>
    <row r="208" spans="26:40" ht="15.75" thickBot="1" x14ac:dyDescent="0.3">
      <c r="Z208" s="95">
        <f t="shared" si="30"/>
        <v>0</v>
      </c>
      <c r="AA208" s="12"/>
      <c r="AC208" s="128"/>
      <c r="AD208" s="66"/>
      <c r="AE208" s="128"/>
      <c r="AG208" s="128"/>
      <c r="AH208" s="12"/>
      <c r="AI208" t="str">
        <f t="shared" si="31"/>
        <v/>
      </c>
      <c r="AJ208" t="str">
        <f t="shared" si="31"/>
        <v/>
      </c>
      <c r="AK208" s="12"/>
      <c r="AL208" s="94" t="e">
        <f t="shared" si="32"/>
        <v>#VALUE!</v>
      </c>
      <c r="AM208" s="94" t="e">
        <f t="shared" si="33"/>
        <v>#VALUE!</v>
      </c>
      <c r="AN208" s="12"/>
    </row>
    <row r="209" spans="26:40" ht="15.75" thickBot="1" x14ac:dyDescent="0.3">
      <c r="Z209" s="95">
        <f t="shared" si="30"/>
        <v>0</v>
      </c>
      <c r="AA209" s="12"/>
      <c r="AC209" s="128"/>
      <c r="AD209" s="66"/>
      <c r="AE209" s="128"/>
      <c r="AG209" s="128"/>
      <c r="AH209" s="12"/>
      <c r="AI209" t="str">
        <f t="shared" si="31"/>
        <v/>
      </c>
      <c r="AJ209" t="str">
        <f t="shared" si="31"/>
        <v/>
      </c>
      <c r="AK209" s="12"/>
      <c r="AL209" s="94" t="e">
        <f t="shared" si="32"/>
        <v>#VALUE!</v>
      </c>
      <c r="AM209" s="94" t="e">
        <f t="shared" si="33"/>
        <v>#VALUE!</v>
      </c>
      <c r="AN209" s="12"/>
    </row>
    <row r="210" spans="26:40" ht="15.75" thickBot="1" x14ac:dyDescent="0.3">
      <c r="Z210" s="95">
        <f t="shared" si="30"/>
        <v>0</v>
      </c>
      <c r="AA210" s="12"/>
      <c r="AC210" s="128"/>
      <c r="AD210" s="66"/>
      <c r="AE210" s="128"/>
      <c r="AG210" s="128"/>
      <c r="AH210" s="12"/>
      <c r="AI210" t="str">
        <f t="shared" si="31"/>
        <v/>
      </c>
      <c r="AJ210" t="str">
        <f t="shared" si="31"/>
        <v/>
      </c>
      <c r="AK210" s="12"/>
      <c r="AL210" s="94" t="e">
        <f t="shared" si="32"/>
        <v>#VALUE!</v>
      </c>
      <c r="AM210" s="94" t="e">
        <f t="shared" si="33"/>
        <v>#VALUE!</v>
      </c>
      <c r="AN210" s="12"/>
    </row>
    <row r="211" spans="26:40" ht="15.75" thickBot="1" x14ac:dyDescent="0.3">
      <c r="Z211" s="95">
        <f t="shared" si="30"/>
        <v>0</v>
      </c>
      <c r="AA211" s="12"/>
      <c r="AC211" s="128"/>
      <c r="AD211" s="66"/>
      <c r="AE211" s="128"/>
      <c r="AG211" s="128"/>
      <c r="AH211" s="12"/>
      <c r="AI211" t="str">
        <f t="shared" si="31"/>
        <v/>
      </c>
      <c r="AJ211" t="str">
        <f t="shared" si="31"/>
        <v/>
      </c>
      <c r="AK211" s="12"/>
      <c r="AL211" s="94" t="e">
        <f t="shared" si="32"/>
        <v>#VALUE!</v>
      </c>
      <c r="AM211" s="94" t="e">
        <f t="shared" si="33"/>
        <v>#VALUE!</v>
      </c>
      <c r="AN211" s="12"/>
    </row>
    <row r="212" spans="26:40" ht="15.75" thickBot="1" x14ac:dyDescent="0.3">
      <c r="Z212" s="95">
        <f t="shared" si="30"/>
        <v>0</v>
      </c>
      <c r="AA212" s="12"/>
      <c r="AC212" s="128"/>
      <c r="AD212" s="66"/>
      <c r="AE212" s="128"/>
      <c r="AG212" s="128"/>
      <c r="AH212" s="12"/>
      <c r="AI212" t="str">
        <f t="shared" si="31"/>
        <v/>
      </c>
      <c r="AJ212" t="str">
        <f t="shared" si="31"/>
        <v/>
      </c>
      <c r="AK212" s="12"/>
      <c r="AL212" s="94" t="e">
        <f t="shared" si="32"/>
        <v>#VALUE!</v>
      </c>
      <c r="AM212" s="94" t="e">
        <f t="shared" si="33"/>
        <v>#VALUE!</v>
      </c>
      <c r="AN212" s="12"/>
    </row>
    <row r="213" spans="26:40" ht="15.75" thickBot="1" x14ac:dyDescent="0.3">
      <c r="Z213" s="95">
        <f t="shared" si="30"/>
        <v>0</v>
      </c>
      <c r="AA213" s="12"/>
      <c r="AC213" s="128"/>
      <c r="AD213" s="66"/>
      <c r="AE213" s="128"/>
      <c r="AG213" s="128"/>
      <c r="AH213" s="12"/>
      <c r="AI213" t="str">
        <f t="shared" si="31"/>
        <v/>
      </c>
      <c r="AJ213" t="str">
        <f t="shared" si="31"/>
        <v/>
      </c>
      <c r="AK213" s="12"/>
      <c r="AL213" s="94" t="e">
        <f t="shared" si="32"/>
        <v>#VALUE!</v>
      </c>
      <c r="AM213" s="94" t="e">
        <f t="shared" si="33"/>
        <v>#VALUE!</v>
      </c>
      <c r="AN213" s="12"/>
    </row>
    <row r="214" spans="26:40" ht="15.75" thickBot="1" x14ac:dyDescent="0.3">
      <c r="Z214" s="95">
        <f t="shared" si="30"/>
        <v>0</v>
      </c>
      <c r="AA214" s="12"/>
      <c r="AC214" s="128"/>
      <c r="AD214" s="66"/>
      <c r="AE214" s="128"/>
      <c r="AG214" s="128"/>
      <c r="AH214" s="12"/>
      <c r="AI214" t="str">
        <f t="shared" si="31"/>
        <v/>
      </c>
      <c r="AJ214" t="str">
        <f t="shared" si="31"/>
        <v/>
      </c>
      <c r="AK214" s="12"/>
      <c r="AL214" s="94" t="e">
        <f t="shared" si="32"/>
        <v>#VALUE!</v>
      </c>
      <c r="AM214" s="94" t="e">
        <f t="shared" si="33"/>
        <v>#VALUE!</v>
      </c>
      <c r="AN214" s="12"/>
    </row>
    <row r="215" spans="26:40" ht="15.75" thickBot="1" x14ac:dyDescent="0.3">
      <c r="Z215" s="95">
        <f t="shared" si="30"/>
        <v>0</v>
      </c>
      <c r="AA215" s="12"/>
      <c r="AC215" s="128"/>
      <c r="AD215" s="66"/>
      <c r="AE215" s="128"/>
      <c r="AG215" s="128"/>
      <c r="AH215" s="12"/>
      <c r="AI215" t="str">
        <f t="shared" si="31"/>
        <v/>
      </c>
      <c r="AJ215" t="str">
        <f t="shared" si="31"/>
        <v/>
      </c>
      <c r="AK215" s="12"/>
      <c r="AL215" s="94" t="e">
        <f t="shared" si="32"/>
        <v>#VALUE!</v>
      </c>
      <c r="AM215" s="94" t="e">
        <f t="shared" si="33"/>
        <v>#VALUE!</v>
      </c>
      <c r="AN215" s="12"/>
    </row>
    <row r="216" spans="26:40" ht="15.75" thickBot="1" x14ac:dyDescent="0.3">
      <c r="Z216" s="95">
        <f t="shared" si="30"/>
        <v>0</v>
      </c>
      <c r="AA216" s="12"/>
      <c r="AC216" s="128"/>
      <c r="AD216" s="66"/>
      <c r="AE216" s="128"/>
      <c r="AG216" s="128"/>
      <c r="AH216" s="12"/>
      <c r="AI216" t="str">
        <f t="shared" si="31"/>
        <v/>
      </c>
      <c r="AJ216" t="str">
        <f t="shared" si="31"/>
        <v/>
      </c>
      <c r="AK216" s="12"/>
      <c r="AL216" s="94" t="e">
        <f t="shared" si="32"/>
        <v>#VALUE!</v>
      </c>
      <c r="AM216" s="94" t="e">
        <f t="shared" si="33"/>
        <v>#VALUE!</v>
      </c>
      <c r="AN216" s="12"/>
    </row>
    <row r="217" spans="26:40" ht="15.75" thickBot="1" x14ac:dyDescent="0.3">
      <c r="Z217" s="95">
        <f t="shared" si="30"/>
        <v>0</v>
      </c>
      <c r="AA217" s="12"/>
      <c r="AC217" s="128"/>
      <c r="AD217" s="66"/>
      <c r="AE217" s="128"/>
      <c r="AG217" s="128"/>
      <c r="AH217" s="12"/>
      <c r="AI217" t="str">
        <f t="shared" si="31"/>
        <v/>
      </c>
      <c r="AJ217" t="str">
        <f t="shared" si="31"/>
        <v/>
      </c>
      <c r="AK217" s="12"/>
      <c r="AL217" s="94" t="e">
        <f t="shared" si="32"/>
        <v>#VALUE!</v>
      </c>
      <c r="AM217" s="94" t="e">
        <f t="shared" si="33"/>
        <v>#VALUE!</v>
      </c>
      <c r="AN217" s="12"/>
    </row>
    <row r="218" spans="26:40" ht="15.75" thickBot="1" x14ac:dyDescent="0.3">
      <c r="Z218" s="95">
        <f t="shared" si="30"/>
        <v>0</v>
      </c>
      <c r="AA218" s="12"/>
      <c r="AC218" s="128"/>
      <c r="AD218" s="66"/>
      <c r="AE218" s="128"/>
      <c r="AG218" s="128"/>
      <c r="AH218" s="12"/>
      <c r="AI218" t="str">
        <f t="shared" si="31"/>
        <v/>
      </c>
      <c r="AJ218" t="str">
        <f t="shared" si="31"/>
        <v/>
      </c>
      <c r="AK218" s="12"/>
      <c r="AL218" s="94" t="e">
        <f t="shared" si="32"/>
        <v>#VALUE!</v>
      </c>
      <c r="AM218" s="94" t="e">
        <f t="shared" si="33"/>
        <v>#VALUE!</v>
      </c>
      <c r="AN218" s="12"/>
    </row>
    <row r="219" spans="26:40" ht="15.75" thickBot="1" x14ac:dyDescent="0.3">
      <c r="Z219" s="95">
        <f t="shared" si="30"/>
        <v>0</v>
      </c>
      <c r="AA219" s="12"/>
      <c r="AC219" s="128"/>
      <c r="AD219" s="66"/>
      <c r="AE219" s="128"/>
      <c r="AG219" s="128"/>
      <c r="AH219" s="12"/>
      <c r="AI219" t="str">
        <f t="shared" si="31"/>
        <v/>
      </c>
      <c r="AJ219" t="str">
        <f t="shared" si="31"/>
        <v/>
      </c>
      <c r="AK219" s="12"/>
      <c r="AL219" s="94" t="e">
        <f t="shared" si="32"/>
        <v>#VALUE!</v>
      </c>
      <c r="AM219" s="94" t="e">
        <f t="shared" si="33"/>
        <v>#VALUE!</v>
      </c>
      <c r="AN219" s="12"/>
    </row>
    <row r="220" spans="26:40" ht="15.75" thickBot="1" x14ac:dyDescent="0.3">
      <c r="Z220" s="95">
        <f t="shared" si="30"/>
        <v>0</v>
      </c>
      <c r="AA220" s="12"/>
      <c r="AC220" s="128"/>
      <c r="AD220" s="66"/>
      <c r="AE220" s="128"/>
      <c r="AG220" s="128"/>
      <c r="AH220" s="12"/>
      <c r="AI220" t="str">
        <f t="shared" si="31"/>
        <v/>
      </c>
      <c r="AJ220" t="str">
        <f t="shared" si="31"/>
        <v/>
      </c>
      <c r="AK220" s="12"/>
      <c r="AL220" s="94" t="e">
        <f t="shared" si="32"/>
        <v>#VALUE!</v>
      </c>
      <c r="AM220" s="94" t="e">
        <f t="shared" si="33"/>
        <v>#VALUE!</v>
      </c>
      <c r="AN220" s="12"/>
    </row>
    <row r="221" spans="26:40" ht="15.75" thickBot="1" x14ac:dyDescent="0.3">
      <c r="Z221" s="95">
        <f t="shared" si="30"/>
        <v>0</v>
      </c>
      <c r="AA221" s="12"/>
      <c r="AC221" s="128"/>
      <c r="AD221" s="66"/>
      <c r="AE221" s="128"/>
      <c r="AG221" s="128"/>
      <c r="AH221" s="12"/>
      <c r="AI221" t="str">
        <f t="shared" si="31"/>
        <v/>
      </c>
      <c r="AJ221" t="str">
        <f t="shared" si="31"/>
        <v/>
      </c>
      <c r="AK221" s="12"/>
      <c r="AL221" s="94" t="e">
        <f t="shared" si="32"/>
        <v>#VALUE!</v>
      </c>
      <c r="AM221" s="94" t="e">
        <f t="shared" si="33"/>
        <v>#VALUE!</v>
      </c>
      <c r="AN221" s="12"/>
    </row>
    <row r="222" spans="26:40" ht="15.75" thickBot="1" x14ac:dyDescent="0.3">
      <c r="Z222" s="95">
        <f t="shared" si="30"/>
        <v>0</v>
      </c>
      <c r="AA222" s="12"/>
      <c r="AC222" s="128"/>
      <c r="AD222" s="66"/>
      <c r="AE222" s="128"/>
      <c r="AG222" s="128"/>
      <c r="AH222" s="12"/>
      <c r="AI222" t="str">
        <f t="shared" si="31"/>
        <v/>
      </c>
      <c r="AJ222" t="str">
        <f t="shared" si="31"/>
        <v/>
      </c>
      <c r="AK222" s="12"/>
      <c r="AL222" s="94" t="e">
        <f t="shared" si="32"/>
        <v>#VALUE!</v>
      </c>
      <c r="AM222" s="94" t="e">
        <f t="shared" si="33"/>
        <v>#VALUE!</v>
      </c>
      <c r="AN222" s="12"/>
    </row>
    <row r="223" spans="26:40" ht="15.75" thickBot="1" x14ac:dyDescent="0.3">
      <c r="Z223" s="95">
        <f t="shared" si="30"/>
        <v>0</v>
      </c>
      <c r="AA223" s="12"/>
      <c r="AC223" s="128"/>
      <c r="AD223" s="66"/>
      <c r="AE223" s="128"/>
      <c r="AG223" s="128"/>
      <c r="AH223" s="12"/>
      <c r="AI223" t="str">
        <f t="shared" si="31"/>
        <v/>
      </c>
      <c r="AJ223" t="str">
        <f t="shared" si="31"/>
        <v/>
      </c>
      <c r="AK223" s="12"/>
      <c r="AL223" s="94" t="e">
        <f t="shared" si="32"/>
        <v>#VALUE!</v>
      </c>
      <c r="AM223" s="94" t="e">
        <f t="shared" si="33"/>
        <v>#VALUE!</v>
      </c>
      <c r="AN223" s="12"/>
    </row>
    <row r="224" spans="26:40" ht="15.75" thickBot="1" x14ac:dyDescent="0.3">
      <c r="Z224" s="95">
        <f t="shared" si="30"/>
        <v>0</v>
      </c>
      <c r="AA224" s="12"/>
      <c r="AC224" s="128"/>
      <c r="AD224" s="66"/>
      <c r="AE224" s="128"/>
      <c r="AG224" s="128"/>
      <c r="AH224" s="12"/>
      <c r="AI224" t="str">
        <f t="shared" si="31"/>
        <v/>
      </c>
      <c r="AJ224" t="str">
        <f t="shared" si="31"/>
        <v/>
      </c>
      <c r="AK224" s="12"/>
      <c r="AL224" s="94" t="e">
        <f t="shared" si="32"/>
        <v>#VALUE!</v>
      </c>
      <c r="AM224" s="94" t="e">
        <f t="shared" si="33"/>
        <v>#VALUE!</v>
      </c>
      <c r="AN224" s="12"/>
    </row>
    <row r="225" spans="26:40" ht="15.75" thickBot="1" x14ac:dyDescent="0.3">
      <c r="Z225" s="95">
        <f t="shared" si="30"/>
        <v>0</v>
      </c>
      <c r="AA225" s="12"/>
      <c r="AC225" s="128"/>
      <c r="AD225" s="66"/>
      <c r="AE225" s="128"/>
      <c r="AG225" s="128"/>
      <c r="AH225" s="12"/>
      <c r="AI225" t="str">
        <f t="shared" si="31"/>
        <v/>
      </c>
      <c r="AJ225" t="str">
        <f t="shared" si="31"/>
        <v/>
      </c>
      <c r="AK225" s="12"/>
      <c r="AL225" s="94" t="e">
        <f t="shared" si="32"/>
        <v>#VALUE!</v>
      </c>
      <c r="AM225" s="94" t="e">
        <f t="shared" si="33"/>
        <v>#VALUE!</v>
      </c>
      <c r="AN225" s="12"/>
    </row>
    <row r="226" spans="26:40" ht="15.75" thickBot="1" x14ac:dyDescent="0.3">
      <c r="Z226" s="95">
        <f t="shared" si="30"/>
        <v>0</v>
      </c>
      <c r="AA226" s="12"/>
      <c r="AC226" s="128"/>
      <c r="AD226" s="66"/>
      <c r="AE226" s="128"/>
      <c r="AG226" s="128"/>
      <c r="AH226" s="12"/>
      <c r="AI226" t="str">
        <f t="shared" si="31"/>
        <v/>
      </c>
      <c r="AJ226" t="str">
        <f t="shared" si="31"/>
        <v/>
      </c>
      <c r="AK226" s="12"/>
      <c r="AL226" s="94" t="e">
        <f t="shared" si="32"/>
        <v>#VALUE!</v>
      </c>
      <c r="AM226" s="94" t="e">
        <f t="shared" si="33"/>
        <v>#VALUE!</v>
      </c>
      <c r="AN226" s="12"/>
    </row>
    <row r="227" spans="26:40" ht="15.75" thickBot="1" x14ac:dyDescent="0.3">
      <c r="Z227" s="95">
        <f t="shared" si="30"/>
        <v>0</v>
      </c>
      <c r="AA227" s="12"/>
      <c r="AC227" s="128"/>
      <c r="AD227" s="66"/>
      <c r="AE227" s="128"/>
      <c r="AG227" s="128"/>
      <c r="AH227" s="12"/>
      <c r="AI227" t="str">
        <f t="shared" si="31"/>
        <v/>
      </c>
      <c r="AJ227" t="str">
        <f t="shared" si="31"/>
        <v/>
      </c>
      <c r="AK227" s="12"/>
      <c r="AL227" s="94" t="e">
        <f t="shared" si="32"/>
        <v>#VALUE!</v>
      </c>
      <c r="AM227" s="94" t="e">
        <f t="shared" si="33"/>
        <v>#VALUE!</v>
      </c>
      <c r="AN227" s="12"/>
    </row>
    <row r="228" spans="26:40" ht="15.75" thickBot="1" x14ac:dyDescent="0.3">
      <c r="Z228" s="95">
        <f t="shared" si="30"/>
        <v>0</v>
      </c>
      <c r="AA228" s="12"/>
      <c r="AC228" s="128"/>
      <c r="AD228" s="66"/>
      <c r="AE228" s="128"/>
      <c r="AG228" s="128"/>
      <c r="AH228" s="12"/>
      <c r="AI228" t="str">
        <f t="shared" si="31"/>
        <v/>
      </c>
      <c r="AJ228" t="str">
        <f t="shared" si="31"/>
        <v/>
      </c>
      <c r="AK228" s="12"/>
      <c r="AL228" s="94" t="e">
        <f t="shared" si="32"/>
        <v>#VALUE!</v>
      </c>
      <c r="AM228" s="94" t="e">
        <f t="shared" si="33"/>
        <v>#VALUE!</v>
      </c>
      <c r="AN228" s="12"/>
    </row>
    <row r="229" spans="26:40" ht="15.75" thickBot="1" x14ac:dyDescent="0.3">
      <c r="Z229" s="95">
        <f t="shared" si="30"/>
        <v>0</v>
      </c>
      <c r="AA229" s="12"/>
      <c r="AC229" s="128"/>
      <c r="AD229" s="66"/>
      <c r="AE229" s="128"/>
      <c r="AG229" s="128"/>
      <c r="AH229" s="12"/>
      <c r="AI229" t="str">
        <f t="shared" si="31"/>
        <v/>
      </c>
      <c r="AJ229" t="str">
        <f t="shared" si="31"/>
        <v/>
      </c>
      <c r="AK229" s="12"/>
      <c r="AL229" s="94" t="e">
        <f t="shared" si="32"/>
        <v>#VALUE!</v>
      </c>
      <c r="AM229" s="94" t="e">
        <f t="shared" si="33"/>
        <v>#VALUE!</v>
      </c>
      <c r="AN229" s="12"/>
    </row>
    <row r="230" spans="26:40" ht="15.75" thickBot="1" x14ac:dyDescent="0.3">
      <c r="Z230" s="95">
        <f t="shared" si="30"/>
        <v>0</v>
      </c>
      <c r="AA230" s="12"/>
      <c r="AC230" s="128"/>
      <c r="AD230" s="66"/>
      <c r="AE230" s="128"/>
      <c r="AG230" s="128"/>
      <c r="AH230" s="12"/>
      <c r="AI230" t="str">
        <f t="shared" si="31"/>
        <v/>
      </c>
      <c r="AJ230" t="str">
        <f t="shared" si="31"/>
        <v/>
      </c>
      <c r="AK230" s="12"/>
      <c r="AL230" s="94" t="e">
        <f t="shared" si="32"/>
        <v>#VALUE!</v>
      </c>
      <c r="AM230" s="94" t="e">
        <f t="shared" si="33"/>
        <v>#VALUE!</v>
      </c>
      <c r="AN230" s="12"/>
    </row>
    <row r="231" spans="26:40" ht="15.75" thickBot="1" x14ac:dyDescent="0.3">
      <c r="Z231" s="95">
        <f t="shared" si="30"/>
        <v>0</v>
      </c>
      <c r="AA231" s="12"/>
      <c r="AC231" s="128"/>
      <c r="AD231" s="66"/>
      <c r="AE231" s="128"/>
      <c r="AG231" s="128"/>
      <c r="AH231" s="12"/>
      <c r="AI231" t="str">
        <f t="shared" si="31"/>
        <v/>
      </c>
      <c r="AJ231" t="str">
        <f t="shared" si="31"/>
        <v/>
      </c>
      <c r="AK231" s="12"/>
      <c r="AL231" s="94" t="e">
        <f t="shared" si="32"/>
        <v>#VALUE!</v>
      </c>
      <c r="AM231" s="94" t="e">
        <f t="shared" si="33"/>
        <v>#VALUE!</v>
      </c>
      <c r="AN231" s="12"/>
    </row>
    <row r="232" spans="26:40" ht="15.75" thickBot="1" x14ac:dyDescent="0.3">
      <c r="Z232" s="95">
        <f t="shared" si="30"/>
        <v>0</v>
      </c>
      <c r="AA232" s="12"/>
      <c r="AC232" s="128"/>
      <c r="AD232" s="66"/>
      <c r="AE232" s="128"/>
      <c r="AG232" s="128"/>
      <c r="AH232" s="12"/>
      <c r="AI232" t="str">
        <f t="shared" si="31"/>
        <v/>
      </c>
      <c r="AJ232" t="str">
        <f t="shared" si="31"/>
        <v/>
      </c>
      <c r="AK232" s="12"/>
      <c r="AL232" s="94" t="e">
        <f t="shared" si="32"/>
        <v>#VALUE!</v>
      </c>
      <c r="AM232" s="94" t="e">
        <f t="shared" si="33"/>
        <v>#VALUE!</v>
      </c>
      <c r="AN232" s="12"/>
    </row>
    <row r="233" spans="26:40" ht="15.75" thickBot="1" x14ac:dyDescent="0.3">
      <c r="Z233" s="95">
        <f t="shared" si="30"/>
        <v>0</v>
      </c>
      <c r="AA233" s="12"/>
      <c r="AC233" s="128"/>
      <c r="AD233" s="66"/>
      <c r="AE233" s="128"/>
      <c r="AG233" s="128"/>
      <c r="AH233" s="12"/>
      <c r="AI233" t="str">
        <f t="shared" si="31"/>
        <v/>
      </c>
      <c r="AJ233" t="str">
        <f t="shared" si="31"/>
        <v/>
      </c>
      <c r="AK233" s="12"/>
      <c r="AL233" s="94" t="e">
        <f t="shared" si="32"/>
        <v>#VALUE!</v>
      </c>
      <c r="AM233" s="94" t="e">
        <f t="shared" si="33"/>
        <v>#VALUE!</v>
      </c>
      <c r="AN233" s="12"/>
    </row>
    <row r="234" spans="26:40" ht="15.75" thickBot="1" x14ac:dyDescent="0.3">
      <c r="Z234" s="95">
        <f t="shared" si="30"/>
        <v>0</v>
      </c>
      <c r="AA234" s="12"/>
      <c r="AC234" s="128"/>
      <c r="AD234" s="66"/>
      <c r="AE234" s="128"/>
      <c r="AG234" s="128"/>
      <c r="AH234" s="12"/>
      <c r="AI234" t="str">
        <f t="shared" si="31"/>
        <v/>
      </c>
      <c r="AJ234" t="str">
        <f t="shared" si="31"/>
        <v/>
      </c>
      <c r="AK234" s="12"/>
      <c r="AL234" s="94" t="e">
        <f t="shared" si="32"/>
        <v>#VALUE!</v>
      </c>
      <c r="AM234" s="94" t="e">
        <f t="shared" si="33"/>
        <v>#VALUE!</v>
      </c>
      <c r="AN234" s="12"/>
    </row>
    <row r="235" spans="26:40" ht="15.75" thickBot="1" x14ac:dyDescent="0.3">
      <c r="Z235" s="95">
        <f t="shared" si="30"/>
        <v>0</v>
      </c>
      <c r="AA235" s="12"/>
      <c r="AC235" s="128"/>
      <c r="AD235" s="66"/>
      <c r="AE235" s="128"/>
      <c r="AG235" s="128"/>
      <c r="AH235" s="12"/>
      <c r="AI235" t="str">
        <f t="shared" si="31"/>
        <v/>
      </c>
      <c r="AJ235" t="str">
        <f t="shared" si="31"/>
        <v/>
      </c>
      <c r="AK235" s="12"/>
      <c r="AL235" s="94" t="e">
        <f t="shared" si="32"/>
        <v>#VALUE!</v>
      </c>
      <c r="AM235" s="94" t="e">
        <f t="shared" si="33"/>
        <v>#VALUE!</v>
      </c>
      <c r="AN235" s="12"/>
    </row>
    <row r="236" spans="26:40" ht="15.75" thickBot="1" x14ac:dyDescent="0.3">
      <c r="Z236" s="95">
        <f t="shared" si="30"/>
        <v>0</v>
      </c>
      <c r="AA236" s="12"/>
      <c r="AC236" s="128"/>
      <c r="AD236" s="66"/>
      <c r="AE236" s="128"/>
      <c r="AG236" s="128"/>
      <c r="AH236" s="12"/>
      <c r="AI236" t="str">
        <f t="shared" si="31"/>
        <v/>
      </c>
      <c r="AJ236" t="str">
        <f t="shared" si="31"/>
        <v/>
      </c>
      <c r="AK236" s="12"/>
      <c r="AL236" s="94" t="e">
        <f t="shared" si="32"/>
        <v>#VALUE!</v>
      </c>
      <c r="AM236" s="94" t="e">
        <f t="shared" si="33"/>
        <v>#VALUE!</v>
      </c>
      <c r="AN236" s="12"/>
    </row>
    <row r="237" spans="26:40" ht="15.75" thickBot="1" x14ac:dyDescent="0.3">
      <c r="Z237" s="95">
        <f t="shared" si="30"/>
        <v>0</v>
      </c>
      <c r="AA237" s="12"/>
      <c r="AC237" s="128"/>
      <c r="AD237" s="66"/>
      <c r="AE237" s="128"/>
      <c r="AG237" s="128"/>
      <c r="AH237" s="12"/>
      <c r="AI237" t="str">
        <f t="shared" si="31"/>
        <v/>
      </c>
      <c r="AJ237" t="str">
        <f t="shared" si="31"/>
        <v/>
      </c>
      <c r="AK237" s="12"/>
      <c r="AL237" s="94" t="e">
        <f t="shared" si="32"/>
        <v>#VALUE!</v>
      </c>
      <c r="AM237" s="94" t="e">
        <f t="shared" si="33"/>
        <v>#VALUE!</v>
      </c>
      <c r="AN237" s="12"/>
    </row>
    <row r="238" spans="26:40" ht="15.75" thickBot="1" x14ac:dyDescent="0.3">
      <c r="Z238" s="95">
        <f t="shared" si="30"/>
        <v>0</v>
      </c>
      <c r="AA238" s="12"/>
      <c r="AC238" s="128"/>
      <c r="AD238" s="66"/>
      <c r="AE238" s="128"/>
      <c r="AG238" s="128"/>
      <c r="AH238" s="12"/>
      <c r="AI238" t="str">
        <f t="shared" si="31"/>
        <v/>
      </c>
      <c r="AJ238" t="str">
        <f t="shared" si="31"/>
        <v/>
      </c>
      <c r="AK238" s="12"/>
      <c r="AL238" s="94" t="e">
        <f t="shared" si="32"/>
        <v>#VALUE!</v>
      </c>
      <c r="AM238" s="94" t="e">
        <f t="shared" si="33"/>
        <v>#VALUE!</v>
      </c>
      <c r="AN238" s="12"/>
    </row>
    <row r="239" spans="26:40" ht="15.75" thickBot="1" x14ac:dyDescent="0.3">
      <c r="Z239" s="95">
        <f t="shared" si="30"/>
        <v>0</v>
      </c>
      <c r="AA239" s="12"/>
      <c r="AC239" s="128"/>
      <c r="AD239" s="66"/>
      <c r="AE239" s="128"/>
      <c r="AG239" s="128"/>
      <c r="AH239" s="12"/>
      <c r="AI239" t="str">
        <f t="shared" si="31"/>
        <v/>
      </c>
      <c r="AJ239" t="str">
        <f t="shared" si="31"/>
        <v/>
      </c>
      <c r="AK239" s="12"/>
      <c r="AL239" s="94" t="e">
        <f t="shared" si="32"/>
        <v>#VALUE!</v>
      </c>
      <c r="AM239" s="94" t="e">
        <f t="shared" si="33"/>
        <v>#VALUE!</v>
      </c>
      <c r="AN239" s="12"/>
    </row>
    <row r="240" spans="26:40" ht="15.75" thickBot="1" x14ac:dyDescent="0.3">
      <c r="Z240" s="95">
        <f t="shared" si="30"/>
        <v>0</v>
      </c>
      <c r="AA240" s="12"/>
      <c r="AC240" s="128"/>
      <c r="AD240" s="66"/>
      <c r="AE240" s="128"/>
      <c r="AG240" s="128"/>
      <c r="AH240" s="12"/>
      <c r="AI240" t="str">
        <f t="shared" si="31"/>
        <v/>
      </c>
      <c r="AJ240" t="str">
        <f t="shared" si="31"/>
        <v/>
      </c>
      <c r="AK240" s="12"/>
      <c r="AL240" s="94" t="e">
        <f t="shared" si="32"/>
        <v>#VALUE!</v>
      </c>
      <c r="AM240" s="94" t="e">
        <f t="shared" si="33"/>
        <v>#VALUE!</v>
      </c>
      <c r="AN240" s="12"/>
    </row>
    <row r="241" spans="26:40" ht="15.75" thickBot="1" x14ac:dyDescent="0.3">
      <c r="Z241" s="95">
        <f t="shared" si="30"/>
        <v>0</v>
      </c>
      <c r="AA241" s="12"/>
      <c r="AC241" s="128"/>
      <c r="AD241" s="66"/>
      <c r="AE241" s="128"/>
      <c r="AG241" s="128"/>
      <c r="AH241" s="12"/>
      <c r="AI241" t="str">
        <f t="shared" si="31"/>
        <v/>
      </c>
      <c r="AJ241" t="str">
        <f t="shared" si="31"/>
        <v/>
      </c>
      <c r="AK241" s="12"/>
      <c r="AL241" s="94" t="e">
        <f t="shared" si="32"/>
        <v>#VALUE!</v>
      </c>
      <c r="AM241" s="94" t="e">
        <f t="shared" si="33"/>
        <v>#VALUE!</v>
      </c>
      <c r="AN241" s="12"/>
    </row>
    <row r="242" spans="26:40" ht="15.75" thickBot="1" x14ac:dyDescent="0.3">
      <c r="Z242" s="95">
        <f t="shared" si="30"/>
        <v>0</v>
      </c>
      <c r="AA242" s="12"/>
      <c r="AC242" s="128"/>
      <c r="AD242" s="66"/>
      <c r="AE242" s="128"/>
      <c r="AG242" s="128"/>
      <c r="AH242" s="12"/>
      <c r="AI242" t="str">
        <f t="shared" si="31"/>
        <v/>
      </c>
      <c r="AJ242" t="str">
        <f t="shared" si="31"/>
        <v/>
      </c>
      <c r="AK242" s="12"/>
      <c r="AL242" s="94" t="e">
        <f t="shared" si="32"/>
        <v>#VALUE!</v>
      </c>
      <c r="AM242" s="94" t="e">
        <f t="shared" si="33"/>
        <v>#VALUE!</v>
      </c>
      <c r="AN242" s="12"/>
    </row>
    <row r="243" spans="26:40" ht="15.75" thickBot="1" x14ac:dyDescent="0.3">
      <c r="Z243" s="95">
        <f t="shared" si="30"/>
        <v>0</v>
      </c>
      <c r="AA243" s="12"/>
      <c r="AC243" s="128"/>
      <c r="AD243" s="66"/>
      <c r="AE243" s="128"/>
      <c r="AG243" s="128"/>
      <c r="AH243" s="12"/>
      <c r="AI243" t="str">
        <f t="shared" si="31"/>
        <v/>
      </c>
      <c r="AJ243" t="str">
        <f t="shared" si="31"/>
        <v/>
      </c>
      <c r="AK243" s="12"/>
      <c r="AL243" s="94" t="e">
        <f t="shared" si="32"/>
        <v>#VALUE!</v>
      </c>
      <c r="AM243" s="94" t="e">
        <f t="shared" si="33"/>
        <v>#VALUE!</v>
      </c>
      <c r="AN243" s="12"/>
    </row>
    <row r="244" spans="26:40" ht="15.75" thickBot="1" x14ac:dyDescent="0.3">
      <c r="Z244" s="95">
        <f t="shared" si="30"/>
        <v>0</v>
      </c>
      <c r="AA244" s="12"/>
      <c r="AC244" s="128"/>
      <c r="AD244" s="66"/>
      <c r="AE244" s="128"/>
      <c r="AG244" s="128"/>
      <c r="AH244" s="12"/>
      <c r="AI244" t="str">
        <f t="shared" si="31"/>
        <v/>
      </c>
      <c r="AJ244" t="str">
        <f t="shared" si="31"/>
        <v/>
      </c>
      <c r="AK244" s="12"/>
      <c r="AL244" s="94" t="e">
        <f t="shared" si="32"/>
        <v>#VALUE!</v>
      </c>
      <c r="AM244" s="94" t="e">
        <f t="shared" si="33"/>
        <v>#VALUE!</v>
      </c>
      <c r="AN244" s="12"/>
    </row>
    <row r="245" spans="26:40" ht="15.75" thickBot="1" x14ac:dyDescent="0.3">
      <c r="Z245" s="95">
        <f t="shared" si="30"/>
        <v>0</v>
      </c>
      <c r="AA245" s="12"/>
      <c r="AC245" s="128"/>
      <c r="AD245" s="66"/>
      <c r="AE245" s="128"/>
      <c r="AG245" s="128"/>
      <c r="AH245" s="12"/>
      <c r="AI245" t="str">
        <f t="shared" si="31"/>
        <v/>
      </c>
      <c r="AJ245" t="str">
        <f t="shared" si="31"/>
        <v/>
      </c>
      <c r="AK245" s="12"/>
      <c r="AL245" s="94" t="e">
        <f t="shared" si="32"/>
        <v>#VALUE!</v>
      </c>
      <c r="AM245" s="94" t="e">
        <f t="shared" si="33"/>
        <v>#VALUE!</v>
      </c>
      <c r="AN245" s="12"/>
    </row>
    <row r="246" spans="26:40" ht="15.75" thickBot="1" x14ac:dyDescent="0.3">
      <c r="Z246" s="95">
        <f t="shared" si="30"/>
        <v>0</v>
      </c>
      <c r="AA246" s="12"/>
      <c r="AC246" s="128"/>
      <c r="AD246" s="66"/>
      <c r="AE246" s="128"/>
      <c r="AG246" s="128"/>
      <c r="AH246" s="12"/>
      <c r="AI246" t="str">
        <f t="shared" si="31"/>
        <v/>
      </c>
      <c r="AJ246" t="str">
        <f t="shared" si="31"/>
        <v/>
      </c>
      <c r="AK246" s="12"/>
      <c r="AL246" s="94" t="e">
        <f t="shared" si="32"/>
        <v>#VALUE!</v>
      </c>
      <c r="AM246" s="94" t="e">
        <f t="shared" si="33"/>
        <v>#VALUE!</v>
      </c>
      <c r="AN246" s="12"/>
    </row>
    <row r="247" spans="26:40" ht="15.75" thickBot="1" x14ac:dyDescent="0.3">
      <c r="Z247" s="95">
        <f t="shared" si="30"/>
        <v>0</v>
      </c>
      <c r="AA247" s="12"/>
      <c r="AC247" s="128"/>
      <c r="AD247" s="66"/>
      <c r="AE247" s="128"/>
      <c r="AG247" s="128"/>
      <c r="AH247" s="12"/>
      <c r="AI247" t="str">
        <f t="shared" si="31"/>
        <v/>
      </c>
      <c r="AJ247" t="str">
        <f t="shared" si="31"/>
        <v/>
      </c>
      <c r="AK247" s="12"/>
      <c r="AL247" s="94" t="e">
        <f t="shared" si="32"/>
        <v>#VALUE!</v>
      </c>
      <c r="AM247" s="94" t="e">
        <f t="shared" si="33"/>
        <v>#VALUE!</v>
      </c>
      <c r="AN247" s="12"/>
    </row>
    <row r="248" spans="26:40" ht="15.75" thickBot="1" x14ac:dyDescent="0.3">
      <c r="Z248" s="95">
        <f t="shared" si="30"/>
        <v>0</v>
      </c>
      <c r="AA248" s="12"/>
      <c r="AC248" s="128"/>
      <c r="AD248" s="66"/>
      <c r="AE248" s="128"/>
      <c r="AG248" s="128"/>
      <c r="AH248" s="12"/>
      <c r="AI248" t="str">
        <f t="shared" si="31"/>
        <v/>
      </c>
      <c r="AJ248" t="str">
        <f t="shared" si="31"/>
        <v/>
      </c>
      <c r="AK248" s="12"/>
      <c r="AL248" s="94" t="e">
        <f t="shared" si="32"/>
        <v>#VALUE!</v>
      </c>
      <c r="AM248" s="94" t="e">
        <f t="shared" si="33"/>
        <v>#VALUE!</v>
      </c>
      <c r="AN248" s="12"/>
    </row>
    <row r="249" spans="26:40" ht="15.75" thickBot="1" x14ac:dyDescent="0.3">
      <c r="Z249" s="95">
        <f t="shared" si="30"/>
        <v>0</v>
      </c>
      <c r="AA249" s="12"/>
      <c r="AC249" s="128"/>
      <c r="AD249" s="66"/>
      <c r="AE249" s="128"/>
      <c r="AG249" s="128"/>
      <c r="AH249" s="12"/>
      <c r="AI249" t="str">
        <f t="shared" si="31"/>
        <v/>
      </c>
      <c r="AJ249" t="str">
        <f t="shared" si="31"/>
        <v/>
      </c>
      <c r="AK249" s="12"/>
      <c r="AL249" s="94" t="e">
        <f t="shared" si="32"/>
        <v>#VALUE!</v>
      </c>
      <c r="AM249" s="94" t="e">
        <f t="shared" si="33"/>
        <v>#VALUE!</v>
      </c>
      <c r="AN249" s="12"/>
    </row>
    <row r="250" spans="26:40" ht="15.75" thickBot="1" x14ac:dyDescent="0.3">
      <c r="Z250" s="95">
        <f t="shared" si="30"/>
        <v>0</v>
      </c>
      <c r="AA250" s="12"/>
      <c r="AC250" s="128"/>
      <c r="AD250" s="66"/>
      <c r="AE250" s="128"/>
      <c r="AG250" s="128"/>
      <c r="AH250" s="12"/>
      <c r="AI250" t="str">
        <f t="shared" si="31"/>
        <v/>
      </c>
      <c r="AJ250" t="str">
        <f t="shared" si="31"/>
        <v/>
      </c>
      <c r="AK250" s="12"/>
      <c r="AL250" s="94" t="e">
        <f t="shared" si="32"/>
        <v>#VALUE!</v>
      </c>
      <c r="AM250" s="94" t="e">
        <f t="shared" si="33"/>
        <v>#VALUE!</v>
      </c>
      <c r="AN250" s="12"/>
    </row>
    <row r="251" spans="26:40" ht="15.75" thickBot="1" x14ac:dyDescent="0.3">
      <c r="Z251" s="95">
        <f t="shared" si="30"/>
        <v>0</v>
      </c>
      <c r="AA251" s="12"/>
      <c r="AC251" s="128"/>
      <c r="AD251" s="66"/>
      <c r="AE251" s="128"/>
      <c r="AG251" s="128"/>
      <c r="AH251" s="12"/>
      <c r="AI251" t="str">
        <f t="shared" si="31"/>
        <v/>
      </c>
      <c r="AJ251" t="str">
        <f t="shared" si="31"/>
        <v/>
      </c>
      <c r="AK251" s="12"/>
      <c r="AL251" s="94" t="e">
        <f t="shared" si="32"/>
        <v>#VALUE!</v>
      </c>
      <c r="AM251" s="94" t="e">
        <f t="shared" si="33"/>
        <v>#VALUE!</v>
      </c>
      <c r="AN251" s="12"/>
    </row>
    <row r="252" spans="26:40" ht="15.75" thickBot="1" x14ac:dyDescent="0.3">
      <c r="Z252" s="95">
        <f t="shared" si="30"/>
        <v>0</v>
      </c>
      <c r="AA252" s="12"/>
      <c r="AC252" s="128"/>
      <c r="AD252" s="66"/>
      <c r="AE252" s="128"/>
      <c r="AG252" s="128"/>
      <c r="AH252" s="12"/>
      <c r="AI252" t="str">
        <f t="shared" si="31"/>
        <v/>
      </c>
      <c r="AJ252" t="str">
        <f t="shared" si="31"/>
        <v/>
      </c>
      <c r="AK252" s="12"/>
      <c r="AL252" s="94" t="e">
        <f t="shared" si="32"/>
        <v>#VALUE!</v>
      </c>
      <c r="AM252" s="94" t="e">
        <f t="shared" si="33"/>
        <v>#VALUE!</v>
      </c>
      <c r="AN252" s="12"/>
    </row>
    <row r="253" spans="26:40" ht="15.75" thickBot="1" x14ac:dyDescent="0.3">
      <c r="Z253" s="95">
        <f t="shared" si="30"/>
        <v>0</v>
      </c>
      <c r="AA253" s="12"/>
      <c r="AC253" s="128"/>
      <c r="AD253" s="66"/>
      <c r="AE253" s="128"/>
      <c r="AG253" s="128"/>
      <c r="AH253" s="12"/>
      <c r="AI253" t="str">
        <f t="shared" si="31"/>
        <v/>
      </c>
      <c r="AJ253" t="str">
        <f t="shared" si="31"/>
        <v/>
      </c>
      <c r="AK253" s="12"/>
      <c r="AL253" s="94" t="e">
        <f t="shared" si="32"/>
        <v>#VALUE!</v>
      </c>
      <c r="AM253" s="94" t="e">
        <f t="shared" si="33"/>
        <v>#VALUE!</v>
      </c>
      <c r="AN253" s="12"/>
    </row>
    <row r="254" spans="26:40" ht="15.75" thickBot="1" x14ac:dyDescent="0.3">
      <c r="Z254" s="95">
        <f t="shared" si="30"/>
        <v>0</v>
      </c>
      <c r="AA254" s="12"/>
      <c r="AC254" s="128"/>
      <c r="AD254" s="66"/>
      <c r="AE254" s="128"/>
      <c r="AG254" s="128"/>
      <c r="AH254" s="12"/>
      <c r="AI254" t="str">
        <f t="shared" si="31"/>
        <v/>
      </c>
      <c r="AJ254" t="str">
        <f t="shared" si="31"/>
        <v/>
      </c>
      <c r="AK254" s="12"/>
      <c r="AL254" s="94" t="e">
        <f t="shared" si="32"/>
        <v>#VALUE!</v>
      </c>
      <c r="AM254" s="94" t="e">
        <f t="shared" si="33"/>
        <v>#VALUE!</v>
      </c>
      <c r="AN254" s="12"/>
    </row>
    <row r="255" spans="26:40" ht="15.75" thickBot="1" x14ac:dyDescent="0.3">
      <c r="Z255" s="95">
        <f t="shared" si="30"/>
        <v>0</v>
      </c>
      <c r="AA255" s="12"/>
      <c r="AC255" s="128"/>
      <c r="AD255" s="66"/>
      <c r="AE255" s="128"/>
      <c r="AG255" s="128"/>
      <c r="AH255" s="12"/>
      <c r="AI255" t="str">
        <f t="shared" si="31"/>
        <v/>
      </c>
      <c r="AJ255" t="str">
        <f t="shared" si="31"/>
        <v/>
      </c>
      <c r="AK255" s="12"/>
      <c r="AL255" s="94" t="e">
        <f t="shared" si="32"/>
        <v>#VALUE!</v>
      </c>
      <c r="AM255" s="94" t="e">
        <f t="shared" si="33"/>
        <v>#VALUE!</v>
      </c>
      <c r="AN255" s="12"/>
    </row>
    <row r="256" spans="26:40" ht="15.75" thickBot="1" x14ac:dyDescent="0.3">
      <c r="Z256" s="95">
        <f t="shared" si="30"/>
        <v>0</v>
      </c>
      <c r="AA256" s="12"/>
      <c r="AC256" s="128"/>
      <c r="AD256" s="66"/>
      <c r="AE256" s="128"/>
      <c r="AG256" s="128"/>
      <c r="AH256" s="12"/>
      <c r="AI256" t="str">
        <f t="shared" si="31"/>
        <v/>
      </c>
      <c r="AJ256" t="str">
        <f t="shared" si="31"/>
        <v/>
      </c>
      <c r="AK256" s="12"/>
      <c r="AL256" s="94" t="e">
        <f t="shared" si="32"/>
        <v>#VALUE!</v>
      </c>
      <c r="AM256" s="94" t="e">
        <f t="shared" si="33"/>
        <v>#VALUE!</v>
      </c>
      <c r="AN256" s="12"/>
    </row>
    <row r="257" spans="26:40" ht="15.75" thickBot="1" x14ac:dyDescent="0.3">
      <c r="Z257" s="95">
        <f t="shared" si="30"/>
        <v>0</v>
      </c>
      <c r="AA257" s="12"/>
      <c r="AC257" s="128"/>
      <c r="AD257" s="66"/>
      <c r="AE257" s="128"/>
      <c r="AG257" s="128"/>
      <c r="AH257" s="12"/>
      <c r="AI257" t="str">
        <f t="shared" si="31"/>
        <v/>
      </c>
      <c r="AJ257" t="str">
        <f t="shared" si="31"/>
        <v/>
      </c>
      <c r="AK257" s="12"/>
      <c r="AL257" s="94" t="e">
        <f t="shared" si="32"/>
        <v>#VALUE!</v>
      </c>
      <c r="AM257" s="94" t="e">
        <f t="shared" si="33"/>
        <v>#VALUE!</v>
      </c>
      <c r="AN257" s="12"/>
    </row>
    <row r="258" spans="26:40" ht="15.75" thickBot="1" x14ac:dyDescent="0.3">
      <c r="Z258" s="95">
        <f t="shared" si="30"/>
        <v>0</v>
      </c>
      <c r="AA258" s="12"/>
      <c r="AC258" s="128"/>
      <c r="AD258" s="66"/>
      <c r="AE258" s="128"/>
      <c r="AG258" s="128"/>
      <c r="AH258" s="12"/>
      <c r="AI258" t="str">
        <f t="shared" si="31"/>
        <v/>
      </c>
      <c r="AJ258" t="str">
        <f t="shared" si="31"/>
        <v/>
      </c>
      <c r="AK258" s="12"/>
      <c r="AL258" s="94" t="e">
        <f t="shared" si="32"/>
        <v>#VALUE!</v>
      </c>
      <c r="AM258" s="94" t="e">
        <f t="shared" si="33"/>
        <v>#VALUE!</v>
      </c>
      <c r="AN258" s="12"/>
    </row>
    <row r="259" spans="26:40" ht="15.75" thickBot="1" x14ac:dyDescent="0.3">
      <c r="Z259" s="95">
        <f t="shared" si="30"/>
        <v>0</v>
      </c>
      <c r="AA259" s="12"/>
      <c r="AC259" s="128"/>
      <c r="AD259" s="66"/>
      <c r="AE259" s="128"/>
      <c r="AG259" s="128"/>
      <c r="AH259" s="12"/>
      <c r="AI259" t="str">
        <f t="shared" si="31"/>
        <v/>
      </c>
      <c r="AJ259" t="str">
        <f t="shared" si="31"/>
        <v/>
      </c>
      <c r="AK259" s="12"/>
      <c r="AL259" s="94" t="e">
        <f t="shared" si="32"/>
        <v>#VALUE!</v>
      </c>
      <c r="AM259" s="94" t="e">
        <f t="shared" si="33"/>
        <v>#VALUE!</v>
      </c>
      <c r="AN259" s="12"/>
    </row>
    <row r="260" spans="26:40" ht="15.75" thickBot="1" x14ac:dyDescent="0.3">
      <c r="Z260" s="95">
        <f t="shared" si="30"/>
        <v>0</v>
      </c>
      <c r="AA260" s="12"/>
      <c r="AC260" s="128"/>
      <c r="AD260" s="66"/>
      <c r="AE260" s="128"/>
      <c r="AG260" s="128"/>
      <c r="AH260" s="12"/>
      <c r="AI260" t="str">
        <f t="shared" si="31"/>
        <v/>
      </c>
      <c r="AJ260" t="str">
        <f t="shared" si="31"/>
        <v/>
      </c>
      <c r="AK260" s="12"/>
      <c r="AL260" s="94" t="e">
        <f t="shared" si="32"/>
        <v>#VALUE!</v>
      </c>
      <c r="AM260" s="94" t="e">
        <f t="shared" si="33"/>
        <v>#VALUE!</v>
      </c>
      <c r="AN260" s="12"/>
    </row>
    <row r="261" spans="26:40" ht="15.75" thickBot="1" x14ac:dyDescent="0.3">
      <c r="Z261" s="95">
        <f t="shared" si="30"/>
        <v>0</v>
      </c>
      <c r="AA261" s="12"/>
      <c r="AC261" s="128"/>
      <c r="AD261" s="66"/>
      <c r="AE261" s="128"/>
      <c r="AG261" s="128"/>
      <c r="AH261" s="12"/>
      <c r="AI261" t="str">
        <f t="shared" si="31"/>
        <v/>
      </c>
      <c r="AJ261" t="str">
        <f t="shared" si="31"/>
        <v/>
      </c>
      <c r="AK261" s="12"/>
      <c r="AL261" s="94" t="e">
        <f t="shared" si="32"/>
        <v>#VALUE!</v>
      </c>
      <c r="AM261" s="94" t="e">
        <f t="shared" si="33"/>
        <v>#VALUE!</v>
      </c>
      <c r="AN261" s="12"/>
    </row>
    <row r="262" spans="26:40" ht="15.75" thickBot="1" x14ac:dyDescent="0.3">
      <c r="Z262" s="95">
        <f t="shared" ref="Z262:Z301" si="34">E262</f>
        <v>0</v>
      </c>
      <c r="AA262" s="12"/>
      <c r="AC262" s="128"/>
      <c r="AD262" s="66"/>
      <c r="AE262" s="128"/>
      <c r="AG262" s="128"/>
      <c r="AH262" s="12"/>
      <c r="AI262" t="str">
        <f t="shared" ref="AI262:AJ302" si="35">IF(AND(AB262="",AD262="",AF262=""),"",SUM(AB262,AD262,AF262))</f>
        <v/>
      </c>
      <c r="AJ262" t="str">
        <f t="shared" si="35"/>
        <v/>
      </c>
      <c r="AK262" s="12"/>
      <c r="AL262" s="94" t="e">
        <f t="shared" ref="AL262:AL301" si="36">AI262/R262</f>
        <v>#VALUE!</v>
      </c>
      <c r="AM262" s="94" t="e">
        <f t="shared" ref="AM262:AM301" si="37">AJ262/R262</f>
        <v>#VALUE!</v>
      </c>
      <c r="AN262" s="12"/>
    </row>
    <row r="263" spans="26:40" ht="15.75" thickBot="1" x14ac:dyDescent="0.3">
      <c r="Z263" s="95">
        <f t="shared" si="34"/>
        <v>0</v>
      </c>
      <c r="AA263" s="12"/>
      <c r="AC263" s="128"/>
      <c r="AD263" s="66"/>
      <c r="AE263" s="128"/>
      <c r="AG263" s="128"/>
      <c r="AH263" s="12"/>
      <c r="AI263" t="str">
        <f t="shared" si="35"/>
        <v/>
      </c>
      <c r="AJ263" t="str">
        <f t="shared" si="35"/>
        <v/>
      </c>
      <c r="AK263" s="12"/>
      <c r="AL263" s="94" t="e">
        <f t="shared" si="36"/>
        <v>#VALUE!</v>
      </c>
      <c r="AM263" s="94" t="e">
        <f t="shared" si="37"/>
        <v>#VALUE!</v>
      </c>
      <c r="AN263" s="12"/>
    </row>
    <row r="264" spans="26:40" ht="15.75" thickBot="1" x14ac:dyDescent="0.3">
      <c r="Z264" s="95">
        <f t="shared" si="34"/>
        <v>0</v>
      </c>
      <c r="AA264" s="12"/>
      <c r="AC264" s="128"/>
      <c r="AD264" s="66"/>
      <c r="AE264" s="128"/>
      <c r="AG264" s="128"/>
      <c r="AH264" s="12"/>
      <c r="AI264" t="str">
        <f t="shared" si="35"/>
        <v/>
      </c>
      <c r="AJ264" t="str">
        <f t="shared" si="35"/>
        <v/>
      </c>
      <c r="AK264" s="12"/>
      <c r="AL264" s="94" t="e">
        <f t="shared" si="36"/>
        <v>#VALUE!</v>
      </c>
      <c r="AM264" s="94" t="e">
        <f t="shared" si="37"/>
        <v>#VALUE!</v>
      </c>
      <c r="AN264" s="12"/>
    </row>
    <row r="265" spans="26:40" ht="15.75" thickBot="1" x14ac:dyDescent="0.3">
      <c r="Z265" s="95">
        <f t="shared" si="34"/>
        <v>0</v>
      </c>
      <c r="AA265" s="12"/>
      <c r="AC265" s="128"/>
      <c r="AD265" s="66"/>
      <c r="AE265" s="128"/>
      <c r="AG265" s="128"/>
      <c r="AH265" s="12"/>
      <c r="AI265" t="str">
        <f t="shared" si="35"/>
        <v/>
      </c>
      <c r="AJ265" t="str">
        <f t="shared" si="35"/>
        <v/>
      </c>
      <c r="AK265" s="12"/>
      <c r="AL265" s="94" t="e">
        <f t="shared" si="36"/>
        <v>#VALUE!</v>
      </c>
      <c r="AM265" s="94" t="e">
        <f t="shared" si="37"/>
        <v>#VALUE!</v>
      </c>
      <c r="AN265" s="12"/>
    </row>
    <row r="266" spans="26:40" ht="15.75" thickBot="1" x14ac:dyDescent="0.3">
      <c r="Z266" s="95">
        <f t="shared" si="34"/>
        <v>0</v>
      </c>
      <c r="AA266" s="12"/>
      <c r="AC266" s="128"/>
      <c r="AD266" s="66"/>
      <c r="AE266" s="128"/>
      <c r="AG266" s="128"/>
      <c r="AH266" s="12"/>
      <c r="AI266" t="str">
        <f t="shared" si="35"/>
        <v/>
      </c>
      <c r="AJ266" t="str">
        <f t="shared" si="35"/>
        <v/>
      </c>
      <c r="AK266" s="12"/>
      <c r="AL266" s="94" t="e">
        <f t="shared" si="36"/>
        <v>#VALUE!</v>
      </c>
      <c r="AM266" s="94" t="e">
        <f t="shared" si="37"/>
        <v>#VALUE!</v>
      </c>
      <c r="AN266" s="12"/>
    </row>
    <row r="267" spans="26:40" ht="15.75" thickBot="1" x14ac:dyDescent="0.3">
      <c r="Z267" s="95">
        <f t="shared" si="34"/>
        <v>0</v>
      </c>
      <c r="AA267" s="12"/>
      <c r="AC267" s="128"/>
      <c r="AD267" s="66"/>
      <c r="AE267" s="128"/>
      <c r="AG267" s="128"/>
      <c r="AH267" s="12"/>
      <c r="AI267" t="str">
        <f t="shared" si="35"/>
        <v/>
      </c>
      <c r="AJ267" t="str">
        <f t="shared" si="35"/>
        <v/>
      </c>
      <c r="AK267" s="12"/>
      <c r="AL267" s="94" t="e">
        <f t="shared" si="36"/>
        <v>#VALUE!</v>
      </c>
      <c r="AM267" s="94" t="e">
        <f t="shared" si="37"/>
        <v>#VALUE!</v>
      </c>
      <c r="AN267" s="12"/>
    </row>
    <row r="268" spans="26:40" ht="15.75" thickBot="1" x14ac:dyDescent="0.3">
      <c r="Z268" s="95">
        <f t="shared" si="34"/>
        <v>0</v>
      </c>
      <c r="AA268" s="12"/>
      <c r="AC268" s="128"/>
      <c r="AD268" s="66"/>
      <c r="AE268" s="128"/>
      <c r="AG268" s="128"/>
      <c r="AH268" s="12"/>
      <c r="AI268" t="str">
        <f t="shared" si="35"/>
        <v/>
      </c>
      <c r="AJ268" t="str">
        <f t="shared" si="35"/>
        <v/>
      </c>
      <c r="AK268" s="12"/>
      <c r="AL268" s="94" t="e">
        <f t="shared" si="36"/>
        <v>#VALUE!</v>
      </c>
      <c r="AM268" s="94" t="e">
        <f t="shared" si="37"/>
        <v>#VALUE!</v>
      </c>
      <c r="AN268" s="12"/>
    </row>
    <row r="269" spans="26:40" ht="15.75" thickBot="1" x14ac:dyDescent="0.3">
      <c r="Z269" s="95">
        <f t="shared" si="34"/>
        <v>0</v>
      </c>
      <c r="AA269" s="12"/>
      <c r="AC269" s="128"/>
      <c r="AD269" s="66"/>
      <c r="AE269" s="128"/>
      <c r="AG269" s="128"/>
      <c r="AH269" s="12"/>
      <c r="AI269" t="str">
        <f t="shared" si="35"/>
        <v/>
      </c>
      <c r="AJ269" t="str">
        <f t="shared" si="35"/>
        <v/>
      </c>
      <c r="AK269" s="12"/>
      <c r="AL269" s="94" t="e">
        <f t="shared" si="36"/>
        <v>#VALUE!</v>
      </c>
      <c r="AM269" s="94" t="e">
        <f t="shared" si="37"/>
        <v>#VALUE!</v>
      </c>
      <c r="AN269" s="12"/>
    </row>
    <row r="270" spans="26:40" ht="15.75" thickBot="1" x14ac:dyDescent="0.3">
      <c r="Z270" s="95">
        <f t="shared" si="34"/>
        <v>0</v>
      </c>
      <c r="AA270" s="12"/>
      <c r="AC270" s="128"/>
      <c r="AD270" s="66"/>
      <c r="AE270" s="128"/>
      <c r="AG270" s="128"/>
      <c r="AH270" s="12"/>
      <c r="AI270" t="str">
        <f t="shared" si="35"/>
        <v/>
      </c>
      <c r="AJ270" t="str">
        <f t="shared" si="35"/>
        <v/>
      </c>
      <c r="AK270" s="12"/>
      <c r="AL270" s="94" t="e">
        <f t="shared" si="36"/>
        <v>#VALUE!</v>
      </c>
      <c r="AM270" s="94" t="e">
        <f t="shared" si="37"/>
        <v>#VALUE!</v>
      </c>
      <c r="AN270" s="12"/>
    </row>
    <row r="271" spans="26:40" ht="15.75" thickBot="1" x14ac:dyDescent="0.3">
      <c r="Z271" s="95">
        <f t="shared" si="34"/>
        <v>0</v>
      </c>
      <c r="AA271" s="12"/>
      <c r="AC271" s="128"/>
      <c r="AD271" s="66"/>
      <c r="AE271" s="128"/>
      <c r="AG271" s="128"/>
      <c r="AH271" s="12"/>
      <c r="AI271" t="str">
        <f t="shared" si="35"/>
        <v/>
      </c>
      <c r="AJ271" t="str">
        <f t="shared" si="35"/>
        <v/>
      </c>
      <c r="AK271" s="12"/>
      <c r="AL271" s="94" t="e">
        <f t="shared" si="36"/>
        <v>#VALUE!</v>
      </c>
      <c r="AM271" s="94" t="e">
        <f t="shared" si="37"/>
        <v>#VALUE!</v>
      </c>
      <c r="AN271" s="12"/>
    </row>
    <row r="272" spans="26:40" ht="15.75" thickBot="1" x14ac:dyDescent="0.3">
      <c r="Z272" s="95">
        <f t="shared" si="34"/>
        <v>0</v>
      </c>
      <c r="AA272" s="12"/>
      <c r="AC272" s="128"/>
      <c r="AD272" s="66"/>
      <c r="AE272" s="128"/>
      <c r="AG272" s="128"/>
      <c r="AH272" s="12"/>
      <c r="AI272" t="str">
        <f t="shared" si="35"/>
        <v/>
      </c>
      <c r="AJ272" t="str">
        <f t="shared" si="35"/>
        <v/>
      </c>
      <c r="AK272" s="12"/>
      <c r="AL272" s="94" t="e">
        <f t="shared" si="36"/>
        <v>#VALUE!</v>
      </c>
      <c r="AM272" s="94" t="e">
        <f t="shared" si="37"/>
        <v>#VALUE!</v>
      </c>
      <c r="AN272" s="12"/>
    </row>
    <row r="273" spans="26:40" ht="15.75" thickBot="1" x14ac:dyDescent="0.3">
      <c r="Z273" s="95">
        <f t="shared" si="34"/>
        <v>0</v>
      </c>
      <c r="AA273" s="12"/>
      <c r="AC273" s="128"/>
      <c r="AD273" s="66"/>
      <c r="AE273" s="128"/>
      <c r="AG273" s="128"/>
      <c r="AH273" s="12"/>
      <c r="AI273" t="str">
        <f t="shared" si="35"/>
        <v/>
      </c>
      <c r="AJ273" t="str">
        <f t="shared" si="35"/>
        <v/>
      </c>
      <c r="AK273" s="12"/>
      <c r="AL273" s="94" t="e">
        <f t="shared" si="36"/>
        <v>#VALUE!</v>
      </c>
      <c r="AM273" s="94" t="e">
        <f t="shared" si="37"/>
        <v>#VALUE!</v>
      </c>
      <c r="AN273" s="12"/>
    </row>
    <row r="274" spans="26:40" ht="15.75" thickBot="1" x14ac:dyDescent="0.3">
      <c r="Z274" s="95">
        <f t="shared" si="34"/>
        <v>0</v>
      </c>
      <c r="AA274" s="12"/>
      <c r="AC274" s="128"/>
      <c r="AD274" s="66"/>
      <c r="AE274" s="128"/>
      <c r="AG274" s="128"/>
      <c r="AH274" s="12"/>
      <c r="AI274" t="str">
        <f t="shared" si="35"/>
        <v/>
      </c>
      <c r="AJ274" t="str">
        <f t="shared" si="35"/>
        <v/>
      </c>
      <c r="AK274" s="12"/>
      <c r="AL274" s="94" t="e">
        <f t="shared" si="36"/>
        <v>#VALUE!</v>
      </c>
      <c r="AM274" s="94" t="e">
        <f t="shared" si="37"/>
        <v>#VALUE!</v>
      </c>
      <c r="AN274" s="12"/>
    </row>
    <row r="275" spans="26:40" ht="15.75" thickBot="1" x14ac:dyDescent="0.3">
      <c r="Z275" s="95">
        <f t="shared" si="34"/>
        <v>0</v>
      </c>
      <c r="AA275" s="12"/>
      <c r="AC275" s="128"/>
      <c r="AD275" s="66"/>
      <c r="AE275" s="128"/>
      <c r="AG275" s="128"/>
      <c r="AH275" s="12"/>
      <c r="AI275" t="str">
        <f t="shared" si="35"/>
        <v/>
      </c>
      <c r="AJ275" t="str">
        <f t="shared" si="35"/>
        <v/>
      </c>
      <c r="AK275" s="12"/>
      <c r="AL275" s="94" t="e">
        <f t="shared" si="36"/>
        <v>#VALUE!</v>
      </c>
      <c r="AM275" s="94" t="e">
        <f t="shared" si="37"/>
        <v>#VALUE!</v>
      </c>
      <c r="AN275" s="12"/>
    </row>
    <row r="276" spans="26:40" ht="15.75" thickBot="1" x14ac:dyDescent="0.3">
      <c r="Z276" s="95">
        <f t="shared" si="34"/>
        <v>0</v>
      </c>
      <c r="AA276" s="12"/>
      <c r="AC276" s="128"/>
      <c r="AD276" s="66"/>
      <c r="AE276" s="128"/>
      <c r="AG276" s="128"/>
      <c r="AH276" s="12"/>
      <c r="AI276" t="str">
        <f t="shared" si="35"/>
        <v/>
      </c>
      <c r="AJ276" t="str">
        <f t="shared" si="35"/>
        <v/>
      </c>
      <c r="AK276" s="12"/>
      <c r="AL276" s="94" t="e">
        <f t="shared" si="36"/>
        <v>#VALUE!</v>
      </c>
      <c r="AM276" s="94" t="e">
        <f t="shared" si="37"/>
        <v>#VALUE!</v>
      </c>
      <c r="AN276" s="12"/>
    </row>
    <row r="277" spans="26:40" ht="15.75" thickBot="1" x14ac:dyDescent="0.3">
      <c r="Z277" s="95">
        <f t="shared" si="34"/>
        <v>0</v>
      </c>
      <c r="AA277" s="12"/>
      <c r="AC277" s="128"/>
      <c r="AD277" s="66"/>
      <c r="AE277" s="128"/>
      <c r="AG277" s="128"/>
      <c r="AH277" s="12"/>
      <c r="AI277" t="str">
        <f t="shared" si="35"/>
        <v/>
      </c>
      <c r="AJ277" t="str">
        <f t="shared" si="35"/>
        <v/>
      </c>
      <c r="AK277" s="12"/>
      <c r="AL277" s="94" t="e">
        <f t="shared" si="36"/>
        <v>#VALUE!</v>
      </c>
      <c r="AM277" s="94" t="e">
        <f t="shared" si="37"/>
        <v>#VALUE!</v>
      </c>
      <c r="AN277" s="12"/>
    </row>
    <row r="278" spans="26:40" ht="15.75" thickBot="1" x14ac:dyDescent="0.3">
      <c r="Z278" s="95">
        <f t="shared" si="34"/>
        <v>0</v>
      </c>
      <c r="AA278" s="12"/>
      <c r="AC278" s="128"/>
      <c r="AD278" s="66"/>
      <c r="AE278" s="128"/>
      <c r="AG278" s="128"/>
      <c r="AH278" s="12"/>
      <c r="AI278" t="str">
        <f t="shared" si="35"/>
        <v/>
      </c>
      <c r="AJ278" t="str">
        <f t="shared" si="35"/>
        <v/>
      </c>
      <c r="AK278" s="12"/>
      <c r="AL278" s="94" t="e">
        <f t="shared" si="36"/>
        <v>#VALUE!</v>
      </c>
      <c r="AM278" s="94" t="e">
        <f t="shared" si="37"/>
        <v>#VALUE!</v>
      </c>
      <c r="AN278" s="12"/>
    </row>
    <row r="279" spans="26:40" ht="15.75" thickBot="1" x14ac:dyDescent="0.3">
      <c r="Z279" s="95">
        <f t="shared" si="34"/>
        <v>0</v>
      </c>
      <c r="AA279" s="12"/>
      <c r="AC279" s="128"/>
      <c r="AD279" s="66"/>
      <c r="AE279" s="128"/>
      <c r="AG279" s="128"/>
      <c r="AH279" s="12"/>
      <c r="AI279" t="str">
        <f t="shared" si="35"/>
        <v/>
      </c>
      <c r="AJ279" t="str">
        <f t="shared" si="35"/>
        <v/>
      </c>
      <c r="AK279" s="12"/>
      <c r="AL279" s="94" t="e">
        <f t="shared" si="36"/>
        <v>#VALUE!</v>
      </c>
      <c r="AM279" s="94" t="e">
        <f t="shared" si="37"/>
        <v>#VALUE!</v>
      </c>
      <c r="AN279" s="12"/>
    </row>
    <row r="280" spans="26:40" ht="15.75" thickBot="1" x14ac:dyDescent="0.3">
      <c r="Z280" s="95">
        <f t="shared" si="34"/>
        <v>0</v>
      </c>
      <c r="AA280" s="12"/>
      <c r="AC280" s="128"/>
      <c r="AD280" s="66"/>
      <c r="AE280" s="128"/>
      <c r="AG280" s="128"/>
      <c r="AH280" s="12"/>
      <c r="AI280" t="str">
        <f t="shared" si="35"/>
        <v/>
      </c>
      <c r="AJ280" t="str">
        <f t="shared" si="35"/>
        <v/>
      </c>
      <c r="AK280" s="12"/>
      <c r="AL280" s="94" t="e">
        <f t="shared" si="36"/>
        <v>#VALUE!</v>
      </c>
      <c r="AM280" s="94" t="e">
        <f t="shared" si="37"/>
        <v>#VALUE!</v>
      </c>
      <c r="AN280" s="12"/>
    </row>
    <row r="281" spans="26:40" ht="15.75" thickBot="1" x14ac:dyDescent="0.3">
      <c r="Z281" s="95">
        <f t="shared" si="34"/>
        <v>0</v>
      </c>
      <c r="AA281" s="12"/>
      <c r="AC281" s="128"/>
      <c r="AD281" s="66"/>
      <c r="AE281" s="128"/>
      <c r="AG281" s="128"/>
      <c r="AH281" s="12"/>
      <c r="AI281" t="str">
        <f t="shared" si="35"/>
        <v/>
      </c>
      <c r="AJ281" t="str">
        <f t="shared" si="35"/>
        <v/>
      </c>
      <c r="AK281" s="12"/>
      <c r="AL281" s="94" t="e">
        <f t="shared" si="36"/>
        <v>#VALUE!</v>
      </c>
      <c r="AM281" s="94" t="e">
        <f t="shared" si="37"/>
        <v>#VALUE!</v>
      </c>
      <c r="AN281" s="12"/>
    </row>
    <row r="282" spans="26:40" ht="15.75" thickBot="1" x14ac:dyDescent="0.3">
      <c r="Z282" s="95">
        <f t="shared" si="34"/>
        <v>0</v>
      </c>
      <c r="AA282" s="12"/>
      <c r="AC282" s="128"/>
      <c r="AD282" s="66"/>
      <c r="AE282" s="128"/>
      <c r="AG282" s="128"/>
      <c r="AH282" s="12"/>
      <c r="AI282" t="str">
        <f t="shared" si="35"/>
        <v/>
      </c>
      <c r="AJ282" t="str">
        <f t="shared" si="35"/>
        <v/>
      </c>
      <c r="AK282" s="12"/>
      <c r="AL282" s="94" t="e">
        <f t="shared" si="36"/>
        <v>#VALUE!</v>
      </c>
      <c r="AM282" s="94" t="e">
        <f t="shared" si="37"/>
        <v>#VALUE!</v>
      </c>
      <c r="AN282" s="12"/>
    </row>
    <row r="283" spans="26:40" ht="15.75" thickBot="1" x14ac:dyDescent="0.3">
      <c r="Z283" s="95">
        <f t="shared" si="34"/>
        <v>0</v>
      </c>
      <c r="AA283" s="12"/>
      <c r="AC283" s="128"/>
      <c r="AD283" s="66"/>
      <c r="AE283" s="128"/>
      <c r="AG283" s="128"/>
      <c r="AH283" s="12"/>
      <c r="AI283" t="str">
        <f t="shared" si="35"/>
        <v/>
      </c>
      <c r="AJ283" t="str">
        <f t="shared" si="35"/>
        <v/>
      </c>
      <c r="AK283" s="12"/>
      <c r="AL283" s="94" t="e">
        <f t="shared" si="36"/>
        <v>#VALUE!</v>
      </c>
      <c r="AM283" s="94" t="e">
        <f t="shared" si="37"/>
        <v>#VALUE!</v>
      </c>
      <c r="AN283" s="12"/>
    </row>
    <row r="284" spans="26:40" ht="15.75" thickBot="1" x14ac:dyDescent="0.3">
      <c r="Z284" s="95">
        <f t="shared" si="34"/>
        <v>0</v>
      </c>
      <c r="AA284" s="12"/>
      <c r="AC284" s="128"/>
      <c r="AD284" s="66"/>
      <c r="AE284" s="128"/>
      <c r="AG284" s="128"/>
      <c r="AH284" s="12"/>
      <c r="AI284" t="str">
        <f t="shared" si="35"/>
        <v/>
      </c>
      <c r="AJ284" t="str">
        <f t="shared" si="35"/>
        <v/>
      </c>
      <c r="AK284" s="12"/>
      <c r="AL284" s="94" t="e">
        <f t="shared" si="36"/>
        <v>#VALUE!</v>
      </c>
      <c r="AM284" s="94" t="e">
        <f t="shared" si="37"/>
        <v>#VALUE!</v>
      </c>
      <c r="AN284" s="12"/>
    </row>
    <row r="285" spans="26:40" ht="15.75" thickBot="1" x14ac:dyDescent="0.3">
      <c r="Z285" s="95">
        <f t="shared" si="34"/>
        <v>0</v>
      </c>
      <c r="AA285" s="12"/>
      <c r="AC285" s="128"/>
      <c r="AD285" s="66"/>
      <c r="AE285" s="128"/>
      <c r="AG285" s="128"/>
      <c r="AH285" s="12"/>
      <c r="AI285" t="str">
        <f t="shared" si="35"/>
        <v/>
      </c>
      <c r="AJ285" t="str">
        <f t="shared" si="35"/>
        <v/>
      </c>
      <c r="AK285" s="12"/>
      <c r="AL285" s="94" t="e">
        <f t="shared" si="36"/>
        <v>#VALUE!</v>
      </c>
      <c r="AM285" s="94" t="e">
        <f t="shared" si="37"/>
        <v>#VALUE!</v>
      </c>
      <c r="AN285" s="12"/>
    </row>
    <row r="286" spans="26:40" ht="15.75" thickBot="1" x14ac:dyDescent="0.3">
      <c r="Z286" s="95">
        <f t="shared" si="34"/>
        <v>0</v>
      </c>
      <c r="AA286" s="12"/>
      <c r="AC286" s="128"/>
      <c r="AD286" s="66"/>
      <c r="AE286" s="128"/>
      <c r="AG286" s="128"/>
      <c r="AH286" s="12"/>
      <c r="AI286" t="str">
        <f t="shared" si="35"/>
        <v/>
      </c>
      <c r="AJ286" t="str">
        <f t="shared" si="35"/>
        <v/>
      </c>
      <c r="AK286" s="12"/>
      <c r="AL286" s="94" t="e">
        <f t="shared" si="36"/>
        <v>#VALUE!</v>
      </c>
      <c r="AM286" s="94" t="e">
        <f t="shared" si="37"/>
        <v>#VALUE!</v>
      </c>
      <c r="AN286" s="12"/>
    </row>
    <row r="287" spans="26:40" ht="15.75" thickBot="1" x14ac:dyDescent="0.3">
      <c r="Z287" s="95">
        <f t="shared" si="34"/>
        <v>0</v>
      </c>
      <c r="AA287" s="12"/>
      <c r="AC287" s="128"/>
      <c r="AD287" s="66"/>
      <c r="AE287" s="128"/>
      <c r="AG287" s="128"/>
      <c r="AH287" s="12"/>
      <c r="AI287" t="str">
        <f t="shared" si="35"/>
        <v/>
      </c>
      <c r="AJ287" t="str">
        <f t="shared" si="35"/>
        <v/>
      </c>
      <c r="AK287" s="12"/>
      <c r="AL287" s="94" t="e">
        <f t="shared" si="36"/>
        <v>#VALUE!</v>
      </c>
      <c r="AM287" s="94" t="e">
        <f t="shared" si="37"/>
        <v>#VALUE!</v>
      </c>
      <c r="AN287" s="12"/>
    </row>
    <row r="288" spans="26:40" ht="15.75" thickBot="1" x14ac:dyDescent="0.3">
      <c r="Z288" s="95">
        <f t="shared" si="34"/>
        <v>0</v>
      </c>
      <c r="AA288" s="12"/>
      <c r="AC288" s="128"/>
      <c r="AD288" s="66"/>
      <c r="AE288" s="128"/>
      <c r="AG288" s="128"/>
      <c r="AH288" s="12"/>
      <c r="AI288" t="str">
        <f t="shared" si="35"/>
        <v/>
      </c>
      <c r="AJ288" t="str">
        <f t="shared" si="35"/>
        <v/>
      </c>
      <c r="AK288" s="12"/>
      <c r="AL288" s="94" t="e">
        <f t="shared" si="36"/>
        <v>#VALUE!</v>
      </c>
      <c r="AM288" s="94" t="e">
        <f t="shared" si="37"/>
        <v>#VALUE!</v>
      </c>
      <c r="AN288" s="12"/>
    </row>
    <row r="289" spans="26:40" ht="15.75" thickBot="1" x14ac:dyDescent="0.3">
      <c r="Z289" s="95">
        <f t="shared" si="34"/>
        <v>0</v>
      </c>
      <c r="AA289" s="12"/>
      <c r="AC289" s="128"/>
      <c r="AD289" s="66"/>
      <c r="AE289" s="128"/>
      <c r="AG289" s="128"/>
      <c r="AH289" s="12"/>
      <c r="AI289" t="str">
        <f t="shared" si="35"/>
        <v/>
      </c>
      <c r="AJ289" t="str">
        <f t="shared" si="35"/>
        <v/>
      </c>
      <c r="AK289" s="12"/>
      <c r="AL289" s="94" t="e">
        <f t="shared" si="36"/>
        <v>#VALUE!</v>
      </c>
      <c r="AM289" s="94" t="e">
        <f t="shared" si="37"/>
        <v>#VALUE!</v>
      </c>
      <c r="AN289" s="12"/>
    </row>
    <row r="290" spans="26:40" ht="15.75" thickBot="1" x14ac:dyDescent="0.3">
      <c r="Z290" s="95">
        <f t="shared" si="34"/>
        <v>0</v>
      </c>
      <c r="AA290" s="12"/>
      <c r="AC290" s="128"/>
      <c r="AD290" s="66"/>
      <c r="AE290" s="128"/>
      <c r="AG290" s="128"/>
      <c r="AH290" s="12"/>
      <c r="AI290" t="str">
        <f t="shared" si="35"/>
        <v/>
      </c>
      <c r="AJ290" t="str">
        <f t="shared" si="35"/>
        <v/>
      </c>
      <c r="AK290" s="12"/>
      <c r="AL290" s="94" t="e">
        <f t="shared" si="36"/>
        <v>#VALUE!</v>
      </c>
      <c r="AM290" s="94" t="e">
        <f t="shared" si="37"/>
        <v>#VALUE!</v>
      </c>
      <c r="AN290" s="12"/>
    </row>
    <row r="291" spans="26:40" ht="15.75" thickBot="1" x14ac:dyDescent="0.3">
      <c r="Z291" s="95">
        <f t="shared" si="34"/>
        <v>0</v>
      </c>
      <c r="AA291" s="12"/>
      <c r="AC291" s="128"/>
      <c r="AD291" s="66"/>
      <c r="AE291" s="128"/>
      <c r="AG291" s="128"/>
      <c r="AH291" s="12"/>
      <c r="AI291" t="str">
        <f t="shared" si="35"/>
        <v/>
      </c>
      <c r="AJ291" t="str">
        <f t="shared" si="35"/>
        <v/>
      </c>
      <c r="AK291" s="12"/>
      <c r="AL291" s="94" t="e">
        <f t="shared" si="36"/>
        <v>#VALUE!</v>
      </c>
      <c r="AM291" s="94" t="e">
        <f t="shared" si="37"/>
        <v>#VALUE!</v>
      </c>
      <c r="AN291" s="12"/>
    </row>
    <row r="292" spans="26:40" ht="15.75" thickBot="1" x14ac:dyDescent="0.3">
      <c r="Z292" s="95">
        <f t="shared" si="34"/>
        <v>0</v>
      </c>
      <c r="AA292" s="12"/>
      <c r="AC292" s="128"/>
      <c r="AD292" s="66"/>
      <c r="AE292" s="128"/>
      <c r="AG292" s="128"/>
      <c r="AH292" s="12"/>
      <c r="AI292" t="str">
        <f t="shared" si="35"/>
        <v/>
      </c>
      <c r="AJ292" t="str">
        <f t="shared" si="35"/>
        <v/>
      </c>
      <c r="AK292" s="12"/>
      <c r="AL292" s="94" t="e">
        <f t="shared" si="36"/>
        <v>#VALUE!</v>
      </c>
      <c r="AM292" s="94" t="e">
        <f t="shared" si="37"/>
        <v>#VALUE!</v>
      </c>
      <c r="AN292" s="12"/>
    </row>
    <row r="293" spans="26:40" ht="15.75" thickBot="1" x14ac:dyDescent="0.3">
      <c r="Z293" s="95">
        <f t="shared" si="34"/>
        <v>0</v>
      </c>
      <c r="AA293" s="12"/>
      <c r="AC293" s="128"/>
      <c r="AD293" s="66"/>
      <c r="AE293" s="128"/>
      <c r="AG293" s="128"/>
      <c r="AH293" s="12"/>
      <c r="AI293" t="str">
        <f t="shared" si="35"/>
        <v/>
      </c>
      <c r="AJ293" t="str">
        <f t="shared" si="35"/>
        <v/>
      </c>
      <c r="AK293" s="12"/>
      <c r="AL293" s="94" t="e">
        <f t="shared" si="36"/>
        <v>#VALUE!</v>
      </c>
      <c r="AM293" s="94" t="e">
        <f t="shared" si="37"/>
        <v>#VALUE!</v>
      </c>
      <c r="AN293" s="12"/>
    </row>
    <row r="294" spans="26:40" ht="15.75" thickBot="1" x14ac:dyDescent="0.3">
      <c r="Z294" s="95">
        <f t="shared" si="34"/>
        <v>0</v>
      </c>
      <c r="AA294" s="12"/>
      <c r="AC294" s="128"/>
      <c r="AD294" s="66"/>
      <c r="AE294" s="128"/>
      <c r="AG294" s="128"/>
      <c r="AH294" s="12"/>
      <c r="AI294" t="str">
        <f t="shared" si="35"/>
        <v/>
      </c>
      <c r="AJ294" t="str">
        <f t="shared" si="35"/>
        <v/>
      </c>
      <c r="AK294" s="12"/>
      <c r="AL294" s="94" t="e">
        <f t="shared" si="36"/>
        <v>#VALUE!</v>
      </c>
      <c r="AM294" s="94" t="e">
        <f t="shared" si="37"/>
        <v>#VALUE!</v>
      </c>
      <c r="AN294" s="12"/>
    </row>
    <row r="295" spans="26:40" ht="15.75" thickBot="1" x14ac:dyDescent="0.3">
      <c r="Z295" s="95">
        <f t="shared" si="34"/>
        <v>0</v>
      </c>
      <c r="AA295" s="12"/>
      <c r="AC295" s="128"/>
      <c r="AD295" s="66"/>
      <c r="AE295" s="128"/>
      <c r="AG295" s="128"/>
      <c r="AH295" s="12"/>
      <c r="AI295" t="str">
        <f t="shared" si="35"/>
        <v/>
      </c>
      <c r="AJ295" t="str">
        <f t="shared" si="35"/>
        <v/>
      </c>
      <c r="AK295" s="12"/>
      <c r="AL295" s="94" t="e">
        <f t="shared" si="36"/>
        <v>#VALUE!</v>
      </c>
      <c r="AM295" s="94" t="e">
        <f t="shared" si="37"/>
        <v>#VALUE!</v>
      </c>
      <c r="AN295" s="12"/>
    </row>
    <row r="296" spans="26:40" ht="15.75" thickBot="1" x14ac:dyDescent="0.3">
      <c r="Z296" s="95">
        <f t="shared" si="34"/>
        <v>0</v>
      </c>
      <c r="AA296" s="12"/>
      <c r="AC296" s="128"/>
      <c r="AD296" s="66"/>
      <c r="AE296" s="128"/>
      <c r="AG296" s="128"/>
      <c r="AH296" s="12"/>
      <c r="AI296" t="str">
        <f t="shared" si="35"/>
        <v/>
      </c>
      <c r="AJ296" t="str">
        <f t="shared" si="35"/>
        <v/>
      </c>
      <c r="AK296" s="12"/>
      <c r="AL296" s="94" t="e">
        <f t="shared" si="36"/>
        <v>#VALUE!</v>
      </c>
      <c r="AM296" s="94" t="e">
        <f t="shared" si="37"/>
        <v>#VALUE!</v>
      </c>
      <c r="AN296" s="12"/>
    </row>
    <row r="297" spans="26:40" ht="15.75" thickBot="1" x14ac:dyDescent="0.3">
      <c r="Z297" s="95">
        <f t="shared" si="34"/>
        <v>0</v>
      </c>
      <c r="AA297" s="12"/>
      <c r="AC297" s="128"/>
      <c r="AD297" s="66"/>
      <c r="AE297" s="128"/>
      <c r="AG297" s="128"/>
      <c r="AH297" s="12"/>
      <c r="AI297" t="str">
        <f t="shared" si="35"/>
        <v/>
      </c>
      <c r="AJ297" t="str">
        <f t="shared" si="35"/>
        <v/>
      </c>
      <c r="AK297" s="12"/>
      <c r="AL297" s="94" t="e">
        <f t="shared" si="36"/>
        <v>#VALUE!</v>
      </c>
      <c r="AM297" s="94" t="e">
        <f t="shared" si="37"/>
        <v>#VALUE!</v>
      </c>
      <c r="AN297" s="12"/>
    </row>
    <row r="298" spans="26:40" ht="15.75" thickBot="1" x14ac:dyDescent="0.3">
      <c r="Z298" s="95">
        <f t="shared" si="34"/>
        <v>0</v>
      </c>
      <c r="AA298" s="12"/>
      <c r="AC298" s="128"/>
      <c r="AD298" s="66"/>
      <c r="AE298" s="128"/>
      <c r="AG298" s="128"/>
      <c r="AH298" s="12"/>
      <c r="AI298" t="str">
        <f t="shared" si="35"/>
        <v/>
      </c>
      <c r="AJ298" t="str">
        <f t="shared" si="35"/>
        <v/>
      </c>
      <c r="AK298" s="12"/>
      <c r="AL298" s="94" t="e">
        <f t="shared" si="36"/>
        <v>#VALUE!</v>
      </c>
      <c r="AM298" s="94" t="e">
        <f t="shared" si="37"/>
        <v>#VALUE!</v>
      </c>
      <c r="AN298" s="12"/>
    </row>
    <row r="299" spans="26:40" ht="15.75" thickBot="1" x14ac:dyDescent="0.3">
      <c r="Z299" s="95">
        <f t="shared" si="34"/>
        <v>0</v>
      </c>
      <c r="AA299" s="12"/>
      <c r="AC299" s="128"/>
      <c r="AD299" s="66"/>
      <c r="AE299" s="128"/>
      <c r="AG299" s="128"/>
      <c r="AH299" s="12"/>
      <c r="AI299" t="str">
        <f t="shared" si="35"/>
        <v/>
      </c>
      <c r="AJ299" t="str">
        <f t="shared" si="35"/>
        <v/>
      </c>
      <c r="AK299" s="12"/>
      <c r="AL299" s="94" t="e">
        <f t="shared" si="36"/>
        <v>#VALUE!</v>
      </c>
      <c r="AM299" s="94" t="e">
        <f t="shared" si="37"/>
        <v>#VALUE!</v>
      </c>
      <c r="AN299" s="12"/>
    </row>
    <row r="300" spans="26:40" ht="15.75" thickBot="1" x14ac:dyDescent="0.3">
      <c r="Z300" s="95">
        <f t="shared" si="34"/>
        <v>0</v>
      </c>
      <c r="AA300" s="12"/>
      <c r="AC300" s="128"/>
      <c r="AD300" s="68"/>
      <c r="AE300" s="128"/>
      <c r="AG300" s="128"/>
      <c r="AH300" s="12"/>
      <c r="AI300" t="str">
        <f t="shared" si="35"/>
        <v/>
      </c>
      <c r="AJ300" t="str">
        <f t="shared" si="35"/>
        <v/>
      </c>
      <c r="AK300" s="12"/>
      <c r="AL300" s="94" t="e">
        <f t="shared" si="36"/>
        <v>#VALUE!</v>
      </c>
      <c r="AM300" s="94" t="e">
        <f t="shared" si="37"/>
        <v>#VALUE!</v>
      </c>
      <c r="AN300" s="12"/>
    </row>
    <row r="301" spans="26:40" x14ac:dyDescent="0.25">
      <c r="Z301" s="95">
        <f t="shared" si="34"/>
        <v>0</v>
      </c>
      <c r="AA301" s="12"/>
      <c r="AB301" s="12"/>
      <c r="AC301" s="12"/>
      <c r="AD301" s="12"/>
      <c r="AE301" s="12"/>
      <c r="AF301" s="12"/>
      <c r="AG301" s="12"/>
      <c r="AH301" s="12"/>
      <c r="AI301" s="12" t="str">
        <f t="shared" si="35"/>
        <v/>
      </c>
      <c r="AJ301" s="12" t="str">
        <f t="shared" si="35"/>
        <v/>
      </c>
      <c r="AK301" s="12"/>
      <c r="AL301" s="94" t="e">
        <f t="shared" si="36"/>
        <v>#VALUE!</v>
      </c>
      <c r="AM301" s="94" t="e">
        <f t="shared" si="37"/>
        <v>#VALUE!</v>
      </c>
      <c r="AN301" s="12"/>
    </row>
    <row r="302" spans="26:40" x14ac:dyDescent="0.25">
      <c r="Z302" s="12"/>
      <c r="AA302" s="12"/>
      <c r="AB302" s="12"/>
      <c r="AC302" s="12"/>
      <c r="AD302" s="12"/>
      <c r="AE302" s="12"/>
      <c r="AF302" s="12"/>
      <c r="AG302" s="12"/>
      <c r="AH302" s="12"/>
      <c r="AI302" s="12" t="str">
        <f t="shared" si="35"/>
        <v/>
      </c>
      <c r="AJ302" s="12" t="str">
        <f t="shared" si="35"/>
        <v/>
      </c>
      <c r="AK302" s="12"/>
      <c r="AL302" s="12"/>
      <c r="AM302" s="12"/>
      <c r="AN302" s="12"/>
    </row>
  </sheetData>
  <mergeCells count="11">
    <mergeCell ref="H3:J3"/>
    <mergeCell ref="K3:M3"/>
    <mergeCell ref="N3:P3"/>
    <mergeCell ref="V3:X3"/>
    <mergeCell ref="R3:T3"/>
    <mergeCell ref="AL3:AM3"/>
    <mergeCell ref="AB2:AD2"/>
    <mergeCell ref="AB3:AC3"/>
    <mergeCell ref="AD3:AE3"/>
    <mergeCell ref="AF3:AG3"/>
    <mergeCell ref="AI3:A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AH300"/>
  <sheetViews>
    <sheetView topLeftCell="M1" workbookViewId="0">
      <selection activeCell="W20" sqref="W20"/>
    </sheetView>
  </sheetViews>
  <sheetFormatPr defaultRowHeight="15" x14ac:dyDescent="0.25"/>
  <cols>
    <col min="1" max="1" width="1.5703125" customWidth="1"/>
    <col min="2" max="2" width="12.28515625" customWidth="1"/>
    <col min="3" max="3" width="23" customWidth="1"/>
    <col min="4" max="4" width="2.28515625" customWidth="1"/>
    <col min="5" max="5" width="27.42578125" customWidth="1"/>
    <col min="6" max="6" width="16.85546875" customWidth="1"/>
    <col min="9" max="13" width="9.140625" style="1"/>
    <col min="15" max="15" width="10.5703125" style="1" customWidth="1"/>
    <col min="16" max="16" width="13.5703125" style="1" customWidth="1"/>
    <col min="17" max="17" width="11.7109375" style="1" customWidth="1"/>
    <col min="18" max="18" width="12.5703125" customWidth="1"/>
    <col min="19" max="19" width="13.28515625" customWidth="1"/>
  </cols>
  <sheetData>
    <row r="2" spans="2:34" ht="15.75" thickBot="1" x14ac:dyDescent="0.3"/>
    <row r="3" spans="2:34" ht="16.5" thickTop="1" thickBot="1" x14ac:dyDescent="0.3">
      <c r="B3" s="152" t="s">
        <v>9</v>
      </c>
      <c r="C3" s="153"/>
      <c r="D3" s="7"/>
      <c r="E3" s="152" t="s">
        <v>10</v>
      </c>
      <c r="F3" s="153"/>
      <c r="G3" s="7"/>
      <c r="H3" s="7"/>
      <c r="I3" s="180" t="s">
        <v>39</v>
      </c>
      <c r="J3" s="180"/>
      <c r="K3" s="180"/>
      <c r="L3" s="180"/>
      <c r="M3" s="180"/>
      <c r="U3" s="181" t="s">
        <v>54</v>
      </c>
      <c r="V3" s="181"/>
      <c r="W3" s="181"/>
      <c r="X3" s="181"/>
      <c r="Y3" s="181"/>
      <c r="AB3" s="181" t="s">
        <v>57</v>
      </c>
      <c r="AC3" s="181"/>
      <c r="AD3" s="181"/>
      <c r="AE3" s="181"/>
      <c r="AF3" s="181"/>
    </row>
    <row r="4" spans="2:34" ht="16.5" thickTop="1" thickBot="1" x14ac:dyDescent="0.3">
      <c r="B4" s="62" t="s">
        <v>1</v>
      </c>
      <c r="C4" s="63" t="s">
        <v>2</v>
      </c>
      <c r="D4" s="8"/>
      <c r="E4" s="62" t="s">
        <v>3</v>
      </c>
      <c r="F4" s="63" t="s">
        <v>11</v>
      </c>
      <c r="G4" s="61" t="s">
        <v>40</v>
      </c>
      <c r="H4" s="8"/>
      <c r="I4" s="10" t="s">
        <v>34</v>
      </c>
      <c r="J4" s="77" t="s">
        <v>35</v>
      </c>
      <c r="K4" s="77" t="s">
        <v>36</v>
      </c>
      <c r="L4" s="77" t="s">
        <v>37</v>
      </c>
      <c r="M4" s="11" t="s">
        <v>38</v>
      </c>
      <c r="O4" s="74" t="s">
        <v>16</v>
      </c>
      <c r="P4" s="75" t="s">
        <v>25</v>
      </c>
      <c r="Q4" s="76" t="s">
        <v>17</v>
      </c>
      <c r="R4" s="146" t="s">
        <v>59</v>
      </c>
      <c r="S4" s="147" t="s">
        <v>60</v>
      </c>
      <c r="U4" s="137" t="s">
        <v>34</v>
      </c>
      <c r="V4" s="138" t="s">
        <v>35</v>
      </c>
      <c r="W4" s="138" t="s">
        <v>36</v>
      </c>
      <c r="X4" s="138" t="s">
        <v>37</v>
      </c>
      <c r="Y4" s="139" t="s">
        <v>38</v>
      </c>
      <c r="Z4" s="140" t="s">
        <v>51</v>
      </c>
      <c r="AA4" s="141" t="s">
        <v>61</v>
      </c>
      <c r="AB4" s="137" t="s">
        <v>34</v>
      </c>
      <c r="AC4" s="138" t="s">
        <v>35</v>
      </c>
      <c r="AD4" s="138" t="s">
        <v>36</v>
      </c>
      <c r="AE4" s="138" t="s">
        <v>37</v>
      </c>
      <c r="AF4" s="139" t="s">
        <v>38</v>
      </c>
      <c r="AG4" s="140" t="s">
        <v>51</v>
      </c>
      <c r="AH4" s="141" t="s">
        <v>61</v>
      </c>
    </row>
    <row r="5" spans="2:34" ht="15.75" thickBot="1" x14ac:dyDescent="0.3">
      <c r="B5" s="64" t="str">
        <f>IF(AND('ENTRY DATA'!C5=""),"",('ENTRY DATA'!C5))</f>
        <v/>
      </c>
      <c r="C5" s="65" t="str">
        <f>IF(AND('ENTRY DATA'!D5=""),"",('ENTRY DATA'!D5))</f>
        <v/>
      </c>
      <c r="E5" s="64" t="str">
        <f>IF(AND('ENTRY DATA'!F5=""),"",('ENTRY DATA'!F5))</f>
        <v/>
      </c>
      <c r="F5" s="65" t="str">
        <f>IF(AND('ENTRY DATA'!G5=""),"",('ENTRY DATA'!G5))</f>
        <v/>
      </c>
      <c r="G5" s="61" t="s">
        <v>40</v>
      </c>
      <c r="I5" s="78" t="str">
        <f>IF(AND('DAY 1'!M5=""),"",('DAY 1'!M5))</f>
        <v/>
      </c>
      <c r="J5" s="79" t="str">
        <f>IF(AND('DAY 2'!M5=""),"",('DAY 2'!M5))</f>
        <v/>
      </c>
      <c r="K5" s="79" t="str">
        <f>IF(AND('DAY 3'!M5=""),"",('DAY 3'!M5))</f>
        <v/>
      </c>
      <c r="L5" s="79" t="str">
        <f>IF(AND('DAY 4'!M5=""),"",('DAY 4'!M5))</f>
        <v/>
      </c>
      <c r="M5" s="80" t="str">
        <f>IF(AND('DAY 5'!M5=""),"",('DAY 5'!M5))</f>
        <v/>
      </c>
      <c r="O5" s="78">
        <f>SUM('DAY 1'!L5,'DAY 2'!L5,'DAY 3'!L5,'DAY 4'!L5,'DAY 5'!L5)</f>
        <v>0</v>
      </c>
      <c r="P5" s="79" t="str">
        <f>IF(AND(I5="",J5="",K5="",L5="",M5=""),"",COUNT(I5,J5,K5,L5,M5))</f>
        <v/>
      </c>
      <c r="Q5" s="80" t="str">
        <f>IF(AND(I5="",J5="",K5="",L5="",M5=""),"",SUM(I5,J5,K5,L5,M5))</f>
        <v/>
      </c>
      <c r="R5" s="148" t="str">
        <f>IF(AND(Z5="",AA5=""),"",(Z5/AA5))</f>
        <v/>
      </c>
      <c r="S5" s="149" t="str">
        <f>IF(AND(AG5="",AH5=""),"",(AG5/AH5))</f>
        <v/>
      </c>
      <c r="U5" s="66" t="str">
        <f>'DAY 1'!Y5</f>
        <v/>
      </c>
      <c r="V5" s="89" t="str">
        <f>'DAY 2'!Y5</f>
        <v/>
      </c>
      <c r="W5" s="89" t="str">
        <f>'DAY 3'!Y5</f>
        <v/>
      </c>
      <c r="X5" s="89" t="str">
        <f>'DAY 4'!Y5</f>
        <v/>
      </c>
      <c r="Y5" s="67" t="str">
        <f>'DAY 5'!Y5</f>
        <v/>
      </c>
      <c r="Z5" s="142" t="str">
        <f>IF(AND(U5="",V5="",W5="",X5="",Y5=""),"",SUM(U5,V5,W5,X5,Y5))</f>
        <v/>
      </c>
      <c r="AA5" s="22" t="str">
        <f>IF(AND(U5="",V5="",W5="",X5="",Y5=""),"",COUNT(U5,V5,W5,X5,Y5))</f>
        <v/>
      </c>
      <c r="AB5" t="str">
        <f>'DAY 1'!Z5</f>
        <v/>
      </c>
      <c r="AC5" t="str">
        <f>'DAY 2'!Z5</f>
        <v/>
      </c>
      <c r="AD5" t="str">
        <f>'DAY 3'!Z5</f>
        <v/>
      </c>
      <c r="AE5" t="str">
        <f>'DAY 4'!Z5</f>
        <v/>
      </c>
      <c r="AF5" t="str">
        <f>'DAY 5'!Z5</f>
        <v/>
      </c>
      <c r="AG5" s="144" t="str">
        <f>IF(AND(AB5="",AC5="",AD5="",AE5="",AF5=""),"",SUM(AB5,AC5,AD5,AE5,AF5))</f>
        <v/>
      </c>
      <c r="AH5" s="145" t="str">
        <f>IF(AND(AB5="",AC5="",AD5="",AE5="",AF5=""),"",COUNT(AB5,AC5,AD5,AE5,AF5))</f>
        <v/>
      </c>
    </row>
    <row r="6" spans="2:34" ht="15.75" thickBot="1" x14ac:dyDescent="0.3">
      <c r="B6" s="66" t="str">
        <f>IF(AND('ENTRY DATA'!C6=""),"",('ENTRY DATA'!C6))</f>
        <v/>
      </c>
      <c r="C6" s="67" t="str">
        <f>IF(AND('ENTRY DATA'!D6=""),"",('ENTRY DATA'!D6))</f>
        <v/>
      </c>
      <c r="E6" s="66" t="str">
        <f>IF(AND('ENTRY DATA'!F6=""),"",('ENTRY DATA'!F6))</f>
        <v/>
      </c>
      <c r="F6" s="67" t="str">
        <f>IF(AND('ENTRY DATA'!G6=""),"",('ENTRY DATA'!G6))</f>
        <v/>
      </c>
      <c r="G6" s="61" t="s">
        <v>40</v>
      </c>
      <c r="I6" s="81" t="str">
        <f>IF(AND('DAY 1'!M6=""),"",('DAY 1'!M6))</f>
        <v/>
      </c>
      <c r="J6" s="79" t="str">
        <f>IF(AND('DAY 2'!M6=""),"",('DAY 2'!M6))</f>
        <v/>
      </c>
      <c r="K6" s="79" t="str">
        <f>IF(AND('DAY 3'!M6=""),"",('DAY 3'!M6))</f>
        <v/>
      </c>
      <c r="L6" s="79" t="str">
        <f>IF(AND('DAY 4'!M6=""),"",('DAY 4'!M6))</f>
        <v/>
      </c>
      <c r="M6" s="80" t="str">
        <f>IF(AND('DAY 5'!M6=""),"",('DAY 5'!M6))</f>
        <v/>
      </c>
      <c r="O6" s="78">
        <f>SUM('DAY 1'!L6,'DAY 2'!L6,'DAY 3'!L6,'DAY 4'!L6,'DAY 5'!L6)</f>
        <v>0</v>
      </c>
      <c r="P6" s="82" t="str">
        <f t="shared" ref="P6:P69" si="0">IF(AND(I6="",J6="",K6="",L6="",M6=""),"",COUNT(I6,J6,K6,L6,M6))</f>
        <v/>
      </c>
      <c r="Q6" s="83" t="str">
        <f t="shared" ref="Q6:Q69" si="1">IF(AND(I6="",J6="",K6="",L6="",M6=""),"",SUM(I6,J6,K6,L6,M6))</f>
        <v/>
      </c>
      <c r="R6" s="148" t="str">
        <f t="shared" ref="R6:R69" si="2">IF(AND(Z6="",AA6=""),"",(Z6/AA6))</f>
        <v/>
      </c>
      <c r="S6" s="149" t="str">
        <f t="shared" ref="S6:S69" si="3">IF(AND(AG6="",AH6=""),"",(AG6/AH6))</f>
        <v/>
      </c>
      <c r="U6" s="66" t="str">
        <f>'DAY 1'!Y6</f>
        <v/>
      </c>
      <c r="V6" s="89" t="str">
        <f>'DAY 2'!Y6</f>
        <v/>
      </c>
      <c r="W6" s="89" t="str">
        <f>'DAY 3'!Y6</f>
        <v/>
      </c>
      <c r="X6" s="89" t="str">
        <f>'DAY 4'!Y6</f>
        <v/>
      </c>
      <c r="Y6" s="67" t="str">
        <f>'DAY 5'!Y6</f>
        <v/>
      </c>
      <c r="Z6" s="142" t="str">
        <f t="shared" ref="Z6:Z69" si="4">IF(AND(U6="",V6="",W6="",X6="",Y6=""),"",SUM(U6,V6,W6,X6,Y6))</f>
        <v/>
      </c>
      <c r="AA6" s="22" t="str">
        <f t="shared" ref="AA6:AA69" si="5">IF(AND(U6="",V6="",W6="",X6="",Y6=""),"",COUNT(U6,V6,W6,X6,Y6))</f>
        <v/>
      </c>
      <c r="AB6" t="str">
        <f>'DAY 1'!Z6</f>
        <v/>
      </c>
      <c r="AC6" t="str">
        <f>'DAY 2'!Z6</f>
        <v/>
      </c>
      <c r="AD6" t="str">
        <f>'DAY 3'!Z6</f>
        <v/>
      </c>
      <c r="AE6" t="str">
        <f>'DAY 4'!Z6</f>
        <v/>
      </c>
      <c r="AF6" t="str">
        <f>'DAY 5'!Z6</f>
        <v/>
      </c>
      <c r="AG6" s="144" t="str">
        <f t="shared" ref="AG6:AG69" si="6">IF(AND(AB6="",AC6="",AD6="",AE6="",AF6=""),"",SUM(AB6,AC6,AD6,AE6,AF6))</f>
        <v/>
      </c>
      <c r="AH6" s="145" t="str">
        <f t="shared" ref="AH6:AH69" si="7">IF(AND(AB6="",AC6="",AD6="",AE6="",AF6=""),"",COUNT(AB6,AC6,AD6,AE6,AF6))</f>
        <v/>
      </c>
    </row>
    <row r="7" spans="2:34" ht="15.75" thickBot="1" x14ac:dyDescent="0.3">
      <c r="B7" s="66" t="str">
        <f>IF(AND('ENTRY DATA'!C7=""),"",('ENTRY DATA'!C7))</f>
        <v/>
      </c>
      <c r="C7" s="67" t="str">
        <f>IF(AND('ENTRY DATA'!D7=""),"",('ENTRY DATA'!D7))</f>
        <v/>
      </c>
      <c r="E7" s="66" t="str">
        <f>IF(AND('ENTRY DATA'!F7=""),"",('ENTRY DATA'!F7))</f>
        <v/>
      </c>
      <c r="F7" s="67" t="str">
        <f>IF(AND('ENTRY DATA'!G7=""),"",('ENTRY DATA'!G7))</f>
        <v/>
      </c>
      <c r="G7" s="61" t="s">
        <v>40</v>
      </c>
      <c r="I7" s="81" t="str">
        <f>IF(AND('DAY 1'!M7=""),"",('DAY 1'!M7))</f>
        <v/>
      </c>
      <c r="J7" s="79" t="str">
        <f>IF(AND('DAY 2'!M7=""),"",('DAY 2'!M7))</f>
        <v/>
      </c>
      <c r="K7" s="79" t="str">
        <f>IF(AND('DAY 3'!M7=""),"",('DAY 3'!M7))</f>
        <v/>
      </c>
      <c r="L7" s="79" t="str">
        <f>IF(AND('DAY 4'!M7=""),"",('DAY 4'!M7))</f>
        <v/>
      </c>
      <c r="M7" s="80" t="str">
        <f>IF(AND('DAY 5'!M7=""),"",('DAY 5'!M7))</f>
        <v/>
      </c>
      <c r="O7" s="78">
        <f>SUM('DAY 1'!L7,'DAY 2'!L7,'DAY 3'!L7,'DAY 4'!L7,'DAY 5'!L7)</f>
        <v>0</v>
      </c>
      <c r="P7" s="82" t="str">
        <f t="shared" si="0"/>
        <v/>
      </c>
      <c r="Q7" s="83" t="str">
        <f t="shared" si="1"/>
        <v/>
      </c>
      <c r="R7" s="148" t="str">
        <f t="shared" si="2"/>
        <v/>
      </c>
      <c r="S7" s="149" t="str">
        <f t="shared" si="3"/>
        <v/>
      </c>
      <c r="U7" s="66" t="str">
        <f>'DAY 1'!Y7</f>
        <v/>
      </c>
      <c r="V7" s="89" t="str">
        <f>'DAY 2'!Y7</f>
        <v/>
      </c>
      <c r="W7" s="89" t="str">
        <f>'DAY 3'!Y7</f>
        <v/>
      </c>
      <c r="X7" s="89" t="str">
        <f>'DAY 4'!Y7</f>
        <v/>
      </c>
      <c r="Y7" s="67" t="str">
        <f>'DAY 5'!Y7</f>
        <v/>
      </c>
      <c r="Z7" s="142" t="str">
        <f t="shared" si="4"/>
        <v/>
      </c>
      <c r="AA7" s="22" t="str">
        <f t="shared" si="5"/>
        <v/>
      </c>
      <c r="AB7" t="str">
        <f>'DAY 1'!Z7</f>
        <v/>
      </c>
      <c r="AC7" t="str">
        <f>'DAY 2'!Z7</f>
        <v/>
      </c>
      <c r="AD7" t="str">
        <f>'DAY 3'!Z7</f>
        <v/>
      </c>
      <c r="AE7" t="str">
        <f>'DAY 4'!Z7</f>
        <v/>
      </c>
      <c r="AF7" t="str">
        <f>'DAY 5'!Z7</f>
        <v/>
      </c>
      <c r="AG7" s="144" t="str">
        <f t="shared" si="6"/>
        <v/>
      </c>
      <c r="AH7" s="145" t="str">
        <f t="shared" si="7"/>
        <v/>
      </c>
    </row>
    <row r="8" spans="2:34" ht="15.75" thickBot="1" x14ac:dyDescent="0.3">
      <c r="B8" s="66" t="str">
        <f>IF(AND('ENTRY DATA'!C8=""),"",('ENTRY DATA'!C8))</f>
        <v/>
      </c>
      <c r="C8" s="67" t="str">
        <f>IF(AND('ENTRY DATA'!D8=""),"",('ENTRY DATA'!D8))</f>
        <v/>
      </c>
      <c r="E8" s="66" t="str">
        <f>IF(AND('ENTRY DATA'!F8=""),"",('ENTRY DATA'!F8))</f>
        <v/>
      </c>
      <c r="F8" s="67" t="str">
        <f>IF(AND('ENTRY DATA'!G8=""),"",('ENTRY DATA'!G8))</f>
        <v/>
      </c>
      <c r="G8" s="61" t="s">
        <v>40</v>
      </c>
      <c r="I8" s="81" t="str">
        <f>IF(AND('DAY 1'!M8=""),"",('DAY 1'!M8))</f>
        <v/>
      </c>
      <c r="J8" s="79" t="str">
        <f>IF(AND('DAY 2'!M8=""),"",('DAY 2'!M8))</f>
        <v/>
      </c>
      <c r="K8" s="79" t="str">
        <f>IF(AND('DAY 3'!M8=""),"",('DAY 3'!M8))</f>
        <v/>
      </c>
      <c r="L8" s="79" t="str">
        <f>IF(AND('DAY 4'!M8=""),"",('DAY 4'!M8))</f>
        <v/>
      </c>
      <c r="M8" s="80" t="str">
        <f>IF(AND('DAY 5'!M8=""),"",('DAY 5'!M8))</f>
        <v/>
      </c>
      <c r="O8" s="78">
        <f>SUM('DAY 1'!L8,'DAY 2'!L8,'DAY 3'!L8,'DAY 4'!L8,'DAY 5'!L8)</f>
        <v>0</v>
      </c>
      <c r="P8" s="82" t="str">
        <f t="shared" si="0"/>
        <v/>
      </c>
      <c r="Q8" s="83" t="str">
        <f t="shared" si="1"/>
        <v/>
      </c>
      <c r="R8" s="148" t="str">
        <f t="shared" si="2"/>
        <v/>
      </c>
      <c r="S8" s="149" t="str">
        <f t="shared" si="3"/>
        <v/>
      </c>
      <c r="U8" s="66" t="str">
        <f>'DAY 1'!Y8</f>
        <v/>
      </c>
      <c r="V8" s="89" t="str">
        <f>'DAY 2'!Y8</f>
        <v/>
      </c>
      <c r="W8" s="89" t="str">
        <f>'DAY 3'!Y8</f>
        <v/>
      </c>
      <c r="X8" s="89" t="str">
        <f>'DAY 4'!Y8</f>
        <v/>
      </c>
      <c r="Y8" s="67" t="str">
        <f>'DAY 5'!Y8</f>
        <v/>
      </c>
      <c r="Z8" s="142" t="str">
        <f t="shared" si="4"/>
        <v/>
      </c>
      <c r="AA8" s="22" t="str">
        <f t="shared" si="5"/>
        <v/>
      </c>
      <c r="AB8" t="str">
        <f>'DAY 1'!Z8</f>
        <v/>
      </c>
      <c r="AC8" t="str">
        <f>'DAY 2'!Z8</f>
        <v/>
      </c>
      <c r="AD8" t="str">
        <f>'DAY 3'!Z8</f>
        <v/>
      </c>
      <c r="AE8" t="str">
        <f>'DAY 4'!Z8</f>
        <v/>
      </c>
      <c r="AF8" t="str">
        <f>'DAY 5'!Z8</f>
        <v/>
      </c>
      <c r="AG8" s="144" t="str">
        <f t="shared" si="6"/>
        <v/>
      </c>
      <c r="AH8" s="145" t="str">
        <f t="shared" si="7"/>
        <v/>
      </c>
    </row>
    <row r="9" spans="2:34" ht="15.75" thickBot="1" x14ac:dyDescent="0.3">
      <c r="B9" s="66" t="str">
        <f>IF(AND('ENTRY DATA'!C9=""),"",('ENTRY DATA'!C9))</f>
        <v/>
      </c>
      <c r="C9" s="67" t="str">
        <f>IF(AND('ENTRY DATA'!D9=""),"",('ENTRY DATA'!D9))</f>
        <v/>
      </c>
      <c r="E9" s="66" t="str">
        <f>IF(AND('ENTRY DATA'!F9=""),"",('ENTRY DATA'!F9))</f>
        <v/>
      </c>
      <c r="F9" s="67" t="str">
        <f>IF(AND('ENTRY DATA'!G9=""),"",('ENTRY DATA'!G9))</f>
        <v/>
      </c>
      <c r="G9" s="61" t="s">
        <v>40</v>
      </c>
      <c r="I9" s="81" t="str">
        <f>IF(AND('DAY 1'!M9=""),"",('DAY 1'!M9))</f>
        <v/>
      </c>
      <c r="J9" s="79" t="str">
        <f>IF(AND('DAY 2'!M9=""),"",('DAY 2'!M9))</f>
        <v/>
      </c>
      <c r="K9" s="79" t="str">
        <f>IF(AND('DAY 3'!M9=""),"",('DAY 3'!M9))</f>
        <v/>
      </c>
      <c r="L9" s="79" t="str">
        <f>IF(AND('DAY 4'!M9=""),"",('DAY 4'!M9))</f>
        <v/>
      </c>
      <c r="M9" s="80" t="str">
        <f>IF(AND('DAY 5'!M9=""),"",('DAY 5'!M9))</f>
        <v/>
      </c>
      <c r="O9" s="78">
        <f>SUM('DAY 1'!L9,'DAY 2'!L9,'DAY 3'!L9,'DAY 4'!L9,'DAY 5'!L9)</f>
        <v>0</v>
      </c>
      <c r="P9" s="82" t="str">
        <f t="shared" si="0"/>
        <v/>
      </c>
      <c r="Q9" s="83" t="str">
        <f t="shared" si="1"/>
        <v/>
      </c>
      <c r="R9" s="148" t="str">
        <f t="shared" si="2"/>
        <v/>
      </c>
      <c r="S9" s="149" t="str">
        <f t="shared" si="3"/>
        <v/>
      </c>
      <c r="U9" s="66" t="str">
        <f>'DAY 1'!Y9</f>
        <v/>
      </c>
      <c r="V9" s="89" t="str">
        <f>'DAY 2'!Y9</f>
        <v/>
      </c>
      <c r="W9" s="89" t="str">
        <f>'DAY 3'!Y9</f>
        <v/>
      </c>
      <c r="X9" s="89" t="str">
        <f>'DAY 4'!Y9</f>
        <v/>
      </c>
      <c r="Y9" s="67" t="str">
        <f>'DAY 5'!Y9</f>
        <v/>
      </c>
      <c r="Z9" s="142" t="str">
        <f t="shared" si="4"/>
        <v/>
      </c>
      <c r="AA9" s="22" t="str">
        <f t="shared" si="5"/>
        <v/>
      </c>
      <c r="AB9" t="str">
        <f>'DAY 1'!Z9</f>
        <v/>
      </c>
      <c r="AC9" t="str">
        <f>'DAY 2'!Z9</f>
        <v/>
      </c>
      <c r="AD9" t="str">
        <f>'DAY 3'!Z9</f>
        <v/>
      </c>
      <c r="AE9" t="str">
        <f>'DAY 4'!Z9</f>
        <v/>
      </c>
      <c r="AF9" t="str">
        <f>'DAY 5'!Z9</f>
        <v/>
      </c>
      <c r="AG9" s="144" t="str">
        <f t="shared" si="6"/>
        <v/>
      </c>
      <c r="AH9" s="145" t="str">
        <f t="shared" si="7"/>
        <v/>
      </c>
    </row>
    <row r="10" spans="2:34" ht="15.75" thickBot="1" x14ac:dyDescent="0.3">
      <c r="B10" s="66" t="str">
        <f>IF(AND('ENTRY DATA'!C10=""),"",('ENTRY DATA'!C10))</f>
        <v/>
      </c>
      <c r="C10" s="67" t="str">
        <f>IF(AND('ENTRY DATA'!D10=""),"",('ENTRY DATA'!D10))</f>
        <v/>
      </c>
      <c r="E10" s="66" t="str">
        <f>IF(AND('ENTRY DATA'!F10=""),"",('ENTRY DATA'!F10))</f>
        <v/>
      </c>
      <c r="F10" s="67" t="str">
        <f>IF(AND('ENTRY DATA'!G10=""),"",('ENTRY DATA'!G10))</f>
        <v/>
      </c>
      <c r="G10" s="61" t="s">
        <v>40</v>
      </c>
      <c r="I10" s="81" t="str">
        <f>IF(AND('DAY 1'!M10=""),"",('DAY 1'!M10))</f>
        <v/>
      </c>
      <c r="J10" s="79" t="str">
        <f>IF(AND('DAY 2'!M10=""),"",('DAY 2'!M10))</f>
        <v/>
      </c>
      <c r="K10" s="79" t="str">
        <f>IF(AND('DAY 3'!M10=""),"",('DAY 3'!M10))</f>
        <v/>
      </c>
      <c r="L10" s="79" t="str">
        <f>IF(AND('DAY 4'!M10=""),"",('DAY 4'!M10))</f>
        <v/>
      </c>
      <c r="M10" s="80" t="str">
        <f>IF(AND('DAY 5'!M10=""),"",('DAY 5'!M10))</f>
        <v/>
      </c>
      <c r="O10" s="78">
        <f>SUM('DAY 1'!L10,'DAY 2'!L10,'DAY 3'!L10,'DAY 4'!L10,'DAY 5'!L10)</f>
        <v>0</v>
      </c>
      <c r="P10" s="82" t="str">
        <f t="shared" si="0"/>
        <v/>
      </c>
      <c r="Q10" s="83" t="str">
        <f t="shared" si="1"/>
        <v/>
      </c>
      <c r="R10" s="148" t="str">
        <f t="shared" si="2"/>
        <v/>
      </c>
      <c r="S10" s="149" t="str">
        <f t="shared" si="3"/>
        <v/>
      </c>
      <c r="U10" s="66" t="str">
        <f>'DAY 1'!Y10</f>
        <v/>
      </c>
      <c r="V10" s="89" t="str">
        <f>'DAY 2'!Y10</f>
        <v/>
      </c>
      <c r="W10" s="89" t="str">
        <f>'DAY 3'!Y10</f>
        <v/>
      </c>
      <c r="X10" s="89" t="str">
        <f>'DAY 4'!Y10</f>
        <v/>
      </c>
      <c r="Y10" s="67" t="str">
        <f>'DAY 5'!Y10</f>
        <v/>
      </c>
      <c r="Z10" s="142" t="str">
        <f t="shared" si="4"/>
        <v/>
      </c>
      <c r="AA10" s="22" t="str">
        <f t="shared" si="5"/>
        <v/>
      </c>
      <c r="AB10" t="str">
        <f>'DAY 1'!Z10</f>
        <v/>
      </c>
      <c r="AC10" t="str">
        <f>'DAY 2'!Z10</f>
        <v/>
      </c>
      <c r="AD10" t="str">
        <f>'DAY 3'!Z10</f>
        <v/>
      </c>
      <c r="AE10" t="str">
        <f>'DAY 4'!Z10</f>
        <v/>
      </c>
      <c r="AF10" t="str">
        <f>'DAY 5'!Z10</f>
        <v/>
      </c>
      <c r="AG10" s="144" t="str">
        <f t="shared" si="6"/>
        <v/>
      </c>
      <c r="AH10" s="145" t="str">
        <f t="shared" si="7"/>
        <v/>
      </c>
    </row>
    <row r="11" spans="2:34" ht="15.75" thickBot="1" x14ac:dyDescent="0.3">
      <c r="B11" s="66" t="str">
        <f>IF(AND('ENTRY DATA'!C11=""),"",('ENTRY DATA'!C11))</f>
        <v/>
      </c>
      <c r="C11" s="67" t="str">
        <f>IF(AND('ENTRY DATA'!D11=""),"",('ENTRY DATA'!D11))</f>
        <v/>
      </c>
      <c r="E11" s="66" t="str">
        <f>IF(AND('ENTRY DATA'!F11=""),"",('ENTRY DATA'!F11))</f>
        <v/>
      </c>
      <c r="F11" s="67" t="str">
        <f>IF(AND('ENTRY DATA'!G11=""),"",('ENTRY DATA'!G11))</f>
        <v/>
      </c>
      <c r="G11" s="61" t="s">
        <v>40</v>
      </c>
      <c r="I11" s="81" t="str">
        <f>IF(AND('DAY 1'!M11=""),"",('DAY 1'!M11))</f>
        <v/>
      </c>
      <c r="J11" s="79" t="str">
        <f>IF(AND('DAY 2'!M11=""),"",('DAY 2'!M11))</f>
        <v/>
      </c>
      <c r="K11" s="79" t="str">
        <f>IF(AND('DAY 3'!M11=""),"",('DAY 3'!M11))</f>
        <v/>
      </c>
      <c r="L11" s="79" t="str">
        <f>IF(AND('DAY 4'!M11=""),"",('DAY 4'!M11))</f>
        <v/>
      </c>
      <c r="M11" s="80" t="str">
        <f>IF(AND('DAY 5'!M11=""),"",('DAY 5'!M11))</f>
        <v/>
      </c>
      <c r="O11" s="78">
        <f>SUM('DAY 1'!L11,'DAY 2'!L11,'DAY 3'!L11,'DAY 4'!L11,'DAY 5'!L11)</f>
        <v>0</v>
      </c>
      <c r="P11" s="82" t="str">
        <f t="shared" si="0"/>
        <v/>
      </c>
      <c r="Q11" s="83" t="str">
        <f t="shared" si="1"/>
        <v/>
      </c>
      <c r="R11" s="148" t="str">
        <f t="shared" si="2"/>
        <v/>
      </c>
      <c r="S11" s="149" t="str">
        <f t="shared" si="3"/>
        <v/>
      </c>
      <c r="U11" s="66" t="str">
        <f>'DAY 1'!Y11</f>
        <v/>
      </c>
      <c r="V11" s="89" t="str">
        <f>'DAY 2'!Y11</f>
        <v/>
      </c>
      <c r="W11" s="89" t="str">
        <f>'DAY 3'!Y11</f>
        <v/>
      </c>
      <c r="X11" s="89" t="str">
        <f>'DAY 4'!Y11</f>
        <v/>
      </c>
      <c r="Y11" s="67" t="str">
        <f>'DAY 5'!Y11</f>
        <v/>
      </c>
      <c r="Z11" s="142" t="str">
        <f t="shared" si="4"/>
        <v/>
      </c>
      <c r="AA11" s="22" t="str">
        <f t="shared" si="5"/>
        <v/>
      </c>
      <c r="AB11" t="str">
        <f>'DAY 1'!Z11</f>
        <v/>
      </c>
      <c r="AC11" t="str">
        <f>'DAY 2'!Z11</f>
        <v/>
      </c>
      <c r="AD11" t="str">
        <f>'DAY 3'!Z11</f>
        <v/>
      </c>
      <c r="AE11" t="str">
        <f>'DAY 4'!Z11</f>
        <v/>
      </c>
      <c r="AF11" t="str">
        <f>'DAY 5'!Z11</f>
        <v/>
      </c>
      <c r="AG11" s="144" t="str">
        <f t="shared" si="6"/>
        <v/>
      </c>
      <c r="AH11" s="145" t="str">
        <f t="shared" si="7"/>
        <v/>
      </c>
    </row>
    <row r="12" spans="2:34" ht="15.75" thickBot="1" x14ac:dyDescent="0.3">
      <c r="B12" s="66" t="str">
        <f>IF(AND('ENTRY DATA'!C12=""),"",('ENTRY DATA'!C12))</f>
        <v/>
      </c>
      <c r="C12" s="67" t="str">
        <f>IF(AND('ENTRY DATA'!D12=""),"",('ENTRY DATA'!D12))</f>
        <v/>
      </c>
      <c r="E12" s="66" t="str">
        <f>IF(AND('ENTRY DATA'!F12=""),"",('ENTRY DATA'!F12))</f>
        <v/>
      </c>
      <c r="F12" s="67" t="str">
        <f>IF(AND('ENTRY DATA'!G12=""),"",('ENTRY DATA'!G12))</f>
        <v/>
      </c>
      <c r="G12" s="61" t="s">
        <v>40</v>
      </c>
      <c r="I12" s="81" t="str">
        <f>IF(AND('DAY 1'!M12=""),"",('DAY 1'!M12))</f>
        <v/>
      </c>
      <c r="J12" s="79" t="str">
        <f>IF(AND('DAY 2'!M12=""),"",('DAY 2'!M12))</f>
        <v/>
      </c>
      <c r="K12" s="79" t="str">
        <f>IF(AND('DAY 3'!M12=""),"",('DAY 3'!M12))</f>
        <v/>
      </c>
      <c r="L12" s="79" t="str">
        <f>IF(AND('DAY 4'!M12=""),"",('DAY 4'!M12))</f>
        <v/>
      </c>
      <c r="M12" s="80" t="str">
        <f>IF(AND('DAY 5'!M12=""),"",('DAY 5'!M12))</f>
        <v/>
      </c>
      <c r="O12" s="78">
        <f>SUM('DAY 1'!L12,'DAY 2'!L12,'DAY 3'!L12,'DAY 4'!L12,'DAY 5'!L12)</f>
        <v>0</v>
      </c>
      <c r="P12" s="82" t="str">
        <f t="shared" si="0"/>
        <v/>
      </c>
      <c r="Q12" s="83" t="str">
        <f t="shared" si="1"/>
        <v/>
      </c>
      <c r="R12" s="148" t="str">
        <f t="shared" si="2"/>
        <v/>
      </c>
      <c r="S12" s="149" t="str">
        <f t="shared" si="3"/>
        <v/>
      </c>
      <c r="U12" s="66" t="str">
        <f>'DAY 1'!Y12</f>
        <v/>
      </c>
      <c r="V12" s="89" t="str">
        <f>'DAY 2'!Y12</f>
        <v/>
      </c>
      <c r="W12" s="89" t="str">
        <f>'DAY 3'!Y12</f>
        <v/>
      </c>
      <c r="X12" s="89" t="str">
        <f>'DAY 4'!Y12</f>
        <v/>
      </c>
      <c r="Y12" s="67" t="str">
        <f>'DAY 5'!Y12</f>
        <v/>
      </c>
      <c r="Z12" s="142" t="str">
        <f t="shared" si="4"/>
        <v/>
      </c>
      <c r="AA12" s="22" t="str">
        <f t="shared" si="5"/>
        <v/>
      </c>
      <c r="AB12" t="str">
        <f>'DAY 1'!Z12</f>
        <v/>
      </c>
      <c r="AC12" t="str">
        <f>'DAY 2'!Z12</f>
        <v/>
      </c>
      <c r="AD12" t="str">
        <f>'DAY 3'!Z12</f>
        <v/>
      </c>
      <c r="AE12" t="str">
        <f>'DAY 4'!Z12</f>
        <v/>
      </c>
      <c r="AF12" t="str">
        <f>'DAY 5'!Z12</f>
        <v/>
      </c>
      <c r="AG12" s="144" t="str">
        <f t="shared" si="6"/>
        <v/>
      </c>
      <c r="AH12" s="145" t="str">
        <f t="shared" si="7"/>
        <v/>
      </c>
    </row>
    <row r="13" spans="2:34" ht="15.75" thickBot="1" x14ac:dyDescent="0.3">
      <c r="B13" s="66" t="str">
        <f>IF(AND('ENTRY DATA'!C13=""),"",('ENTRY DATA'!C13))</f>
        <v/>
      </c>
      <c r="C13" s="67" t="str">
        <f>IF(AND('ENTRY DATA'!D13=""),"",('ENTRY DATA'!D13))</f>
        <v/>
      </c>
      <c r="E13" s="66" t="str">
        <f>IF(AND('ENTRY DATA'!F13=""),"",('ENTRY DATA'!F13))</f>
        <v/>
      </c>
      <c r="F13" s="67" t="str">
        <f>IF(AND('ENTRY DATA'!G13=""),"",('ENTRY DATA'!G13))</f>
        <v/>
      </c>
      <c r="G13" s="61" t="s">
        <v>40</v>
      </c>
      <c r="I13" s="81" t="str">
        <f>IF(AND('DAY 1'!M13=""),"",('DAY 1'!M13))</f>
        <v/>
      </c>
      <c r="J13" s="79" t="str">
        <f>IF(AND('DAY 2'!M13=""),"",('DAY 2'!M13))</f>
        <v/>
      </c>
      <c r="K13" s="79" t="str">
        <f>IF(AND('DAY 3'!M13=""),"",('DAY 3'!M13))</f>
        <v/>
      </c>
      <c r="L13" s="79" t="str">
        <f>IF(AND('DAY 4'!M13=""),"",('DAY 4'!M13))</f>
        <v/>
      </c>
      <c r="M13" s="80" t="str">
        <f>IF(AND('DAY 5'!M13=""),"",('DAY 5'!M13))</f>
        <v/>
      </c>
      <c r="O13" s="78">
        <f>SUM('DAY 1'!L13,'DAY 2'!L13,'DAY 3'!L13,'DAY 4'!L13,'DAY 5'!L13)</f>
        <v>0</v>
      </c>
      <c r="P13" s="82" t="str">
        <f t="shared" si="0"/>
        <v/>
      </c>
      <c r="Q13" s="83" t="str">
        <f t="shared" si="1"/>
        <v/>
      </c>
      <c r="R13" s="148" t="str">
        <f t="shared" si="2"/>
        <v/>
      </c>
      <c r="S13" s="149" t="str">
        <f t="shared" si="3"/>
        <v/>
      </c>
      <c r="U13" s="66" t="str">
        <f>'DAY 1'!Y13</f>
        <v/>
      </c>
      <c r="V13" s="89" t="str">
        <f>'DAY 2'!Y13</f>
        <v/>
      </c>
      <c r="W13" s="89" t="str">
        <f>'DAY 3'!Y13</f>
        <v/>
      </c>
      <c r="X13" s="89" t="str">
        <f>'DAY 4'!Y13</f>
        <v/>
      </c>
      <c r="Y13" s="67" t="str">
        <f>'DAY 5'!Y13</f>
        <v/>
      </c>
      <c r="Z13" s="142" t="str">
        <f t="shared" si="4"/>
        <v/>
      </c>
      <c r="AA13" s="22" t="str">
        <f t="shared" si="5"/>
        <v/>
      </c>
      <c r="AB13" t="str">
        <f>'DAY 1'!Z13</f>
        <v/>
      </c>
      <c r="AC13" t="str">
        <f>'DAY 2'!Z13</f>
        <v/>
      </c>
      <c r="AD13" t="str">
        <f>'DAY 3'!Z13</f>
        <v/>
      </c>
      <c r="AE13" t="str">
        <f>'DAY 4'!Z13</f>
        <v/>
      </c>
      <c r="AF13" t="str">
        <f>'DAY 5'!Z13</f>
        <v/>
      </c>
      <c r="AG13" s="144" t="str">
        <f t="shared" si="6"/>
        <v/>
      </c>
      <c r="AH13" s="145" t="str">
        <f t="shared" si="7"/>
        <v/>
      </c>
    </row>
    <row r="14" spans="2:34" ht="15.75" thickBot="1" x14ac:dyDescent="0.3">
      <c r="B14" s="66" t="str">
        <f>IF(AND('ENTRY DATA'!C14=""),"",('ENTRY DATA'!C14))</f>
        <v/>
      </c>
      <c r="C14" s="67" t="str">
        <f>IF(AND('ENTRY DATA'!D14=""),"",('ENTRY DATA'!D14))</f>
        <v/>
      </c>
      <c r="E14" s="66" t="str">
        <f>IF(AND('ENTRY DATA'!F14=""),"",('ENTRY DATA'!F14))</f>
        <v/>
      </c>
      <c r="F14" s="67" t="str">
        <f>IF(AND('ENTRY DATA'!G14=""),"",('ENTRY DATA'!G14))</f>
        <v/>
      </c>
      <c r="G14" s="61" t="s">
        <v>40</v>
      </c>
      <c r="I14" s="81" t="str">
        <f>IF(AND('DAY 1'!M14=""),"",('DAY 1'!M14))</f>
        <v/>
      </c>
      <c r="J14" s="79" t="str">
        <f>IF(AND('DAY 2'!M14=""),"",('DAY 2'!M14))</f>
        <v/>
      </c>
      <c r="K14" s="79" t="str">
        <f>IF(AND('DAY 3'!M14=""),"",('DAY 3'!M14))</f>
        <v/>
      </c>
      <c r="L14" s="79" t="str">
        <f>IF(AND('DAY 4'!M14=""),"",('DAY 4'!M14))</f>
        <v/>
      </c>
      <c r="M14" s="80" t="str">
        <f>IF(AND('DAY 5'!M14=""),"",('DAY 5'!M14))</f>
        <v/>
      </c>
      <c r="O14" s="78">
        <f>SUM('DAY 1'!L14,'DAY 2'!L14,'DAY 3'!L14,'DAY 4'!L14,'DAY 5'!L14)</f>
        <v>0</v>
      </c>
      <c r="P14" s="82" t="str">
        <f t="shared" si="0"/>
        <v/>
      </c>
      <c r="Q14" s="83" t="str">
        <f t="shared" si="1"/>
        <v/>
      </c>
      <c r="R14" s="148" t="str">
        <f t="shared" si="2"/>
        <v/>
      </c>
      <c r="S14" s="149" t="str">
        <f t="shared" si="3"/>
        <v/>
      </c>
      <c r="U14" s="66" t="str">
        <f>'DAY 1'!Y14</f>
        <v/>
      </c>
      <c r="V14" s="89" t="str">
        <f>'DAY 2'!Y14</f>
        <v/>
      </c>
      <c r="W14" s="89" t="str">
        <f>'DAY 3'!Y14</f>
        <v/>
      </c>
      <c r="X14" s="89" t="str">
        <f>'DAY 4'!Y14</f>
        <v/>
      </c>
      <c r="Y14" s="67" t="str">
        <f>'DAY 5'!Y14</f>
        <v/>
      </c>
      <c r="Z14" s="142" t="str">
        <f t="shared" si="4"/>
        <v/>
      </c>
      <c r="AA14" s="22" t="str">
        <f t="shared" si="5"/>
        <v/>
      </c>
      <c r="AB14" t="str">
        <f>'DAY 1'!Z14</f>
        <v/>
      </c>
      <c r="AC14" t="str">
        <f>'DAY 2'!Z14</f>
        <v/>
      </c>
      <c r="AD14" t="str">
        <f>'DAY 3'!Z14</f>
        <v/>
      </c>
      <c r="AE14" t="str">
        <f>'DAY 4'!Z14</f>
        <v/>
      </c>
      <c r="AF14" t="str">
        <f>'DAY 5'!Z14</f>
        <v/>
      </c>
      <c r="AG14" s="144" t="str">
        <f t="shared" si="6"/>
        <v/>
      </c>
      <c r="AH14" s="145" t="str">
        <f t="shared" si="7"/>
        <v/>
      </c>
    </row>
    <row r="15" spans="2:34" ht="15.75" thickBot="1" x14ac:dyDescent="0.3">
      <c r="B15" s="66" t="str">
        <f>IF(AND('ENTRY DATA'!C15=""),"",('ENTRY DATA'!C15))</f>
        <v/>
      </c>
      <c r="C15" s="67" t="str">
        <f>IF(AND('ENTRY DATA'!D15=""),"",('ENTRY DATA'!D15))</f>
        <v/>
      </c>
      <c r="E15" s="66" t="str">
        <f>IF(AND('ENTRY DATA'!F15=""),"",('ENTRY DATA'!F15))</f>
        <v/>
      </c>
      <c r="F15" s="67" t="str">
        <f>IF(AND('ENTRY DATA'!G15=""),"",('ENTRY DATA'!G15))</f>
        <v/>
      </c>
      <c r="G15" s="61" t="s">
        <v>40</v>
      </c>
      <c r="I15" s="81" t="str">
        <f>IF(AND('DAY 1'!M15=""),"",('DAY 1'!M15))</f>
        <v/>
      </c>
      <c r="J15" s="79" t="str">
        <f>IF(AND('DAY 2'!M15=""),"",('DAY 2'!M15))</f>
        <v/>
      </c>
      <c r="K15" s="79" t="str">
        <f>IF(AND('DAY 3'!M15=""),"",('DAY 3'!M15))</f>
        <v/>
      </c>
      <c r="L15" s="79" t="str">
        <f>IF(AND('DAY 4'!M15=""),"",('DAY 4'!M15))</f>
        <v/>
      </c>
      <c r="M15" s="80" t="str">
        <f>IF(AND('DAY 5'!M15=""),"",('DAY 5'!M15))</f>
        <v/>
      </c>
      <c r="O15" s="78">
        <f>SUM('DAY 1'!L15,'DAY 2'!L15,'DAY 3'!L15,'DAY 4'!L15,'DAY 5'!L15)</f>
        <v>0</v>
      </c>
      <c r="P15" s="82" t="str">
        <f t="shared" si="0"/>
        <v/>
      </c>
      <c r="Q15" s="83" t="str">
        <f t="shared" si="1"/>
        <v/>
      </c>
      <c r="R15" s="148" t="str">
        <f t="shared" si="2"/>
        <v/>
      </c>
      <c r="S15" s="149" t="str">
        <f t="shared" si="3"/>
        <v/>
      </c>
      <c r="U15" s="66" t="str">
        <f>'DAY 1'!Y15</f>
        <v/>
      </c>
      <c r="V15" s="89" t="str">
        <f>'DAY 2'!Y15</f>
        <v/>
      </c>
      <c r="W15" s="89" t="str">
        <f>'DAY 3'!Y15</f>
        <v/>
      </c>
      <c r="X15" s="89" t="str">
        <f>'DAY 4'!Y15</f>
        <v/>
      </c>
      <c r="Y15" s="67" t="str">
        <f>'DAY 5'!Y15</f>
        <v/>
      </c>
      <c r="Z15" s="142" t="str">
        <f t="shared" si="4"/>
        <v/>
      </c>
      <c r="AA15" s="22" t="str">
        <f t="shared" si="5"/>
        <v/>
      </c>
      <c r="AB15" t="str">
        <f>'DAY 1'!Z15</f>
        <v/>
      </c>
      <c r="AC15" t="str">
        <f>'DAY 2'!Z15</f>
        <v/>
      </c>
      <c r="AD15" t="str">
        <f>'DAY 3'!Z15</f>
        <v/>
      </c>
      <c r="AE15" t="str">
        <f>'DAY 4'!Z15</f>
        <v/>
      </c>
      <c r="AF15" t="str">
        <f>'DAY 5'!Z15</f>
        <v/>
      </c>
      <c r="AG15" s="144" t="str">
        <f t="shared" si="6"/>
        <v/>
      </c>
      <c r="AH15" s="145" t="str">
        <f t="shared" si="7"/>
        <v/>
      </c>
    </row>
    <row r="16" spans="2:34" ht="15.75" thickBot="1" x14ac:dyDescent="0.3">
      <c r="B16" s="66" t="str">
        <f>IF(AND('ENTRY DATA'!C16=""),"",('ENTRY DATA'!C16))</f>
        <v/>
      </c>
      <c r="C16" s="67" t="str">
        <f>IF(AND('ENTRY DATA'!D16=""),"",('ENTRY DATA'!D16))</f>
        <v/>
      </c>
      <c r="E16" s="66" t="str">
        <f>IF(AND('ENTRY DATA'!F16=""),"",('ENTRY DATA'!F16))</f>
        <v/>
      </c>
      <c r="F16" s="67" t="str">
        <f>IF(AND('ENTRY DATA'!G16=""),"",('ENTRY DATA'!G16))</f>
        <v/>
      </c>
      <c r="G16" s="61" t="s">
        <v>40</v>
      </c>
      <c r="I16" s="81" t="str">
        <f>IF(AND('DAY 1'!M16=""),"",('DAY 1'!M16))</f>
        <v/>
      </c>
      <c r="J16" s="79" t="str">
        <f>IF(AND('DAY 2'!M16=""),"",('DAY 2'!M16))</f>
        <v/>
      </c>
      <c r="K16" s="79" t="str">
        <f>IF(AND('DAY 3'!M16=""),"",('DAY 3'!M16))</f>
        <v/>
      </c>
      <c r="L16" s="79" t="str">
        <f>IF(AND('DAY 4'!M16=""),"",('DAY 4'!M16))</f>
        <v/>
      </c>
      <c r="M16" s="80" t="str">
        <f>IF(AND('DAY 5'!M16=""),"",('DAY 5'!M16))</f>
        <v/>
      </c>
      <c r="O16" s="78">
        <f>SUM('DAY 1'!L16,'DAY 2'!L16,'DAY 3'!L16,'DAY 4'!L16,'DAY 5'!L16)</f>
        <v>0</v>
      </c>
      <c r="P16" s="82" t="str">
        <f t="shared" si="0"/>
        <v/>
      </c>
      <c r="Q16" s="83" t="str">
        <f t="shared" si="1"/>
        <v/>
      </c>
      <c r="R16" s="148" t="str">
        <f t="shared" si="2"/>
        <v/>
      </c>
      <c r="S16" s="149" t="str">
        <f t="shared" si="3"/>
        <v/>
      </c>
      <c r="U16" s="66" t="str">
        <f>'DAY 1'!Y16</f>
        <v/>
      </c>
      <c r="V16" s="89" t="str">
        <f>'DAY 2'!Y16</f>
        <v/>
      </c>
      <c r="W16" s="89" t="str">
        <f>'DAY 3'!Y16</f>
        <v/>
      </c>
      <c r="X16" s="89" t="str">
        <f>'DAY 4'!Y16</f>
        <v/>
      </c>
      <c r="Y16" s="67" t="str">
        <f>'DAY 5'!Y16</f>
        <v/>
      </c>
      <c r="Z16" s="142" t="str">
        <f t="shared" si="4"/>
        <v/>
      </c>
      <c r="AA16" s="22" t="str">
        <f t="shared" si="5"/>
        <v/>
      </c>
      <c r="AB16" t="str">
        <f>'DAY 1'!Z16</f>
        <v/>
      </c>
      <c r="AC16" t="str">
        <f>'DAY 2'!Z16</f>
        <v/>
      </c>
      <c r="AD16" t="str">
        <f>'DAY 3'!Z16</f>
        <v/>
      </c>
      <c r="AE16" t="str">
        <f>'DAY 4'!Z16</f>
        <v/>
      </c>
      <c r="AF16" t="str">
        <f>'DAY 5'!Z16</f>
        <v/>
      </c>
      <c r="AG16" s="144" t="str">
        <f t="shared" si="6"/>
        <v/>
      </c>
      <c r="AH16" s="145" t="str">
        <f t="shared" si="7"/>
        <v/>
      </c>
    </row>
    <row r="17" spans="2:34" ht="15.75" thickBot="1" x14ac:dyDescent="0.3">
      <c r="B17" s="66" t="str">
        <f>IF(AND('ENTRY DATA'!C17=""),"",('ENTRY DATA'!C17))</f>
        <v/>
      </c>
      <c r="C17" s="67" t="str">
        <f>IF(AND('ENTRY DATA'!D17=""),"",('ENTRY DATA'!D17))</f>
        <v/>
      </c>
      <c r="E17" s="66" t="str">
        <f>IF(AND('ENTRY DATA'!F17=""),"",('ENTRY DATA'!F17))</f>
        <v/>
      </c>
      <c r="F17" s="67" t="str">
        <f>IF(AND('ENTRY DATA'!G17=""),"",('ENTRY DATA'!G17))</f>
        <v/>
      </c>
      <c r="G17" s="61" t="s">
        <v>40</v>
      </c>
      <c r="I17" s="81" t="str">
        <f>IF(AND('DAY 1'!M17=""),"",('DAY 1'!M17))</f>
        <v/>
      </c>
      <c r="J17" s="79" t="str">
        <f>IF(AND('DAY 2'!M17=""),"",('DAY 2'!M17))</f>
        <v/>
      </c>
      <c r="K17" s="79" t="str">
        <f>IF(AND('DAY 3'!M17=""),"",('DAY 3'!M17))</f>
        <v/>
      </c>
      <c r="L17" s="79" t="str">
        <f>IF(AND('DAY 4'!M17=""),"",('DAY 4'!M17))</f>
        <v/>
      </c>
      <c r="M17" s="80" t="str">
        <f>IF(AND('DAY 5'!M17=""),"",('DAY 5'!M17))</f>
        <v/>
      </c>
      <c r="O17" s="78">
        <f>SUM('DAY 1'!L17,'DAY 2'!L17,'DAY 3'!L17,'DAY 4'!L17,'DAY 5'!L17)</f>
        <v>0</v>
      </c>
      <c r="P17" s="82" t="str">
        <f t="shared" si="0"/>
        <v/>
      </c>
      <c r="Q17" s="83" t="str">
        <f t="shared" si="1"/>
        <v/>
      </c>
      <c r="R17" s="148" t="str">
        <f t="shared" si="2"/>
        <v/>
      </c>
      <c r="S17" s="149" t="str">
        <f t="shared" si="3"/>
        <v/>
      </c>
      <c r="U17" s="66" t="str">
        <f>'DAY 1'!Y17</f>
        <v/>
      </c>
      <c r="V17" s="89" t="str">
        <f>'DAY 2'!Y17</f>
        <v/>
      </c>
      <c r="W17" s="89" t="str">
        <f>'DAY 3'!Y17</f>
        <v/>
      </c>
      <c r="X17" s="89" t="str">
        <f>'DAY 4'!Y17</f>
        <v/>
      </c>
      <c r="Y17" s="67" t="str">
        <f>'DAY 5'!Y17</f>
        <v/>
      </c>
      <c r="Z17" s="142" t="str">
        <f t="shared" si="4"/>
        <v/>
      </c>
      <c r="AA17" s="22" t="str">
        <f t="shared" si="5"/>
        <v/>
      </c>
      <c r="AB17" t="str">
        <f>'DAY 1'!Z17</f>
        <v/>
      </c>
      <c r="AC17" t="str">
        <f>'DAY 2'!Z17</f>
        <v/>
      </c>
      <c r="AD17" t="str">
        <f>'DAY 3'!Z17</f>
        <v/>
      </c>
      <c r="AE17" t="str">
        <f>'DAY 4'!Z17</f>
        <v/>
      </c>
      <c r="AF17" t="str">
        <f>'DAY 5'!Z17</f>
        <v/>
      </c>
      <c r="AG17" s="144" t="str">
        <f t="shared" si="6"/>
        <v/>
      </c>
      <c r="AH17" s="145" t="str">
        <f t="shared" si="7"/>
        <v/>
      </c>
    </row>
    <row r="18" spans="2:34" ht="15.75" thickBot="1" x14ac:dyDescent="0.3">
      <c r="B18" s="66" t="str">
        <f>IF(AND('ENTRY DATA'!C18=""),"",('ENTRY DATA'!C18))</f>
        <v/>
      </c>
      <c r="C18" s="67" t="str">
        <f>IF(AND('ENTRY DATA'!D18=""),"",('ENTRY DATA'!D18))</f>
        <v/>
      </c>
      <c r="E18" s="66" t="str">
        <f>IF(AND('ENTRY DATA'!F18=""),"",('ENTRY DATA'!F18))</f>
        <v/>
      </c>
      <c r="F18" s="67" t="str">
        <f>IF(AND('ENTRY DATA'!G18=""),"",('ENTRY DATA'!G18))</f>
        <v/>
      </c>
      <c r="G18" s="61" t="s">
        <v>40</v>
      </c>
      <c r="I18" s="81" t="str">
        <f>IF(AND('DAY 1'!M18=""),"",('DAY 1'!M18))</f>
        <v/>
      </c>
      <c r="J18" s="79" t="str">
        <f>IF(AND('DAY 2'!M18=""),"",('DAY 2'!M18))</f>
        <v/>
      </c>
      <c r="K18" s="79" t="str">
        <f>IF(AND('DAY 3'!M18=""),"",('DAY 3'!M18))</f>
        <v/>
      </c>
      <c r="L18" s="79" t="str">
        <f>IF(AND('DAY 4'!M18=""),"",('DAY 4'!M18))</f>
        <v/>
      </c>
      <c r="M18" s="80" t="str">
        <f>IF(AND('DAY 5'!M18=""),"",('DAY 5'!M18))</f>
        <v/>
      </c>
      <c r="O18" s="78">
        <f>SUM('DAY 1'!L18,'DAY 2'!L18,'DAY 3'!L18,'DAY 4'!L18,'DAY 5'!L18)</f>
        <v>0</v>
      </c>
      <c r="P18" s="82" t="str">
        <f t="shared" si="0"/>
        <v/>
      </c>
      <c r="Q18" s="83" t="str">
        <f t="shared" si="1"/>
        <v/>
      </c>
      <c r="R18" s="148" t="str">
        <f t="shared" si="2"/>
        <v/>
      </c>
      <c r="S18" s="149" t="str">
        <f t="shared" si="3"/>
        <v/>
      </c>
      <c r="U18" s="66" t="str">
        <f>'DAY 1'!Y18</f>
        <v/>
      </c>
      <c r="V18" s="89" t="str">
        <f>'DAY 2'!Y18</f>
        <v/>
      </c>
      <c r="W18" s="89" t="str">
        <f>'DAY 3'!Y18</f>
        <v/>
      </c>
      <c r="X18" s="89" t="str">
        <f>'DAY 4'!Y18</f>
        <v/>
      </c>
      <c r="Y18" s="67" t="str">
        <f>'DAY 5'!Y18</f>
        <v/>
      </c>
      <c r="Z18" s="142" t="str">
        <f t="shared" si="4"/>
        <v/>
      </c>
      <c r="AA18" s="22" t="str">
        <f t="shared" si="5"/>
        <v/>
      </c>
      <c r="AB18" t="str">
        <f>'DAY 1'!Z18</f>
        <v/>
      </c>
      <c r="AC18" t="str">
        <f>'DAY 2'!Z18</f>
        <v/>
      </c>
      <c r="AD18" t="str">
        <f>'DAY 3'!Z18</f>
        <v/>
      </c>
      <c r="AE18" t="str">
        <f>'DAY 4'!Z18</f>
        <v/>
      </c>
      <c r="AF18" t="str">
        <f>'DAY 5'!Z18</f>
        <v/>
      </c>
      <c r="AG18" s="144" t="str">
        <f t="shared" si="6"/>
        <v/>
      </c>
      <c r="AH18" s="145" t="str">
        <f t="shared" si="7"/>
        <v/>
      </c>
    </row>
    <row r="19" spans="2:34" ht="15.75" thickBot="1" x14ac:dyDescent="0.3">
      <c r="B19" s="66" t="str">
        <f>IF(AND('ENTRY DATA'!C19=""),"",('ENTRY DATA'!C19))</f>
        <v/>
      </c>
      <c r="C19" s="67" t="str">
        <f>IF(AND('ENTRY DATA'!D19=""),"",('ENTRY DATA'!D19))</f>
        <v/>
      </c>
      <c r="E19" s="66" t="str">
        <f>IF(AND('ENTRY DATA'!F19=""),"",('ENTRY DATA'!F19))</f>
        <v/>
      </c>
      <c r="F19" s="67" t="str">
        <f>IF(AND('ENTRY DATA'!G19=""),"",('ENTRY DATA'!G19))</f>
        <v/>
      </c>
      <c r="G19" s="61" t="s">
        <v>40</v>
      </c>
      <c r="I19" s="81" t="str">
        <f>IF(AND('DAY 1'!M19=""),"",('DAY 1'!M19))</f>
        <v/>
      </c>
      <c r="J19" s="79" t="str">
        <f>IF(AND('DAY 2'!M19=""),"",('DAY 2'!M19))</f>
        <v/>
      </c>
      <c r="K19" s="79" t="str">
        <f>IF(AND('DAY 3'!M19=""),"",('DAY 3'!M19))</f>
        <v/>
      </c>
      <c r="L19" s="79" t="str">
        <f>IF(AND('DAY 4'!M19=""),"",('DAY 4'!M19))</f>
        <v/>
      </c>
      <c r="M19" s="80" t="str">
        <f>IF(AND('DAY 5'!M19=""),"",('DAY 5'!M19))</f>
        <v/>
      </c>
      <c r="O19" s="78">
        <f>SUM('DAY 1'!L19,'DAY 2'!L19,'DAY 3'!L19,'DAY 4'!L19,'DAY 5'!L19)</f>
        <v>0</v>
      </c>
      <c r="P19" s="82" t="str">
        <f t="shared" si="0"/>
        <v/>
      </c>
      <c r="Q19" s="83" t="str">
        <f t="shared" si="1"/>
        <v/>
      </c>
      <c r="R19" s="148" t="str">
        <f t="shared" si="2"/>
        <v/>
      </c>
      <c r="S19" s="149" t="str">
        <f t="shared" si="3"/>
        <v/>
      </c>
      <c r="U19" s="66" t="str">
        <f>'DAY 1'!Y19</f>
        <v/>
      </c>
      <c r="V19" s="89" t="str">
        <f>'DAY 2'!Y19</f>
        <v/>
      </c>
      <c r="W19" s="89" t="str">
        <f>'DAY 3'!Y19</f>
        <v/>
      </c>
      <c r="X19" s="89" t="str">
        <f>'DAY 4'!Y19</f>
        <v/>
      </c>
      <c r="Y19" s="67" t="str">
        <f>'DAY 5'!Y19</f>
        <v/>
      </c>
      <c r="Z19" s="142" t="str">
        <f t="shared" si="4"/>
        <v/>
      </c>
      <c r="AA19" s="22" t="str">
        <f t="shared" si="5"/>
        <v/>
      </c>
      <c r="AB19" t="str">
        <f>'DAY 1'!Z19</f>
        <v/>
      </c>
      <c r="AC19" t="str">
        <f>'DAY 2'!Z19</f>
        <v/>
      </c>
      <c r="AD19" t="str">
        <f>'DAY 3'!Z19</f>
        <v/>
      </c>
      <c r="AE19" t="str">
        <f>'DAY 4'!Z19</f>
        <v/>
      </c>
      <c r="AF19" t="str">
        <f>'DAY 5'!Z19</f>
        <v/>
      </c>
      <c r="AG19" s="144" t="str">
        <f t="shared" si="6"/>
        <v/>
      </c>
      <c r="AH19" s="145" t="str">
        <f t="shared" si="7"/>
        <v/>
      </c>
    </row>
    <row r="20" spans="2:34" ht="15.75" thickBot="1" x14ac:dyDescent="0.3">
      <c r="B20" s="66" t="str">
        <f>IF(AND('ENTRY DATA'!C20=""),"",('ENTRY DATA'!C20))</f>
        <v/>
      </c>
      <c r="C20" s="67" t="str">
        <f>IF(AND('ENTRY DATA'!D20=""),"",('ENTRY DATA'!D20))</f>
        <v/>
      </c>
      <c r="E20" s="66" t="str">
        <f>IF(AND('ENTRY DATA'!F20=""),"",('ENTRY DATA'!F20))</f>
        <v/>
      </c>
      <c r="F20" s="67" t="str">
        <f>IF(AND('ENTRY DATA'!G20=""),"",('ENTRY DATA'!G20))</f>
        <v/>
      </c>
      <c r="G20" s="61" t="s">
        <v>40</v>
      </c>
      <c r="I20" s="81" t="str">
        <f>IF(AND('DAY 1'!M20=""),"",('DAY 1'!M20))</f>
        <v/>
      </c>
      <c r="J20" s="79" t="str">
        <f>IF(AND('DAY 2'!M20=""),"",('DAY 2'!M20))</f>
        <v/>
      </c>
      <c r="K20" s="79" t="str">
        <f>IF(AND('DAY 3'!M20=""),"",('DAY 3'!M20))</f>
        <v/>
      </c>
      <c r="L20" s="79" t="str">
        <f>IF(AND('DAY 4'!M20=""),"",('DAY 4'!M20))</f>
        <v/>
      </c>
      <c r="M20" s="80" t="str">
        <f>IF(AND('DAY 5'!M20=""),"",('DAY 5'!M20))</f>
        <v/>
      </c>
      <c r="O20" s="78">
        <f>SUM('DAY 1'!L20,'DAY 2'!L20,'DAY 3'!L20,'DAY 4'!L20,'DAY 5'!L20)</f>
        <v>0</v>
      </c>
      <c r="P20" s="82" t="str">
        <f t="shared" si="0"/>
        <v/>
      </c>
      <c r="Q20" s="83" t="str">
        <f t="shared" si="1"/>
        <v/>
      </c>
      <c r="R20" s="148" t="str">
        <f t="shared" si="2"/>
        <v/>
      </c>
      <c r="S20" s="149" t="str">
        <f t="shared" si="3"/>
        <v/>
      </c>
      <c r="U20" s="66" t="str">
        <f>'DAY 1'!Y20</f>
        <v/>
      </c>
      <c r="V20" s="89" t="str">
        <f>'DAY 2'!Y20</f>
        <v/>
      </c>
      <c r="W20" s="89" t="str">
        <f>'DAY 3'!Y20</f>
        <v/>
      </c>
      <c r="X20" s="89" t="str">
        <f>'DAY 4'!Y20</f>
        <v/>
      </c>
      <c r="Y20" s="67" t="str">
        <f>'DAY 5'!Y20</f>
        <v/>
      </c>
      <c r="Z20" s="142" t="str">
        <f t="shared" si="4"/>
        <v/>
      </c>
      <c r="AA20" s="22" t="str">
        <f t="shared" si="5"/>
        <v/>
      </c>
      <c r="AB20" t="str">
        <f>'DAY 1'!Z20</f>
        <v/>
      </c>
      <c r="AC20" t="str">
        <f>'DAY 2'!Z20</f>
        <v/>
      </c>
      <c r="AD20" t="str">
        <f>'DAY 3'!Z20</f>
        <v/>
      </c>
      <c r="AE20" t="str">
        <f>'DAY 4'!Z20</f>
        <v/>
      </c>
      <c r="AF20" t="str">
        <f>'DAY 5'!Z20</f>
        <v/>
      </c>
      <c r="AG20" s="144" t="str">
        <f t="shared" si="6"/>
        <v/>
      </c>
      <c r="AH20" s="145" t="str">
        <f t="shared" si="7"/>
        <v/>
      </c>
    </row>
    <row r="21" spans="2:34" ht="15.75" thickBot="1" x14ac:dyDescent="0.3">
      <c r="B21" s="66" t="str">
        <f>IF(AND('ENTRY DATA'!C21=""),"",('ENTRY DATA'!C21))</f>
        <v/>
      </c>
      <c r="C21" s="67" t="str">
        <f>IF(AND('ENTRY DATA'!D21=""),"",('ENTRY DATA'!D21))</f>
        <v/>
      </c>
      <c r="E21" s="66" t="str">
        <f>IF(AND('ENTRY DATA'!F21=""),"",('ENTRY DATA'!F21))</f>
        <v/>
      </c>
      <c r="F21" s="67" t="str">
        <f>IF(AND('ENTRY DATA'!G21=""),"",('ENTRY DATA'!G21))</f>
        <v/>
      </c>
      <c r="G21" s="61" t="s">
        <v>40</v>
      </c>
      <c r="I21" s="81" t="str">
        <f>IF(AND('DAY 1'!M21=""),"",('DAY 1'!M21))</f>
        <v/>
      </c>
      <c r="J21" s="79" t="str">
        <f>IF(AND('DAY 2'!M21=""),"",('DAY 2'!M21))</f>
        <v/>
      </c>
      <c r="K21" s="79" t="str">
        <f>IF(AND('DAY 3'!M21=""),"",('DAY 3'!M21))</f>
        <v/>
      </c>
      <c r="L21" s="79" t="str">
        <f>IF(AND('DAY 4'!M21=""),"",('DAY 4'!M21))</f>
        <v/>
      </c>
      <c r="M21" s="80" t="str">
        <f>IF(AND('DAY 5'!M21=""),"",('DAY 5'!M21))</f>
        <v/>
      </c>
      <c r="O21" s="78">
        <f>SUM('DAY 1'!L21,'DAY 2'!L21,'DAY 3'!L21,'DAY 4'!L21,'DAY 5'!L21)</f>
        <v>0</v>
      </c>
      <c r="P21" s="82" t="str">
        <f t="shared" si="0"/>
        <v/>
      </c>
      <c r="Q21" s="83" t="str">
        <f t="shared" si="1"/>
        <v/>
      </c>
      <c r="R21" s="148" t="str">
        <f t="shared" si="2"/>
        <v/>
      </c>
      <c r="S21" s="149" t="str">
        <f t="shared" si="3"/>
        <v/>
      </c>
      <c r="U21" s="66" t="str">
        <f>'DAY 1'!Y21</f>
        <v/>
      </c>
      <c r="V21" s="89" t="str">
        <f>'DAY 2'!Y21</f>
        <v/>
      </c>
      <c r="W21" s="89" t="str">
        <f>'DAY 3'!Y21</f>
        <v/>
      </c>
      <c r="X21" s="89" t="str">
        <f>'DAY 4'!Y21</f>
        <v/>
      </c>
      <c r="Y21" s="67" t="str">
        <f>'DAY 5'!Y21</f>
        <v/>
      </c>
      <c r="Z21" s="142" t="str">
        <f t="shared" si="4"/>
        <v/>
      </c>
      <c r="AA21" s="22" t="str">
        <f t="shared" si="5"/>
        <v/>
      </c>
      <c r="AB21" t="str">
        <f>'DAY 1'!Z21</f>
        <v/>
      </c>
      <c r="AC21" t="str">
        <f>'DAY 2'!Z21</f>
        <v/>
      </c>
      <c r="AD21" t="str">
        <f>'DAY 3'!Z21</f>
        <v/>
      </c>
      <c r="AE21" t="str">
        <f>'DAY 4'!Z21</f>
        <v/>
      </c>
      <c r="AF21" t="str">
        <f>'DAY 5'!Z21</f>
        <v/>
      </c>
      <c r="AG21" s="144" t="str">
        <f t="shared" si="6"/>
        <v/>
      </c>
      <c r="AH21" s="145" t="str">
        <f t="shared" si="7"/>
        <v/>
      </c>
    </row>
    <row r="22" spans="2:34" ht="15.75" thickBot="1" x14ac:dyDescent="0.3">
      <c r="B22" s="66" t="str">
        <f>IF(AND('ENTRY DATA'!C22=""),"",('ENTRY DATA'!C22))</f>
        <v/>
      </c>
      <c r="C22" s="67" t="str">
        <f>IF(AND('ENTRY DATA'!D22=""),"",('ENTRY DATA'!D22))</f>
        <v/>
      </c>
      <c r="E22" s="66" t="str">
        <f>IF(AND('ENTRY DATA'!F22=""),"",('ENTRY DATA'!F22))</f>
        <v/>
      </c>
      <c r="F22" s="67" t="str">
        <f>IF(AND('ENTRY DATA'!G22=""),"",('ENTRY DATA'!G22))</f>
        <v/>
      </c>
      <c r="G22" s="61" t="s">
        <v>40</v>
      </c>
      <c r="I22" s="81" t="str">
        <f>IF(AND('DAY 1'!M22=""),"",('DAY 1'!M22))</f>
        <v/>
      </c>
      <c r="J22" s="79" t="str">
        <f>IF(AND('DAY 2'!M22=""),"",('DAY 2'!M22))</f>
        <v/>
      </c>
      <c r="K22" s="79" t="str">
        <f>IF(AND('DAY 3'!M22=""),"",('DAY 3'!M22))</f>
        <v/>
      </c>
      <c r="L22" s="79" t="str">
        <f>IF(AND('DAY 4'!M22=""),"",('DAY 4'!M22))</f>
        <v/>
      </c>
      <c r="M22" s="80" t="str">
        <f>IF(AND('DAY 5'!M22=""),"",('DAY 5'!M22))</f>
        <v/>
      </c>
      <c r="O22" s="78">
        <f>SUM('DAY 1'!L22,'DAY 2'!L22,'DAY 3'!L22,'DAY 4'!L22,'DAY 5'!L22)</f>
        <v>0</v>
      </c>
      <c r="P22" s="82" t="str">
        <f t="shared" si="0"/>
        <v/>
      </c>
      <c r="Q22" s="83" t="str">
        <f t="shared" si="1"/>
        <v/>
      </c>
      <c r="R22" s="148" t="str">
        <f t="shared" si="2"/>
        <v/>
      </c>
      <c r="S22" s="149" t="str">
        <f t="shared" si="3"/>
        <v/>
      </c>
      <c r="U22" s="66" t="str">
        <f>'DAY 1'!Y22</f>
        <v/>
      </c>
      <c r="V22" s="89" t="str">
        <f>'DAY 2'!Y22</f>
        <v/>
      </c>
      <c r="W22" s="89" t="str">
        <f>'DAY 3'!Y22</f>
        <v/>
      </c>
      <c r="X22" s="89" t="str">
        <f>'DAY 4'!Y22</f>
        <v/>
      </c>
      <c r="Y22" s="67" t="str">
        <f>'DAY 5'!Y22</f>
        <v/>
      </c>
      <c r="Z22" s="142" t="str">
        <f t="shared" si="4"/>
        <v/>
      </c>
      <c r="AA22" s="22" t="str">
        <f t="shared" si="5"/>
        <v/>
      </c>
      <c r="AB22" t="str">
        <f>'DAY 1'!Z22</f>
        <v/>
      </c>
      <c r="AC22" t="str">
        <f>'DAY 2'!Z22</f>
        <v/>
      </c>
      <c r="AD22" t="str">
        <f>'DAY 3'!Z22</f>
        <v/>
      </c>
      <c r="AE22" t="str">
        <f>'DAY 4'!Z22</f>
        <v/>
      </c>
      <c r="AF22" t="str">
        <f>'DAY 5'!Z22</f>
        <v/>
      </c>
      <c r="AG22" s="144" t="str">
        <f t="shared" si="6"/>
        <v/>
      </c>
      <c r="AH22" s="145" t="str">
        <f t="shared" si="7"/>
        <v/>
      </c>
    </row>
    <row r="23" spans="2:34" ht="15.75" thickBot="1" x14ac:dyDescent="0.3">
      <c r="B23" s="66" t="str">
        <f>IF(AND('ENTRY DATA'!C23=""),"",('ENTRY DATA'!C23))</f>
        <v/>
      </c>
      <c r="C23" s="67" t="str">
        <f>IF(AND('ENTRY DATA'!D23=""),"",('ENTRY DATA'!D23))</f>
        <v/>
      </c>
      <c r="E23" s="66" t="str">
        <f>IF(AND('ENTRY DATA'!F23=""),"",('ENTRY DATA'!F23))</f>
        <v/>
      </c>
      <c r="F23" s="67" t="str">
        <f>IF(AND('ENTRY DATA'!G23=""),"",('ENTRY DATA'!G23))</f>
        <v/>
      </c>
      <c r="G23" s="61" t="s">
        <v>40</v>
      </c>
      <c r="I23" s="81" t="str">
        <f>IF(AND('DAY 1'!M23=""),"",('DAY 1'!M23))</f>
        <v/>
      </c>
      <c r="J23" s="79" t="str">
        <f>IF(AND('DAY 2'!M23=""),"",('DAY 2'!M23))</f>
        <v/>
      </c>
      <c r="K23" s="79" t="str">
        <f>IF(AND('DAY 3'!M23=""),"",('DAY 3'!M23))</f>
        <v/>
      </c>
      <c r="L23" s="79" t="str">
        <f>IF(AND('DAY 4'!M23=""),"",('DAY 4'!M23))</f>
        <v/>
      </c>
      <c r="M23" s="80" t="str">
        <f>IF(AND('DAY 5'!M23=""),"",('DAY 5'!M23))</f>
        <v/>
      </c>
      <c r="O23" s="78">
        <f>SUM('DAY 1'!L23,'DAY 2'!L23,'DAY 3'!L23,'DAY 4'!L23,'DAY 5'!L23)</f>
        <v>0</v>
      </c>
      <c r="P23" s="82" t="str">
        <f t="shared" si="0"/>
        <v/>
      </c>
      <c r="Q23" s="83" t="str">
        <f t="shared" si="1"/>
        <v/>
      </c>
      <c r="R23" s="148" t="str">
        <f t="shared" si="2"/>
        <v/>
      </c>
      <c r="S23" s="149" t="str">
        <f t="shared" si="3"/>
        <v/>
      </c>
      <c r="U23" s="66" t="str">
        <f>'DAY 1'!Y23</f>
        <v/>
      </c>
      <c r="V23" s="89" t="str">
        <f>'DAY 2'!Y23</f>
        <v/>
      </c>
      <c r="W23" s="89" t="str">
        <f>'DAY 3'!Y23</f>
        <v/>
      </c>
      <c r="X23" s="89" t="str">
        <f>'DAY 4'!Y23</f>
        <v/>
      </c>
      <c r="Y23" s="67" t="str">
        <f>'DAY 5'!Y23</f>
        <v/>
      </c>
      <c r="Z23" s="142" t="str">
        <f t="shared" si="4"/>
        <v/>
      </c>
      <c r="AA23" s="22" t="str">
        <f t="shared" si="5"/>
        <v/>
      </c>
      <c r="AB23" t="str">
        <f>'DAY 1'!Z23</f>
        <v/>
      </c>
      <c r="AC23" t="str">
        <f>'DAY 2'!Z23</f>
        <v/>
      </c>
      <c r="AD23" t="str">
        <f>'DAY 3'!Z23</f>
        <v/>
      </c>
      <c r="AE23" t="str">
        <f>'DAY 4'!Z23</f>
        <v/>
      </c>
      <c r="AF23" t="str">
        <f>'DAY 5'!Z23</f>
        <v/>
      </c>
      <c r="AG23" s="144" t="str">
        <f t="shared" si="6"/>
        <v/>
      </c>
      <c r="AH23" s="145" t="str">
        <f t="shared" si="7"/>
        <v/>
      </c>
    </row>
    <row r="24" spans="2:34" ht="15.75" thickBot="1" x14ac:dyDescent="0.3">
      <c r="B24" s="66" t="str">
        <f>IF(AND('ENTRY DATA'!C24=""),"",('ENTRY DATA'!C24))</f>
        <v/>
      </c>
      <c r="C24" s="67" t="str">
        <f>IF(AND('ENTRY DATA'!D24=""),"",('ENTRY DATA'!D24))</f>
        <v/>
      </c>
      <c r="E24" s="66" t="str">
        <f>IF(AND('ENTRY DATA'!F24=""),"",('ENTRY DATA'!F24))</f>
        <v/>
      </c>
      <c r="F24" s="67" t="str">
        <f>IF(AND('ENTRY DATA'!G24=""),"",('ENTRY DATA'!G24))</f>
        <v/>
      </c>
      <c r="G24" s="61" t="s">
        <v>40</v>
      </c>
      <c r="I24" s="81" t="str">
        <f>IF(AND('DAY 1'!M24=""),"",('DAY 1'!M24))</f>
        <v/>
      </c>
      <c r="J24" s="79" t="str">
        <f>IF(AND('DAY 2'!M24=""),"",('DAY 2'!M24))</f>
        <v/>
      </c>
      <c r="K24" s="79" t="str">
        <f>IF(AND('DAY 3'!M24=""),"",('DAY 3'!M24))</f>
        <v/>
      </c>
      <c r="L24" s="79" t="str">
        <f>IF(AND('DAY 4'!M24=""),"",('DAY 4'!M24))</f>
        <v/>
      </c>
      <c r="M24" s="80" t="str">
        <f>IF(AND('DAY 5'!M24=""),"",('DAY 5'!M24))</f>
        <v/>
      </c>
      <c r="O24" s="78">
        <f>SUM('DAY 1'!L24,'DAY 2'!L24,'DAY 3'!L24,'DAY 4'!L24,'DAY 5'!L24)</f>
        <v>0</v>
      </c>
      <c r="P24" s="82" t="str">
        <f t="shared" si="0"/>
        <v/>
      </c>
      <c r="Q24" s="83" t="str">
        <f t="shared" si="1"/>
        <v/>
      </c>
      <c r="R24" s="148" t="str">
        <f t="shared" si="2"/>
        <v/>
      </c>
      <c r="S24" s="149" t="str">
        <f t="shared" si="3"/>
        <v/>
      </c>
      <c r="U24" s="66" t="str">
        <f>'DAY 1'!Y24</f>
        <v/>
      </c>
      <c r="V24" s="89" t="str">
        <f>'DAY 2'!Y24</f>
        <v/>
      </c>
      <c r="W24" s="89" t="str">
        <f>'DAY 3'!Y24</f>
        <v/>
      </c>
      <c r="X24" s="89" t="str">
        <f>'DAY 4'!Y24</f>
        <v/>
      </c>
      <c r="Y24" s="67" t="str">
        <f>'DAY 5'!Y24</f>
        <v/>
      </c>
      <c r="Z24" s="142" t="str">
        <f t="shared" si="4"/>
        <v/>
      </c>
      <c r="AA24" s="22" t="str">
        <f t="shared" si="5"/>
        <v/>
      </c>
      <c r="AB24" t="str">
        <f>'DAY 1'!Z24</f>
        <v/>
      </c>
      <c r="AC24" t="str">
        <f>'DAY 2'!Z24</f>
        <v/>
      </c>
      <c r="AD24" t="str">
        <f>'DAY 3'!Z24</f>
        <v/>
      </c>
      <c r="AE24" t="str">
        <f>'DAY 4'!Z24</f>
        <v/>
      </c>
      <c r="AF24" t="str">
        <f>'DAY 5'!Z24</f>
        <v/>
      </c>
      <c r="AG24" s="144" t="str">
        <f t="shared" si="6"/>
        <v/>
      </c>
      <c r="AH24" s="145" t="str">
        <f t="shared" si="7"/>
        <v/>
      </c>
    </row>
    <row r="25" spans="2:34" ht="15.75" thickBot="1" x14ac:dyDescent="0.3">
      <c r="B25" s="66" t="str">
        <f>IF(AND('ENTRY DATA'!C25=""),"",('ENTRY DATA'!C25))</f>
        <v/>
      </c>
      <c r="C25" s="67" t="str">
        <f>IF(AND('ENTRY DATA'!D25=""),"",('ENTRY DATA'!D25))</f>
        <v/>
      </c>
      <c r="E25" s="66" t="str">
        <f>IF(AND('ENTRY DATA'!F25=""),"",('ENTRY DATA'!F25))</f>
        <v/>
      </c>
      <c r="F25" s="67" t="str">
        <f>IF(AND('ENTRY DATA'!G25=""),"",('ENTRY DATA'!G25))</f>
        <v/>
      </c>
      <c r="G25" s="61" t="s">
        <v>40</v>
      </c>
      <c r="I25" s="81" t="str">
        <f>IF(AND('DAY 1'!M25=""),"",('DAY 1'!M25))</f>
        <v/>
      </c>
      <c r="J25" s="79" t="str">
        <f>IF(AND('DAY 2'!M25=""),"",('DAY 2'!M25))</f>
        <v/>
      </c>
      <c r="K25" s="79" t="str">
        <f>IF(AND('DAY 3'!M25=""),"",('DAY 3'!M25))</f>
        <v/>
      </c>
      <c r="L25" s="79" t="str">
        <f>IF(AND('DAY 4'!M25=""),"",('DAY 4'!M25))</f>
        <v/>
      </c>
      <c r="M25" s="80" t="str">
        <f>IF(AND('DAY 5'!M25=""),"",('DAY 5'!M25))</f>
        <v/>
      </c>
      <c r="O25" s="78">
        <f>SUM('DAY 1'!L25,'DAY 2'!L25,'DAY 3'!L25,'DAY 4'!L25,'DAY 5'!L25)</f>
        <v>0</v>
      </c>
      <c r="P25" s="82" t="str">
        <f t="shared" si="0"/>
        <v/>
      </c>
      <c r="Q25" s="83" t="str">
        <f t="shared" si="1"/>
        <v/>
      </c>
      <c r="R25" s="148" t="str">
        <f t="shared" si="2"/>
        <v/>
      </c>
      <c r="S25" s="149" t="str">
        <f t="shared" si="3"/>
        <v/>
      </c>
      <c r="U25" s="66" t="str">
        <f>'DAY 1'!Y25</f>
        <v/>
      </c>
      <c r="V25" s="89" t="str">
        <f>'DAY 2'!Y25</f>
        <v/>
      </c>
      <c r="W25" s="89" t="str">
        <f>'DAY 3'!Y25</f>
        <v/>
      </c>
      <c r="X25" s="89" t="str">
        <f>'DAY 4'!Y25</f>
        <v/>
      </c>
      <c r="Y25" s="67" t="str">
        <f>'DAY 5'!Y25</f>
        <v/>
      </c>
      <c r="Z25" s="142" t="str">
        <f t="shared" si="4"/>
        <v/>
      </c>
      <c r="AA25" s="22" t="str">
        <f t="shared" si="5"/>
        <v/>
      </c>
      <c r="AB25" t="str">
        <f>'DAY 1'!Z25</f>
        <v/>
      </c>
      <c r="AC25" t="str">
        <f>'DAY 2'!Z25</f>
        <v/>
      </c>
      <c r="AD25" t="str">
        <f>'DAY 3'!Z25</f>
        <v/>
      </c>
      <c r="AE25" t="str">
        <f>'DAY 4'!Z25</f>
        <v/>
      </c>
      <c r="AF25" t="str">
        <f>'DAY 5'!Z25</f>
        <v/>
      </c>
      <c r="AG25" s="144" t="str">
        <f t="shared" si="6"/>
        <v/>
      </c>
      <c r="AH25" s="145" t="str">
        <f t="shared" si="7"/>
        <v/>
      </c>
    </row>
    <row r="26" spans="2:34" ht="15.75" thickBot="1" x14ac:dyDescent="0.3">
      <c r="B26" s="66" t="str">
        <f>IF(AND('ENTRY DATA'!C26=""),"",('ENTRY DATA'!C26))</f>
        <v/>
      </c>
      <c r="C26" s="67" t="str">
        <f>IF(AND('ENTRY DATA'!D26=""),"",('ENTRY DATA'!D26))</f>
        <v/>
      </c>
      <c r="E26" s="66" t="str">
        <f>IF(AND('ENTRY DATA'!F26=""),"",('ENTRY DATA'!F26))</f>
        <v/>
      </c>
      <c r="F26" s="67" t="str">
        <f>IF(AND('ENTRY DATA'!G26=""),"",('ENTRY DATA'!G26))</f>
        <v/>
      </c>
      <c r="G26" s="61" t="s">
        <v>40</v>
      </c>
      <c r="I26" s="81" t="str">
        <f>IF(AND('DAY 1'!M26=""),"",('DAY 1'!M26))</f>
        <v/>
      </c>
      <c r="J26" s="79" t="str">
        <f>IF(AND('DAY 2'!M26=""),"",('DAY 2'!M26))</f>
        <v/>
      </c>
      <c r="K26" s="79" t="str">
        <f>IF(AND('DAY 3'!M26=""),"",('DAY 3'!M26))</f>
        <v/>
      </c>
      <c r="L26" s="79" t="str">
        <f>IF(AND('DAY 4'!M26=""),"",('DAY 4'!M26))</f>
        <v/>
      </c>
      <c r="M26" s="80" t="str">
        <f>IF(AND('DAY 5'!M26=""),"",('DAY 5'!M26))</f>
        <v/>
      </c>
      <c r="O26" s="78">
        <f>SUM('DAY 1'!L26,'DAY 2'!L26,'DAY 3'!L26,'DAY 4'!L26,'DAY 5'!L26)</f>
        <v>0</v>
      </c>
      <c r="P26" s="82" t="str">
        <f t="shared" si="0"/>
        <v/>
      </c>
      <c r="Q26" s="83" t="str">
        <f t="shared" si="1"/>
        <v/>
      </c>
      <c r="R26" s="148" t="str">
        <f t="shared" si="2"/>
        <v/>
      </c>
      <c r="S26" s="149" t="str">
        <f t="shared" si="3"/>
        <v/>
      </c>
      <c r="U26" s="66" t="str">
        <f>'DAY 1'!Y26</f>
        <v/>
      </c>
      <c r="V26" s="89" t="str">
        <f>'DAY 2'!Y26</f>
        <v/>
      </c>
      <c r="W26" s="89" t="str">
        <f>'DAY 3'!Y26</f>
        <v/>
      </c>
      <c r="X26" s="89" t="str">
        <f>'DAY 4'!Y26</f>
        <v/>
      </c>
      <c r="Y26" s="67" t="str">
        <f>'DAY 5'!Y26</f>
        <v/>
      </c>
      <c r="Z26" s="142" t="str">
        <f t="shared" si="4"/>
        <v/>
      </c>
      <c r="AA26" s="22" t="str">
        <f t="shared" si="5"/>
        <v/>
      </c>
      <c r="AB26" t="str">
        <f>'DAY 1'!Z26</f>
        <v/>
      </c>
      <c r="AC26" t="str">
        <f>'DAY 2'!Z26</f>
        <v/>
      </c>
      <c r="AD26" t="str">
        <f>'DAY 3'!Z26</f>
        <v/>
      </c>
      <c r="AE26" t="str">
        <f>'DAY 4'!Z26</f>
        <v/>
      </c>
      <c r="AF26" t="str">
        <f>'DAY 5'!Z26</f>
        <v/>
      </c>
      <c r="AG26" s="144" t="str">
        <f t="shared" si="6"/>
        <v/>
      </c>
      <c r="AH26" s="145" t="str">
        <f t="shared" si="7"/>
        <v/>
      </c>
    </row>
    <row r="27" spans="2:34" ht="15.75" thickBot="1" x14ac:dyDescent="0.3">
      <c r="B27" s="66" t="str">
        <f>IF(AND('ENTRY DATA'!C27=""),"",('ENTRY DATA'!C27))</f>
        <v/>
      </c>
      <c r="C27" s="67" t="str">
        <f>IF(AND('ENTRY DATA'!D27=""),"",('ENTRY DATA'!D27))</f>
        <v/>
      </c>
      <c r="E27" s="66" t="str">
        <f>IF(AND('ENTRY DATA'!F27=""),"",('ENTRY DATA'!F27))</f>
        <v/>
      </c>
      <c r="F27" s="67" t="str">
        <f>IF(AND('ENTRY DATA'!G27=""),"",('ENTRY DATA'!G27))</f>
        <v/>
      </c>
      <c r="G27" s="61" t="s">
        <v>40</v>
      </c>
      <c r="I27" s="81" t="str">
        <f>IF(AND('DAY 1'!M27=""),"",('DAY 1'!M27))</f>
        <v/>
      </c>
      <c r="J27" s="79" t="str">
        <f>IF(AND('DAY 2'!M27=""),"",('DAY 2'!M27))</f>
        <v/>
      </c>
      <c r="K27" s="79" t="str">
        <f>IF(AND('DAY 3'!M27=""),"",('DAY 3'!M27))</f>
        <v/>
      </c>
      <c r="L27" s="79" t="str">
        <f>IF(AND('DAY 4'!M27=""),"",('DAY 4'!M27))</f>
        <v/>
      </c>
      <c r="M27" s="80" t="str">
        <f>IF(AND('DAY 5'!M27=""),"",('DAY 5'!M27))</f>
        <v/>
      </c>
      <c r="O27" s="78">
        <f>SUM('DAY 1'!L27,'DAY 2'!L27,'DAY 3'!L27,'DAY 4'!L27,'DAY 5'!L27)</f>
        <v>0</v>
      </c>
      <c r="P27" s="82" t="str">
        <f t="shared" si="0"/>
        <v/>
      </c>
      <c r="Q27" s="83" t="str">
        <f t="shared" si="1"/>
        <v/>
      </c>
      <c r="R27" s="148" t="str">
        <f t="shared" si="2"/>
        <v/>
      </c>
      <c r="S27" s="149" t="str">
        <f t="shared" si="3"/>
        <v/>
      </c>
      <c r="U27" s="66" t="str">
        <f>'DAY 1'!Y27</f>
        <v/>
      </c>
      <c r="V27" s="89" t="str">
        <f>'DAY 2'!Y27</f>
        <v/>
      </c>
      <c r="W27" s="89" t="str">
        <f>'DAY 3'!Y27</f>
        <v/>
      </c>
      <c r="X27" s="89" t="str">
        <f>'DAY 4'!Y27</f>
        <v/>
      </c>
      <c r="Y27" s="67" t="str">
        <f>'DAY 5'!Y27</f>
        <v/>
      </c>
      <c r="Z27" s="142" t="str">
        <f t="shared" si="4"/>
        <v/>
      </c>
      <c r="AA27" s="22" t="str">
        <f t="shared" si="5"/>
        <v/>
      </c>
      <c r="AB27" t="str">
        <f>'DAY 1'!Z27</f>
        <v/>
      </c>
      <c r="AC27" t="str">
        <f>'DAY 2'!Z27</f>
        <v/>
      </c>
      <c r="AD27" t="str">
        <f>'DAY 3'!Z27</f>
        <v/>
      </c>
      <c r="AE27" t="str">
        <f>'DAY 4'!Z27</f>
        <v/>
      </c>
      <c r="AF27" t="str">
        <f>'DAY 5'!Z27</f>
        <v/>
      </c>
      <c r="AG27" s="144" t="str">
        <f t="shared" si="6"/>
        <v/>
      </c>
      <c r="AH27" s="145" t="str">
        <f t="shared" si="7"/>
        <v/>
      </c>
    </row>
    <row r="28" spans="2:34" ht="15.75" thickBot="1" x14ac:dyDescent="0.3">
      <c r="B28" s="66" t="str">
        <f>IF(AND('ENTRY DATA'!C28=""),"",('ENTRY DATA'!C28))</f>
        <v/>
      </c>
      <c r="C28" s="67" t="str">
        <f>IF(AND('ENTRY DATA'!D28=""),"",('ENTRY DATA'!D28))</f>
        <v/>
      </c>
      <c r="E28" s="66" t="str">
        <f>IF(AND('ENTRY DATA'!F28=""),"",('ENTRY DATA'!F28))</f>
        <v/>
      </c>
      <c r="F28" s="67" t="str">
        <f>IF(AND('ENTRY DATA'!G28=""),"",('ENTRY DATA'!G28))</f>
        <v/>
      </c>
      <c r="G28" s="61" t="s">
        <v>40</v>
      </c>
      <c r="I28" s="81" t="str">
        <f>IF(AND('DAY 1'!M28=""),"",('DAY 1'!M28))</f>
        <v/>
      </c>
      <c r="J28" s="79" t="str">
        <f>IF(AND('DAY 2'!M28=""),"",('DAY 2'!M28))</f>
        <v/>
      </c>
      <c r="K28" s="79" t="str">
        <f>IF(AND('DAY 3'!M28=""),"",('DAY 3'!M28))</f>
        <v/>
      </c>
      <c r="L28" s="79" t="str">
        <f>IF(AND('DAY 4'!M28=""),"",('DAY 4'!M28))</f>
        <v/>
      </c>
      <c r="M28" s="80" t="str">
        <f>IF(AND('DAY 5'!M28=""),"",('DAY 5'!M28))</f>
        <v/>
      </c>
      <c r="O28" s="78">
        <f>SUM('DAY 1'!L28,'DAY 2'!L28,'DAY 3'!L28,'DAY 4'!L28,'DAY 5'!L28)</f>
        <v>0</v>
      </c>
      <c r="P28" s="82" t="str">
        <f t="shared" si="0"/>
        <v/>
      </c>
      <c r="Q28" s="83" t="str">
        <f t="shared" si="1"/>
        <v/>
      </c>
      <c r="R28" s="148" t="str">
        <f t="shared" si="2"/>
        <v/>
      </c>
      <c r="S28" s="149" t="str">
        <f t="shared" si="3"/>
        <v/>
      </c>
      <c r="U28" s="66" t="str">
        <f>'DAY 1'!Y28</f>
        <v/>
      </c>
      <c r="V28" s="89" t="str">
        <f>'DAY 2'!Y28</f>
        <v/>
      </c>
      <c r="W28" s="89" t="str">
        <f>'DAY 3'!Y28</f>
        <v/>
      </c>
      <c r="X28" s="89" t="str">
        <f>'DAY 4'!Y28</f>
        <v/>
      </c>
      <c r="Y28" s="67" t="str">
        <f>'DAY 5'!Y28</f>
        <v/>
      </c>
      <c r="Z28" s="142" t="str">
        <f t="shared" si="4"/>
        <v/>
      </c>
      <c r="AA28" s="22" t="str">
        <f t="shared" si="5"/>
        <v/>
      </c>
      <c r="AB28" t="str">
        <f>'DAY 1'!Z28</f>
        <v/>
      </c>
      <c r="AC28" t="str">
        <f>'DAY 2'!Z28</f>
        <v/>
      </c>
      <c r="AD28" t="str">
        <f>'DAY 3'!Z28</f>
        <v/>
      </c>
      <c r="AE28" t="str">
        <f>'DAY 4'!Z28</f>
        <v/>
      </c>
      <c r="AF28" t="str">
        <f>'DAY 5'!Z28</f>
        <v/>
      </c>
      <c r="AG28" s="144" t="str">
        <f t="shared" si="6"/>
        <v/>
      </c>
      <c r="AH28" s="145" t="str">
        <f t="shared" si="7"/>
        <v/>
      </c>
    </row>
    <row r="29" spans="2:34" ht="15.75" thickBot="1" x14ac:dyDescent="0.3">
      <c r="B29" s="66" t="str">
        <f>IF(AND('ENTRY DATA'!C29=""),"",('ENTRY DATA'!C29))</f>
        <v/>
      </c>
      <c r="C29" s="67" t="str">
        <f>IF(AND('ENTRY DATA'!D29=""),"",('ENTRY DATA'!D29))</f>
        <v/>
      </c>
      <c r="E29" s="66" t="str">
        <f>IF(AND('ENTRY DATA'!F29=""),"",('ENTRY DATA'!F29))</f>
        <v/>
      </c>
      <c r="F29" s="67" t="str">
        <f>IF(AND('ENTRY DATA'!G29=""),"",('ENTRY DATA'!G29))</f>
        <v/>
      </c>
      <c r="G29" s="61" t="s">
        <v>40</v>
      </c>
      <c r="I29" s="81" t="str">
        <f>IF(AND('DAY 1'!M29=""),"",('DAY 1'!M29))</f>
        <v/>
      </c>
      <c r="J29" s="79" t="str">
        <f>IF(AND('DAY 2'!M29=""),"",('DAY 2'!M29))</f>
        <v/>
      </c>
      <c r="K29" s="79" t="str">
        <f>IF(AND('DAY 3'!M29=""),"",('DAY 3'!M29))</f>
        <v/>
      </c>
      <c r="L29" s="79" t="str">
        <f>IF(AND('DAY 4'!M29=""),"",('DAY 4'!M29))</f>
        <v/>
      </c>
      <c r="M29" s="80" t="str">
        <f>IF(AND('DAY 5'!M29=""),"",('DAY 5'!M29))</f>
        <v/>
      </c>
      <c r="O29" s="78">
        <f>SUM('DAY 1'!L29,'DAY 2'!L29,'DAY 3'!L29,'DAY 4'!L29,'DAY 5'!L29)</f>
        <v>0</v>
      </c>
      <c r="P29" s="82" t="str">
        <f t="shared" si="0"/>
        <v/>
      </c>
      <c r="Q29" s="83" t="str">
        <f t="shared" si="1"/>
        <v/>
      </c>
      <c r="R29" s="148" t="str">
        <f t="shared" si="2"/>
        <v/>
      </c>
      <c r="S29" s="149" t="str">
        <f t="shared" si="3"/>
        <v/>
      </c>
      <c r="U29" s="66" t="str">
        <f>'DAY 1'!Y29</f>
        <v/>
      </c>
      <c r="V29" s="89" t="str">
        <f>'DAY 2'!Y29</f>
        <v/>
      </c>
      <c r="W29" s="89" t="str">
        <f>'DAY 3'!Y29</f>
        <v/>
      </c>
      <c r="X29" s="89" t="str">
        <f>'DAY 4'!Y29</f>
        <v/>
      </c>
      <c r="Y29" s="67" t="str">
        <f>'DAY 5'!Y29</f>
        <v/>
      </c>
      <c r="Z29" s="142" t="str">
        <f t="shared" si="4"/>
        <v/>
      </c>
      <c r="AA29" s="22" t="str">
        <f t="shared" si="5"/>
        <v/>
      </c>
      <c r="AB29" t="str">
        <f>'DAY 1'!Z29</f>
        <v/>
      </c>
      <c r="AC29" t="str">
        <f>'DAY 2'!Z29</f>
        <v/>
      </c>
      <c r="AD29" t="str">
        <f>'DAY 3'!Z29</f>
        <v/>
      </c>
      <c r="AE29" t="str">
        <f>'DAY 4'!Z29</f>
        <v/>
      </c>
      <c r="AF29" t="str">
        <f>'DAY 5'!Z29</f>
        <v/>
      </c>
      <c r="AG29" s="144" t="str">
        <f t="shared" si="6"/>
        <v/>
      </c>
      <c r="AH29" s="145" t="str">
        <f t="shared" si="7"/>
        <v/>
      </c>
    </row>
    <row r="30" spans="2:34" ht="15.75" thickBot="1" x14ac:dyDescent="0.3">
      <c r="B30" s="66" t="str">
        <f>IF(AND('ENTRY DATA'!C30=""),"",('ENTRY DATA'!C30))</f>
        <v/>
      </c>
      <c r="C30" s="67" t="str">
        <f>IF(AND('ENTRY DATA'!D30=""),"",('ENTRY DATA'!D30))</f>
        <v/>
      </c>
      <c r="E30" s="66" t="str">
        <f>IF(AND('ENTRY DATA'!F30=""),"",('ENTRY DATA'!F30))</f>
        <v/>
      </c>
      <c r="F30" s="67" t="str">
        <f>IF(AND('ENTRY DATA'!G30=""),"",('ENTRY DATA'!G30))</f>
        <v/>
      </c>
      <c r="G30" s="61" t="s">
        <v>40</v>
      </c>
      <c r="I30" s="81" t="str">
        <f>IF(AND('DAY 1'!M30=""),"",('DAY 1'!M30))</f>
        <v/>
      </c>
      <c r="J30" s="79" t="str">
        <f>IF(AND('DAY 2'!M30=""),"",('DAY 2'!M30))</f>
        <v/>
      </c>
      <c r="K30" s="79" t="str">
        <f>IF(AND('DAY 3'!M30=""),"",('DAY 3'!M30))</f>
        <v/>
      </c>
      <c r="L30" s="79" t="str">
        <f>IF(AND('DAY 4'!M30=""),"",('DAY 4'!M30))</f>
        <v/>
      </c>
      <c r="M30" s="80" t="str">
        <f>IF(AND('DAY 5'!M30=""),"",('DAY 5'!M30))</f>
        <v/>
      </c>
      <c r="O30" s="78">
        <f>SUM('DAY 1'!L30,'DAY 2'!L30,'DAY 3'!L30,'DAY 4'!L30,'DAY 5'!L30)</f>
        <v>0</v>
      </c>
      <c r="P30" s="82" t="str">
        <f t="shared" si="0"/>
        <v/>
      </c>
      <c r="Q30" s="83" t="str">
        <f t="shared" si="1"/>
        <v/>
      </c>
      <c r="R30" s="148" t="str">
        <f t="shared" si="2"/>
        <v/>
      </c>
      <c r="S30" s="149" t="str">
        <f t="shared" si="3"/>
        <v/>
      </c>
      <c r="U30" s="66" t="str">
        <f>'DAY 1'!Y30</f>
        <v/>
      </c>
      <c r="V30" s="89" t="str">
        <f>'DAY 2'!Y30</f>
        <v/>
      </c>
      <c r="W30" s="89" t="str">
        <f>'DAY 3'!Y30</f>
        <v/>
      </c>
      <c r="X30" s="89" t="str">
        <f>'DAY 4'!Y30</f>
        <v/>
      </c>
      <c r="Y30" s="67" t="str">
        <f>'DAY 5'!Y30</f>
        <v/>
      </c>
      <c r="Z30" s="142" t="str">
        <f t="shared" si="4"/>
        <v/>
      </c>
      <c r="AA30" s="22" t="str">
        <f t="shared" si="5"/>
        <v/>
      </c>
      <c r="AB30" t="str">
        <f>'DAY 1'!Z30</f>
        <v/>
      </c>
      <c r="AC30" t="str">
        <f>'DAY 2'!Z30</f>
        <v/>
      </c>
      <c r="AD30" t="str">
        <f>'DAY 3'!Z30</f>
        <v/>
      </c>
      <c r="AE30" t="str">
        <f>'DAY 4'!Z30</f>
        <v/>
      </c>
      <c r="AF30" t="str">
        <f>'DAY 5'!Z30</f>
        <v/>
      </c>
      <c r="AG30" s="144" t="str">
        <f t="shared" si="6"/>
        <v/>
      </c>
      <c r="AH30" s="145" t="str">
        <f t="shared" si="7"/>
        <v/>
      </c>
    </row>
    <row r="31" spans="2:34" ht="15.75" thickBot="1" x14ac:dyDescent="0.3">
      <c r="B31" s="66" t="str">
        <f>IF(AND('ENTRY DATA'!C31=""),"",('ENTRY DATA'!C31))</f>
        <v/>
      </c>
      <c r="C31" s="67" t="str">
        <f>IF(AND('ENTRY DATA'!D31=""),"",('ENTRY DATA'!D31))</f>
        <v/>
      </c>
      <c r="E31" s="66" t="str">
        <f>IF(AND('ENTRY DATA'!F31=""),"",('ENTRY DATA'!F31))</f>
        <v/>
      </c>
      <c r="F31" s="67" t="str">
        <f>IF(AND('ENTRY DATA'!G31=""),"",('ENTRY DATA'!G31))</f>
        <v/>
      </c>
      <c r="G31" s="61" t="s">
        <v>40</v>
      </c>
      <c r="I31" s="81" t="str">
        <f>IF(AND('DAY 1'!M31=""),"",('DAY 1'!M31))</f>
        <v/>
      </c>
      <c r="J31" s="79" t="str">
        <f>IF(AND('DAY 2'!M31=""),"",('DAY 2'!M31))</f>
        <v/>
      </c>
      <c r="K31" s="79" t="str">
        <f>IF(AND('DAY 3'!M31=""),"",('DAY 3'!M31))</f>
        <v/>
      </c>
      <c r="L31" s="79" t="str">
        <f>IF(AND('DAY 4'!M31=""),"",('DAY 4'!M31))</f>
        <v/>
      </c>
      <c r="M31" s="80" t="str">
        <f>IF(AND('DAY 5'!M31=""),"",('DAY 5'!M31))</f>
        <v/>
      </c>
      <c r="O31" s="78">
        <f>SUM('DAY 1'!L31,'DAY 2'!L31,'DAY 3'!L31,'DAY 4'!L31,'DAY 5'!L31)</f>
        <v>0</v>
      </c>
      <c r="P31" s="82" t="str">
        <f t="shared" si="0"/>
        <v/>
      </c>
      <c r="Q31" s="83" t="str">
        <f t="shared" si="1"/>
        <v/>
      </c>
      <c r="R31" s="148" t="str">
        <f t="shared" si="2"/>
        <v/>
      </c>
      <c r="S31" s="149" t="str">
        <f t="shared" si="3"/>
        <v/>
      </c>
      <c r="U31" s="66" t="str">
        <f>'DAY 1'!Y31</f>
        <v/>
      </c>
      <c r="V31" s="89" t="str">
        <f>'DAY 2'!Y31</f>
        <v/>
      </c>
      <c r="W31" s="89" t="str">
        <f>'DAY 3'!Y31</f>
        <v/>
      </c>
      <c r="X31" s="89" t="str">
        <f>'DAY 4'!Y31</f>
        <v/>
      </c>
      <c r="Y31" s="67" t="str">
        <f>'DAY 5'!Y31</f>
        <v/>
      </c>
      <c r="Z31" s="142" t="str">
        <f t="shared" si="4"/>
        <v/>
      </c>
      <c r="AA31" s="22" t="str">
        <f t="shared" si="5"/>
        <v/>
      </c>
      <c r="AB31" t="str">
        <f>'DAY 1'!Z31</f>
        <v/>
      </c>
      <c r="AC31" t="str">
        <f>'DAY 2'!Z31</f>
        <v/>
      </c>
      <c r="AD31" t="str">
        <f>'DAY 3'!Z31</f>
        <v/>
      </c>
      <c r="AE31" t="str">
        <f>'DAY 4'!Z31</f>
        <v/>
      </c>
      <c r="AF31" t="str">
        <f>'DAY 5'!Z31</f>
        <v/>
      </c>
      <c r="AG31" s="144" t="str">
        <f t="shared" si="6"/>
        <v/>
      </c>
      <c r="AH31" s="145" t="str">
        <f t="shared" si="7"/>
        <v/>
      </c>
    </row>
    <row r="32" spans="2:34" ht="15.75" thickBot="1" x14ac:dyDescent="0.3">
      <c r="B32" s="66" t="str">
        <f>IF(AND('ENTRY DATA'!C32=""),"",('ENTRY DATA'!C32))</f>
        <v/>
      </c>
      <c r="C32" s="67" t="str">
        <f>IF(AND('ENTRY DATA'!D32=""),"",('ENTRY DATA'!D32))</f>
        <v/>
      </c>
      <c r="E32" s="66" t="str">
        <f>IF(AND('ENTRY DATA'!F32=""),"",('ENTRY DATA'!F32))</f>
        <v/>
      </c>
      <c r="F32" s="67" t="str">
        <f>IF(AND('ENTRY DATA'!G32=""),"",('ENTRY DATA'!G32))</f>
        <v/>
      </c>
      <c r="G32" s="61" t="s">
        <v>40</v>
      </c>
      <c r="I32" s="81" t="str">
        <f>IF(AND('DAY 1'!M32=""),"",('DAY 1'!M32))</f>
        <v/>
      </c>
      <c r="J32" s="79" t="str">
        <f>IF(AND('DAY 2'!M32=""),"",('DAY 2'!M32))</f>
        <v/>
      </c>
      <c r="K32" s="79" t="str">
        <f>IF(AND('DAY 3'!M32=""),"",('DAY 3'!M32))</f>
        <v/>
      </c>
      <c r="L32" s="79" t="str">
        <f>IF(AND('DAY 4'!M32=""),"",('DAY 4'!M32))</f>
        <v/>
      </c>
      <c r="M32" s="80" t="str">
        <f>IF(AND('DAY 5'!M32=""),"",('DAY 5'!M32))</f>
        <v/>
      </c>
      <c r="O32" s="78">
        <f>SUM('DAY 1'!L32,'DAY 2'!L32,'DAY 3'!L32,'DAY 4'!L32,'DAY 5'!L32)</f>
        <v>0</v>
      </c>
      <c r="P32" s="82" t="str">
        <f t="shared" si="0"/>
        <v/>
      </c>
      <c r="Q32" s="83" t="str">
        <f t="shared" si="1"/>
        <v/>
      </c>
      <c r="R32" s="148" t="str">
        <f t="shared" si="2"/>
        <v/>
      </c>
      <c r="S32" s="149" t="str">
        <f t="shared" si="3"/>
        <v/>
      </c>
      <c r="U32" s="66" t="str">
        <f>'DAY 1'!Y32</f>
        <v/>
      </c>
      <c r="V32" s="89" t="str">
        <f>'DAY 2'!Y32</f>
        <v/>
      </c>
      <c r="W32" s="89" t="str">
        <f>'DAY 3'!Y32</f>
        <v/>
      </c>
      <c r="X32" s="89" t="str">
        <f>'DAY 4'!Y32</f>
        <v/>
      </c>
      <c r="Y32" s="67" t="str">
        <f>'DAY 5'!Y32</f>
        <v/>
      </c>
      <c r="Z32" s="142" t="str">
        <f t="shared" si="4"/>
        <v/>
      </c>
      <c r="AA32" s="22" t="str">
        <f t="shared" si="5"/>
        <v/>
      </c>
      <c r="AB32" t="str">
        <f>'DAY 1'!Z32</f>
        <v/>
      </c>
      <c r="AC32" t="str">
        <f>'DAY 2'!Z32</f>
        <v/>
      </c>
      <c r="AD32" t="str">
        <f>'DAY 3'!Z32</f>
        <v/>
      </c>
      <c r="AE32" t="str">
        <f>'DAY 4'!Z32</f>
        <v/>
      </c>
      <c r="AF32" t="str">
        <f>'DAY 5'!Z32</f>
        <v/>
      </c>
      <c r="AG32" s="144" t="str">
        <f t="shared" si="6"/>
        <v/>
      </c>
      <c r="AH32" s="145" t="str">
        <f t="shared" si="7"/>
        <v/>
      </c>
    </row>
    <row r="33" spans="2:34" ht="15.75" thickBot="1" x14ac:dyDescent="0.3">
      <c r="B33" s="66" t="str">
        <f>IF(AND('ENTRY DATA'!C33=""),"",('ENTRY DATA'!C33))</f>
        <v/>
      </c>
      <c r="C33" s="67" t="str">
        <f>IF(AND('ENTRY DATA'!D33=""),"",('ENTRY DATA'!D33))</f>
        <v/>
      </c>
      <c r="E33" s="66" t="str">
        <f>IF(AND('ENTRY DATA'!F33=""),"",('ENTRY DATA'!F33))</f>
        <v/>
      </c>
      <c r="F33" s="67" t="str">
        <f>IF(AND('ENTRY DATA'!G33=""),"",('ENTRY DATA'!G33))</f>
        <v/>
      </c>
      <c r="G33" s="61" t="s">
        <v>40</v>
      </c>
      <c r="I33" s="81" t="str">
        <f>IF(AND('DAY 1'!M33=""),"",('DAY 1'!M33))</f>
        <v/>
      </c>
      <c r="J33" s="79" t="str">
        <f>IF(AND('DAY 2'!M33=""),"",('DAY 2'!M33))</f>
        <v/>
      </c>
      <c r="K33" s="79" t="str">
        <f>IF(AND('DAY 3'!M33=""),"",('DAY 3'!M33))</f>
        <v/>
      </c>
      <c r="L33" s="79" t="str">
        <f>IF(AND('DAY 4'!M33=""),"",('DAY 4'!M33))</f>
        <v/>
      </c>
      <c r="M33" s="80" t="str">
        <f>IF(AND('DAY 5'!M33=""),"",('DAY 5'!M33))</f>
        <v/>
      </c>
      <c r="O33" s="78">
        <f>SUM('DAY 1'!L33,'DAY 2'!L33,'DAY 3'!L33,'DAY 4'!L33,'DAY 5'!L33)</f>
        <v>0</v>
      </c>
      <c r="P33" s="82" t="str">
        <f t="shared" si="0"/>
        <v/>
      </c>
      <c r="Q33" s="83" t="str">
        <f t="shared" si="1"/>
        <v/>
      </c>
      <c r="R33" s="148" t="str">
        <f t="shared" si="2"/>
        <v/>
      </c>
      <c r="S33" s="149" t="str">
        <f t="shared" si="3"/>
        <v/>
      </c>
      <c r="U33" s="66" t="str">
        <f>'DAY 1'!Y33</f>
        <v/>
      </c>
      <c r="V33" s="89" t="str">
        <f>'DAY 2'!Y33</f>
        <v/>
      </c>
      <c r="W33" s="89" t="str">
        <f>'DAY 3'!Y33</f>
        <v/>
      </c>
      <c r="X33" s="89" t="str">
        <f>'DAY 4'!Y33</f>
        <v/>
      </c>
      <c r="Y33" s="67" t="str">
        <f>'DAY 5'!Y33</f>
        <v/>
      </c>
      <c r="Z33" s="142" t="str">
        <f t="shared" si="4"/>
        <v/>
      </c>
      <c r="AA33" s="22" t="str">
        <f t="shared" si="5"/>
        <v/>
      </c>
      <c r="AB33" t="str">
        <f>'DAY 1'!Z33</f>
        <v/>
      </c>
      <c r="AC33" t="str">
        <f>'DAY 2'!Z33</f>
        <v/>
      </c>
      <c r="AD33" t="str">
        <f>'DAY 3'!Z33</f>
        <v/>
      </c>
      <c r="AE33" t="str">
        <f>'DAY 4'!Z33</f>
        <v/>
      </c>
      <c r="AF33" t="str">
        <f>'DAY 5'!Z33</f>
        <v/>
      </c>
      <c r="AG33" s="144" t="str">
        <f t="shared" si="6"/>
        <v/>
      </c>
      <c r="AH33" s="145" t="str">
        <f t="shared" si="7"/>
        <v/>
      </c>
    </row>
    <row r="34" spans="2:34" ht="15.75" thickBot="1" x14ac:dyDescent="0.3">
      <c r="B34" s="66" t="str">
        <f>IF(AND('ENTRY DATA'!C34=""),"",('ENTRY DATA'!C34))</f>
        <v/>
      </c>
      <c r="C34" s="67" t="str">
        <f>IF(AND('ENTRY DATA'!D34=""),"",('ENTRY DATA'!D34))</f>
        <v/>
      </c>
      <c r="E34" s="66" t="str">
        <f>IF(AND('ENTRY DATA'!F34=""),"",('ENTRY DATA'!F34))</f>
        <v/>
      </c>
      <c r="F34" s="67" t="str">
        <f>IF(AND('ENTRY DATA'!G34=""),"",('ENTRY DATA'!G34))</f>
        <v/>
      </c>
      <c r="G34" s="61" t="s">
        <v>40</v>
      </c>
      <c r="I34" s="81" t="str">
        <f>IF(AND('DAY 1'!M34=""),"",('DAY 1'!M34))</f>
        <v/>
      </c>
      <c r="J34" s="79" t="str">
        <f>IF(AND('DAY 2'!M34=""),"",('DAY 2'!M34))</f>
        <v/>
      </c>
      <c r="K34" s="79" t="str">
        <f>IF(AND('DAY 3'!M34=""),"",('DAY 3'!M34))</f>
        <v/>
      </c>
      <c r="L34" s="79" t="str">
        <f>IF(AND('DAY 4'!M34=""),"",('DAY 4'!M34))</f>
        <v/>
      </c>
      <c r="M34" s="80" t="str">
        <f>IF(AND('DAY 5'!M34=""),"",('DAY 5'!M34))</f>
        <v/>
      </c>
      <c r="O34" s="78">
        <f>SUM('DAY 1'!L34,'DAY 2'!L34,'DAY 3'!L34,'DAY 4'!L34,'DAY 5'!L34)</f>
        <v>0</v>
      </c>
      <c r="P34" s="82" t="str">
        <f t="shared" si="0"/>
        <v/>
      </c>
      <c r="Q34" s="83" t="str">
        <f t="shared" si="1"/>
        <v/>
      </c>
      <c r="R34" s="148" t="str">
        <f t="shared" si="2"/>
        <v/>
      </c>
      <c r="S34" s="149" t="str">
        <f t="shared" si="3"/>
        <v/>
      </c>
      <c r="U34" s="66" t="str">
        <f>'DAY 1'!Y34</f>
        <v/>
      </c>
      <c r="V34" s="89" t="str">
        <f>'DAY 2'!Y34</f>
        <v/>
      </c>
      <c r="W34" s="89" t="str">
        <f>'DAY 3'!Y34</f>
        <v/>
      </c>
      <c r="X34" s="89" t="str">
        <f>'DAY 4'!Y34</f>
        <v/>
      </c>
      <c r="Y34" s="67" t="str">
        <f>'DAY 5'!Y34</f>
        <v/>
      </c>
      <c r="Z34" s="142" t="str">
        <f t="shared" si="4"/>
        <v/>
      </c>
      <c r="AA34" s="22" t="str">
        <f t="shared" si="5"/>
        <v/>
      </c>
      <c r="AB34" t="str">
        <f>'DAY 1'!Z34</f>
        <v/>
      </c>
      <c r="AC34" t="str">
        <f>'DAY 2'!Z34</f>
        <v/>
      </c>
      <c r="AD34" t="str">
        <f>'DAY 3'!Z34</f>
        <v/>
      </c>
      <c r="AE34" t="str">
        <f>'DAY 4'!Z34</f>
        <v/>
      </c>
      <c r="AF34" t="str">
        <f>'DAY 5'!Z34</f>
        <v/>
      </c>
      <c r="AG34" s="144" t="str">
        <f t="shared" si="6"/>
        <v/>
      </c>
      <c r="AH34" s="145" t="str">
        <f t="shared" si="7"/>
        <v/>
      </c>
    </row>
    <row r="35" spans="2:34" ht="15.75" thickBot="1" x14ac:dyDescent="0.3">
      <c r="B35" s="66" t="str">
        <f>IF(AND('ENTRY DATA'!C35=""),"",('ENTRY DATA'!C35))</f>
        <v/>
      </c>
      <c r="C35" s="67" t="str">
        <f>IF(AND('ENTRY DATA'!D35=""),"",('ENTRY DATA'!D35))</f>
        <v/>
      </c>
      <c r="E35" s="66" t="str">
        <f>IF(AND('ENTRY DATA'!F35=""),"",('ENTRY DATA'!F35))</f>
        <v/>
      </c>
      <c r="F35" s="67" t="str">
        <f>IF(AND('ENTRY DATA'!G35=""),"",('ENTRY DATA'!G35))</f>
        <v/>
      </c>
      <c r="G35" s="61" t="s">
        <v>40</v>
      </c>
      <c r="I35" s="81" t="str">
        <f>IF(AND('DAY 1'!M35=""),"",('DAY 1'!M35))</f>
        <v/>
      </c>
      <c r="J35" s="79" t="str">
        <f>IF(AND('DAY 2'!M35=""),"",('DAY 2'!M35))</f>
        <v/>
      </c>
      <c r="K35" s="79" t="str">
        <f>IF(AND('DAY 3'!M35=""),"",('DAY 3'!M35))</f>
        <v/>
      </c>
      <c r="L35" s="79" t="str">
        <f>IF(AND('DAY 4'!M35=""),"",('DAY 4'!M35))</f>
        <v/>
      </c>
      <c r="M35" s="80" t="str">
        <f>IF(AND('DAY 5'!M35=""),"",('DAY 5'!M35))</f>
        <v/>
      </c>
      <c r="O35" s="78">
        <f>SUM('DAY 1'!L35,'DAY 2'!L35,'DAY 3'!L35,'DAY 4'!L35,'DAY 5'!L35)</f>
        <v>0</v>
      </c>
      <c r="P35" s="82" t="str">
        <f t="shared" si="0"/>
        <v/>
      </c>
      <c r="Q35" s="83" t="str">
        <f t="shared" si="1"/>
        <v/>
      </c>
      <c r="R35" s="148" t="str">
        <f t="shared" si="2"/>
        <v/>
      </c>
      <c r="S35" s="149" t="str">
        <f t="shared" si="3"/>
        <v/>
      </c>
      <c r="U35" s="66" t="str">
        <f>'DAY 1'!Y35</f>
        <v/>
      </c>
      <c r="V35" s="89" t="str">
        <f>'DAY 2'!Y35</f>
        <v/>
      </c>
      <c r="W35" s="89" t="str">
        <f>'DAY 3'!Y35</f>
        <v/>
      </c>
      <c r="X35" s="89" t="str">
        <f>'DAY 4'!Y35</f>
        <v/>
      </c>
      <c r="Y35" s="67" t="str">
        <f>'DAY 5'!Y35</f>
        <v/>
      </c>
      <c r="Z35" s="142" t="str">
        <f t="shared" si="4"/>
        <v/>
      </c>
      <c r="AA35" s="22" t="str">
        <f t="shared" si="5"/>
        <v/>
      </c>
      <c r="AB35" t="str">
        <f>'DAY 1'!Z35</f>
        <v/>
      </c>
      <c r="AC35" t="str">
        <f>'DAY 2'!Z35</f>
        <v/>
      </c>
      <c r="AD35" t="str">
        <f>'DAY 3'!Z35</f>
        <v/>
      </c>
      <c r="AE35" t="str">
        <f>'DAY 4'!Z35</f>
        <v/>
      </c>
      <c r="AF35" t="str">
        <f>'DAY 5'!Z35</f>
        <v/>
      </c>
      <c r="AG35" s="144" t="str">
        <f t="shared" si="6"/>
        <v/>
      </c>
      <c r="AH35" s="145" t="str">
        <f t="shared" si="7"/>
        <v/>
      </c>
    </row>
    <row r="36" spans="2:34" ht="15.75" thickBot="1" x14ac:dyDescent="0.3">
      <c r="B36" s="66" t="str">
        <f>IF(AND('ENTRY DATA'!C36=""),"",('ENTRY DATA'!C36))</f>
        <v/>
      </c>
      <c r="C36" s="67" t="str">
        <f>IF(AND('ENTRY DATA'!D36=""),"",('ENTRY DATA'!D36))</f>
        <v/>
      </c>
      <c r="E36" s="66" t="str">
        <f>IF(AND('ENTRY DATA'!F36=""),"",('ENTRY DATA'!F36))</f>
        <v/>
      </c>
      <c r="F36" s="67" t="str">
        <f>IF(AND('ENTRY DATA'!G36=""),"",('ENTRY DATA'!G36))</f>
        <v/>
      </c>
      <c r="G36" s="61" t="s">
        <v>40</v>
      </c>
      <c r="I36" s="81" t="str">
        <f>IF(AND('DAY 1'!M36=""),"",('DAY 1'!M36))</f>
        <v/>
      </c>
      <c r="J36" s="79" t="str">
        <f>IF(AND('DAY 2'!M36=""),"",('DAY 2'!M36))</f>
        <v/>
      </c>
      <c r="K36" s="79" t="str">
        <f>IF(AND('DAY 3'!M36=""),"",('DAY 3'!M36))</f>
        <v/>
      </c>
      <c r="L36" s="79" t="str">
        <f>IF(AND('DAY 4'!M36=""),"",('DAY 4'!M36))</f>
        <v/>
      </c>
      <c r="M36" s="80" t="str">
        <f>IF(AND('DAY 5'!M36=""),"",('DAY 5'!M36))</f>
        <v/>
      </c>
      <c r="O36" s="78">
        <f>SUM('DAY 1'!L36,'DAY 2'!L36,'DAY 3'!L36,'DAY 4'!L36,'DAY 5'!L36)</f>
        <v>0</v>
      </c>
      <c r="P36" s="82" t="str">
        <f t="shared" si="0"/>
        <v/>
      </c>
      <c r="Q36" s="83" t="str">
        <f t="shared" si="1"/>
        <v/>
      </c>
      <c r="R36" s="148" t="str">
        <f t="shared" si="2"/>
        <v/>
      </c>
      <c r="S36" s="149" t="str">
        <f t="shared" si="3"/>
        <v/>
      </c>
      <c r="U36" s="66" t="str">
        <f>'DAY 1'!Y36</f>
        <v/>
      </c>
      <c r="V36" s="89" t="str">
        <f>'DAY 2'!Y36</f>
        <v/>
      </c>
      <c r="W36" s="89" t="str">
        <f>'DAY 3'!Y36</f>
        <v/>
      </c>
      <c r="X36" s="89" t="str">
        <f>'DAY 4'!Y36</f>
        <v/>
      </c>
      <c r="Y36" s="67" t="str">
        <f>'DAY 5'!Y36</f>
        <v/>
      </c>
      <c r="Z36" s="142" t="str">
        <f t="shared" si="4"/>
        <v/>
      </c>
      <c r="AA36" s="22" t="str">
        <f t="shared" si="5"/>
        <v/>
      </c>
      <c r="AB36" t="str">
        <f>'DAY 1'!Z36</f>
        <v/>
      </c>
      <c r="AC36" t="str">
        <f>'DAY 2'!Z36</f>
        <v/>
      </c>
      <c r="AD36" t="str">
        <f>'DAY 3'!Z36</f>
        <v/>
      </c>
      <c r="AE36" t="str">
        <f>'DAY 4'!Z36</f>
        <v/>
      </c>
      <c r="AF36" t="str">
        <f>'DAY 5'!Z36</f>
        <v/>
      </c>
      <c r="AG36" s="144" t="str">
        <f t="shared" si="6"/>
        <v/>
      </c>
      <c r="AH36" s="145" t="str">
        <f t="shared" si="7"/>
        <v/>
      </c>
    </row>
    <row r="37" spans="2:34" ht="15.75" thickBot="1" x14ac:dyDescent="0.3">
      <c r="B37" s="66" t="str">
        <f>IF(AND('ENTRY DATA'!C37=""),"",('ENTRY DATA'!C37))</f>
        <v/>
      </c>
      <c r="C37" s="67" t="str">
        <f>IF(AND('ENTRY DATA'!D37=""),"",('ENTRY DATA'!D37))</f>
        <v/>
      </c>
      <c r="E37" s="66" t="str">
        <f>IF(AND('ENTRY DATA'!F37=""),"",('ENTRY DATA'!F37))</f>
        <v/>
      </c>
      <c r="F37" s="67" t="str">
        <f>IF(AND('ENTRY DATA'!G37=""),"",('ENTRY DATA'!G37))</f>
        <v/>
      </c>
      <c r="G37" s="61" t="s">
        <v>40</v>
      </c>
      <c r="I37" s="81" t="str">
        <f>IF(AND('DAY 1'!M37=""),"",('DAY 1'!M37))</f>
        <v/>
      </c>
      <c r="J37" s="79" t="str">
        <f>IF(AND('DAY 2'!M37=""),"",('DAY 2'!M37))</f>
        <v/>
      </c>
      <c r="K37" s="79" t="str">
        <f>IF(AND('DAY 3'!M37=""),"",('DAY 3'!M37))</f>
        <v/>
      </c>
      <c r="L37" s="79" t="str">
        <f>IF(AND('DAY 4'!M37=""),"",('DAY 4'!M37))</f>
        <v/>
      </c>
      <c r="M37" s="80" t="str">
        <f>IF(AND('DAY 5'!M37=""),"",('DAY 5'!M37))</f>
        <v/>
      </c>
      <c r="O37" s="78">
        <f>SUM('DAY 1'!L37,'DAY 2'!L37,'DAY 3'!L37,'DAY 4'!L37,'DAY 5'!L37)</f>
        <v>0</v>
      </c>
      <c r="P37" s="82" t="str">
        <f t="shared" si="0"/>
        <v/>
      </c>
      <c r="Q37" s="83" t="str">
        <f t="shared" si="1"/>
        <v/>
      </c>
      <c r="R37" s="148" t="str">
        <f t="shared" si="2"/>
        <v/>
      </c>
      <c r="S37" s="149" t="str">
        <f t="shared" si="3"/>
        <v/>
      </c>
      <c r="U37" s="66" t="str">
        <f>'DAY 1'!Y37</f>
        <v/>
      </c>
      <c r="V37" s="89" t="str">
        <f>'DAY 2'!Y37</f>
        <v/>
      </c>
      <c r="W37" s="89" t="str">
        <f>'DAY 3'!Y37</f>
        <v/>
      </c>
      <c r="X37" s="89" t="str">
        <f>'DAY 4'!Y37</f>
        <v/>
      </c>
      <c r="Y37" s="67" t="str">
        <f>'DAY 5'!Y37</f>
        <v/>
      </c>
      <c r="Z37" s="142" t="str">
        <f t="shared" si="4"/>
        <v/>
      </c>
      <c r="AA37" s="22" t="str">
        <f t="shared" si="5"/>
        <v/>
      </c>
      <c r="AB37" t="str">
        <f>'DAY 1'!Z37</f>
        <v/>
      </c>
      <c r="AC37" t="str">
        <f>'DAY 2'!Z37</f>
        <v/>
      </c>
      <c r="AD37" t="str">
        <f>'DAY 3'!Z37</f>
        <v/>
      </c>
      <c r="AE37" t="str">
        <f>'DAY 4'!Z37</f>
        <v/>
      </c>
      <c r="AF37" t="str">
        <f>'DAY 5'!Z37</f>
        <v/>
      </c>
      <c r="AG37" s="144" t="str">
        <f t="shared" si="6"/>
        <v/>
      </c>
      <c r="AH37" s="145" t="str">
        <f t="shared" si="7"/>
        <v/>
      </c>
    </row>
    <row r="38" spans="2:34" ht="15.75" thickBot="1" x14ac:dyDescent="0.3">
      <c r="B38" s="66" t="str">
        <f>IF(AND('ENTRY DATA'!C38=""),"",('ENTRY DATA'!C38))</f>
        <v/>
      </c>
      <c r="C38" s="67" t="str">
        <f>IF(AND('ENTRY DATA'!D38=""),"",('ENTRY DATA'!D38))</f>
        <v/>
      </c>
      <c r="E38" s="66" t="str">
        <f>IF(AND('ENTRY DATA'!F38=""),"",('ENTRY DATA'!F38))</f>
        <v/>
      </c>
      <c r="F38" s="67" t="str">
        <f>IF(AND('ENTRY DATA'!G38=""),"",('ENTRY DATA'!G38))</f>
        <v/>
      </c>
      <c r="G38" s="61" t="s">
        <v>40</v>
      </c>
      <c r="I38" s="81" t="str">
        <f>IF(AND('DAY 1'!M38=""),"",('DAY 1'!M38))</f>
        <v/>
      </c>
      <c r="J38" s="79" t="str">
        <f>IF(AND('DAY 2'!M38=""),"",('DAY 2'!M38))</f>
        <v/>
      </c>
      <c r="K38" s="79" t="str">
        <f>IF(AND('DAY 3'!M38=""),"",('DAY 3'!M38))</f>
        <v/>
      </c>
      <c r="L38" s="79" t="str">
        <f>IF(AND('DAY 4'!M38=""),"",('DAY 4'!M38))</f>
        <v/>
      </c>
      <c r="M38" s="80" t="str">
        <f>IF(AND('DAY 5'!M38=""),"",('DAY 5'!M38))</f>
        <v/>
      </c>
      <c r="O38" s="78">
        <f>SUM('DAY 1'!L38,'DAY 2'!L38,'DAY 3'!L38,'DAY 4'!L38,'DAY 5'!L38)</f>
        <v>0</v>
      </c>
      <c r="P38" s="82" t="str">
        <f t="shared" si="0"/>
        <v/>
      </c>
      <c r="Q38" s="83" t="str">
        <f t="shared" si="1"/>
        <v/>
      </c>
      <c r="R38" s="148" t="str">
        <f t="shared" si="2"/>
        <v/>
      </c>
      <c r="S38" s="149" t="str">
        <f t="shared" si="3"/>
        <v/>
      </c>
      <c r="U38" s="66" t="str">
        <f>'DAY 1'!Y38</f>
        <v/>
      </c>
      <c r="V38" s="89" t="str">
        <f>'DAY 2'!Y38</f>
        <v/>
      </c>
      <c r="W38" s="89" t="str">
        <f>'DAY 3'!Y38</f>
        <v/>
      </c>
      <c r="X38" s="89" t="str">
        <f>'DAY 4'!Y38</f>
        <v/>
      </c>
      <c r="Y38" s="67" t="str">
        <f>'DAY 5'!Y38</f>
        <v/>
      </c>
      <c r="Z38" s="142" t="str">
        <f t="shared" si="4"/>
        <v/>
      </c>
      <c r="AA38" s="22" t="str">
        <f t="shared" si="5"/>
        <v/>
      </c>
      <c r="AB38" t="str">
        <f>'DAY 1'!Z38</f>
        <v/>
      </c>
      <c r="AC38" t="str">
        <f>'DAY 2'!Z38</f>
        <v/>
      </c>
      <c r="AD38" t="str">
        <f>'DAY 3'!Z38</f>
        <v/>
      </c>
      <c r="AE38" t="str">
        <f>'DAY 4'!Z38</f>
        <v/>
      </c>
      <c r="AF38" t="str">
        <f>'DAY 5'!Z38</f>
        <v/>
      </c>
      <c r="AG38" s="144" t="str">
        <f t="shared" si="6"/>
        <v/>
      </c>
      <c r="AH38" s="145" t="str">
        <f t="shared" si="7"/>
        <v/>
      </c>
    </row>
    <row r="39" spans="2:34" ht="15.75" thickBot="1" x14ac:dyDescent="0.3">
      <c r="B39" s="66" t="str">
        <f>IF(AND('ENTRY DATA'!C39=""),"",('ENTRY DATA'!C39))</f>
        <v/>
      </c>
      <c r="C39" s="67" t="str">
        <f>IF(AND('ENTRY DATA'!D39=""),"",('ENTRY DATA'!D39))</f>
        <v/>
      </c>
      <c r="E39" s="66" t="str">
        <f>IF(AND('ENTRY DATA'!F39=""),"",('ENTRY DATA'!F39))</f>
        <v/>
      </c>
      <c r="F39" s="67" t="str">
        <f>IF(AND('ENTRY DATA'!G39=""),"",('ENTRY DATA'!G39))</f>
        <v/>
      </c>
      <c r="G39" s="61" t="s">
        <v>40</v>
      </c>
      <c r="I39" s="81" t="str">
        <f>IF(AND('DAY 1'!M39=""),"",('DAY 1'!M39))</f>
        <v/>
      </c>
      <c r="J39" s="79" t="str">
        <f>IF(AND('DAY 2'!M39=""),"",('DAY 2'!M39))</f>
        <v/>
      </c>
      <c r="K39" s="79" t="str">
        <f>IF(AND('DAY 3'!M39=""),"",('DAY 3'!M39))</f>
        <v/>
      </c>
      <c r="L39" s="79" t="str">
        <f>IF(AND('DAY 4'!M39=""),"",('DAY 4'!M39))</f>
        <v/>
      </c>
      <c r="M39" s="80" t="str">
        <f>IF(AND('DAY 5'!M39=""),"",('DAY 5'!M39))</f>
        <v/>
      </c>
      <c r="O39" s="78">
        <f>SUM('DAY 1'!L39,'DAY 2'!L39,'DAY 3'!L39,'DAY 4'!L39,'DAY 5'!L39)</f>
        <v>0</v>
      </c>
      <c r="P39" s="82" t="str">
        <f t="shared" si="0"/>
        <v/>
      </c>
      <c r="Q39" s="83" t="str">
        <f t="shared" si="1"/>
        <v/>
      </c>
      <c r="R39" s="148" t="str">
        <f t="shared" si="2"/>
        <v/>
      </c>
      <c r="S39" s="149" t="str">
        <f t="shared" si="3"/>
        <v/>
      </c>
      <c r="U39" s="66" t="str">
        <f>'DAY 1'!Y39</f>
        <v/>
      </c>
      <c r="V39" s="89" t="str">
        <f>'DAY 2'!Y39</f>
        <v/>
      </c>
      <c r="W39" s="89" t="str">
        <f>'DAY 3'!Y39</f>
        <v/>
      </c>
      <c r="X39" s="89" t="str">
        <f>'DAY 4'!Y39</f>
        <v/>
      </c>
      <c r="Y39" s="67" t="str">
        <f>'DAY 5'!Y39</f>
        <v/>
      </c>
      <c r="Z39" s="142" t="str">
        <f t="shared" si="4"/>
        <v/>
      </c>
      <c r="AA39" s="22" t="str">
        <f t="shared" si="5"/>
        <v/>
      </c>
      <c r="AB39" t="str">
        <f>'DAY 1'!Z39</f>
        <v/>
      </c>
      <c r="AC39" t="str">
        <f>'DAY 2'!Z39</f>
        <v/>
      </c>
      <c r="AD39" t="str">
        <f>'DAY 3'!Z39</f>
        <v/>
      </c>
      <c r="AE39" t="str">
        <f>'DAY 4'!Z39</f>
        <v/>
      </c>
      <c r="AF39" t="str">
        <f>'DAY 5'!Z39</f>
        <v/>
      </c>
      <c r="AG39" s="144" t="str">
        <f t="shared" si="6"/>
        <v/>
      </c>
      <c r="AH39" s="145" t="str">
        <f t="shared" si="7"/>
        <v/>
      </c>
    </row>
    <row r="40" spans="2:34" ht="15.75" thickBot="1" x14ac:dyDescent="0.3">
      <c r="B40" s="66" t="str">
        <f>IF(AND('ENTRY DATA'!C40=""),"",('ENTRY DATA'!C40))</f>
        <v/>
      </c>
      <c r="C40" s="67" t="str">
        <f>IF(AND('ENTRY DATA'!D40=""),"",('ENTRY DATA'!D40))</f>
        <v/>
      </c>
      <c r="E40" s="66" t="str">
        <f>IF(AND('ENTRY DATA'!F40=""),"",('ENTRY DATA'!F40))</f>
        <v/>
      </c>
      <c r="F40" s="67" t="str">
        <f>IF(AND('ENTRY DATA'!G40=""),"",('ENTRY DATA'!G40))</f>
        <v/>
      </c>
      <c r="G40" s="61" t="s">
        <v>40</v>
      </c>
      <c r="I40" s="81" t="str">
        <f>IF(AND('DAY 1'!M40=""),"",('DAY 1'!M40))</f>
        <v/>
      </c>
      <c r="J40" s="79" t="str">
        <f>IF(AND('DAY 2'!M40=""),"",('DAY 2'!M40))</f>
        <v/>
      </c>
      <c r="K40" s="79" t="str">
        <f>IF(AND('DAY 3'!M40=""),"",('DAY 3'!M40))</f>
        <v/>
      </c>
      <c r="L40" s="79" t="str">
        <f>IF(AND('DAY 4'!M40=""),"",('DAY 4'!M40))</f>
        <v/>
      </c>
      <c r="M40" s="80" t="str">
        <f>IF(AND('DAY 5'!M40=""),"",('DAY 5'!M40))</f>
        <v/>
      </c>
      <c r="O40" s="78">
        <f>SUM('DAY 1'!L40,'DAY 2'!L40,'DAY 3'!L40,'DAY 4'!L40,'DAY 5'!L40)</f>
        <v>0</v>
      </c>
      <c r="P40" s="82" t="str">
        <f t="shared" si="0"/>
        <v/>
      </c>
      <c r="Q40" s="83" t="str">
        <f t="shared" si="1"/>
        <v/>
      </c>
      <c r="R40" s="148" t="str">
        <f t="shared" si="2"/>
        <v/>
      </c>
      <c r="S40" s="149" t="str">
        <f t="shared" si="3"/>
        <v/>
      </c>
      <c r="U40" s="66" t="str">
        <f>'DAY 1'!Y40</f>
        <v/>
      </c>
      <c r="V40" s="89" t="str">
        <f>'DAY 2'!Y40</f>
        <v/>
      </c>
      <c r="W40" s="89" t="str">
        <f>'DAY 3'!Y40</f>
        <v/>
      </c>
      <c r="X40" s="89" t="str">
        <f>'DAY 4'!Y40</f>
        <v/>
      </c>
      <c r="Y40" s="67" t="str">
        <f>'DAY 5'!Y40</f>
        <v/>
      </c>
      <c r="Z40" s="142" t="str">
        <f t="shared" si="4"/>
        <v/>
      </c>
      <c r="AA40" s="22" t="str">
        <f t="shared" si="5"/>
        <v/>
      </c>
      <c r="AB40" t="str">
        <f>'DAY 1'!Z40</f>
        <v/>
      </c>
      <c r="AC40" t="str">
        <f>'DAY 2'!Z40</f>
        <v/>
      </c>
      <c r="AD40" t="str">
        <f>'DAY 3'!Z40</f>
        <v/>
      </c>
      <c r="AE40" t="str">
        <f>'DAY 4'!Z40</f>
        <v/>
      </c>
      <c r="AF40" t="str">
        <f>'DAY 5'!Z40</f>
        <v/>
      </c>
      <c r="AG40" s="144" t="str">
        <f t="shared" si="6"/>
        <v/>
      </c>
      <c r="AH40" s="145" t="str">
        <f t="shared" si="7"/>
        <v/>
      </c>
    </row>
    <row r="41" spans="2:34" ht="15.75" thickBot="1" x14ac:dyDescent="0.3">
      <c r="B41" s="66" t="str">
        <f>IF(AND('ENTRY DATA'!C41=""),"",('ENTRY DATA'!C41))</f>
        <v/>
      </c>
      <c r="C41" s="67" t="str">
        <f>IF(AND('ENTRY DATA'!D41=""),"",('ENTRY DATA'!D41))</f>
        <v/>
      </c>
      <c r="E41" s="66" t="str">
        <f>IF(AND('ENTRY DATA'!F41=""),"",('ENTRY DATA'!F41))</f>
        <v/>
      </c>
      <c r="F41" s="67" t="str">
        <f>IF(AND('ENTRY DATA'!G41=""),"",('ENTRY DATA'!G41))</f>
        <v/>
      </c>
      <c r="G41" s="61" t="s">
        <v>40</v>
      </c>
      <c r="I41" s="81" t="str">
        <f>IF(AND('DAY 1'!M41=""),"",('DAY 1'!M41))</f>
        <v/>
      </c>
      <c r="J41" s="79" t="str">
        <f>IF(AND('DAY 2'!M41=""),"",('DAY 2'!M41))</f>
        <v/>
      </c>
      <c r="K41" s="79" t="str">
        <f>IF(AND('DAY 3'!M41=""),"",('DAY 3'!M41))</f>
        <v/>
      </c>
      <c r="L41" s="79" t="str">
        <f>IF(AND('DAY 4'!M41=""),"",('DAY 4'!M41))</f>
        <v/>
      </c>
      <c r="M41" s="80" t="str">
        <f>IF(AND('DAY 5'!M41=""),"",('DAY 5'!M41))</f>
        <v/>
      </c>
      <c r="O41" s="78">
        <f>SUM('DAY 1'!L41,'DAY 2'!L41,'DAY 3'!L41,'DAY 4'!L41,'DAY 5'!L41)</f>
        <v>0</v>
      </c>
      <c r="P41" s="82" t="str">
        <f t="shared" si="0"/>
        <v/>
      </c>
      <c r="Q41" s="83" t="str">
        <f t="shared" si="1"/>
        <v/>
      </c>
      <c r="R41" s="148" t="str">
        <f t="shared" si="2"/>
        <v/>
      </c>
      <c r="S41" s="149" t="str">
        <f t="shared" si="3"/>
        <v/>
      </c>
      <c r="U41" s="66" t="str">
        <f>'DAY 1'!Y41</f>
        <v/>
      </c>
      <c r="V41" s="89" t="str">
        <f>'DAY 2'!Y41</f>
        <v/>
      </c>
      <c r="W41" s="89" t="str">
        <f>'DAY 3'!Y41</f>
        <v/>
      </c>
      <c r="X41" s="89" t="str">
        <f>'DAY 4'!Y41</f>
        <v/>
      </c>
      <c r="Y41" s="67" t="str">
        <f>'DAY 5'!Y41</f>
        <v/>
      </c>
      <c r="Z41" s="142" t="str">
        <f t="shared" si="4"/>
        <v/>
      </c>
      <c r="AA41" s="22" t="str">
        <f t="shared" si="5"/>
        <v/>
      </c>
      <c r="AB41" t="str">
        <f>'DAY 1'!Z41</f>
        <v/>
      </c>
      <c r="AC41" t="str">
        <f>'DAY 2'!Z41</f>
        <v/>
      </c>
      <c r="AD41" t="str">
        <f>'DAY 3'!Z41</f>
        <v/>
      </c>
      <c r="AE41" t="str">
        <f>'DAY 4'!Z41</f>
        <v/>
      </c>
      <c r="AF41" t="str">
        <f>'DAY 5'!Z41</f>
        <v/>
      </c>
      <c r="AG41" s="144" t="str">
        <f t="shared" si="6"/>
        <v/>
      </c>
      <c r="AH41" s="145" t="str">
        <f t="shared" si="7"/>
        <v/>
      </c>
    </row>
    <row r="42" spans="2:34" ht="15.75" thickBot="1" x14ac:dyDescent="0.3">
      <c r="B42" s="66" t="str">
        <f>IF(AND('ENTRY DATA'!C42=""),"",('ENTRY DATA'!C42))</f>
        <v/>
      </c>
      <c r="C42" s="67" t="str">
        <f>IF(AND('ENTRY DATA'!D42=""),"",('ENTRY DATA'!D42))</f>
        <v/>
      </c>
      <c r="E42" s="66" t="str">
        <f>IF(AND('ENTRY DATA'!F42=""),"",('ENTRY DATA'!F42))</f>
        <v/>
      </c>
      <c r="F42" s="67" t="str">
        <f>IF(AND('ENTRY DATA'!G42=""),"",('ENTRY DATA'!G42))</f>
        <v/>
      </c>
      <c r="G42" s="61" t="s">
        <v>40</v>
      </c>
      <c r="I42" s="81" t="str">
        <f>IF(AND('DAY 1'!M42=""),"",('DAY 1'!M42))</f>
        <v/>
      </c>
      <c r="J42" s="79" t="str">
        <f>IF(AND('DAY 2'!M42=""),"",('DAY 2'!M42))</f>
        <v/>
      </c>
      <c r="K42" s="79" t="str">
        <f>IF(AND('DAY 3'!M42=""),"",('DAY 3'!M42))</f>
        <v/>
      </c>
      <c r="L42" s="79" t="str">
        <f>IF(AND('DAY 4'!M42=""),"",('DAY 4'!M42))</f>
        <v/>
      </c>
      <c r="M42" s="80" t="str">
        <f>IF(AND('DAY 5'!M42=""),"",('DAY 5'!M42))</f>
        <v/>
      </c>
      <c r="O42" s="78">
        <f>SUM('DAY 1'!L42,'DAY 2'!L42,'DAY 3'!L42,'DAY 4'!L42,'DAY 5'!L42)</f>
        <v>0</v>
      </c>
      <c r="P42" s="82" t="str">
        <f t="shared" si="0"/>
        <v/>
      </c>
      <c r="Q42" s="83" t="str">
        <f t="shared" si="1"/>
        <v/>
      </c>
      <c r="R42" s="148" t="str">
        <f t="shared" si="2"/>
        <v/>
      </c>
      <c r="S42" s="149" t="str">
        <f t="shared" si="3"/>
        <v/>
      </c>
      <c r="U42" s="66" t="str">
        <f>'DAY 1'!Y42</f>
        <v/>
      </c>
      <c r="V42" s="89" t="str">
        <f>'DAY 2'!Y42</f>
        <v/>
      </c>
      <c r="W42" s="89" t="str">
        <f>'DAY 3'!Y42</f>
        <v/>
      </c>
      <c r="X42" s="89" t="str">
        <f>'DAY 4'!Y42</f>
        <v/>
      </c>
      <c r="Y42" s="67" t="str">
        <f>'DAY 5'!Y42</f>
        <v/>
      </c>
      <c r="Z42" s="142" t="str">
        <f t="shared" si="4"/>
        <v/>
      </c>
      <c r="AA42" s="22" t="str">
        <f t="shared" si="5"/>
        <v/>
      </c>
      <c r="AB42" t="str">
        <f>'DAY 1'!Z42</f>
        <v/>
      </c>
      <c r="AC42" t="str">
        <f>'DAY 2'!Z42</f>
        <v/>
      </c>
      <c r="AD42" t="str">
        <f>'DAY 3'!Z42</f>
        <v/>
      </c>
      <c r="AE42" t="str">
        <f>'DAY 4'!Z42</f>
        <v/>
      </c>
      <c r="AF42" t="str">
        <f>'DAY 5'!Z42</f>
        <v/>
      </c>
      <c r="AG42" s="144" t="str">
        <f t="shared" si="6"/>
        <v/>
      </c>
      <c r="AH42" s="145" t="str">
        <f t="shared" si="7"/>
        <v/>
      </c>
    </row>
    <row r="43" spans="2:34" ht="15.75" thickBot="1" x14ac:dyDescent="0.3">
      <c r="B43" s="66" t="str">
        <f>IF(AND('ENTRY DATA'!C43=""),"",('ENTRY DATA'!C43))</f>
        <v/>
      </c>
      <c r="C43" s="67" t="str">
        <f>IF(AND('ENTRY DATA'!D43=""),"",('ENTRY DATA'!D43))</f>
        <v/>
      </c>
      <c r="E43" s="66" t="str">
        <f>IF(AND('ENTRY DATA'!F43=""),"",('ENTRY DATA'!F43))</f>
        <v/>
      </c>
      <c r="F43" s="67" t="str">
        <f>IF(AND('ENTRY DATA'!G43=""),"",('ENTRY DATA'!G43))</f>
        <v/>
      </c>
      <c r="G43" s="61" t="s">
        <v>40</v>
      </c>
      <c r="I43" s="81" t="str">
        <f>IF(AND('DAY 1'!M43=""),"",('DAY 1'!M43))</f>
        <v/>
      </c>
      <c r="J43" s="79" t="str">
        <f>IF(AND('DAY 2'!M43=""),"",('DAY 2'!M43))</f>
        <v/>
      </c>
      <c r="K43" s="79" t="str">
        <f>IF(AND('DAY 3'!M43=""),"",('DAY 3'!M43))</f>
        <v/>
      </c>
      <c r="L43" s="79" t="str">
        <f>IF(AND('DAY 4'!M43=""),"",('DAY 4'!M43))</f>
        <v/>
      </c>
      <c r="M43" s="80" t="str">
        <f>IF(AND('DAY 5'!M43=""),"",('DAY 5'!M43))</f>
        <v/>
      </c>
      <c r="O43" s="78">
        <f>SUM('DAY 1'!L43,'DAY 2'!L43,'DAY 3'!L43,'DAY 4'!L43,'DAY 5'!L43)</f>
        <v>0</v>
      </c>
      <c r="P43" s="82" t="str">
        <f t="shared" si="0"/>
        <v/>
      </c>
      <c r="Q43" s="83" t="str">
        <f t="shared" si="1"/>
        <v/>
      </c>
      <c r="R43" s="148" t="str">
        <f t="shared" si="2"/>
        <v/>
      </c>
      <c r="S43" s="149" t="str">
        <f t="shared" si="3"/>
        <v/>
      </c>
      <c r="U43" s="66" t="str">
        <f>'DAY 1'!Y43</f>
        <v/>
      </c>
      <c r="V43" s="89" t="str">
        <f>'DAY 2'!Y43</f>
        <v/>
      </c>
      <c r="W43" s="89" t="str">
        <f>'DAY 3'!Y43</f>
        <v/>
      </c>
      <c r="X43" s="89" t="str">
        <f>'DAY 4'!Y43</f>
        <v/>
      </c>
      <c r="Y43" s="67" t="str">
        <f>'DAY 5'!Y43</f>
        <v/>
      </c>
      <c r="Z43" s="142" t="str">
        <f t="shared" si="4"/>
        <v/>
      </c>
      <c r="AA43" s="22" t="str">
        <f t="shared" si="5"/>
        <v/>
      </c>
      <c r="AB43" t="str">
        <f>'DAY 1'!Z43</f>
        <v/>
      </c>
      <c r="AC43" t="str">
        <f>'DAY 2'!Z43</f>
        <v/>
      </c>
      <c r="AD43" t="str">
        <f>'DAY 3'!Z43</f>
        <v/>
      </c>
      <c r="AE43" t="str">
        <f>'DAY 4'!Z43</f>
        <v/>
      </c>
      <c r="AF43" t="str">
        <f>'DAY 5'!Z43</f>
        <v/>
      </c>
      <c r="AG43" s="144" t="str">
        <f t="shared" si="6"/>
        <v/>
      </c>
      <c r="AH43" s="145" t="str">
        <f t="shared" si="7"/>
        <v/>
      </c>
    </row>
    <row r="44" spans="2:34" ht="15.75" thickBot="1" x14ac:dyDescent="0.3">
      <c r="B44" s="66" t="str">
        <f>IF(AND('ENTRY DATA'!C44=""),"",('ENTRY DATA'!C44))</f>
        <v/>
      </c>
      <c r="C44" s="67" t="str">
        <f>IF(AND('ENTRY DATA'!D44=""),"",('ENTRY DATA'!D44))</f>
        <v/>
      </c>
      <c r="E44" s="66" t="str">
        <f>IF(AND('ENTRY DATA'!F44=""),"",('ENTRY DATA'!F44))</f>
        <v/>
      </c>
      <c r="F44" s="67" t="str">
        <f>IF(AND('ENTRY DATA'!G44=""),"",('ENTRY DATA'!G44))</f>
        <v/>
      </c>
      <c r="G44" s="61" t="s">
        <v>40</v>
      </c>
      <c r="I44" s="81" t="str">
        <f>IF(AND('DAY 1'!M44=""),"",('DAY 1'!M44))</f>
        <v/>
      </c>
      <c r="J44" s="79" t="str">
        <f>IF(AND('DAY 2'!M44=""),"",('DAY 2'!M44))</f>
        <v/>
      </c>
      <c r="K44" s="79" t="str">
        <f>IF(AND('DAY 3'!M44=""),"",('DAY 3'!M44))</f>
        <v/>
      </c>
      <c r="L44" s="79" t="str">
        <f>IF(AND('DAY 4'!M44=""),"",('DAY 4'!M44))</f>
        <v/>
      </c>
      <c r="M44" s="80" t="str">
        <f>IF(AND('DAY 5'!M44=""),"",('DAY 5'!M44))</f>
        <v/>
      </c>
      <c r="O44" s="78">
        <f>SUM('DAY 1'!L44,'DAY 2'!L44,'DAY 3'!L44,'DAY 4'!L44,'DAY 5'!L44)</f>
        <v>0</v>
      </c>
      <c r="P44" s="82" t="str">
        <f t="shared" si="0"/>
        <v/>
      </c>
      <c r="Q44" s="83" t="str">
        <f t="shared" si="1"/>
        <v/>
      </c>
      <c r="R44" s="148" t="str">
        <f t="shared" si="2"/>
        <v/>
      </c>
      <c r="S44" s="149" t="str">
        <f t="shared" si="3"/>
        <v/>
      </c>
      <c r="U44" s="66" t="str">
        <f>'DAY 1'!Y44</f>
        <v/>
      </c>
      <c r="V44" s="89" t="str">
        <f>'DAY 2'!Y44</f>
        <v/>
      </c>
      <c r="W44" s="89" t="str">
        <f>'DAY 3'!Y44</f>
        <v/>
      </c>
      <c r="X44" s="89" t="str">
        <f>'DAY 4'!Y44</f>
        <v/>
      </c>
      <c r="Y44" s="67" t="str">
        <f>'DAY 5'!Y44</f>
        <v/>
      </c>
      <c r="Z44" s="142" t="str">
        <f t="shared" si="4"/>
        <v/>
      </c>
      <c r="AA44" s="22" t="str">
        <f t="shared" si="5"/>
        <v/>
      </c>
      <c r="AB44" t="str">
        <f>'DAY 1'!Z44</f>
        <v/>
      </c>
      <c r="AC44" t="str">
        <f>'DAY 2'!Z44</f>
        <v/>
      </c>
      <c r="AD44" t="str">
        <f>'DAY 3'!Z44</f>
        <v/>
      </c>
      <c r="AE44" t="str">
        <f>'DAY 4'!Z44</f>
        <v/>
      </c>
      <c r="AF44" t="str">
        <f>'DAY 5'!Z44</f>
        <v/>
      </c>
      <c r="AG44" s="144" t="str">
        <f t="shared" si="6"/>
        <v/>
      </c>
      <c r="AH44" s="145" t="str">
        <f t="shared" si="7"/>
        <v/>
      </c>
    </row>
    <row r="45" spans="2:34" ht="15.75" thickBot="1" x14ac:dyDescent="0.3">
      <c r="B45" s="66" t="str">
        <f>IF(AND('ENTRY DATA'!C45=""),"",('ENTRY DATA'!C45))</f>
        <v/>
      </c>
      <c r="C45" s="67" t="str">
        <f>IF(AND('ENTRY DATA'!D45=""),"",('ENTRY DATA'!D45))</f>
        <v/>
      </c>
      <c r="E45" s="66" t="str">
        <f>IF(AND('ENTRY DATA'!F45=""),"",('ENTRY DATA'!F45))</f>
        <v/>
      </c>
      <c r="F45" s="67" t="str">
        <f>IF(AND('ENTRY DATA'!G45=""),"",('ENTRY DATA'!G45))</f>
        <v/>
      </c>
      <c r="G45" s="61" t="s">
        <v>40</v>
      </c>
      <c r="I45" s="81" t="str">
        <f>IF(AND('DAY 1'!M45=""),"",('DAY 1'!M45))</f>
        <v/>
      </c>
      <c r="J45" s="79" t="str">
        <f>IF(AND('DAY 2'!M45=""),"",('DAY 2'!M45))</f>
        <v/>
      </c>
      <c r="K45" s="79" t="str">
        <f>IF(AND('DAY 3'!M45=""),"",('DAY 3'!M45))</f>
        <v/>
      </c>
      <c r="L45" s="79" t="str">
        <f>IF(AND('DAY 4'!M45=""),"",('DAY 4'!M45))</f>
        <v/>
      </c>
      <c r="M45" s="80" t="str">
        <f>IF(AND('DAY 5'!M45=""),"",('DAY 5'!M45))</f>
        <v/>
      </c>
      <c r="O45" s="78">
        <f>SUM('DAY 1'!L45,'DAY 2'!L45,'DAY 3'!L45,'DAY 4'!L45,'DAY 5'!L45)</f>
        <v>0</v>
      </c>
      <c r="P45" s="82" t="str">
        <f t="shared" si="0"/>
        <v/>
      </c>
      <c r="Q45" s="83" t="str">
        <f t="shared" si="1"/>
        <v/>
      </c>
      <c r="R45" s="148" t="str">
        <f t="shared" si="2"/>
        <v/>
      </c>
      <c r="S45" s="149" t="str">
        <f t="shared" si="3"/>
        <v/>
      </c>
      <c r="U45" s="66" t="str">
        <f>'DAY 1'!Y45</f>
        <v/>
      </c>
      <c r="V45" s="89" t="str">
        <f>'DAY 2'!Y45</f>
        <v/>
      </c>
      <c r="W45" s="89" t="str">
        <f>'DAY 3'!Y45</f>
        <v/>
      </c>
      <c r="X45" s="89" t="str">
        <f>'DAY 4'!Y45</f>
        <v/>
      </c>
      <c r="Y45" s="67" t="str">
        <f>'DAY 5'!Y45</f>
        <v/>
      </c>
      <c r="Z45" s="142" t="str">
        <f t="shared" si="4"/>
        <v/>
      </c>
      <c r="AA45" s="22" t="str">
        <f t="shared" si="5"/>
        <v/>
      </c>
      <c r="AB45" t="str">
        <f>'DAY 1'!Z45</f>
        <v/>
      </c>
      <c r="AC45" t="str">
        <f>'DAY 2'!Z45</f>
        <v/>
      </c>
      <c r="AD45" t="str">
        <f>'DAY 3'!Z45</f>
        <v/>
      </c>
      <c r="AE45" t="str">
        <f>'DAY 4'!Z45</f>
        <v/>
      </c>
      <c r="AF45" t="str">
        <f>'DAY 5'!Z45</f>
        <v/>
      </c>
      <c r="AG45" s="144" t="str">
        <f t="shared" si="6"/>
        <v/>
      </c>
      <c r="AH45" s="145" t="str">
        <f t="shared" si="7"/>
        <v/>
      </c>
    </row>
    <row r="46" spans="2:34" ht="15.75" thickBot="1" x14ac:dyDescent="0.3">
      <c r="B46" s="66" t="str">
        <f>IF(AND('ENTRY DATA'!C46=""),"",('ENTRY DATA'!C46))</f>
        <v/>
      </c>
      <c r="C46" s="67" t="str">
        <f>IF(AND('ENTRY DATA'!D46=""),"",('ENTRY DATA'!D46))</f>
        <v/>
      </c>
      <c r="E46" s="66" t="str">
        <f>IF(AND('ENTRY DATA'!F46=""),"",('ENTRY DATA'!F46))</f>
        <v/>
      </c>
      <c r="F46" s="67" t="str">
        <f>IF(AND('ENTRY DATA'!G46=""),"",('ENTRY DATA'!G46))</f>
        <v/>
      </c>
      <c r="G46" s="61" t="s">
        <v>40</v>
      </c>
      <c r="I46" s="81" t="str">
        <f>IF(AND('DAY 1'!M46=""),"",('DAY 1'!M46))</f>
        <v/>
      </c>
      <c r="J46" s="79" t="str">
        <f>IF(AND('DAY 2'!M46=""),"",('DAY 2'!M46))</f>
        <v/>
      </c>
      <c r="K46" s="79" t="str">
        <f>IF(AND('DAY 3'!M46=""),"",('DAY 3'!M46))</f>
        <v/>
      </c>
      <c r="L46" s="79" t="str">
        <f>IF(AND('DAY 4'!M46=""),"",('DAY 4'!M46))</f>
        <v/>
      </c>
      <c r="M46" s="80" t="str">
        <f>IF(AND('DAY 5'!M46=""),"",('DAY 5'!M46))</f>
        <v/>
      </c>
      <c r="O46" s="78">
        <f>SUM('DAY 1'!L46,'DAY 2'!L46,'DAY 3'!L46,'DAY 4'!L46,'DAY 5'!L46)</f>
        <v>0</v>
      </c>
      <c r="P46" s="82" t="str">
        <f t="shared" si="0"/>
        <v/>
      </c>
      <c r="Q46" s="83" t="str">
        <f t="shared" si="1"/>
        <v/>
      </c>
      <c r="R46" s="148" t="str">
        <f t="shared" si="2"/>
        <v/>
      </c>
      <c r="S46" s="149" t="str">
        <f t="shared" si="3"/>
        <v/>
      </c>
      <c r="U46" s="66" t="str">
        <f>'DAY 1'!Y46</f>
        <v/>
      </c>
      <c r="V46" s="89" t="str">
        <f>'DAY 2'!Y46</f>
        <v/>
      </c>
      <c r="W46" s="89" t="str">
        <f>'DAY 3'!Y46</f>
        <v/>
      </c>
      <c r="X46" s="89" t="str">
        <f>'DAY 4'!Y46</f>
        <v/>
      </c>
      <c r="Y46" s="67" t="str">
        <f>'DAY 5'!Y46</f>
        <v/>
      </c>
      <c r="Z46" s="142" t="str">
        <f t="shared" si="4"/>
        <v/>
      </c>
      <c r="AA46" s="22" t="str">
        <f t="shared" si="5"/>
        <v/>
      </c>
      <c r="AB46" t="str">
        <f>'DAY 1'!Z46</f>
        <v/>
      </c>
      <c r="AC46" t="str">
        <f>'DAY 2'!Z46</f>
        <v/>
      </c>
      <c r="AD46" t="str">
        <f>'DAY 3'!Z46</f>
        <v/>
      </c>
      <c r="AE46" t="str">
        <f>'DAY 4'!Z46</f>
        <v/>
      </c>
      <c r="AF46" t="str">
        <f>'DAY 5'!Z46</f>
        <v/>
      </c>
      <c r="AG46" s="144" t="str">
        <f t="shared" si="6"/>
        <v/>
      </c>
      <c r="AH46" s="145" t="str">
        <f t="shared" si="7"/>
        <v/>
      </c>
    </row>
    <row r="47" spans="2:34" ht="15.75" thickBot="1" x14ac:dyDescent="0.3">
      <c r="B47" s="66" t="str">
        <f>IF(AND('ENTRY DATA'!C47=""),"",('ENTRY DATA'!C47))</f>
        <v/>
      </c>
      <c r="C47" s="67" t="str">
        <f>IF(AND('ENTRY DATA'!D47=""),"",('ENTRY DATA'!D47))</f>
        <v/>
      </c>
      <c r="E47" s="66" t="str">
        <f>IF(AND('ENTRY DATA'!F47=""),"",('ENTRY DATA'!F47))</f>
        <v/>
      </c>
      <c r="F47" s="67" t="str">
        <f>IF(AND('ENTRY DATA'!G47=""),"",('ENTRY DATA'!G47))</f>
        <v/>
      </c>
      <c r="G47" s="61" t="s">
        <v>40</v>
      </c>
      <c r="I47" s="81" t="str">
        <f>IF(AND('DAY 1'!M47=""),"",('DAY 1'!M47))</f>
        <v/>
      </c>
      <c r="J47" s="79" t="str">
        <f>IF(AND('DAY 2'!M47=""),"",('DAY 2'!M47))</f>
        <v/>
      </c>
      <c r="K47" s="79" t="str">
        <f>IF(AND('DAY 3'!M47=""),"",('DAY 3'!M47))</f>
        <v/>
      </c>
      <c r="L47" s="79" t="str">
        <f>IF(AND('DAY 4'!M47=""),"",('DAY 4'!M47))</f>
        <v/>
      </c>
      <c r="M47" s="80" t="str">
        <f>IF(AND('DAY 5'!M47=""),"",('DAY 5'!M47))</f>
        <v/>
      </c>
      <c r="O47" s="78">
        <f>SUM('DAY 1'!L47,'DAY 2'!L47,'DAY 3'!L47,'DAY 4'!L47,'DAY 5'!L47)</f>
        <v>0</v>
      </c>
      <c r="P47" s="82" t="str">
        <f t="shared" si="0"/>
        <v/>
      </c>
      <c r="Q47" s="83" t="str">
        <f t="shared" si="1"/>
        <v/>
      </c>
      <c r="R47" s="148" t="str">
        <f t="shared" si="2"/>
        <v/>
      </c>
      <c r="S47" s="149" t="str">
        <f t="shared" si="3"/>
        <v/>
      </c>
      <c r="U47" s="66" t="str">
        <f>'DAY 1'!Y47</f>
        <v/>
      </c>
      <c r="V47" s="89" t="str">
        <f>'DAY 2'!Y47</f>
        <v/>
      </c>
      <c r="W47" s="89" t="str">
        <f>'DAY 3'!Y47</f>
        <v/>
      </c>
      <c r="X47" s="89" t="str">
        <f>'DAY 4'!Y47</f>
        <v/>
      </c>
      <c r="Y47" s="67" t="str">
        <f>'DAY 5'!Y47</f>
        <v/>
      </c>
      <c r="Z47" s="142" t="str">
        <f t="shared" si="4"/>
        <v/>
      </c>
      <c r="AA47" s="22" t="str">
        <f t="shared" si="5"/>
        <v/>
      </c>
      <c r="AB47" t="str">
        <f>'DAY 1'!Z47</f>
        <v/>
      </c>
      <c r="AC47" t="str">
        <f>'DAY 2'!Z47</f>
        <v/>
      </c>
      <c r="AD47" t="str">
        <f>'DAY 3'!Z47</f>
        <v/>
      </c>
      <c r="AE47" t="str">
        <f>'DAY 4'!Z47</f>
        <v/>
      </c>
      <c r="AF47" t="str">
        <f>'DAY 5'!Z47</f>
        <v/>
      </c>
      <c r="AG47" s="144" t="str">
        <f t="shared" si="6"/>
        <v/>
      </c>
      <c r="AH47" s="145" t="str">
        <f t="shared" si="7"/>
        <v/>
      </c>
    </row>
    <row r="48" spans="2:34" ht="15.75" thickBot="1" x14ac:dyDescent="0.3">
      <c r="B48" s="66" t="str">
        <f>IF(AND('ENTRY DATA'!C48=""),"",('ENTRY DATA'!C48))</f>
        <v/>
      </c>
      <c r="C48" s="67" t="str">
        <f>IF(AND('ENTRY DATA'!D48=""),"",('ENTRY DATA'!D48))</f>
        <v/>
      </c>
      <c r="E48" s="66" t="str">
        <f>IF(AND('ENTRY DATA'!F48=""),"",('ENTRY DATA'!F48))</f>
        <v/>
      </c>
      <c r="F48" s="67" t="str">
        <f>IF(AND('ENTRY DATA'!G48=""),"",('ENTRY DATA'!G48))</f>
        <v/>
      </c>
      <c r="G48" s="61" t="s">
        <v>40</v>
      </c>
      <c r="I48" s="81" t="str">
        <f>IF(AND('DAY 1'!M48=""),"",('DAY 1'!M48))</f>
        <v/>
      </c>
      <c r="J48" s="79" t="str">
        <f>IF(AND('DAY 2'!M48=""),"",('DAY 2'!M48))</f>
        <v/>
      </c>
      <c r="K48" s="79" t="str">
        <f>IF(AND('DAY 3'!M48=""),"",('DAY 3'!M48))</f>
        <v/>
      </c>
      <c r="L48" s="79" t="str">
        <f>IF(AND('DAY 4'!M48=""),"",('DAY 4'!M48))</f>
        <v/>
      </c>
      <c r="M48" s="80" t="str">
        <f>IF(AND('DAY 5'!M48=""),"",('DAY 5'!M48))</f>
        <v/>
      </c>
      <c r="O48" s="78">
        <f>SUM('DAY 1'!L48,'DAY 2'!L48,'DAY 3'!L48,'DAY 4'!L48,'DAY 5'!L48)</f>
        <v>0</v>
      </c>
      <c r="P48" s="82" t="str">
        <f t="shared" si="0"/>
        <v/>
      </c>
      <c r="Q48" s="83" t="str">
        <f t="shared" si="1"/>
        <v/>
      </c>
      <c r="R48" s="148" t="str">
        <f t="shared" si="2"/>
        <v/>
      </c>
      <c r="S48" s="149" t="str">
        <f t="shared" si="3"/>
        <v/>
      </c>
      <c r="U48" s="66" t="str">
        <f>'DAY 1'!Y48</f>
        <v/>
      </c>
      <c r="V48" s="89" t="str">
        <f>'DAY 2'!Y48</f>
        <v/>
      </c>
      <c r="W48" s="89" t="str">
        <f>'DAY 3'!Y48</f>
        <v/>
      </c>
      <c r="X48" s="89" t="str">
        <f>'DAY 4'!Y48</f>
        <v/>
      </c>
      <c r="Y48" s="67" t="str">
        <f>'DAY 5'!Y48</f>
        <v/>
      </c>
      <c r="Z48" s="142" t="str">
        <f t="shared" si="4"/>
        <v/>
      </c>
      <c r="AA48" s="22" t="str">
        <f t="shared" si="5"/>
        <v/>
      </c>
      <c r="AB48" t="str">
        <f>'DAY 1'!Z48</f>
        <v/>
      </c>
      <c r="AC48" t="str">
        <f>'DAY 2'!Z48</f>
        <v/>
      </c>
      <c r="AD48" t="str">
        <f>'DAY 3'!Z48</f>
        <v/>
      </c>
      <c r="AE48" t="str">
        <f>'DAY 4'!Z48</f>
        <v/>
      </c>
      <c r="AF48" t="str">
        <f>'DAY 5'!Z48</f>
        <v/>
      </c>
      <c r="AG48" s="144" t="str">
        <f t="shared" si="6"/>
        <v/>
      </c>
      <c r="AH48" s="145" t="str">
        <f t="shared" si="7"/>
        <v/>
      </c>
    </row>
    <row r="49" spans="2:34" ht="15.75" thickBot="1" x14ac:dyDescent="0.3">
      <c r="B49" s="66" t="str">
        <f>IF(AND('ENTRY DATA'!C49=""),"",('ENTRY DATA'!C49))</f>
        <v/>
      </c>
      <c r="C49" s="67" t="str">
        <f>IF(AND('ENTRY DATA'!D49=""),"",('ENTRY DATA'!D49))</f>
        <v/>
      </c>
      <c r="E49" s="66" t="str">
        <f>IF(AND('ENTRY DATA'!F49=""),"",('ENTRY DATA'!F49))</f>
        <v/>
      </c>
      <c r="F49" s="67" t="str">
        <f>IF(AND('ENTRY DATA'!G49=""),"",('ENTRY DATA'!G49))</f>
        <v/>
      </c>
      <c r="G49" s="61" t="s">
        <v>40</v>
      </c>
      <c r="I49" s="81" t="str">
        <f>IF(AND('DAY 1'!M49=""),"",('DAY 1'!M49))</f>
        <v/>
      </c>
      <c r="J49" s="79" t="str">
        <f>IF(AND('DAY 2'!M49=""),"",('DAY 2'!M49))</f>
        <v/>
      </c>
      <c r="K49" s="79" t="str">
        <f>IF(AND('DAY 3'!M49=""),"",('DAY 3'!M49))</f>
        <v/>
      </c>
      <c r="L49" s="79" t="str">
        <f>IF(AND('DAY 4'!M49=""),"",('DAY 4'!M49))</f>
        <v/>
      </c>
      <c r="M49" s="80" t="str">
        <f>IF(AND('DAY 5'!M49=""),"",('DAY 5'!M49))</f>
        <v/>
      </c>
      <c r="O49" s="78">
        <f>SUM('DAY 1'!L49,'DAY 2'!L49,'DAY 3'!L49,'DAY 4'!L49,'DAY 5'!L49)</f>
        <v>0</v>
      </c>
      <c r="P49" s="82" t="str">
        <f t="shared" si="0"/>
        <v/>
      </c>
      <c r="Q49" s="83" t="str">
        <f t="shared" si="1"/>
        <v/>
      </c>
      <c r="R49" s="148" t="str">
        <f t="shared" si="2"/>
        <v/>
      </c>
      <c r="S49" s="149" t="str">
        <f t="shared" si="3"/>
        <v/>
      </c>
      <c r="U49" s="66" t="str">
        <f>'DAY 1'!Y49</f>
        <v/>
      </c>
      <c r="V49" s="89" t="str">
        <f>'DAY 2'!Y49</f>
        <v/>
      </c>
      <c r="W49" s="89" t="str">
        <f>'DAY 3'!Y49</f>
        <v/>
      </c>
      <c r="X49" s="89" t="str">
        <f>'DAY 4'!Y49</f>
        <v/>
      </c>
      <c r="Y49" s="67" t="str">
        <f>'DAY 5'!Y49</f>
        <v/>
      </c>
      <c r="Z49" s="142" t="str">
        <f t="shared" si="4"/>
        <v/>
      </c>
      <c r="AA49" s="22" t="str">
        <f t="shared" si="5"/>
        <v/>
      </c>
      <c r="AB49" t="str">
        <f>'DAY 1'!Z49</f>
        <v/>
      </c>
      <c r="AC49" t="str">
        <f>'DAY 2'!Z49</f>
        <v/>
      </c>
      <c r="AD49" t="str">
        <f>'DAY 3'!Z49</f>
        <v/>
      </c>
      <c r="AE49" t="str">
        <f>'DAY 4'!Z49</f>
        <v/>
      </c>
      <c r="AF49" t="str">
        <f>'DAY 5'!Z49</f>
        <v/>
      </c>
      <c r="AG49" s="144" t="str">
        <f t="shared" si="6"/>
        <v/>
      </c>
      <c r="AH49" s="145" t="str">
        <f t="shared" si="7"/>
        <v/>
      </c>
    </row>
    <row r="50" spans="2:34" ht="15.75" thickBot="1" x14ac:dyDescent="0.3">
      <c r="B50" s="66" t="str">
        <f>IF(AND('ENTRY DATA'!C50=""),"",('ENTRY DATA'!C50))</f>
        <v/>
      </c>
      <c r="C50" s="67" t="str">
        <f>IF(AND('ENTRY DATA'!D50=""),"",('ENTRY DATA'!D50))</f>
        <v/>
      </c>
      <c r="E50" s="66" t="str">
        <f>IF(AND('ENTRY DATA'!F50=""),"",('ENTRY DATA'!F50))</f>
        <v/>
      </c>
      <c r="F50" s="67" t="str">
        <f>IF(AND('ENTRY DATA'!G50=""),"",('ENTRY DATA'!G50))</f>
        <v/>
      </c>
      <c r="G50" s="61" t="s">
        <v>40</v>
      </c>
      <c r="I50" s="81" t="str">
        <f>IF(AND('DAY 1'!M50=""),"",('DAY 1'!M50))</f>
        <v/>
      </c>
      <c r="J50" s="79" t="str">
        <f>IF(AND('DAY 2'!M50=""),"",('DAY 2'!M50))</f>
        <v/>
      </c>
      <c r="K50" s="79" t="str">
        <f>IF(AND('DAY 3'!M50=""),"",('DAY 3'!M50))</f>
        <v/>
      </c>
      <c r="L50" s="79" t="str">
        <f>IF(AND('DAY 4'!M50=""),"",('DAY 4'!M50))</f>
        <v/>
      </c>
      <c r="M50" s="80" t="str">
        <f>IF(AND('DAY 5'!M50=""),"",('DAY 5'!M50))</f>
        <v/>
      </c>
      <c r="O50" s="78">
        <f>SUM('DAY 1'!L50,'DAY 2'!L50,'DAY 3'!L50,'DAY 4'!L50,'DAY 5'!L50)</f>
        <v>0</v>
      </c>
      <c r="P50" s="82" t="str">
        <f t="shared" si="0"/>
        <v/>
      </c>
      <c r="Q50" s="83" t="str">
        <f t="shared" si="1"/>
        <v/>
      </c>
      <c r="R50" s="148" t="str">
        <f t="shared" si="2"/>
        <v/>
      </c>
      <c r="S50" s="149" t="str">
        <f t="shared" si="3"/>
        <v/>
      </c>
      <c r="U50" s="66" t="str">
        <f>'DAY 1'!Y50</f>
        <v/>
      </c>
      <c r="V50" s="89" t="str">
        <f>'DAY 2'!Y50</f>
        <v/>
      </c>
      <c r="W50" s="89" t="str">
        <f>'DAY 3'!Y50</f>
        <v/>
      </c>
      <c r="X50" s="89" t="str">
        <f>'DAY 4'!Y50</f>
        <v/>
      </c>
      <c r="Y50" s="67" t="str">
        <f>'DAY 5'!Y50</f>
        <v/>
      </c>
      <c r="Z50" s="142" t="str">
        <f t="shared" si="4"/>
        <v/>
      </c>
      <c r="AA50" s="22" t="str">
        <f t="shared" si="5"/>
        <v/>
      </c>
      <c r="AB50" t="str">
        <f>'DAY 1'!Z50</f>
        <v/>
      </c>
      <c r="AC50" t="str">
        <f>'DAY 2'!Z50</f>
        <v/>
      </c>
      <c r="AD50" t="str">
        <f>'DAY 3'!Z50</f>
        <v/>
      </c>
      <c r="AE50" t="str">
        <f>'DAY 4'!Z50</f>
        <v/>
      </c>
      <c r="AF50" t="str">
        <f>'DAY 5'!Z50</f>
        <v/>
      </c>
      <c r="AG50" s="144" t="str">
        <f t="shared" si="6"/>
        <v/>
      </c>
      <c r="AH50" s="145" t="str">
        <f t="shared" si="7"/>
        <v/>
      </c>
    </row>
    <row r="51" spans="2:34" ht="15.75" thickBot="1" x14ac:dyDescent="0.3">
      <c r="B51" s="66" t="str">
        <f>IF(AND('ENTRY DATA'!C51=""),"",('ENTRY DATA'!C51))</f>
        <v/>
      </c>
      <c r="C51" s="67" t="str">
        <f>IF(AND('ENTRY DATA'!D51=""),"",('ENTRY DATA'!D51))</f>
        <v/>
      </c>
      <c r="E51" s="66" t="str">
        <f>IF(AND('ENTRY DATA'!F51=""),"",('ENTRY DATA'!F51))</f>
        <v/>
      </c>
      <c r="F51" s="67" t="str">
        <f>IF(AND('ENTRY DATA'!G51=""),"",('ENTRY DATA'!G51))</f>
        <v/>
      </c>
      <c r="G51" s="61" t="s">
        <v>40</v>
      </c>
      <c r="I51" s="81" t="str">
        <f>IF(AND('DAY 1'!M51=""),"",('DAY 1'!M51))</f>
        <v/>
      </c>
      <c r="J51" s="79" t="str">
        <f>IF(AND('DAY 2'!M51=""),"",('DAY 2'!M51))</f>
        <v/>
      </c>
      <c r="K51" s="79" t="str">
        <f>IF(AND('DAY 3'!M51=""),"",('DAY 3'!M51))</f>
        <v/>
      </c>
      <c r="L51" s="79" t="str">
        <f>IF(AND('DAY 4'!M51=""),"",('DAY 4'!M51))</f>
        <v/>
      </c>
      <c r="M51" s="80" t="str">
        <f>IF(AND('DAY 5'!M51=""),"",('DAY 5'!M51))</f>
        <v/>
      </c>
      <c r="O51" s="78">
        <f>SUM('DAY 1'!L51,'DAY 2'!L51,'DAY 3'!L51,'DAY 4'!L51,'DAY 5'!L51)</f>
        <v>0</v>
      </c>
      <c r="P51" s="82" t="str">
        <f t="shared" si="0"/>
        <v/>
      </c>
      <c r="Q51" s="83" t="str">
        <f t="shared" si="1"/>
        <v/>
      </c>
      <c r="R51" s="148" t="str">
        <f t="shared" si="2"/>
        <v/>
      </c>
      <c r="S51" s="149" t="str">
        <f t="shared" si="3"/>
        <v/>
      </c>
      <c r="U51" s="66" t="str">
        <f>'DAY 1'!Y51</f>
        <v/>
      </c>
      <c r="V51" s="89" t="str">
        <f>'DAY 2'!Y51</f>
        <v/>
      </c>
      <c r="W51" s="89" t="str">
        <f>'DAY 3'!Y51</f>
        <v/>
      </c>
      <c r="X51" s="89" t="str">
        <f>'DAY 4'!Y51</f>
        <v/>
      </c>
      <c r="Y51" s="67" t="str">
        <f>'DAY 5'!Y51</f>
        <v/>
      </c>
      <c r="Z51" s="142" t="str">
        <f t="shared" si="4"/>
        <v/>
      </c>
      <c r="AA51" s="22" t="str">
        <f t="shared" si="5"/>
        <v/>
      </c>
      <c r="AB51" t="str">
        <f>'DAY 1'!Z51</f>
        <v/>
      </c>
      <c r="AC51" t="str">
        <f>'DAY 2'!Z51</f>
        <v/>
      </c>
      <c r="AD51" t="str">
        <f>'DAY 3'!Z51</f>
        <v/>
      </c>
      <c r="AE51" t="str">
        <f>'DAY 4'!Z51</f>
        <v/>
      </c>
      <c r="AF51" t="str">
        <f>'DAY 5'!Z51</f>
        <v/>
      </c>
      <c r="AG51" s="144" t="str">
        <f t="shared" si="6"/>
        <v/>
      </c>
      <c r="AH51" s="145" t="str">
        <f t="shared" si="7"/>
        <v/>
      </c>
    </row>
    <row r="52" spans="2:34" ht="15.75" thickBot="1" x14ac:dyDescent="0.3">
      <c r="B52" s="66" t="str">
        <f>IF(AND('ENTRY DATA'!C52=""),"",('ENTRY DATA'!C52))</f>
        <v/>
      </c>
      <c r="C52" s="67" t="str">
        <f>IF(AND('ENTRY DATA'!D52=""),"",('ENTRY DATA'!D52))</f>
        <v/>
      </c>
      <c r="E52" s="66" t="str">
        <f>IF(AND('ENTRY DATA'!F52=""),"",('ENTRY DATA'!F52))</f>
        <v/>
      </c>
      <c r="F52" s="67" t="str">
        <f>IF(AND('ENTRY DATA'!G52=""),"",('ENTRY DATA'!G52))</f>
        <v/>
      </c>
      <c r="G52" s="61" t="s">
        <v>40</v>
      </c>
      <c r="I52" s="81" t="str">
        <f>IF(AND('DAY 1'!M52=""),"",('DAY 1'!M52))</f>
        <v/>
      </c>
      <c r="J52" s="79" t="str">
        <f>IF(AND('DAY 2'!M52=""),"",('DAY 2'!M52))</f>
        <v/>
      </c>
      <c r="K52" s="79" t="str">
        <f>IF(AND('DAY 3'!M52=""),"",('DAY 3'!M52))</f>
        <v/>
      </c>
      <c r="L52" s="79" t="str">
        <f>IF(AND('DAY 4'!M52=""),"",('DAY 4'!M52))</f>
        <v/>
      </c>
      <c r="M52" s="80" t="str">
        <f>IF(AND('DAY 5'!M52=""),"",('DAY 5'!M52))</f>
        <v/>
      </c>
      <c r="O52" s="78">
        <f>SUM('DAY 1'!L52,'DAY 2'!L52,'DAY 3'!L52,'DAY 4'!L52,'DAY 5'!L52)</f>
        <v>0</v>
      </c>
      <c r="P52" s="82" t="str">
        <f t="shared" si="0"/>
        <v/>
      </c>
      <c r="Q52" s="83" t="str">
        <f t="shared" si="1"/>
        <v/>
      </c>
      <c r="R52" s="148" t="str">
        <f t="shared" si="2"/>
        <v/>
      </c>
      <c r="S52" s="149" t="str">
        <f t="shared" si="3"/>
        <v/>
      </c>
      <c r="U52" s="66" t="str">
        <f>'DAY 1'!Y52</f>
        <v/>
      </c>
      <c r="V52" s="89" t="str">
        <f>'DAY 2'!Y52</f>
        <v/>
      </c>
      <c r="W52" s="89" t="str">
        <f>'DAY 3'!Y52</f>
        <v/>
      </c>
      <c r="X52" s="89" t="str">
        <f>'DAY 4'!Y52</f>
        <v/>
      </c>
      <c r="Y52" s="67" t="str">
        <f>'DAY 5'!Y52</f>
        <v/>
      </c>
      <c r="Z52" s="142" t="str">
        <f t="shared" si="4"/>
        <v/>
      </c>
      <c r="AA52" s="22" t="str">
        <f t="shared" si="5"/>
        <v/>
      </c>
      <c r="AB52" t="str">
        <f>'DAY 1'!Z52</f>
        <v/>
      </c>
      <c r="AC52" t="str">
        <f>'DAY 2'!Z52</f>
        <v/>
      </c>
      <c r="AD52" t="str">
        <f>'DAY 3'!Z52</f>
        <v/>
      </c>
      <c r="AE52" t="str">
        <f>'DAY 4'!Z52</f>
        <v/>
      </c>
      <c r="AF52" t="str">
        <f>'DAY 5'!Z52</f>
        <v/>
      </c>
      <c r="AG52" s="144" t="str">
        <f t="shared" si="6"/>
        <v/>
      </c>
      <c r="AH52" s="145" t="str">
        <f t="shared" si="7"/>
        <v/>
      </c>
    </row>
    <row r="53" spans="2:34" ht="15.75" thickBot="1" x14ac:dyDescent="0.3">
      <c r="B53" s="66" t="str">
        <f>IF(AND('ENTRY DATA'!C53=""),"",('ENTRY DATA'!C53))</f>
        <v/>
      </c>
      <c r="C53" s="67" t="str">
        <f>IF(AND('ENTRY DATA'!D53=""),"",('ENTRY DATA'!D53))</f>
        <v/>
      </c>
      <c r="E53" s="66" t="str">
        <f>IF(AND('ENTRY DATA'!F53=""),"",('ENTRY DATA'!F53))</f>
        <v/>
      </c>
      <c r="F53" s="67" t="str">
        <f>IF(AND('ENTRY DATA'!G53=""),"",('ENTRY DATA'!G53))</f>
        <v/>
      </c>
      <c r="G53" s="61" t="s">
        <v>40</v>
      </c>
      <c r="I53" s="81" t="str">
        <f>IF(AND('DAY 1'!M53=""),"",('DAY 1'!M53))</f>
        <v/>
      </c>
      <c r="J53" s="79" t="str">
        <f>IF(AND('DAY 2'!M53=""),"",('DAY 2'!M53))</f>
        <v/>
      </c>
      <c r="K53" s="79" t="str">
        <f>IF(AND('DAY 3'!M53=""),"",('DAY 3'!M53))</f>
        <v/>
      </c>
      <c r="L53" s="79" t="str">
        <f>IF(AND('DAY 4'!M53=""),"",('DAY 4'!M53))</f>
        <v/>
      </c>
      <c r="M53" s="80" t="str">
        <f>IF(AND('DAY 5'!M53=""),"",('DAY 5'!M53))</f>
        <v/>
      </c>
      <c r="O53" s="78">
        <f>SUM('DAY 1'!L53,'DAY 2'!L53,'DAY 3'!L53,'DAY 4'!L53,'DAY 5'!L53)</f>
        <v>0</v>
      </c>
      <c r="P53" s="82" t="str">
        <f t="shared" si="0"/>
        <v/>
      </c>
      <c r="Q53" s="83" t="str">
        <f t="shared" si="1"/>
        <v/>
      </c>
      <c r="R53" s="148" t="str">
        <f t="shared" si="2"/>
        <v/>
      </c>
      <c r="S53" s="149" t="str">
        <f t="shared" si="3"/>
        <v/>
      </c>
      <c r="U53" s="66" t="str">
        <f>'DAY 1'!Y53</f>
        <v/>
      </c>
      <c r="V53" s="89" t="str">
        <f>'DAY 2'!Y53</f>
        <v/>
      </c>
      <c r="W53" s="89" t="str">
        <f>'DAY 3'!Y53</f>
        <v/>
      </c>
      <c r="X53" s="89" t="str">
        <f>'DAY 4'!Y53</f>
        <v/>
      </c>
      <c r="Y53" s="67" t="str">
        <f>'DAY 5'!Y53</f>
        <v/>
      </c>
      <c r="Z53" s="142" t="str">
        <f t="shared" si="4"/>
        <v/>
      </c>
      <c r="AA53" s="22" t="str">
        <f t="shared" si="5"/>
        <v/>
      </c>
      <c r="AB53" t="str">
        <f>'DAY 1'!Z53</f>
        <v/>
      </c>
      <c r="AC53" t="str">
        <f>'DAY 2'!Z53</f>
        <v/>
      </c>
      <c r="AD53" t="str">
        <f>'DAY 3'!Z53</f>
        <v/>
      </c>
      <c r="AE53" t="str">
        <f>'DAY 4'!Z53</f>
        <v/>
      </c>
      <c r="AF53" t="str">
        <f>'DAY 5'!Z53</f>
        <v/>
      </c>
      <c r="AG53" s="144" t="str">
        <f t="shared" si="6"/>
        <v/>
      </c>
      <c r="AH53" s="145" t="str">
        <f t="shared" si="7"/>
        <v/>
      </c>
    </row>
    <row r="54" spans="2:34" ht="15.75" thickBot="1" x14ac:dyDescent="0.3">
      <c r="B54" s="66" t="str">
        <f>IF(AND('ENTRY DATA'!C54=""),"",('ENTRY DATA'!C54))</f>
        <v/>
      </c>
      <c r="C54" s="67" t="str">
        <f>IF(AND('ENTRY DATA'!D54=""),"",('ENTRY DATA'!D54))</f>
        <v/>
      </c>
      <c r="E54" s="66" t="str">
        <f>IF(AND('ENTRY DATA'!F54=""),"",('ENTRY DATA'!F54))</f>
        <v/>
      </c>
      <c r="F54" s="67" t="str">
        <f>IF(AND('ENTRY DATA'!G54=""),"",('ENTRY DATA'!G54))</f>
        <v/>
      </c>
      <c r="G54" s="61" t="s">
        <v>40</v>
      </c>
      <c r="I54" s="81" t="str">
        <f>IF(AND('DAY 1'!M54=""),"",('DAY 1'!M54))</f>
        <v/>
      </c>
      <c r="J54" s="79" t="str">
        <f>IF(AND('DAY 2'!M54=""),"",('DAY 2'!M54))</f>
        <v/>
      </c>
      <c r="K54" s="79" t="str">
        <f>IF(AND('DAY 3'!M54=""),"",('DAY 3'!M54))</f>
        <v/>
      </c>
      <c r="L54" s="79" t="str">
        <f>IF(AND('DAY 4'!M54=""),"",('DAY 4'!M54))</f>
        <v/>
      </c>
      <c r="M54" s="80" t="str">
        <f>IF(AND('DAY 5'!M54=""),"",('DAY 5'!M54))</f>
        <v/>
      </c>
      <c r="O54" s="78">
        <f>SUM('DAY 1'!L54,'DAY 2'!L54,'DAY 3'!L54,'DAY 4'!L54,'DAY 5'!L54)</f>
        <v>0</v>
      </c>
      <c r="P54" s="82" t="str">
        <f t="shared" si="0"/>
        <v/>
      </c>
      <c r="Q54" s="83" t="str">
        <f t="shared" si="1"/>
        <v/>
      </c>
      <c r="R54" s="148" t="str">
        <f t="shared" si="2"/>
        <v/>
      </c>
      <c r="S54" s="149" t="str">
        <f t="shared" si="3"/>
        <v/>
      </c>
      <c r="U54" s="66" t="str">
        <f>'DAY 1'!Y54</f>
        <v/>
      </c>
      <c r="V54" s="89" t="str">
        <f>'DAY 2'!Y54</f>
        <v/>
      </c>
      <c r="W54" s="89" t="str">
        <f>'DAY 3'!Y54</f>
        <v/>
      </c>
      <c r="X54" s="89" t="str">
        <f>'DAY 4'!Y54</f>
        <v/>
      </c>
      <c r="Y54" s="67" t="str">
        <f>'DAY 5'!Y54</f>
        <v/>
      </c>
      <c r="Z54" s="142" t="str">
        <f t="shared" si="4"/>
        <v/>
      </c>
      <c r="AA54" s="22" t="str">
        <f t="shared" si="5"/>
        <v/>
      </c>
      <c r="AB54" t="str">
        <f>'DAY 1'!Z54</f>
        <v/>
      </c>
      <c r="AC54" t="str">
        <f>'DAY 2'!Z54</f>
        <v/>
      </c>
      <c r="AD54" t="str">
        <f>'DAY 3'!Z54</f>
        <v/>
      </c>
      <c r="AE54" t="str">
        <f>'DAY 4'!Z54</f>
        <v/>
      </c>
      <c r="AF54" t="str">
        <f>'DAY 5'!Z54</f>
        <v/>
      </c>
      <c r="AG54" s="144" t="str">
        <f t="shared" si="6"/>
        <v/>
      </c>
      <c r="AH54" s="145" t="str">
        <f t="shared" si="7"/>
        <v/>
      </c>
    </row>
    <row r="55" spans="2:34" ht="15.75" thickBot="1" x14ac:dyDescent="0.3">
      <c r="B55" s="66" t="str">
        <f>IF(AND('ENTRY DATA'!C55=""),"",('ENTRY DATA'!C55))</f>
        <v/>
      </c>
      <c r="C55" s="67" t="str">
        <f>IF(AND('ENTRY DATA'!D55=""),"",('ENTRY DATA'!D55))</f>
        <v/>
      </c>
      <c r="E55" s="66" t="str">
        <f>IF(AND('ENTRY DATA'!F55=""),"",('ENTRY DATA'!F55))</f>
        <v/>
      </c>
      <c r="F55" s="67" t="str">
        <f>IF(AND('ENTRY DATA'!G55=""),"",('ENTRY DATA'!G55))</f>
        <v/>
      </c>
      <c r="G55" s="61" t="s">
        <v>40</v>
      </c>
      <c r="I55" s="81" t="str">
        <f>IF(AND('DAY 1'!M55=""),"",('DAY 1'!M55))</f>
        <v/>
      </c>
      <c r="J55" s="79" t="str">
        <f>IF(AND('DAY 2'!M55=""),"",('DAY 2'!M55))</f>
        <v/>
      </c>
      <c r="K55" s="79" t="str">
        <f>IF(AND('DAY 3'!M55=""),"",('DAY 3'!M55))</f>
        <v/>
      </c>
      <c r="L55" s="79" t="str">
        <f>IF(AND('DAY 4'!M55=""),"",('DAY 4'!M55))</f>
        <v/>
      </c>
      <c r="M55" s="80" t="str">
        <f>IF(AND('DAY 5'!M55=""),"",('DAY 5'!M55))</f>
        <v/>
      </c>
      <c r="O55" s="78">
        <f>SUM('DAY 1'!L55,'DAY 2'!L55,'DAY 3'!L55,'DAY 4'!L55,'DAY 5'!L55)</f>
        <v>0</v>
      </c>
      <c r="P55" s="82" t="str">
        <f t="shared" si="0"/>
        <v/>
      </c>
      <c r="Q55" s="83" t="str">
        <f t="shared" si="1"/>
        <v/>
      </c>
      <c r="R55" s="148" t="str">
        <f t="shared" si="2"/>
        <v/>
      </c>
      <c r="S55" s="149" t="str">
        <f t="shared" si="3"/>
        <v/>
      </c>
      <c r="U55" s="66" t="str">
        <f>'DAY 1'!Y55</f>
        <v/>
      </c>
      <c r="V55" s="89" t="str">
        <f>'DAY 2'!Y55</f>
        <v/>
      </c>
      <c r="W55" s="89" t="str">
        <f>'DAY 3'!Y55</f>
        <v/>
      </c>
      <c r="X55" s="89" t="str">
        <f>'DAY 4'!Y55</f>
        <v/>
      </c>
      <c r="Y55" s="67" t="str">
        <f>'DAY 5'!Y55</f>
        <v/>
      </c>
      <c r="Z55" s="142" t="str">
        <f t="shared" si="4"/>
        <v/>
      </c>
      <c r="AA55" s="22" t="str">
        <f t="shared" si="5"/>
        <v/>
      </c>
      <c r="AB55" t="str">
        <f>'DAY 1'!Z55</f>
        <v/>
      </c>
      <c r="AC55" t="str">
        <f>'DAY 2'!Z55</f>
        <v/>
      </c>
      <c r="AD55" t="str">
        <f>'DAY 3'!Z55</f>
        <v/>
      </c>
      <c r="AE55" t="str">
        <f>'DAY 4'!Z55</f>
        <v/>
      </c>
      <c r="AF55" t="str">
        <f>'DAY 5'!Z55</f>
        <v/>
      </c>
      <c r="AG55" s="144" t="str">
        <f t="shared" si="6"/>
        <v/>
      </c>
      <c r="AH55" s="145" t="str">
        <f t="shared" si="7"/>
        <v/>
      </c>
    </row>
    <row r="56" spans="2:34" ht="15.75" thickBot="1" x14ac:dyDescent="0.3">
      <c r="B56" s="66" t="str">
        <f>IF(AND('ENTRY DATA'!C56=""),"",('ENTRY DATA'!C56))</f>
        <v/>
      </c>
      <c r="C56" s="67" t="str">
        <f>IF(AND('ENTRY DATA'!D56=""),"",('ENTRY DATA'!D56))</f>
        <v/>
      </c>
      <c r="E56" s="66" t="str">
        <f>IF(AND('ENTRY DATA'!F56=""),"",('ENTRY DATA'!F56))</f>
        <v/>
      </c>
      <c r="F56" s="67" t="str">
        <f>IF(AND('ENTRY DATA'!G56=""),"",('ENTRY DATA'!G56))</f>
        <v/>
      </c>
      <c r="G56" s="61" t="s">
        <v>40</v>
      </c>
      <c r="I56" s="81" t="str">
        <f>IF(AND('DAY 1'!M56=""),"",('DAY 1'!M56))</f>
        <v/>
      </c>
      <c r="J56" s="79" t="str">
        <f>IF(AND('DAY 2'!M56=""),"",('DAY 2'!M56))</f>
        <v/>
      </c>
      <c r="K56" s="79" t="str">
        <f>IF(AND('DAY 3'!M56=""),"",('DAY 3'!M56))</f>
        <v/>
      </c>
      <c r="L56" s="79" t="str">
        <f>IF(AND('DAY 4'!M56=""),"",('DAY 4'!M56))</f>
        <v/>
      </c>
      <c r="M56" s="80" t="str">
        <f>IF(AND('DAY 5'!M56=""),"",('DAY 5'!M56))</f>
        <v/>
      </c>
      <c r="O56" s="78">
        <f>SUM('DAY 1'!L56,'DAY 2'!L56,'DAY 3'!L56,'DAY 4'!L56,'DAY 5'!L56)</f>
        <v>0</v>
      </c>
      <c r="P56" s="82" t="str">
        <f t="shared" si="0"/>
        <v/>
      </c>
      <c r="Q56" s="83" t="str">
        <f t="shared" si="1"/>
        <v/>
      </c>
      <c r="R56" s="148" t="str">
        <f t="shared" si="2"/>
        <v/>
      </c>
      <c r="S56" s="149" t="str">
        <f t="shared" si="3"/>
        <v/>
      </c>
      <c r="U56" s="66" t="str">
        <f>'DAY 1'!Y56</f>
        <v/>
      </c>
      <c r="V56" s="89" t="str">
        <f>'DAY 2'!Y56</f>
        <v/>
      </c>
      <c r="W56" s="89" t="str">
        <f>'DAY 3'!Y56</f>
        <v/>
      </c>
      <c r="X56" s="89" t="str">
        <f>'DAY 4'!Y56</f>
        <v/>
      </c>
      <c r="Y56" s="67" t="str">
        <f>'DAY 5'!Y56</f>
        <v/>
      </c>
      <c r="Z56" s="142" t="str">
        <f t="shared" si="4"/>
        <v/>
      </c>
      <c r="AA56" s="22" t="str">
        <f t="shared" si="5"/>
        <v/>
      </c>
      <c r="AB56" t="str">
        <f>'DAY 1'!Z56</f>
        <v/>
      </c>
      <c r="AC56" t="str">
        <f>'DAY 2'!Z56</f>
        <v/>
      </c>
      <c r="AD56" t="str">
        <f>'DAY 3'!Z56</f>
        <v/>
      </c>
      <c r="AE56" t="str">
        <f>'DAY 4'!Z56</f>
        <v/>
      </c>
      <c r="AF56" t="str">
        <f>'DAY 5'!Z56</f>
        <v/>
      </c>
      <c r="AG56" s="144" t="str">
        <f t="shared" si="6"/>
        <v/>
      </c>
      <c r="AH56" s="145" t="str">
        <f t="shared" si="7"/>
        <v/>
      </c>
    </row>
    <row r="57" spans="2:34" ht="15.75" thickBot="1" x14ac:dyDescent="0.3">
      <c r="B57" s="66" t="str">
        <f>IF(AND('ENTRY DATA'!C57=""),"",('ENTRY DATA'!C57))</f>
        <v/>
      </c>
      <c r="C57" s="67" t="str">
        <f>IF(AND('ENTRY DATA'!D57=""),"",('ENTRY DATA'!D57))</f>
        <v/>
      </c>
      <c r="E57" s="66" t="str">
        <f>IF(AND('ENTRY DATA'!F57=""),"",('ENTRY DATA'!F57))</f>
        <v/>
      </c>
      <c r="F57" s="67" t="str">
        <f>IF(AND('ENTRY DATA'!G57=""),"",('ENTRY DATA'!G57))</f>
        <v/>
      </c>
      <c r="G57" s="61" t="s">
        <v>40</v>
      </c>
      <c r="I57" s="81" t="str">
        <f>IF(AND('DAY 1'!M57=""),"",('DAY 1'!M57))</f>
        <v/>
      </c>
      <c r="J57" s="79" t="str">
        <f>IF(AND('DAY 2'!M57=""),"",('DAY 2'!M57))</f>
        <v/>
      </c>
      <c r="K57" s="79" t="str">
        <f>IF(AND('DAY 3'!M57=""),"",('DAY 3'!M57))</f>
        <v/>
      </c>
      <c r="L57" s="79" t="str">
        <f>IF(AND('DAY 4'!M57=""),"",('DAY 4'!M57))</f>
        <v/>
      </c>
      <c r="M57" s="80" t="str">
        <f>IF(AND('DAY 5'!M57=""),"",('DAY 5'!M57))</f>
        <v/>
      </c>
      <c r="O57" s="78">
        <f>SUM('DAY 1'!L57,'DAY 2'!L57,'DAY 3'!L57,'DAY 4'!L57,'DAY 5'!L57)</f>
        <v>0</v>
      </c>
      <c r="P57" s="82" t="str">
        <f t="shared" si="0"/>
        <v/>
      </c>
      <c r="Q57" s="83" t="str">
        <f t="shared" si="1"/>
        <v/>
      </c>
      <c r="R57" s="148" t="str">
        <f t="shared" si="2"/>
        <v/>
      </c>
      <c r="S57" s="149" t="str">
        <f t="shared" si="3"/>
        <v/>
      </c>
      <c r="U57" s="66" t="str">
        <f>'DAY 1'!Y57</f>
        <v/>
      </c>
      <c r="V57" s="89" t="str">
        <f>'DAY 2'!Y57</f>
        <v/>
      </c>
      <c r="W57" s="89" t="str">
        <f>'DAY 3'!Y57</f>
        <v/>
      </c>
      <c r="X57" s="89" t="str">
        <f>'DAY 4'!Y57</f>
        <v/>
      </c>
      <c r="Y57" s="67" t="str">
        <f>'DAY 5'!Y57</f>
        <v/>
      </c>
      <c r="Z57" s="142" t="str">
        <f t="shared" si="4"/>
        <v/>
      </c>
      <c r="AA57" s="22" t="str">
        <f t="shared" si="5"/>
        <v/>
      </c>
      <c r="AB57" t="str">
        <f>'DAY 1'!Z57</f>
        <v/>
      </c>
      <c r="AC57" t="str">
        <f>'DAY 2'!Z57</f>
        <v/>
      </c>
      <c r="AD57" t="str">
        <f>'DAY 3'!Z57</f>
        <v/>
      </c>
      <c r="AE57" t="str">
        <f>'DAY 4'!Z57</f>
        <v/>
      </c>
      <c r="AF57" t="str">
        <f>'DAY 5'!Z57</f>
        <v/>
      </c>
      <c r="AG57" s="144" t="str">
        <f t="shared" si="6"/>
        <v/>
      </c>
      <c r="AH57" s="145" t="str">
        <f t="shared" si="7"/>
        <v/>
      </c>
    </row>
    <row r="58" spans="2:34" ht="15.75" thickBot="1" x14ac:dyDescent="0.3">
      <c r="B58" s="66" t="str">
        <f>IF(AND('ENTRY DATA'!C58=""),"",('ENTRY DATA'!C58))</f>
        <v/>
      </c>
      <c r="C58" s="67" t="str">
        <f>IF(AND('ENTRY DATA'!D58=""),"",('ENTRY DATA'!D58))</f>
        <v/>
      </c>
      <c r="E58" s="66" t="str">
        <f>IF(AND('ENTRY DATA'!F58=""),"",('ENTRY DATA'!F58))</f>
        <v/>
      </c>
      <c r="F58" s="67" t="str">
        <f>IF(AND('ENTRY DATA'!G58=""),"",('ENTRY DATA'!G58))</f>
        <v/>
      </c>
      <c r="G58" s="61" t="s">
        <v>40</v>
      </c>
      <c r="I58" s="81" t="str">
        <f>IF(AND('DAY 1'!M58=""),"",('DAY 1'!M58))</f>
        <v/>
      </c>
      <c r="J58" s="79" t="str">
        <f>IF(AND('DAY 2'!M58=""),"",('DAY 2'!M58))</f>
        <v/>
      </c>
      <c r="K58" s="79" t="str">
        <f>IF(AND('DAY 3'!M58=""),"",('DAY 3'!M58))</f>
        <v/>
      </c>
      <c r="L58" s="79" t="str">
        <f>IF(AND('DAY 4'!M58=""),"",('DAY 4'!M58))</f>
        <v/>
      </c>
      <c r="M58" s="80" t="str">
        <f>IF(AND('DAY 5'!M58=""),"",('DAY 5'!M58))</f>
        <v/>
      </c>
      <c r="O58" s="78">
        <f>SUM('DAY 1'!L58,'DAY 2'!L58,'DAY 3'!L58,'DAY 4'!L58,'DAY 5'!L58)</f>
        <v>0</v>
      </c>
      <c r="P58" s="82" t="str">
        <f t="shared" si="0"/>
        <v/>
      </c>
      <c r="Q58" s="83" t="str">
        <f t="shared" si="1"/>
        <v/>
      </c>
      <c r="R58" s="148" t="str">
        <f t="shared" si="2"/>
        <v/>
      </c>
      <c r="S58" s="149" t="str">
        <f t="shared" si="3"/>
        <v/>
      </c>
      <c r="U58" s="66" t="str">
        <f>'DAY 1'!Y58</f>
        <v/>
      </c>
      <c r="V58" s="89" t="str">
        <f>'DAY 2'!Y58</f>
        <v/>
      </c>
      <c r="W58" s="89" t="str">
        <f>'DAY 3'!Y58</f>
        <v/>
      </c>
      <c r="X58" s="89" t="str">
        <f>'DAY 4'!Y58</f>
        <v/>
      </c>
      <c r="Y58" s="67" t="str">
        <f>'DAY 5'!Y58</f>
        <v/>
      </c>
      <c r="Z58" s="142" t="str">
        <f t="shared" si="4"/>
        <v/>
      </c>
      <c r="AA58" s="22" t="str">
        <f t="shared" si="5"/>
        <v/>
      </c>
      <c r="AB58" t="str">
        <f>'DAY 1'!Z58</f>
        <v/>
      </c>
      <c r="AC58" t="str">
        <f>'DAY 2'!Z58</f>
        <v/>
      </c>
      <c r="AD58" t="str">
        <f>'DAY 3'!Z58</f>
        <v/>
      </c>
      <c r="AE58" t="str">
        <f>'DAY 4'!Z58</f>
        <v/>
      </c>
      <c r="AF58" t="str">
        <f>'DAY 5'!Z58</f>
        <v/>
      </c>
      <c r="AG58" s="144" t="str">
        <f t="shared" si="6"/>
        <v/>
      </c>
      <c r="AH58" s="145" t="str">
        <f t="shared" si="7"/>
        <v/>
      </c>
    </row>
    <row r="59" spans="2:34" ht="15.75" thickBot="1" x14ac:dyDescent="0.3">
      <c r="B59" s="66" t="str">
        <f>IF(AND('ENTRY DATA'!C59=""),"",('ENTRY DATA'!C59))</f>
        <v/>
      </c>
      <c r="C59" s="67" t="str">
        <f>IF(AND('ENTRY DATA'!D59=""),"",('ENTRY DATA'!D59))</f>
        <v/>
      </c>
      <c r="E59" s="66" t="str">
        <f>IF(AND('ENTRY DATA'!F59=""),"",('ENTRY DATA'!F59))</f>
        <v/>
      </c>
      <c r="F59" s="67" t="str">
        <f>IF(AND('ENTRY DATA'!G59=""),"",('ENTRY DATA'!G59))</f>
        <v/>
      </c>
      <c r="G59" s="61" t="s">
        <v>40</v>
      </c>
      <c r="I59" s="81" t="str">
        <f>IF(AND('DAY 1'!M59=""),"",('DAY 1'!M59))</f>
        <v/>
      </c>
      <c r="J59" s="79" t="str">
        <f>IF(AND('DAY 2'!M59=""),"",('DAY 2'!M59))</f>
        <v/>
      </c>
      <c r="K59" s="79" t="str">
        <f>IF(AND('DAY 3'!M59=""),"",('DAY 3'!M59))</f>
        <v/>
      </c>
      <c r="L59" s="79" t="str">
        <f>IF(AND('DAY 4'!M59=""),"",('DAY 4'!M59))</f>
        <v/>
      </c>
      <c r="M59" s="80" t="str">
        <f>IF(AND('DAY 5'!M59=""),"",('DAY 5'!M59))</f>
        <v/>
      </c>
      <c r="O59" s="78">
        <f>SUM('DAY 1'!L59,'DAY 2'!L59,'DAY 3'!L59,'DAY 4'!L59,'DAY 5'!L59)</f>
        <v>0</v>
      </c>
      <c r="P59" s="82" t="str">
        <f t="shared" si="0"/>
        <v/>
      </c>
      <c r="Q59" s="83" t="str">
        <f t="shared" si="1"/>
        <v/>
      </c>
      <c r="R59" s="148" t="str">
        <f t="shared" si="2"/>
        <v/>
      </c>
      <c r="S59" s="149" t="str">
        <f t="shared" si="3"/>
        <v/>
      </c>
      <c r="U59" s="66" t="str">
        <f>'DAY 1'!Y59</f>
        <v/>
      </c>
      <c r="V59" s="89" t="str">
        <f>'DAY 2'!Y59</f>
        <v/>
      </c>
      <c r="W59" s="89" t="str">
        <f>'DAY 3'!Y59</f>
        <v/>
      </c>
      <c r="X59" s="89" t="str">
        <f>'DAY 4'!Y59</f>
        <v/>
      </c>
      <c r="Y59" s="67" t="str">
        <f>'DAY 5'!Y59</f>
        <v/>
      </c>
      <c r="Z59" s="142" t="str">
        <f t="shared" si="4"/>
        <v/>
      </c>
      <c r="AA59" s="22" t="str">
        <f t="shared" si="5"/>
        <v/>
      </c>
      <c r="AB59" t="str">
        <f>'DAY 1'!Z59</f>
        <v/>
      </c>
      <c r="AC59" t="str">
        <f>'DAY 2'!Z59</f>
        <v/>
      </c>
      <c r="AD59" t="str">
        <f>'DAY 3'!Z59</f>
        <v/>
      </c>
      <c r="AE59" t="str">
        <f>'DAY 4'!Z59</f>
        <v/>
      </c>
      <c r="AF59" t="str">
        <f>'DAY 5'!Z59</f>
        <v/>
      </c>
      <c r="AG59" s="144" t="str">
        <f t="shared" si="6"/>
        <v/>
      </c>
      <c r="AH59" s="145" t="str">
        <f t="shared" si="7"/>
        <v/>
      </c>
    </row>
    <row r="60" spans="2:34" ht="15.75" thickBot="1" x14ac:dyDescent="0.3">
      <c r="B60" s="66" t="str">
        <f>IF(AND('ENTRY DATA'!C60=""),"",('ENTRY DATA'!C60))</f>
        <v/>
      </c>
      <c r="C60" s="67" t="str">
        <f>IF(AND('ENTRY DATA'!D60=""),"",('ENTRY DATA'!D60))</f>
        <v/>
      </c>
      <c r="E60" s="66" t="str">
        <f>IF(AND('ENTRY DATA'!F60=""),"",('ENTRY DATA'!F60))</f>
        <v/>
      </c>
      <c r="F60" s="67" t="str">
        <f>IF(AND('ENTRY DATA'!G60=""),"",('ENTRY DATA'!G60))</f>
        <v/>
      </c>
      <c r="G60" s="61" t="s">
        <v>40</v>
      </c>
      <c r="I60" s="81" t="str">
        <f>IF(AND('DAY 1'!M60=""),"",('DAY 1'!M60))</f>
        <v/>
      </c>
      <c r="J60" s="79" t="str">
        <f>IF(AND('DAY 2'!M60=""),"",('DAY 2'!M60))</f>
        <v/>
      </c>
      <c r="K60" s="79" t="str">
        <f>IF(AND('DAY 3'!M60=""),"",('DAY 3'!M60))</f>
        <v/>
      </c>
      <c r="L60" s="79" t="str">
        <f>IF(AND('DAY 4'!M60=""),"",('DAY 4'!M60))</f>
        <v/>
      </c>
      <c r="M60" s="80" t="str">
        <f>IF(AND('DAY 5'!M60=""),"",('DAY 5'!M60))</f>
        <v/>
      </c>
      <c r="O60" s="78">
        <f>SUM('DAY 1'!L60,'DAY 2'!L60,'DAY 3'!L60,'DAY 4'!L60,'DAY 5'!L60)</f>
        <v>0</v>
      </c>
      <c r="P60" s="82" t="str">
        <f t="shared" si="0"/>
        <v/>
      </c>
      <c r="Q60" s="83" t="str">
        <f t="shared" si="1"/>
        <v/>
      </c>
      <c r="R60" s="148" t="str">
        <f t="shared" si="2"/>
        <v/>
      </c>
      <c r="S60" s="149" t="str">
        <f t="shared" si="3"/>
        <v/>
      </c>
      <c r="U60" s="66" t="str">
        <f>'DAY 1'!Y60</f>
        <v/>
      </c>
      <c r="V60" s="89" t="str">
        <f>'DAY 2'!Y60</f>
        <v/>
      </c>
      <c r="W60" s="89" t="str">
        <f>'DAY 3'!Y60</f>
        <v/>
      </c>
      <c r="X60" s="89" t="str">
        <f>'DAY 4'!Y60</f>
        <v/>
      </c>
      <c r="Y60" s="67" t="str">
        <f>'DAY 5'!Y60</f>
        <v/>
      </c>
      <c r="Z60" s="142" t="str">
        <f t="shared" si="4"/>
        <v/>
      </c>
      <c r="AA60" s="22" t="str">
        <f t="shared" si="5"/>
        <v/>
      </c>
      <c r="AB60" t="str">
        <f>'DAY 1'!Z60</f>
        <v/>
      </c>
      <c r="AC60" t="str">
        <f>'DAY 2'!Z60</f>
        <v/>
      </c>
      <c r="AD60" t="str">
        <f>'DAY 3'!Z60</f>
        <v/>
      </c>
      <c r="AE60" t="str">
        <f>'DAY 4'!Z60</f>
        <v/>
      </c>
      <c r="AF60" t="str">
        <f>'DAY 5'!Z60</f>
        <v/>
      </c>
      <c r="AG60" s="144" t="str">
        <f t="shared" si="6"/>
        <v/>
      </c>
      <c r="AH60" s="145" t="str">
        <f t="shared" si="7"/>
        <v/>
      </c>
    </row>
    <row r="61" spans="2:34" ht="15.75" thickBot="1" x14ac:dyDescent="0.3">
      <c r="B61" s="66" t="str">
        <f>IF(AND('ENTRY DATA'!C61=""),"",('ENTRY DATA'!C61))</f>
        <v/>
      </c>
      <c r="C61" s="67" t="str">
        <f>IF(AND('ENTRY DATA'!D61=""),"",('ENTRY DATA'!D61))</f>
        <v/>
      </c>
      <c r="E61" s="66" t="str">
        <f>IF(AND('ENTRY DATA'!F61=""),"",('ENTRY DATA'!F61))</f>
        <v/>
      </c>
      <c r="F61" s="67" t="str">
        <f>IF(AND('ENTRY DATA'!G61=""),"",('ENTRY DATA'!G61))</f>
        <v/>
      </c>
      <c r="G61" s="61" t="s">
        <v>40</v>
      </c>
      <c r="I61" s="81" t="str">
        <f>IF(AND('DAY 1'!M61=""),"",('DAY 1'!M61))</f>
        <v/>
      </c>
      <c r="J61" s="79" t="str">
        <f>IF(AND('DAY 2'!M61=""),"",('DAY 2'!M61))</f>
        <v/>
      </c>
      <c r="K61" s="79" t="str">
        <f>IF(AND('DAY 3'!M61=""),"",('DAY 3'!M61))</f>
        <v/>
      </c>
      <c r="L61" s="79" t="str">
        <f>IF(AND('DAY 4'!M61=""),"",('DAY 4'!M61))</f>
        <v/>
      </c>
      <c r="M61" s="80" t="str">
        <f>IF(AND('DAY 5'!M61=""),"",('DAY 5'!M61))</f>
        <v/>
      </c>
      <c r="O61" s="78">
        <f>SUM('DAY 1'!L61,'DAY 2'!L61,'DAY 3'!L61,'DAY 4'!L61,'DAY 5'!L61)</f>
        <v>0</v>
      </c>
      <c r="P61" s="82" t="str">
        <f t="shared" si="0"/>
        <v/>
      </c>
      <c r="Q61" s="83" t="str">
        <f t="shared" si="1"/>
        <v/>
      </c>
      <c r="R61" s="148" t="str">
        <f t="shared" si="2"/>
        <v/>
      </c>
      <c r="S61" s="149" t="str">
        <f t="shared" si="3"/>
        <v/>
      </c>
      <c r="U61" s="66" t="str">
        <f>'DAY 1'!Y61</f>
        <v/>
      </c>
      <c r="V61" s="89" t="str">
        <f>'DAY 2'!Y61</f>
        <v/>
      </c>
      <c r="W61" s="89" t="str">
        <f>'DAY 3'!Y61</f>
        <v/>
      </c>
      <c r="X61" s="89" t="str">
        <f>'DAY 4'!Y61</f>
        <v/>
      </c>
      <c r="Y61" s="67" t="str">
        <f>'DAY 5'!Y61</f>
        <v/>
      </c>
      <c r="Z61" s="142" t="str">
        <f t="shared" si="4"/>
        <v/>
      </c>
      <c r="AA61" s="22" t="str">
        <f t="shared" si="5"/>
        <v/>
      </c>
      <c r="AB61" t="str">
        <f>'DAY 1'!Z61</f>
        <v/>
      </c>
      <c r="AC61" t="str">
        <f>'DAY 2'!Z61</f>
        <v/>
      </c>
      <c r="AD61" t="str">
        <f>'DAY 3'!Z61</f>
        <v/>
      </c>
      <c r="AE61" t="str">
        <f>'DAY 4'!Z61</f>
        <v/>
      </c>
      <c r="AF61" t="str">
        <f>'DAY 5'!Z61</f>
        <v/>
      </c>
      <c r="AG61" s="144" t="str">
        <f t="shared" si="6"/>
        <v/>
      </c>
      <c r="AH61" s="145" t="str">
        <f t="shared" si="7"/>
        <v/>
      </c>
    </row>
    <row r="62" spans="2:34" ht="15.75" thickBot="1" x14ac:dyDescent="0.3">
      <c r="B62" s="66" t="str">
        <f>IF(AND('ENTRY DATA'!C62=""),"",('ENTRY DATA'!C62))</f>
        <v/>
      </c>
      <c r="C62" s="67" t="str">
        <f>IF(AND('ENTRY DATA'!D62=""),"",('ENTRY DATA'!D62))</f>
        <v/>
      </c>
      <c r="E62" s="66" t="str">
        <f>IF(AND('ENTRY DATA'!F62=""),"",('ENTRY DATA'!F62))</f>
        <v/>
      </c>
      <c r="F62" s="67" t="str">
        <f>IF(AND('ENTRY DATA'!G62=""),"",('ENTRY DATA'!G62))</f>
        <v/>
      </c>
      <c r="G62" s="61" t="s">
        <v>40</v>
      </c>
      <c r="I62" s="81" t="str">
        <f>IF(AND('DAY 1'!M62=""),"",('DAY 1'!M62))</f>
        <v/>
      </c>
      <c r="J62" s="79" t="str">
        <f>IF(AND('DAY 2'!M62=""),"",('DAY 2'!M62))</f>
        <v/>
      </c>
      <c r="K62" s="79" t="str">
        <f>IF(AND('DAY 3'!M62=""),"",('DAY 3'!M62))</f>
        <v/>
      </c>
      <c r="L62" s="79" t="str">
        <f>IF(AND('DAY 4'!M62=""),"",('DAY 4'!M62))</f>
        <v/>
      </c>
      <c r="M62" s="80" t="str">
        <f>IF(AND('DAY 5'!M62=""),"",('DAY 5'!M62))</f>
        <v/>
      </c>
      <c r="O62" s="78">
        <f>SUM('DAY 1'!L62,'DAY 2'!L62,'DAY 3'!L62,'DAY 4'!L62,'DAY 5'!L62)</f>
        <v>0</v>
      </c>
      <c r="P62" s="82" t="str">
        <f t="shared" si="0"/>
        <v/>
      </c>
      <c r="Q62" s="83" t="str">
        <f t="shared" si="1"/>
        <v/>
      </c>
      <c r="R62" s="148" t="str">
        <f t="shared" si="2"/>
        <v/>
      </c>
      <c r="S62" s="149" t="str">
        <f t="shared" si="3"/>
        <v/>
      </c>
      <c r="U62" s="66" t="str">
        <f>'DAY 1'!Y62</f>
        <v/>
      </c>
      <c r="V62" s="89" t="str">
        <f>'DAY 2'!Y62</f>
        <v/>
      </c>
      <c r="W62" s="89" t="str">
        <f>'DAY 3'!Y62</f>
        <v/>
      </c>
      <c r="X62" s="89" t="str">
        <f>'DAY 4'!Y62</f>
        <v/>
      </c>
      <c r="Y62" s="67" t="str">
        <f>'DAY 5'!Y62</f>
        <v/>
      </c>
      <c r="Z62" s="142" t="str">
        <f t="shared" si="4"/>
        <v/>
      </c>
      <c r="AA62" s="22" t="str">
        <f t="shared" si="5"/>
        <v/>
      </c>
      <c r="AB62" t="str">
        <f>'DAY 1'!Z62</f>
        <v/>
      </c>
      <c r="AC62" t="str">
        <f>'DAY 2'!Z62</f>
        <v/>
      </c>
      <c r="AD62" t="str">
        <f>'DAY 3'!Z62</f>
        <v/>
      </c>
      <c r="AE62" t="str">
        <f>'DAY 4'!Z62</f>
        <v/>
      </c>
      <c r="AF62" t="str">
        <f>'DAY 5'!Z62</f>
        <v/>
      </c>
      <c r="AG62" s="144" t="str">
        <f t="shared" si="6"/>
        <v/>
      </c>
      <c r="AH62" s="145" t="str">
        <f t="shared" si="7"/>
        <v/>
      </c>
    </row>
    <row r="63" spans="2:34" ht="15.75" thickBot="1" x14ac:dyDescent="0.3">
      <c r="B63" s="66" t="str">
        <f>IF(AND('ENTRY DATA'!C63=""),"",('ENTRY DATA'!C63))</f>
        <v/>
      </c>
      <c r="C63" s="67" t="str">
        <f>IF(AND('ENTRY DATA'!D63=""),"",('ENTRY DATA'!D63))</f>
        <v/>
      </c>
      <c r="E63" s="66" t="str">
        <f>IF(AND('ENTRY DATA'!F63=""),"",('ENTRY DATA'!F63))</f>
        <v/>
      </c>
      <c r="F63" s="67" t="str">
        <f>IF(AND('ENTRY DATA'!G63=""),"",('ENTRY DATA'!G63))</f>
        <v/>
      </c>
      <c r="G63" s="61" t="s">
        <v>40</v>
      </c>
      <c r="I63" s="81" t="str">
        <f>IF(AND('DAY 1'!M63=""),"",('DAY 1'!M63))</f>
        <v/>
      </c>
      <c r="J63" s="79" t="str">
        <f>IF(AND('DAY 2'!M63=""),"",('DAY 2'!M63))</f>
        <v/>
      </c>
      <c r="K63" s="79" t="str">
        <f>IF(AND('DAY 3'!M63=""),"",('DAY 3'!M63))</f>
        <v/>
      </c>
      <c r="L63" s="79" t="str">
        <f>IF(AND('DAY 4'!M63=""),"",('DAY 4'!M63))</f>
        <v/>
      </c>
      <c r="M63" s="80" t="str">
        <f>IF(AND('DAY 5'!M63=""),"",('DAY 5'!M63))</f>
        <v/>
      </c>
      <c r="O63" s="78">
        <f>SUM('DAY 1'!L63,'DAY 2'!L63,'DAY 3'!L63,'DAY 4'!L63,'DAY 5'!L63)</f>
        <v>0</v>
      </c>
      <c r="P63" s="82" t="str">
        <f t="shared" si="0"/>
        <v/>
      </c>
      <c r="Q63" s="83" t="str">
        <f t="shared" si="1"/>
        <v/>
      </c>
      <c r="R63" s="148" t="str">
        <f t="shared" si="2"/>
        <v/>
      </c>
      <c r="S63" s="149" t="str">
        <f t="shared" si="3"/>
        <v/>
      </c>
      <c r="U63" s="66" t="str">
        <f>'DAY 1'!Y63</f>
        <v/>
      </c>
      <c r="V63" s="89" t="str">
        <f>'DAY 2'!Y63</f>
        <v/>
      </c>
      <c r="W63" s="89" t="str">
        <f>'DAY 3'!Y63</f>
        <v/>
      </c>
      <c r="X63" s="89" t="str">
        <f>'DAY 4'!Y63</f>
        <v/>
      </c>
      <c r="Y63" s="67" t="str">
        <f>'DAY 5'!Y63</f>
        <v/>
      </c>
      <c r="Z63" s="142" t="str">
        <f t="shared" si="4"/>
        <v/>
      </c>
      <c r="AA63" s="22" t="str">
        <f t="shared" si="5"/>
        <v/>
      </c>
      <c r="AB63" t="str">
        <f>'DAY 1'!Z63</f>
        <v/>
      </c>
      <c r="AC63" t="str">
        <f>'DAY 2'!Z63</f>
        <v/>
      </c>
      <c r="AD63" t="str">
        <f>'DAY 3'!Z63</f>
        <v/>
      </c>
      <c r="AE63" t="str">
        <f>'DAY 4'!Z63</f>
        <v/>
      </c>
      <c r="AF63" t="str">
        <f>'DAY 5'!Z63</f>
        <v/>
      </c>
      <c r="AG63" s="144" t="str">
        <f t="shared" si="6"/>
        <v/>
      </c>
      <c r="AH63" s="145" t="str">
        <f t="shared" si="7"/>
        <v/>
      </c>
    </row>
    <row r="64" spans="2:34" ht="15.75" thickBot="1" x14ac:dyDescent="0.3">
      <c r="B64" s="66" t="str">
        <f>IF(AND('ENTRY DATA'!C64=""),"",('ENTRY DATA'!C64))</f>
        <v/>
      </c>
      <c r="C64" s="67" t="str">
        <f>IF(AND('ENTRY DATA'!D64=""),"",('ENTRY DATA'!D64))</f>
        <v/>
      </c>
      <c r="E64" s="66" t="str">
        <f>IF(AND('ENTRY DATA'!F64=""),"",('ENTRY DATA'!F64))</f>
        <v/>
      </c>
      <c r="F64" s="67" t="str">
        <f>IF(AND('ENTRY DATA'!G64=""),"",('ENTRY DATA'!G64))</f>
        <v/>
      </c>
      <c r="G64" s="61" t="s">
        <v>40</v>
      </c>
      <c r="I64" s="81" t="str">
        <f>IF(AND('DAY 1'!M64=""),"",('DAY 1'!M64))</f>
        <v/>
      </c>
      <c r="J64" s="79" t="str">
        <f>IF(AND('DAY 2'!M64=""),"",('DAY 2'!M64))</f>
        <v/>
      </c>
      <c r="K64" s="79" t="str">
        <f>IF(AND('DAY 3'!M64=""),"",('DAY 3'!M64))</f>
        <v/>
      </c>
      <c r="L64" s="79" t="str">
        <f>IF(AND('DAY 4'!M64=""),"",('DAY 4'!M64))</f>
        <v/>
      </c>
      <c r="M64" s="80" t="str">
        <f>IF(AND('DAY 5'!M64=""),"",('DAY 5'!M64))</f>
        <v/>
      </c>
      <c r="O64" s="78">
        <f>SUM('DAY 1'!L64,'DAY 2'!L64,'DAY 3'!L64,'DAY 4'!L64,'DAY 5'!L64)</f>
        <v>0</v>
      </c>
      <c r="P64" s="82" t="str">
        <f t="shared" si="0"/>
        <v/>
      </c>
      <c r="Q64" s="83" t="str">
        <f t="shared" si="1"/>
        <v/>
      </c>
      <c r="R64" s="148" t="str">
        <f t="shared" si="2"/>
        <v/>
      </c>
      <c r="S64" s="149" t="str">
        <f t="shared" si="3"/>
        <v/>
      </c>
      <c r="U64" s="66" t="str">
        <f>'DAY 1'!Y64</f>
        <v/>
      </c>
      <c r="V64" s="89" t="str">
        <f>'DAY 2'!Y64</f>
        <v/>
      </c>
      <c r="W64" s="89" t="str">
        <f>'DAY 3'!Y64</f>
        <v/>
      </c>
      <c r="X64" s="89" t="str">
        <f>'DAY 4'!Y64</f>
        <v/>
      </c>
      <c r="Y64" s="67" t="str">
        <f>'DAY 5'!Y64</f>
        <v/>
      </c>
      <c r="Z64" s="142" t="str">
        <f t="shared" si="4"/>
        <v/>
      </c>
      <c r="AA64" s="22" t="str">
        <f t="shared" si="5"/>
        <v/>
      </c>
      <c r="AB64" t="str">
        <f>'DAY 1'!Z64</f>
        <v/>
      </c>
      <c r="AC64" t="str">
        <f>'DAY 2'!Z64</f>
        <v/>
      </c>
      <c r="AD64" t="str">
        <f>'DAY 3'!Z64</f>
        <v/>
      </c>
      <c r="AE64" t="str">
        <f>'DAY 4'!Z64</f>
        <v/>
      </c>
      <c r="AF64" t="str">
        <f>'DAY 5'!Z64</f>
        <v/>
      </c>
      <c r="AG64" s="144" t="str">
        <f t="shared" si="6"/>
        <v/>
      </c>
      <c r="AH64" s="145" t="str">
        <f t="shared" si="7"/>
        <v/>
      </c>
    </row>
    <row r="65" spans="2:34" ht="15.75" thickBot="1" x14ac:dyDescent="0.3">
      <c r="B65" s="66" t="str">
        <f>IF(AND('ENTRY DATA'!C65=""),"",('ENTRY DATA'!C65))</f>
        <v/>
      </c>
      <c r="C65" s="67" t="str">
        <f>IF(AND('ENTRY DATA'!D65=""),"",('ENTRY DATA'!D65))</f>
        <v/>
      </c>
      <c r="E65" s="66" t="str">
        <f>IF(AND('ENTRY DATA'!F65=""),"",('ENTRY DATA'!F65))</f>
        <v/>
      </c>
      <c r="F65" s="67" t="str">
        <f>IF(AND('ENTRY DATA'!G65=""),"",('ENTRY DATA'!G65))</f>
        <v/>
      </c>
      <c r="G65" s="61" t="s">
        <v>40</v>
      </c>
      <c r="I65" s="81" t="str">
        <f>IF(AND('DAY 1'!M65=""),"",('DAY 1'!M65))</f>
        <v/>
      </c>
      <c r="J65" s="79" t="str">
        <f>IF(AND('DAY 2'!M65=""),"",('DAY 2'!M65))</f>
        <v/>
      </c>
      <c r="K65" s="79" t="str">
        <f>IF(AND('DAY 3'!M65=""),"",('DAY 3'!M65))</f>
        <v/>
      </c>
      <c r="L65" s="79" t="str">
        <f>IF(AND('DAY 4'!M65=""),"",('DAY 4'!M65))</f>
        <v/>
      </c>
      <c r="M65" s="80" t="str">
        <f>IF(AND('DAY 5'!M65=""),"",('DAY 5'!M65))</f>
        <v/>
      </c>
      <c r="O65" s="78">
        <f>SUM('DAY 1'!L65,'DAY 2'!L65,'DAY 3'!L65,'DAY 4'!L65,'DAY 5'!L65)</f>
        <v>0</v>
      </c>
      <c r="P65" s="82" t="str">
        <f t="shared" si="0"/>
        <v/>
      </c>
      <c r="Q65" s="83" t="str">
        <f t="shared" si="1"/>
        <v/>
      </c>
      <c r="R65" s="148" t="str">
        <f t="shared" si="2"/>
        <v/>
      </c>
      <c r="S65" s="149" t="str">
        <f t="shared" si="3"/>
        <v/>
      </c>
      <c r="U65" s="66" t="str">
        <f>'DAY 1'!Y65</f>
        <v/>
      </c>
      <c r="V65" s="89" t="str">
        <f>'DAY 2'!Y65</f>
        <v/>
      </c>
      <c r="W65" s="89" t="str">
        <f>'DAY 3'!Y65</f>
        <v/>
      </c>
      <c r="X65" s="89" t="str">
        <f>'DAY 4'!Y65</f>
        <v/>
      </c>
      <c r="Y65" s="67" t="str">
        <f>'DAY 5'!Y65</f>
        <v/>
      </c>
      <c r="Z65" s="142" t="str">
        <f t="shared" si="4"/>
        <v/>
      </c>
      <c r="AA65" s="22" t="str">
        <f t="shared" si="5"/>
        <v/>
      </c>
      <c r="AB65" t="str">
        <f>'DAY 1'!Z65</f>
        <v/>
      </c>
      <c r="AC65" t="str">
        <f>'DAY 2'!Z65</f>
        <v/>
      </c>
      <c r="AD65" t="str">
        <f>'DAY 3'!Z65</f>
        <v/>
      </c>
      <c r="AE65" t="str">
        <f>'DAY 4'!Z65</f>
        <v/>
      </c>
      <c r="AF65" t="str">
        <f>'DAY 5'!Z65</f>
        <v/>
      </c>
      <c r="AG65" s="144" t="str">
        <f t="shared" si="6"/>
        <v/>
      </c>
      <c r="AH65" s="145" t="str">
        <f t="shared" si="7"/>
        <v/>
      </c>
    </row>
    <row r="66" spans="2:34" ht="15.75" thickBot="1" x14ac:dyDescent="0.3">
      <c r="B66" s="66" t="str">
        <f>IF(AND('ENTRY DATA'!C66=""),"",('ENTRY DATA'!C66))</f>
        <v/>
      </c>
      <c r="C66" s="67" t="str">
        <f>IF(AND('ENTRY DATA'!D66=""),"",('ENTRY DATA'!D66))</f>
        <v/>
      </c>
      <c r="E66" s="66" t="str">
        <f>IF(AND('ENTRY DATA'!F66=""),"",('ENTRY DATA'!F66))</f>
        <v/>
      </c>
      <c r="F66" s="67" t="str">
        <f>IF(AND('ENTRY DATA'!G66=""),"",('ENTRY DATA'!G66))</f>
        <v/>
      </c>
      <c r="G66" s="61" t="s">
        <v>40</v>
      </c>
      <c r="I66" s="81" t="str">
        <f>IF(AND('DAY 1'!M66=""),"",('DAY 1'!M66))</f>
        <v/>
      </c>
      <c r="J66" s="79" t="str">
        <f>IF(AND('DAY 2'!M66=""),"",('DAY 2'!M66))</f>
        <v/>
      </c>
      <c r="K66" s="79" t="str">
        <f>IF(AND('DAY 3'!M66=""),"",('DAY 3'!M66))</f>
        <v/>
      </c>
      <c r="L66" s="79" t="str">
        <f>IF(AND('DAY 4'!M66=""),"",('DAY 4'!M66))</f>
        <v/>
      </c>
      <c r="M66" s="80" t="str">
        <f>IF(AND('DAY 5'!M66=""),"",('DAY 5'!M66))</f>
        <v/>
      </c>
      <c r="O66" s="78">
        <f>SUM('DAY 1'!L66,'DAY 2'!L66,'DAY 3'!L66,'DAY 4'!L66,'DAY 5'!L66)</f>
        <v>0</v>
      </c>
      <c r="P66" s="82" t="str">
        <f t="shared" si="0"/>
        <v/>
      </c>
      <c r="Q66" s="83" t="str">
        <f t="shared" si="1"/>
        <v/>
      </c>
      <c r="R66" s="148" t="str">
        <f t="shared" si="2"/>
        <v/>
      </c>
      <c r="S66" s="149" t="str">
        <f t="shared" si="3"/>
        <v/>
      </c>
      <c r="U66" s="66" t="str">
        <f>'DAY 1'!Y66</f>
        <v/>
      </c>
      <c r="V66" s="89" t="str">
        <f>'DAY 2'!Y66</f>
        <v/>
      </c>
      <c r="W66" s="89" t="str">
        <f>'DAY 3'!Y66</f>
        <v/>
      </c>
      <c r="X66" s="89" t="str">
        <f>'DAY 4'!Y66</f>
        <v/>
      </c>
      <c r="Y66" s="67" t="str">
        <f>'DAY 5'!Y66</f>
        <v/>
      </c>
      <c r="Z66" s="142" t="str">
        <f t="shared" si="4"/>
        <v/>
      </c>
      <c r="AA66" s="22" t="str">
        <f t="shared" si="5"/>
        <v/>
      </c>
      <c r="AB66" t="str">
        <f>'DAY 1'!Z66</f>
        <v/>
      </c>
      <c r="AC66" t="str">
        <f>'DAY 2'!Z66</f>
        <v/>
      </c>
      <c r="AD66" t="str">
        <f>'DAY 3'!Z66</f>
        <v/>
      </c>
      <c r="AE66" t="str">
        <f>'DAY 4'!Z66</f>
        <v/>
      </c>
      <c r="AF66" t="str">
        <f>'DAY 5'!Z66</f>
        <v/>
      </c>
      <c r="AG66" s="144" t="str">
        <f t="shared" si="6"/>
        <v/>
      </c>
      <c r="AH66" s="145" t="str">
        <f t="shared" si="7"/>
        <v/>
      </c>
    </row>
    <row r="67" spans="2:34" ht="15.75" thickBot="1" x14ac:dyDescent="0.3">
      <c r="B67" s="66" t="str">
        <f>IF(AND('ENTRY DATA'!C67=""),"",('ENTRY DATA'!C67))</f>
        <v/>
      </c>
      <c r="C67" s="67" t="str">
        <f>IF(AND('ENTRY DATA'!D67=""),"",('ENTRY DATA'!D67))</f>
        <v/>
      </c>
      <c r="E67" s="66" t="str">
        <f>IF(AND('ENTRY DATA'!F67=""),"",('ENTRY DATA'!F67))</f>
        <v/>
      </c>
      <c r="F67" s="67" t="str">
        <f>IF(AND('ENTRY DATA'!G67=""),"",('ENTRY DATA'!G67))</f>
        <v/>
      </c>
      <c r="G67" s="61" t="s">
        <v>40</v>
      </c>
      <c r="I67" s="81" t="str">
        <f>IF(AND('DAY 1'!M67=""),"",('DAY 1'!M67))</f>
        <v/>
      </c>
      <c r="J67" s="79" t="str">
        <f>IF(AND('DAY 2'!M67=""),"",('DAY 2'!M67))</f>
        <v/>
      </c>
      <c r="K67" s="79" t="str">
        <f>IF(AND('DAY 3'!M67=""),"",('DAY 3'!M67))</f>
        <v/>
      </c>
      <c r="L67" s="79" t="str">
        <f>IF(AND('DAY 4'!M67=""),"",('DAY 4'!M67))</f>
        <v/>
      </c>
      <c r="M67" s="80" t="str">
        <f>IF(AND('DAY 5'!M67=""),"",('DAY 5'!M67))</f>
        <v/>
      </c>
      <c r="O67" s="78">
        <f>SUM('DAY 1'!L67,'DAY 2'!L67,'DAY 3'!L67,'DAY 4'!L67,'DAY 5'!L67)</f>
        <v>0</v>
      </c>
      <c r="P67" s="82" t="str">
        <f t="shared" si="0"/>
        <v/>
      </c>
      <c r="Q67" s="83" t="str">
        <f t="shared" si="1"/>
        <v/>
      </c>
      <c r="R67" s="148" t="str">
        <f t="shared" si="2"/>
        <v/>
      </c>
      <c r="S67" s="149" t="str">
        <f t="shared" si="3"/>
        <v/>
      </c>
      <c r="U67" s="66" t="str">
        <f>'DAY 1'!Y67</f>
        <v/>
      </c>
      <c r="V67" s="89" t="str">
        <f>'DAY 2'!Y67</f>
        <v/>
      </c>
      <c r="W67" s="89" t="str">
        <f>'DAY 3'!Y67</f>
        <v/>
      </c>
      <c r="X67" s="89" t="str">
        <f>'DAY 4'!Y67</f>
        <v/>
      </c>
      <c r="Y67" s="67" t="str">
        <f>'DAY 5'!Y67</f>
        <v/>
      </c>
      <c r="Z67" s="142" t="str">
        <f t="shared" si="4"/>
        <v/>
      </c>
      <c r="AA67" s="22" t="str">
        <f t="shared" si="5"/>
        <v/>
      </c>
      <c r="AB67" t="str">
        <f>'DAY 1'!Z67</f>
        <v/>
      </c>
      <c r="AC67" t="str">
        <f>'DAY 2'!Z67</f>
        <v/>
      </c>
      <c r="AD67" t="str">
        <f>'DAY 3'!Z67</f>
        <v/>
      </c>
      <c r="AE67" t="str">
        <f>'DAY 4'!Z67</f>
        <v/>
      </c>
      <c r="AF67" t="str">
        <f>'DAY 5'!Z67</f>
        <v/>
      </c>
      <c r="AG67" s="144" t="str">
        <f t="shared" si="6"/>
        <v/>
      </c>
      <c r="AH67" s="145" t="str">
        <f t="shared" si="7"/>
        <v/>
      </c>
    </row>
    <row r="68" spans="2:34" ht="15.75" thickBot="1" x14ac:dyDescent="0.3">
      <c r="B68" s="66" t="str">
        <f>IF(AND('ENTRY DATA'!C68=""),"",('ENTRY DATA'!C68))</f>
        <v/>
      </c>
      <c r="C68" s="67" t="str">
        <f>IF(AND('ENTRY DATA'!D68=""),"",('ENTRY DATA'!D68))</f>
        <v/>
      </c>
      <c r="E68" s="66" t="str">
        <f>IF(AND('ENTRY DATA'!F68=""),"",('ENTRY DATA'!F68))</f>
        <v/>
      </c>
      <c r="F68" s="67" t="str">
        <f>IF(AND('ENTRY DATA'!G68=""),"",('ENTRY DATA'!G68))</f>
        <v/>
      </c>
      <c r="G68" s="61" t="s">
        <v>40</v>
      </c>
      <c r="I68" s="81" t="str">
        <f>IF(AND('DAY 1'!M68=""),"",('DAY 1'!M68))</f>
        <v/>
      </c>
      <c r="J68" s="79" t="str">
        <f>IF(AND('DAY 2'!M68=""),"",('DAY 2'!M68))</f>
        <v/>
      </c>
      <c r="K68" s="79" t="str">
        <f>IF(AND('DAY 3'!M68=""),"",('DAY 3'!M68))</f>
        <v/>
      </c>
      <c r="L68" s="79" t="str">
        <f>IF(AND('DAY 4'!M68=""),"",('DAY 4'!M68))</f>
        <v/>
      </c>
      <c r="M68" s="80" t="str">
        <f>IF(AND('DAY 5'!M68=""),"",('DAY 5'!M68))</f>
        <v/>
      </c>
      <c r="O68" s="78">
        <f>SUM('DAY 1'!L68,'DAY 2'!L68,'DAY 3'!L68,'DAY 4'!L68,'DAY 5'!L68)</f>
        <v>0</v>
      </c>
      <c r="P68" s="82" t="str">
        <f t="shared" si="0"/>
        <v/>
      </c>
      <c r="Q68" s="83" t="str">
        <f t="shared" si="1"/>
        <v/>
      </c>
      <c r="R68" s="148" t="str">
        <f t="shared" si="2"/>
        <v/>
      </c>
      <c r="S68" s="149" t="str">
        <f t="shared" si="3"/>
        <v/>
      </c>
      <c r="U68" s="66" t="str">
        <f>'DAY 1'!Y68</f>
        <v/>
      </c>
      <c r="V68" s="89" t="str">
        <f>'DAY 2'!Y68</f>
        <v/>
      </c>
      <c r="W68" s="89" t="str">
        <f>'DAY 3'!Y68</f>
        <v/>
      </c>
      <c r="X68" s="89" t="str">
        <f>'DAY 4'!Y68</f>
        <v/>
      </c>
      <c r="Y68" s="67" t="str">
        <f>'DAY 5'!Y68</f>
        <v/>
      </c>
      <c r="Z68" s="142" t="str">
        <f t="shared" si="4"/>
        <v/>
      </c>
      <c r="AA68" s="22" t="str">
        <f t="shared" si="5"/>
        <v/>
      </c>
      <c r="AB68" t="str">
        <f>'DAY 1'!Z68</f>
        <v/>
      </c>
      <c r="AC68" t="str">
        <f>'DAY 2'!Z68</f>
        <v/>
      </c>
      <c r="AD68" t="str">
        <f>'DAY 3'!Z68</f>
        <v/>
      </c>
      <c r="AE68" t="str">
        <f>'DAY 4'!Z68</f>
        <v/>
      </c>
      <c r="AF68" t="str">
        <f>'DAY 5'!Z68</f>
        <v/>
      </c>
      <c r="AG68" s="144" t="str">
        <f t="shared" si="6"/>
        <v/>
      </c>
      <c r="AH68" s="145" t="str">
        <f t="shared" si="7"/>
        <v/>
      </c>
    </row>
    <row r="69" spans="2:34" ht="15.75" thickBot="1" x14ac:dyDescent="0.3">
      <c r="B69" s="66" t="str">
        <f>IF(AND('ENTRY DATA'!C69=""),"",('ENTRY DATA'!C69))</f>
        <v/>
      </c>
      <c r="C69" s="67" t="str">
        <f>IF(AND('ENTRY DATA'!D69=""),"",('ENTRY DATA'!D69))</f>
        <v/>
      </c>
      <c r="E69" s="66" t="str">
        <f>IF(AND('ENTRY DATA'!F69=""),"",('ENTRY DATA'!F69))</f>
        <v/>
      </c>
      <c r="F69" s="67" t="str">
        <f>IF(AND('ENTRY DATA'!G69=""),"",('ENTRY DATA'!G69))</f>
        <v/>
      </c>
      <c r="G69" s="61" t="s">
        <v>40</v>
      </c>
      <c r="I69" s="81" t="str">
        <f>IF(AND('DAY 1'!M69=""),"",('DAY 1'!M69))</f>
        <v/>
      </c>
      <c r="J69" s="79" t="str">
        <f>IF(AND('DAY 2'!M69=""),"",('DAY 2'!M69))</f>
        <v/>
      </c>
      <c r="K69" s="79" t="str">
        <f>IF(AND('DAY 3'!M69=""),"",('DAY 3'!M69))</f>
        <v/>
      </c>
      <c r="L69" s="79" t="str">
        <f>IF(AND('DAY 4'!M69=""),"",('DAY 4'!M69))</f>
        <v/>
      </c>
      <c r="M69" s="80" t="str">
        <f>IF(AND('DAY 5'!M69=""),"",('DAY 5'!M69))</f>
        <v/>
      </c>
      <c r="O69" s="78">
        <f>SUM('DAY 1'!L69,'DAY 2'!L69,'DAY 3'!L69,'DAY 4'!L69,'DAY 5'!L69)</f>
        <v>0</v>
      </c>
      <c r="P69" s="82" t="str">
        <f t="shared" si="0"/>
        <v/>
      </c>
      <c r="Q69" s="83" t="str">
        <f t="shared" si="1"/>
        <v/>
      </c>
      <c r="R69" s="148" t="str">
        <f t="shared" si="2"/>
        <v/>
      </c>
      <c r="S69" s="149" t="str">
        <f t="shared" si="3"/>
        <v/>
      </c>
      <c r="U69" s="66" t="str">
        <f>'DAY 1'!Y69</f>
        <v/>
      </c>
      <c r="V69" s="89" t="str">
        <f>'DAY 2'!Y69</f>
        <v/>
      </c>
      <c r="W69" s="89" t="str">
        <f>'DAY 3'!Y69</f>
        <v/>
      </c>
      <c r="X69" s="89" t="str">
        <f>'DAY 4'!Y69</f>
        <v/>
      </c>
      <c r="Y69" s="67" t="str">
        <f>'DAY 5'!Y69</f>
        <v/>
      </c>
      <c r="Z69" s="142" t="str">
        <f t="shared" si="4"/>
        <v/>
      </c>
      <c r="AA69" s="22" t="str">
        <f t="shared" si="5"/>
        <v/>
      </c>
      <c r="AB69" t="str">
        <f>'DAY 1'!Z69</f>
        <v/>
      </c>
      <c r="AC69" t="str">
        <f>'DAY 2'!Z69</f>
        <v/>
      </c>
      <c r="AD69" t="str">
        <f>'DAY 3'!Z69</f>
        <v/>
      </c>
      <c r="AE69" t="str">
        <f>'DAY 4'!Z69</f>
        <v/>
      </c>
      <c r="AF69" t="str">
        <f>'DAY 5'!Z69</f>
        <v/>
      </c>
      <c r="AG69" s="144" t="str">
        <f t="shared" si="6"/>
        <v/>
      </c>
      <c r="AH69" s="145" t="str">
        <f t="shared" si="7"/>
        <v/>
      </c>
    </row>
    <row r="70" spans="2:34" ht="15.75" thickBot="1" x14ac:dyDescent="0.3">
      <c r="B70" s="66" t="str">
        <f>IF(AND('ENTRY DATA'!C70=""),"",('ENTRY DATA'!C70))</f>
        <v/>
      </c>
      <c r="C70" s="67" t="str">
        <f>IF(AND('ENTRY DATA'!D70=""),"",('ENTRY DATA'!D70))</f>
        <v/>
      </c>
      <c r="E70" s="66" t="str">
        <f>IF(AND('ENTRY DATA'!F70=""),"",('ENTRY DATA'!F70))</f>
        <v/>
      </c>
      <c r="F70" s="67" t="str">
        <f>IF(AND('ENTRY DATA'!G70=""),"",('ENTRY DATA'!G70))</f>
        <v/>
      </c>
      <c r="G70" s="61" t="s">
        <v>40</v>
      </c>
      <c r="I70" s="81" t="str">
        <f>IF(AND('DAY 1'!M70=""),"",('DAY 1'!M70))</f>
        <v/>
      </c>
      <c r="J70" s="79" t="str">
        <f>IF(AND('DAY 2'!M70=""),"",('DAY 2'!M70))</f>
        <v/>
      </c>
      <c r="K70" s="79" t="str">
        <f>IF(AND('DAY 3'!M70=""),"",('DAY 3'!M70))</f>
        <v/>
      </c>
      <c r="L70" s="79" t="str">
        <f>IF(AND('DAY 4'!M70=""),"",('DAY 4'!M70))</f>
        <v/>
      </c>
      <c r="M70" s="80" t="str">
        <f>IF(AND('DAY 5'!M70=""),"",('DAY 5'!M70))</f>
        <v/>
      </c>
      <c r="O70" s="78">
        <f>SUM('DAY 1'!L70,'DAY 2'!L70,'DAY 3'!L70,'DAY 4'!L70,'DAY 5'!L70)</f>
        <v>0</v>
      </c>
      <c r="P70" s="82" t="str">
        <f t="shared" ref="P70:P133" si="8">IF(AND(I70="",J70="",K70="",L70="",M70=""),"",COUNT(I70,J70,K70,L70,M70))</f>
        <v/>
      </c>
      <c r="Q70" s="83" t="str">
        <f t="shared" ref="Q70:Q133" si="9">IF(AND(I70="",J70="",K70="",L70="",M70=""),"",SUM(I70,J70,K70,L70,M70))</f>
        <v/>
      </c>
      <c r="R70" s="148" t="str">
        <f t="shared" ref="R70:R133" si="10">IF(AND(Z70="",AA70=""),"",(Z70/AA70))</f>
        <v/>
      </c>
      <c r="S70" s="149" t="str">
        <f t="shared" ref="S70:S133" si="11">IF(AND(AG70="",AH70=""),"",(AG70/AH70))</f>
        <v/>
      </c>
      <c r="U70" s="66" t="str">
        <f>'DAY 1'!Y70</f>
        <v/>
      </c>
      <c r="V70" s="89" t="str">
        <f>'DAY 2'!Y70</f>
        <v/>
      </c>
      <c r="W70" s="89" t="str">
        <f>'DAY 3'!Y70</f>
        <v/>
      </c>
      <c r="X70" s="89" t="str">
        <f>'DAY 4'!Y70</f>
        <v/>
      </c>
      <c r="Y70" s="67" t="str">
        <f>'DAY 5'!Y70</f>
        <v/>
      </c>
      <c r="Z70" s="142" t="str">
        <f t="shared" ref="Z70:Z133" si="12">IF(AND(U70="",V70="",W70="",X70="",Y70=""),"",SUM(U70,V70,W70,X70,Y70))</f>
        <v/>
      </c>
      <c r="AA70" s="22" t="str">
        <f t="shared" ref="AA70:AA133" si="13">IF(AND(U70="",V70="",W70="",X70="",Y70=""),"",COUNT(U70,V70,W70,X70,Y70))</f>
        <v/>
      </c>
      <c r="AB70" t="str">
        <f>'DAY 1'!Z70</f>
        <v/>
      </c>
      <c r="AC70" t="str">
        <f>'DAY 2'!Z70</f>
        <v/>
      </c>
      <c r="AD70" t="str">
        <f>'DAY 3'!Z70</f>
        <v/>
      </c>
      <c r="AE70" t="str">
        <f>'DAY 4'!Z70</f>
        <v/>
      </c>
      <c r="AF70" t="str">
        <f>'DAY 5'!Z70</f>
        <v/>
      </c>
      <c r="AG70" s="144" t="str">
        <f t="shared" ref="AG70:AG133" si="14">IF(AND(AB70="",AC70="",AD70="",AE70="",AF70=""),"",SUM(AB70,AC70,AD70,AE70,AF70))</f>
        <v/>
      </c>
      <c r="AH70" s="145" t="str">
        <f t="shared" ref="AH70:AH133" si="15">IF(AND(AB70="",AC70="",AD70="",AE70="",AF70=""),"",COUNT(AB70,AC70,AD70,AE70,AF70))</f>
        <v/>
      </c>
    </row>
    <row r="71" spans="2:34" ht="15.75" thickBot="1" x14ac:dyDescent="0.3">
      <c r="B71" s="66" t="str">
        <f>IF(AND('ENTRY DATA'!C71=""),"",('ENTRY DATA'!C71))</f>
        <v/>
      </c>
      <c r="C71" s="67" t="str">
        <f>IF(AND('ENTRY DATA'!D71=""),"",('ENTRY DATA'!D71))</f>
        <v/>
      </c>
      <c r="E71" s="66" t="str">
        <f>IF(AND('ENTRY DATA'!F71=""),"",('ENTRY DATA'!F71))</f>
        <v/>
      </c>
      <c r="F71" s="67" t="str">
        <f>IF(AND('ENTRY DATA'!G71=""),"",('ENTRY DATA'!G71))</f>
        <v/>
      </c>
      <c r="G71" s="61" t="s">
        <v>40</v>
      </c>
      <c r="I71" s="81" t="str">
        <f>IF(AND('DAY 1'!M71=""),"",('DAY 1'!M71))</f>
        <v/>
      </c>
      <c r="J71" s="79" t="str">
        <f>IF(AND('DAY 2'!M71=""),"",('DAY 2'!M71))</f>
        <v/>
      </c>
      <c r="K71" s="79" t="str">
        <f>IF(AND('DAY 3'!M71=""),"",('DAY 3'!M71))</f>
        <v/>
      </c>
      <c r="L71" s="79" t="str">
        <f>IF(AND('DAY 4'!M71=""),"",('DAY 4'!M71))</f>
        <v/>
      </c>
      <c r="M71" s="80" t="str">
        <f>IF(AND('DAY 5'!M71=""),"",('DAY 5'!M71))</f>
        <v/>
      </c>
      <c r="O71" s="78">
        <f>SUM('DAY 1'!L71,'DAY 2'!L71,'DAY 3'!L71,'DAY 4'!L71,'DAY 5'!L71)</f>
        <v>0</v>
      </c>
      <c r="P71" s="82" t="str">
        <f t="shared" si="8"/>
        <v/>
      </c>
      <c r="Q71" s="83" t="str">
        <f t="shared" si="9"/>
        <v/>
      </c>
      <c r="R71" s="148" t="str">
        <f t="shared" si="10"/>
        <v/>
      </c>
      <c r="S71" s="149" t="str">
        <f t="shared" si="11"/>
        <v/>
      </c>
      <c r="U71" s="66" t="str">
        <f>'DAY 1'!Y71</f>
        <v/>
      </c>
      <c r="V71" s="89" t="str">
        <f>'DAY 2'!Y71</f>
        <v/>
      </c>
      <c r="W71" s="89" t="str">
        <f>'DAY 3'!Y71</f>
        <v/>
      </c>
      <c r="X71" s="89" t="str">
        <f>'DAY 4'!Y71</f>
        <v/>
      </c>
      <c r="Y71" s="67" t="str">
        <f>'DAY 5'!Y71</f>
        <v/>
      </c>
      <c r="Z71" s="142" t="str">
        <f t="shared" si="12"/>
        <v/>
      </c>
      <c r="AA71" s="22" t="str">
        <f t="shared" si="13"/>
        <v/>
      </c>
      <c r="AB71" t="str">
        <f>'DAY 1'!Z71</f>
        <v/>
      </c>
      <c r="AC71" t="str">
        <f>'DAY 2'!Z71</f>
        <v/>
      </c>
      <c r="AD71" t="str">
        <f>'DAY 3'!Z71</f>
        <v/>
      </c>
      <c r="AE71" t="str">
        <f>'DAY 4'!Z71</f>
        <v/>
      </c>
      <c r="AF71" t="str">
        <f>'DAY 5'!Z71</f>
        <v/>
      </c>
      <c r="AG71" s="144" t="str">
        <f t="shared" si="14"/>
        <v/>
      </c>
      <c r="AH71" s="145" t="str">
        <f t="shared" si="15"/>
        <v/>
      </c>
    </row>
    <row r="72" spans="2:34" ht="15.75" thickBot="1" x14ac:dyDescent="0.3">
      <c r="B72" s="66" t="str">
        <f>IF(AND('ENTRY DATA'!C72=""),"",('ENTRY DATA'!C72))</f>
        <v/>
      </c>
      <c r="C72" s="67" t="str">
        <f>IF(AND('ENTRY DATA'!D72=""),"",('ENTRY DATA'!D72))</f>
        <v/>
      </c>
      <c r="E72" s="66" t="str">
        <f>IF(AND('ENTRY DATA'!F72=""),"",('ENTRY DATA'!F72))</f>
        <v/>
      </c>
      <c r="F72" s="67" t="str">
        <f>IF(AND('ENTRY DATA'!G72=""),"",('ENTRY DATA'!G72))</f>
        <v/>
      </c>
      <c r="G72" s="61" t="s">
        <v>40</v>
      </c>
      <c r="I72" s="81" t="str">
        <f>IF(AND('DAY 1'!M72=""),"",('DAY 1'!M72))</f>
        <v/>
      </c>
      <c r="J72" s="79" t="str">
        <f>IF(AND('DAY 2'!M72=""),"",('DAY 2'!M72))</f>
        <v/>
      </c>
      <c r="K72" s="79" t="str">
        <f>IF(AND('DAY 3'!M72=""),"",('DAY 3'!M72))</f>
        <v/>
      </c>
      <c r="L72" s="79" t="str">
        <f>IF(AND('DAY 4'!M72=""),"",('DAY 4'!M72))</f>
        <v/>
      </c>
      <c r="M72" s="80" t="str">
        <f>IF(AND('DAY 5'!M72=""),"",('DAY 5'!M72))</f>
        <v/>
      </c>
      <c r="O72" s="78">
        <f>SUM('DAY 1'!L72,'DAY 2'!L72,'DAY 3'!L72,'DAY 4'!L72,'DAY 5'!L72)</f>
        <v>0</v>
      </c>
      <c r="P72" s="82" t="str">
        <f t="shared" si="8"/>
        <v/>
      </c>
      <c r="Q72" s="83" t="str">
        <f t="shared" si="9"/>
        <v/>
      </c>
      <c r="R72" s="148" t="str">
        <f t="shared" si="10"/>
        <v/>
      </c>
      <c r="S72" s="149" t="str">
        <f t="shared" si="11"/>
        <v/>
      </c>
      <c r="U72" s="66" t="str">
        <f>'DAY 1'!Y72</f>
        <v/>
      </c>
      <c r="V72" s="89" t="str">
        <f>'DAY 2'!Y72</f>
        <v/>
      </c>
      <c r="W72" s="89" t="str">
        <f>'DAY 3'!Y72</f>
        <v/>
      </c>
      <c r="X72" s="89" t="str">
        <f>'DAY 4'!Y72</f>
        <v/>
      </c>
      <c r="Y72" s="67" t="str">
        <f>'DAY 5'!Y72</f>
        <v/>
      </c>
      <c r="Z72" s="142" t="str">
        <f t="shared" si="12"/>
        <v/>
      </c>
      <c r="AA72" s="22" t="str">
        <f t="shared" si="13"/>
        <v/>
      </c>
      <c r="AB72" t="str">
        <f>'DAY 1'!Z72</f>
        <v/>
      </c>
      <c r="AC72" t="str">
        <f>'DAY 2'!Z72</f>
        <v/>
      </c>
      <c r="AD72" t="str">
        <f>'DAY 3'!Z72</f>
        <v/>
      </c>
      <c r="AE72" t="str">
        <f>'DAY 4'!Z72</f>
        <v/>
      </c>
      <c r="AF72" t="str">
        <f>'DAY 5'!Z72</f>
        <v/>
      </c>
      <c r="AG72" s="144" t="str">
        <f t="shared" si="14"/>
        <v/>
      </c>
      <c r="AH72" s="145" t="str">
        <f t="shared" si="15"/>
        <v/>
      </c>
    </row>
    <row r="73" spans="2:34" ht="15.75" thickBot="1" x14ac:dyDescent="0.3">
      <c r="B73" s="66" t="str">
        <f>IF(AND('ENTRY DATA'!C73=""),"",('ENTRY DATA'!C73))</f>
        <v/>
      </c>
      <c r="C73" s="67" t="str">
        <f>IF(AND('ENTRY DATA'!D73=""),"",('ENTRY DATA'!D73))</f>
        <v/>
      </c>
      <c r="E73" s="66" t="str">
        <f>IF(AND('ENTRY DATA'!F73=""),"",('ENTRY DATA'!F73))</f>
        <v/>
      </c>
      <c r="F73" s="67" t="str">
        <f>IF(AND('ENTRY DATA'!G73=""),"",('ENTRY DATA'!G73))</f>
        <v/>
      </c>
      <c r="G73" s="61" t="s">
        <v>40</v>
      </c>
      <c r="I73" s="81" t="str">
        <f>IF(AND('DAY 1'!M73=""),"",('DAY 1'!M73))</f>
        <v/>
      </c>
      <c r="J73" s="79" t="str">
        <f>IF(AND('DAY 2'!M73=""),"",('DAY 2'!M73))</f>
        <v/>
      </c>
      <c r="K73" s="79" t="str">
        <f>IF(AND('DAY 3'!M73=""),"",('DAY 3'!M73))</f>
        <v/>
      </c>
      <c r="L73" s="79" t="str">
        <f>IF(AND('DAY 4'!M73=""),"",('DAY 4'!M73))</f>
        <v/>
      </c>
      <c r="M73" s="80" t="str">
        <f>IF(AND('DAY 5'!M73=""),"",('DAY 5'!M73))</f>
        <v/>
      </c>
      <c r="O73" s="78">
        <f>SUM('DAY 1'!L73,'DAY 2'!L73,'DAY 3'!L73,'DAY 4'!L73,'DAY 5'!L73)</f>
        <v>0</v>
      </c>
      <c r="P73" s="82" t="str">
        <f t="shared" si="8"/>
        <v/>
      </c>
      <c r="Q73" s="83" t="str">
        <f t="shared" si="9"/>
        <v/>
      </c>
      <c r="R73" s="148" t="str">
        <f t="shared" si="10"/>
        <v/>
      </c>
      <c r="S73" s="149" t="str">
        <f t="shared" si="11"/>
        <v/>
      </c>
      <c r="U73" s="66" t="str">
        <f>'DAY 1'!Y73</f>
        <v/>
      </c>
      <c r="V73" s="89" t="str">
        <f>'DAY 2'!Y73</f>
        <v/>
      </c>
      <c r="W73" s="89" t="str">
        <f>'DAY 3'!Y73</f>
        <v/>
      </c>
      <c r="X73" s="89" t="str">
        <f>'DAY 4'!Y73</f>
        <v/>
      </c>
      <c r="Y73" s="67" t="str">
        <f>'DAY 5'!Y73</f>
        <v/>
      </c>
      <c r="Z73" s="142" t="str">
        <f t="shared" si="12"/>
        <v/>
      </c>
      <c r="AA73" s="22" t="str">
        <f t="shared" si="13"/>
        <v/>
      </c>
      <c r="AB73" t="str">
        <f>'DAY 1'!Z73</f>
        <v/>
      </c>
      <c r="AC73" t="str">
        <f>'DAY 2'!Z73</f>
        <v/>
      </c>
      <c r="AD73" t="str">
        <f>'DAY 3'!Z73</f>
        <v/>
      </c>
      <c r="AE73" t="str">
        <f>'DAY 4'!Z73</f>
        <v/>
      </c>
      <c r="AF73" t="str">
        <f>'DAY 5'!Z73</f>
        <v/>
      </c>
      <c r="AG73" s="144" t="str">
        <f t="shared" si="14"/>
        <v/>
      </c>
      <c r="AH73" s="145" t="str">
        <f t="shared" si="15"/>
        <v/>
      </c>
    </row>
    <row r="74" spans="2:34" ht="15.75" thickBot="1" x14ac:dyDescent="0.3">
      <c r="B74" s="66" t="str">
        <f>IF(AND('ENTRY DATA'!C74=""),"",('ENTRY DATA'!C74))</f>
        <v/>
      </c>
      <c r="C74" s="67" t="str">
        <f>IF(AND('ENTRY DATA'!D74=""),"",('ENTRY DATA'!D74))</f>
        <v/>
      </c>
      <c r="E74" s="66" t="str">
        <f>IF(AND('ENTRY DATA'!F74=""),"",('ENTRY DATA'!F74))</f>
        <v/>
      </c>
      <c r="F74" s="67" t="str">
        <f>IF(AND('ENTRY DATA'!G74=""),"",('ENTRY DATA'!G74))</f>
        <v/>
      </c>
      <c r="G74" s="61" t="s">
        <v>40</v>
      </c>
      <c r="I74" s="81" t="str">
        <f>IF(AND('DAY 1'!M74=""),"",('DAY 1'!M74))</f>
        <v/>
      </c>
      <c r="J74" s="79" t="str">
        <f>IF(AND('DAY 2'!M74=""),"",('DAY 2'!M74))</f>
        <v/>
      </c>
      <c r="K74" s="79" t="str">
        <f>IF(AND('DAY 3'!M74=""),"",('DAY 3'!M74))</f>
        <v/>
      </c>
      <c r="L74" s="79" t="str">
        <f>IF(AND('DAY 4'!M74=""),"",('DAY 4'!M74))</f>
        <v/>
      </c>
      <c r="M74" s="80" t="str">
        <f>IF(AND('DAY 5'!M74=""),"",('DAY 5'!M74))</f>
        <v/>
      </c>
      <c r="O74" s="78">
        <f>SUM('DAY 1'!L74,'DAY 2'!L74,'DAY 3'!L74,'DAY 4'!L74,'DAY 5'!L74)</f>
        <v>0</v>
      </c>
      <c r="P74" s="82" t="str">
        <f t="shared" si="8"/>
        <v/>
      </c>
      <c r="Q74" s="83" t="str">
        <f t="shared" si="9"/>
        <v/>
      </c>
      <c r="R74" s="148" t="str">
        <f t="shared" si="10"/>
        <v/>
      </c>
      <c r="S74" s="149" t="str">
        <f t="shared" si="11"/>
        <v/>
      </c>
      <c r="U74" s="66" t="str">
        <f>'DAY 1'!Y74</f>
        <v/>
      </c>
      <c r="V74" s="89" t="str">
        <f>'DAY 2'!Y74</f>
        <v/>
      </c>
      <c r="W74" s="89" t="str">
        <f>'DAY 3'!Y74</f>
        <v/>
      </c>
      <c r="X74" s="89" t="str">
        <f>'DAY 4'!Y74</f>
        <v/>
      </c>
      <c r="Y74" s="67" t="str">
        <f>'DAY 5'!Y74</f>
        <v/>
      </c>
      <c r="Z74" s="142" t="str">
        <f t="shared" si="12"/>
        <v/>
      </c>
      <c r="AA74" s="22" t="str">
        <f t="shared" si="13"/>
        <v/>
      </c>
      <c r="AB74" t="str">
        <f>'DAY 1'!Z74</f>
        <v/>
      </c>
      <c r="AC74" t="str">
        <f>'DAY 2'!Z74</f>
        <v/>
      </c>
      <c r="AD74" t="str">
        <f>'DAY 3'!Z74</f>
        <v/>
      </c>
      <c r="AE74" t="str">
        <f>'DAY 4'!Z74</f>
        <v/>
      </c>
      <c r="AF74" t="str">
        <f>'DAY 5'!Z74</f>
        <v/>
      </c>
      <c r="AG74" s="144" t="str">
        <f t="shared" si="14"/>
        <v/>
      </c>
      <c r="AH74" s="145" t="str">
        <f t="shared" si="15"/>
        <v/>
      </c>
    </row>
    <row r="75" spans="2:34" ht="15.75" thickBot="1" x14ac:dyDescent="0.3">
      <c r="B75" s="66" t="str">
        <f>IF(AND('ENTRY DATA'!C75=""),"",('ENTRY DATA'!C75))</f>
        <v/>
      </c>
      <c r="C75" s="67" t="str">
        <f>IF(AND('ENTRY DATA'!D75=""),"",('ENTRY DATA'!D75))</f>
        <v/>
      </c>
      <c r="E75" s="66" t="str">
        <f>IF(AND('ENTRY DATA'!F75=""),"",('ENTRY DATA'!F75))</f>
        <v/>
      </c>
      <c r="F75" s="67" t="str">
        <f>IF(AND('ENTRY DATA'!G75=""),"",('ENTRY DATA'!G75))</f>
        <v/>
      </c>
      <c r="G75" s="61" t="s">
        <v>40</v>
      </c>
      <c r="I75" s="81" t="str">
        <f>IF(AND('DAY 1'!M75=""),"",('DAY 1'!M75))</f>
        <v/>
      </c>
      <c r="J75" s="79" t="str">
        <f>IF(AND('DAY 2'!M75=""),"",('DAY 2'!M75))</f>
        <v/>
      </c>
      <c r="K75" s="79" t="str">
        <f>IF(AND('DAY 3'!M75=""),"",('DAY 3'!M75))</f>
        <v/>
      </c>
      <c r="L75" s="79" t="str">
        <f>IF(AND('DAY 4'!M75=""),"",('DAY 4'!M75))</f>
        <v/>
      </c>
      <c r="M75" s="80" t="str">
        <f>IF(AND('DAY 5'!M75=""),"",('DAY 5'!M75))</f>
        <v/>
      </c>
      <c r="O75" s="78">
        <f>SUM('DAY 1'!L75,'DAY 2'!L75,'DAY 3'!L75,'DAY 4'!L75,'DAY 5'!L75)</f>
        <v>0</v>
      </c>
      <c r="P75" s="82" t="str">
        <f t="shared" si="8"/>
        <v/>
      </c>
      <c r="Q75" s="83" t="str">
        <f t="shared" si="9"/>
        <v/>
      </c>
      <c r="R75" s="148" t="str">
        <f t="shared" si="10"/>
        <v/>
      </c>
      <c r="S75" s="149" t="str">
        <f t="shared" si="11"/>
        <v/>
      </c>
      <c r="U75" s="66" t="str">
        <f>'DAY 1'!Y75</f>
        <v/>
      </c>
      <c r="V75" s="89" t="str">
        <f>'DAY 2'!Y75</f>
        <v/>
      </c>
      <c r="W75" s="89" t="str">
        <f>'DAY 3'!Y75</f>
        <v/>
      </c>
      <c r="X75" s="89" t="str">
        <f>'DAY 4'!Y75</f>
        <v/>
      </c>
      <c r="Y75" s="67" t="str">
        <f>'DAY 5'!Y75</f>
        <v/>
      </c>
      <c r="Z75" s="142" t="str">
        <f t="shared" si="12"/>
        <v/>
      </c>
      <c r="AA75" s="22" t="str">
        <f t="shared" si="13"/>
        <v/>
      </c>
      <c r="AB75" t="str">
        <f>'DAY 1'!Z75</f>
        <v/>
      </c>
      <c r="AC75" t="str">
        <f>'DAY 2'!Z75</f>
        <v/>
      </c>
      <c r="AD75" t="str">
        <f>'DAY 3'!Z75</f>
        <v/>
      </c>
      <c r="AE75" t="str">
        <f>'DAY 4'!Z75</f>
        <v/>
      </c>
      <c r="AF75" t="str">
        <f>'DAY 5'!Z75</f>
        <v/>
      </c>
      <c r="AG75" s="144" t="str">
        <f t="shared" si="14"/>
        <v/>
      </c>
      <c r="AH75" s="145" t="str">
        <f t="shared" si="15"/>
        <v/>
      </c>
    </row>
    <row r="76" spans="2:34" ht="15.75" thickBot="1" x14ac:dyDescent="0.3">
      <c r="B76" s="66" t="str">
        <f>IF(AND('ENTRY DATA'!C76=""),"",('ENTRY DATA'!C76))</f>
        <v/>
      </c>
      <c r="C76" s="67" t="str">
        <f>IF(AND('ENTRY DATA'!D76=""),"",('ENTRY DATA'!D76))</f>
        <v/>
      </c>
      <c r="E76" s="66" t="str">
        <f>IF(AND('ENTRY DATA'!F76=""),"",('ENTRY DATA'!F76))</f>
        <v/>
      </c>
      <c r="F76" s="67" t="str">
        <f>IF(AND('ENTRY DATA'!G76=""),"",('ENTRY DATA'!G76))</f>
        <v/>
      </c>
      <c r="G76" s="61" t="s">
        <v>40</v>
      </c>
      <c r="I76" s="81" t="str">
        <f>IF(AND('DAY 1'!M76=""),"",('DAY 1'!M76))</f>
        <v/>
      </c>
      <c r="J76" s="79" t="str">
        <f>IF(AND('DAY 2'!M76=""),"",('DAY 2'!M76))</f>
        <v/>
      </c>
      <c r="K76" s="79" t="str">
        <f>IF(AND('DAY 3'!M76=""),"",('DAY 3'!M76))</f>
        <v/>
      </c>
      <c r="L76" s="79" t="str">
        <f>IF(AND('DAY 4'!M76=""),"",('DAY 4'!M76))</f>
        <v/>
      </c>
      <c r="M76" s="80" t="str">
        <f>IF(AND('DAY 5'!M76=""),"",('DAY 5'!M76))</f>
        <v/>
      </c>
      <c r="O76" s="78">
        <f>SUM('DAY 1'!L76,'DAY 2'!L76,'DAY 3'!L76,'DAY 4'!L76,'DAY 5'!L76)</f>
        <v>0</v>
      </c>
      <c r="P76" s="82" t="str">
        <f t="shared" si="8"/>
        <v/>
      </c>
      <c r="Q76" s="83" t="str">
        <f t="shared" si="9"/>
        <v/>
      </c>
      <c r="R76" s="148" t="str">
        <f t="shared" si="10"/>
        <v/>
      </c>
      <c r="S76" s="149" t="str">
        <f t="shared" si="11"/>
        <v/>
      </c>
      <c r="U76" s="66" t="str">
        <f>'DAY 1'!Y76</f>
        <v/>
      </c>
      <c r="V76" s="89" t="str">
        <f>'DAY 2'!Y76</f>
        <v/>
      </c>
      <c r="W76" s="89" t="str">
        <f>'DAY 3'!Y76</f>
        <v/>
      </c>
      <c r="X76" s="89" t="str">
        <f>'DAY 4'!Y76</f>
        <v/>
      </c>
      <c r="Y76" s="67" t="str">
        <f>'DAY 5'!Y76</f>
        <v/>
      </c>
      <c r="Z76" s="142" t="str">
        <f t="shared" si="12"/>
        <v/>
      </c>
      <c r="AA76" s="22" t="str">
        <f t="shared" si="13"/>
        <v/>
      </c>
      <c r="AB76" t="str">
        <f>'DAY 1'!Z76</f>
        <v/>
      </c>
      <c r="AC76" t="str">
        <f>'DAY 2'!Z76</f>
        <v/>
      </c>
      <c r="AD76" t="str">
        <f>'DAY 3'!Z76</f>
        <v/>
      </c>
      <c r="AE76" t="str">
        <f>'DAY 4'!Z76</f>
        <v/>
      </c>
      <c r="AF76" t="str">
        <f>'DAY 5'!Z76</f>
        <v/>
      </c>
      <c r="AG76" s="144" t="str">
        <f t="shared" si="14"/>
        <v/>
      </c>
      <c r="AH76" s="145" t="str">
        <f t="shared" si="15"/>
        <v/>
      </c>
    </row>
    <row r="77" spans="2:34" ht="15.75" thickBot="1" x14ac:dyDescent="0.3">
      <c r="B77" s="66" t="str">
        <f>IF(AND('ENTRY DATA'!C77=""),"",('ENTRY DATA'!C77))</f>
        <v/>
      </c>
      <c r="C77" s="67" t="str">
        <f>IF(AND('ENTRY DATA'!D77=""),"",('ENTRY DATA'!D77))</f>
        <v/>
      </c>
      <c r="E77" s="66" t="str">
        <f>IF(AND('ENTRY DATA'!F77=""),"",('ENTRY DATA'!F77))</f>
        <v/>
      </c>
      <c r="F77" s="67" t="str">
        <f>IF(AND('ENTRY DATA'!G77=""),"",('ENTRY DATA'!G77))</f>
        <v/>
      </c>
      <c r="G77" s="61" t="s">
        <v>40</v>
      </c>
      <c r="I77" s="81" t="str">
        <f>IF(AND('DAY 1'!M77=""),"",('DAY 1'!M77))</f>
        <v/>
      </c>
      <c r="J77" s="79" t="str">
        <f>IF(AND('DAY 2'!M77=""),"",('DAY 2'!M77))</f>
        <v/>
      </c>
      <c r="K77" s="79" t="str">
        <f>IF(AND('DAY 3'!M77=""),"",('DAY 3'!M77))</f>
        <v/>
      </c>
      <c r="L77" s="79" t="str">
        <f>IF(AND('DAY 4'!M77=""),"",('DAY 4'!M77))</f>
        <v/>
      </c>
      <c r="M77" s="80" t="str">
        <f>IF(AND('DAY 5'!M77=""),"",('DAY 5'!M77))</f>
        <v/>
      </c>
      <c r="O77" s="78">
        <f>SUM('DAY 1'!L77,'DAY 2'!L77,'DAY 3'!L77,'DAY 4'!L77,'DAY 5'!L77)</f>
        <v>0</v>
      </c>
      <c r="P77" s="82" t="str">
        <f t="shared" si="8"/>
        <v/>
      </c>
      <c r="Q77" s="83" t="str">
        <f t="shared" si="9"/>
        <v/>
      </c>
      <c r="R77" s="148" t="str">
        <f t="shared" si="10"/>
        <v/>
      </c>
      <c r="S77" s="149" t="str">
        <f t="shared" si="11"/>
        <v/>
      </c>
      <c r="U77" s="66" t="str">
        <f>'DAY 1'!Y77</f>
        <v/>
      </c>
      <c r="V77" s="89" t="str">
        <f>'DAY 2'!Y77</f>
        <v/>
      </c>
      <c r="W77" s="89" t="str">
        <f>'DAY 3'!Y77</f>
        <v/>
      </c>
      <c r="X77" s="89" t="str">
        <f>'DAY 4'!Y77</f>
        <v/>
      </c>
      <c r="Y77" s="67" t="str">
        <f>'DAY 5'!Y77</f>
        <v/>
      </c>
      <c r="Z77" s="142" t="str">
        <f t="shared" si="12"/>
        <v/>
      </c>
      <c r="AA77" s="22" t="str">
        <f t="shared" si="13"/>
        <v/>
      </c>
      <c r="AB77" t="str">
        <f>'DAY 1'!Z77</f>
        <v/>
      </c>
      <c r="AC77" t="str">
        <f>'DAY 2'!Z77</f>
        <v/>
      </c>
      <c r="AD77" t="str">
        <f>'DAY 3'!Z77</f>
        <v/>
      </c>
      <c r="AE77" t="str">
        <f>'DAY 4'!Z77</f>
        <v/>
      </c>
      <c r="AF77" t="str">
        <f>'DAY 5'!Z77</f>
        <v/>
      </c>
      <c r="AG77" s="144" t="str">
        <f t="shared" si="14"/>
        <v/>
      </c>
      <c r="AH77" s="145" t="str">
        <f t="shared" si="15"/>
        <v/>
      </c>
    </row>
    <row r="78" spans="2:34" ht="15.75" thickBot="1" x14ac:dyDescent="0.3">
      <c r="B78" s="66" t="str">
        <f>IF(AND('ENTRY DATA'!C78=""),"",('ENTRY DATA'!C78))</f>
        <v/>
      </c>
      <c r="C78" s="67" t="str">
        <f>IF(AND('ENTRY DATA'!D78=""),"",('ENTRY DATA'!D78))</f>
        <v/>
      </c>
      <c r="E78" s="66" t="str">
        <f>IF(AND('ENTRY DATA'!F78=""),"",('ENTRY DATA'!F78))</f>
        <v/>
      </c>
      <c r="F78" s="67" t="str">
        <f>IF(AND('ENTRY DATA'!G78=""),"",('ENTRY DATA'!G78))</f>
        <v/>
      </c>
      <c r="G78" s="61" t="s">
        <v>40</v>
      </c>
      <c r="I78" s="81" t="str">
        <f>IF(AND('DAY 1'!M78=""),"",('DAY 1'!M78))</f>
        <v/>
      </c>
      <c r="J78" s="79" t="str">
        <f>IF(AND('DAY 2'!M78=""),"",('DAY 2'!M78))</f>
        <v/>
      </c>
      <c r="K78" s="79" t="str">
        <f>IF(AND('DAY 3'!M78=""),"",('DAY 3'!M78))</f>
        <v/>
      </c>
      <c r="L78" s="79" t="str">
        <f>IF(AND('DAY 4'!M78=""),"",('DAY 4'!M78))</f>
        <v/>
      </c>
      <c r="M78" s="80" t="str">
        <f>IF(AND('DAY 5'!M78=""),"",('DAY 5'!M78))</f>
        <v/>
      </c>
      <c r="O78" s="78">
        <f>SUM('DAY 1'!L78,'DAY 2'!L78,'DAY 3'!L78,'DAY 4'!L78,'DAY 5'!L78)</f>
        <v>0</v>
      </c>
      <c r="P78" s="82" t="str">
        <f t="shared" si="8"/>
        <v/>
      </c>
      <c r="Q78" s="83" t="str">
        <f t="shared" si="9"/>
        <v/>
      </c>
      <c r="R78" s="148" t="str">
        <f t="shared" si="10"/>
        <v/>
      </c>
      <c r="S78" s="149" t="str">
        <f t="shared" si="11"/>
        <v/>
      </c>
      <c r="U78" s="66" t="str">
        <f>'DAY 1'!Y78</f>
        <v/>
      </c>
      <c r="V78" s="89" t="str">
        <f>'DAY 2'!Y78</f>
        <v/>
      </c>
      <c r="W78" s="89" t="str">
        <f>'DAY 3'!Y78</f>
        <v/>
      </c>
      <c r="X78" s="89" t="str">
        <f>'DAY 4'!Y78</f>
        <v/>
      </c>
      <c r="Y78" s="67" t="str">
        <f>'DAY 5'!Y78</f>
        <v/>
      </c>
      <c r="Z78" s="142" t="str">
        <f t="shared" si="12"/>
        <v/>
      </c>
      <c r="AA78" s="22" t="str">
        <f t="shared" si="13"/>
        <v/>
      </c>
      <c r="AB78" t="str">
        <f>'DAY 1'!Z78</f>
        <v/>
      </c>
      <c r="AC78" t="str">
        <f>'DAY 2'!Z78</f>
        <v/>
      </c>
      <c r="AD78" t="str">
        <f>'DAY 3'!Z78</f>
        <v/>
      </c>
      <c r="AE78" t="str">
        <f>'DAY 4'!Z78</f>
        <v/>
      </c>
      <c r="AF78" t="str">
        <f>'DAY 5'!Z78</f>
        <v/>
      </c>
      <c r="AG78" s="144" t="str">
        <f t="shared" si="14"/>
        <v/>
      </c>
      <c r="AH78" s="145" t="str">
        <f t="shared" si="15"/>
        <v/>
      </c>
    </row>
    <row r="79" spans="2:34" ht="15.75" thickBot="1" x14ac:dyDescent="0.3">
      <c r="B79" s="66" t="str">
        <f>IF(AND('ENTRY DATA'!C79=""),"",('ENTRY DATA'!C79))</f>
        <v/>
      </c>
      <c r="C79" s="67" t="str">
        <f>IF(AND('ENTRY DATA'!D79=""),"",('ENTRY DATA'!D79))</f>
        <v/>
      </c>
      <c r="E79" s="66" t="str">
        <f>IF(AND('ENTRY DATA'!F79=""),"",('ENTRY DATA'!F79))</f>
        <v/>
      </c>
      <c r="F79" s="67" t="str">
        <f>IF(AND('ENTRY DATA'!G79=""),"",('ENTRY DATA'!G79))</f>
        <v/>
      </c>
      <c r="G79" s="61" t="s">
        <v>40</v>
      </c>
      <c r="I79" s="81" t="str">
        <f>IF(AND('DAY 1'!M79=""),"",('DAY 1'!M79))</f>
        <v/>
      </c>
      <c r="J79" s="79" t="str">
        <f>IF(AND('DAY 2'!M79=""),"",('DAY 2'!M79))</f>
        <v/>
      </c>
      <c r="K79" s="79" t="str">
        <f>IF(AND('DAY 3'!M79=""),"",('DAY 3'!M79))</f>
        <v/>
      </c>
      <c r="L79" s="79" t="str">
        <f>IF(AND('DAY 4'!M79=""),"",('DAY 4'!M79))</f>
        <v/>
      </c>
      <c r="M79" s="80" t="str">
        <f>IF(AND('DAY 5'!M79=""),"",('DAY 5'!M79))</f>
        <v/>
      </c>
      <c r="O79" s="78">
        <f>SUM('DAY 1'!L79,'DAY 2'!L79,'DAY 3'!L79,'DAY 4'!L79,'DAY 5'!L79)</f>
        <v>0</v>
      </c>
      <c r="P79" s="82" t="str">
        <f t="shared" si="8"/>
        <v/>
      </c>
      <c r="Q79" s="83" t="str">
        <f t="shared" si="9"/>
        <v/>
      </c>
      <c r="R79" s="148" t="str">
        <f t="shared" si="10"/>
        <v/>
      </c>
      <c r="S79" s="149" t="str">
        <f t="shared" si="11"/>
        <v/>
      </c>
      <c r="U79" s="66" t="str">
        <f>'DAY 1'!Y79</f>
        <v/>
      </c>
      <c r="V79" s="89" t="str">
        <f>'DAY 2'!Y79</f>
        <v/>
      </c>
      <c r="W79" s="89" t="str">
        <f>'DAY 3'!Y79</f>
        <v/>
      </c>
      <c r="X79" s="89" t="str">
        <f>'DAY 4'!Y79</f>
        <v/>
      </c>
      <c r="Y79" s="67" t="str">
        <f>'DAY 5'!Y79</f>
        <v/>
      </c>
      <c r="Z79" s="142" t="str">
        <f t="shared" si="12"/>
        <v/>
      </c>
      <c r="AA79" s="22" t="str">
        <f t="shared" si="13"/>
        <v/>
      </c>
      <c r="AB79" t="str">
        <f>'DAY 1'!Z79</f>
        <v/>
      </c>
      <c r="AC79" t="str">
        <f>'DAY 2'!Z79</f>
        <v/>
      </c>
      <c r="AD79" t="str">
        <f>'DAY 3'!Z79</f>
        <v/>
      </c>
      <c r="AE79" t="str">
        <f>'DAY 4'!Z79</f>
        <v/>
      </c>
      <c r="AF79" t="str">
        <f>'DAY 5'!Z79</f>
        <v/>
      </c>
      <c r="AG79" s="144" t="str">
        <f t="shared" si="14"/>
        <v/>
      </c>
      <c r="AH79" s="145" t="str">
        <f t="shared" si="15"/>
        <v/>
      </c>
    </row>
    <row r="80" spans="2:34" ht="15.75" thickBot="1" x14ac:dyDescent="0.3">
      <c r="B80" s="66" t="str">
        <f>IF(AND('ENTRY DATA'!C80=""),"",('ENTRY DATA'!C80))</f>
        <v/>
      </c>
      <c r="C80" s="67" t="str">
        <f>IF(AND('ENTRY DATA'!D80=""),"",('ENTRY DATA'!D80))</f>
        <v/>
      </c>
      <c r="E80" s="66" t="str">
        <f>IF(AND('ENTRY DATA'!F80=""),"",('ENTRY DATA'!F80))</f>
        <v/>
      </c>
      <c r="F80" s="67" t="str">
        <f>IF(AND('ENTRY DATA'!G80=""),"",('ENTRY DATA'!G80))</f>
        <v/>
      </c>
      <c r="G80" s="61" t="s">
        <v>40</v>
      </c>
      <c r="I80" s="81" t="str">
        <f>IF(AND('DAY 1'!M80=""),"",('DAY 1'!M80))</f>
        <v/>
      </c>
      <c r="J80" s="79" t="str">
        <f>IF(AND('DAY 2'!M80=""),"",('DAY 2'!M80))</f>
        <v/>
      </c>
      <c r="K80" s="79" t="str">
        <f>IF(AND('DAY 3'!M80=""),"",('DAY 3'!M80))</f>
        <v/>
      </c>
      <c r="L80" s="79" t="str">
        <f>IF(AND('DAY 4'!M80=""),"",('DAY 4'!M80))</f>
        <v/>
      </c>
      <c r="M80" s="80" t="str">
        <f>IF(AND('DAY 5'!M80=""),"",('DAY 5'!M80))</f>
        <v/>
      </c>
      <c r="O80" s="78">
        <f>SUM('DAY 1'!L80,'DAY 2'!L80,'DAY 3'!L80,'DAY 4'!L80,'DAY 5'!L80)</f>
        <v>0</v>
      </c>
      <c r="P80" s="82" t="str">
        <f t="shared" si="8"/>
        <v/>
      </c>
      <c r="Q80" s="83" t="str">
        <f t="shared" si="9"/>
        <v/>
      </c>
      <c r="R80" s="148" t="str">
        <f t="shared" si="10"/>
        <v/>
      </c>
      <c r="S80" s="149" t="str">
        <f t="shared" si="11"/>
        <v/>
      </c>
      <c r="U80" s="66" t="str">
        <f>'DAY 1'!Y80</f>
        <v/>
      </c>
      <c r="V80" s="89" t="str">
        <f>'DAY 2'!Y80</f>
        <v/>
      </c>
      <c r="W80" s="89" t="str">
        <f>'DAY 3'!Y80</f>
        <v/>
      </c>
      <c r="X80" s="89" t="str">
        <f>'DAY 4'!Y80</f>
        <v/>
      </c>
      <c r="Y80" s="67" t="str">
        <f>'DAY 5'!Y80</f>
        <v/>
      </c>
      <c r="Z80" s="142" t="str">
        <f t="shared" si="12"/>
        <v/>
      </c>
      <c r="AA80" s="22" t="str">
        <f t="shared" si="13"/>
        <v/>
      </c>
      <c r="AB80" t="str">
        <f>'DAY 1'!Z80</f>
        <v/>
      </c>
      <c r="AC80" t="str">
        <f>'DAY 2'!Z80</f>
        <v/>
      </c>
      <c r="AD80" t="str">
        <f>'DAY 3'!Z80</f>
        <v/>
      </c>
      <c r="AE80" t="str">
        <f>'DAY 4'!Z80</f>
        <v/>
      </c>
      <c r="AF80" t="str">
        <f>'DAY 5'!Z80</f>
        <v/>
      </c>
      <c r="AG80" s="144" t="str">
        <f t="shared" si="14"/>
        <v/>
      </c>
      <c r="AH80" s="145" t="str">
        <f t="shared" si="15"/>
        <v/>
      </c>
    </row>
    <row r="81" spans="2:34" ht="15.75" thickBot="1" x14ac:dyDescent="0.3">
      <c r="B81" s="66" t="str">
        <f>IF(AND('ENTRY DATA'!C81=""),"",('ENTRY DATA'!C81))</f>
        <v/>
      </c>
      <c r="C81" s="67" t="str">
        <f>IF(AND('ENTRY DATA'!D81=""),"",('ENTRY DATA'!D81))</f>
        <v/>
      </c>
      <c r="E81" s="66" t="str">
        <f>IF(AND('ENTRY DATA'!F81=""),"",('ENTRY DATA'!F81))</f>
        <v/>
      </c>
      <c r="F81" s="67" t="str">
        <f>IF(AND('ENTRY DATA'!G81=""),"",('ENTRY DATA'!G81))</f>
        <v/>
      </c>
      <c r="G81" s="61" t="s">
        <v>40</v>
      </c>
      <c r="I81" s="81" t="str">
        <f>IF(AND('DAY 1'!M81=""),"",('DAY 1'!M81))</f>
        <v/>
      </c>
      <c r="J81" s="79" t="str">
        <f>IF(AND('DAY 2'!M81=""),"",('DAY 2'!M81))</f>
        <v/>
      </c>
      <c r="K81" s="79" t="str">
        <f>IF(AND('DAY 3'!M81=""),"",('DAY 3'!M81))</f>
        <v/>
      </c>
      <c r="L81" s="79" t="str">
        <f>IF(AND('DAY 4'!M81=""),"",('DAY 4'!M81))</f>
        <v/>
      </c>
      <c r="M81" s="80" t="str">
        <f>IF(AND('DAY 5'!M81=""),"",('DAY 5'!M81))</f>
        <v/>
      </c>
      <c r="O81" s="78">
        <f>SUM('DAY 1'!L81,'DAY 2'!L81,'DAY 3'!L81,'DAY 4'!L81,'DAY 5'!L81)</f>
        <v>0</v>
      </c>
      <c r="P81" s="82" t="str">
        <f t="shared" si="8"/>
        <v/>
      </c>
      <c r="Q81" s="83" t="str">
        <f t="shared" si="9"/>
        <v/>
      </c>
      <c r="R81" s="148" t="str">
        <f t="shared" si="10"/>
        <v/>
      </c>
      <c r="S81" s="149" t="str">
        <f t="shared" si="11"/>
        <v/>
      </c>
      <c r="U81" s="66" t="str">
        <f>'DAY 1'!Y81</f>
        <v/>
      </c>
      <c r="V81" s="89" t="str">
        <f>'DAY 2'!Y81</f>
        <v/>
      </c>
      <c r="W81" s="89" t="str">
        <f>'DAY 3'!Y81</f>
        <v/>
      </c>
      <c r="X81" s="89" t="str">
        <f>'DAY 4'!Y81</f>
        <v/>
      </c>
      <c r="Y81" s="67" t="str">
        <f>'DAY 5'!Y81</f>
        <v/>
      </c>
      <c r="Z81" s="142" t="str">
        <f t="shared" si="12"/>
        <v/>
      </c>
      <c r="AA81" s="22" t="str">
        <f t="shared" si="13"/>
        <v/>
      </c>
      <c r="AB81" t="str">
        <f>'DAY 1'!Z81</f>
        <v/>
      </c>
      <c r="AC81" t="str">
        <f>'DAY 2'!Z81</f>
        <v/>
      </c>
      <c r="AD81" t="str">
        <f>'DAY 3'!Z81</f>
        <v/>
      </c>
      <c r="AE81" t="str">
        <f>'DAY 4'!Z81</f>
        <v/>
      </c>
      <c r="AF81" t="str">
        <f>'DAY 5'!Z81</f>
        <v/>
      </c>
      <c r="AG81" s="144" t="str">
        <f t="shared" si="14"/>
        <v/>
      </c>
      <c r="AH81" s="145" t="str">
        <f t="shared" si="15"/>
        <v/>
      </c>
    </row>
    <row r="82" spans="2:34" ht="15.75" thickBot="1" x14ac:dyDescent="0.3">
      <c r="B82" s="66" t="str">
        <f>IF(AND('ENTRY DATA'!C82=""),"",('ENTRY DATA'!C82))</f>
        <v/>
      </c>
      <c r="C82" s="67" t="str">
        <f>IF(AND('ENTRY DATA'!D82=""),"",('ENTRY DATA'!D82))</f>
        <v/>
      </c>
      <c r="E82" s="66" t="str">
        <f>IF(AND('ENTRY DATA'!F82=""),"",('ENTRY DATA'!F82))</f>
        <v/>
      </c>
      <c r="F82" s="67" t="str">
        <f>IF(AND('ENTRY DATA'!G82=""),"",('ENTRY DATA'!G82))</f>
        <v/>
      </c>
      <c r="G82" s="61" t="s">
        <v>40</v>
      </c>
      <c r="I82" s="81" t="str">
        <f>IF(AND('DAY 1'!M82=""),"",('DAY 1'!M82))</f>
        <v/>
      </c>
      <c r="J82" s="79" t="str">
        <f>IF(AND('DAY 2'!M82=""),"",('DAY 2'!M82))</f>
        <v/>
      </c>
      <c r="K82" s="79" t="str">
        <f>IF(AND('DAY 3'!M82=""),"",('DAY 3'!M82))</f>
        <v/>
      </c>
      <c r="L82" s="79" t="str">
        <f>IF(AND('DAY 4'!M82=""),"",('DAY 4'!M82))</f>
        <v/>
      </c>
      <c r="M82" s="80" t="str">
        <f>IF(AND('DAY 5'!M82=""),"",('DAY 5'!M82))</f>
        <v/>
      </c>
      <c r="O82" s="78">
        <f>SUM('DAY 1'!L82,'DAY 2'!L82,'DAY 3'!L82,'DAY 4'!L82,'DAY 5'!L82)</f>
        <v>0</v>
      </c>
      <c r="P82" s="82" t="str">
        <f t="shared" si="8"/>
        <v/>
      </c>
      <c r="Q82" s="83" t="str">
        <f t="shared" si="9"/>
        <v/>
      </c>
      <c r="R82" s="148" t="str">
        <f t="shared" si="10"/>
        <v/>
      </c>
      <c r="S82" s="149" t="str">
        <f t="shared" si="11"/>
        <v/>
      </c>
      <c r="U82" s="66" t="str">
        <f>'DAY 1'!Y82</f>
        <v/>
      </c>
      <c r="V82" s="89" t="str">
        <f>'DAY 2'!Y82</f>
        <v/>
      </c>
      <c r="W82" s="89" t="str">
        <f>'DAY 3'!Y82</f>
        <v/>
      </c>
      <c r="X82" s="89" t="str">
        <f>'DAY 4'!Y82</f>
        <v/>
      </c>
      <c r="Y82" s="67" t="str">
        <f>'DAY 5'!Y82</f>
        <v/>
      </c>
      <c r="Z82" s="142" t="str">
        <f t="shared" si="12"/>
        <v/>
      </c>
      <c r="AA82" s="22" t="str">
        <f t="shared" si="13"/>
        <v/>
      </c>
      <c r="AB82" t="str">
        <f>'DAY 1'!Z82</f>
        <v/>
      </c>
      <c r="AC82" t="str">
        <f>'DAY 2'!Z82</f>
        <v/>
      </c>
      <c r="AD82" t="str">
        <f>'DAY 3'!Z82</f>
        <v/>
      </c>
      <c r="AE82" t="str">
        <f>'DAY 4'!Z82</f>
        <v/>
      </c>
      <c r="AF82" t="str">
        <f>'DAY 5'!Z82</f>
        <v/>
      </c>
      <c r="AG82" s="144" t="str">
        <f t="shared" si="14"/>
        <v/>
      </c>
      <c r="AH82" s="145" t="str">
        <f t="shared" si="15"/>
        <v/>
      </c>
    </row>
    <row r="83" spans="2:34" ht="15.75" thickBot="1" x14ac:dyDescent="0.3">
      <c r="B83" s="66" t="str">
        <f>IF(AND('ENTRY DATA'!C83=""),"",('ENTRY DATA'!C83))</f>
        <v/>
      </c>
      <c r="C83" s="67" t="str">
        <f>IF(AND('ENTRY DATA'!D83=""),"",('ENTRY DATA'!D83))</f>
        <v/>
      </c>
      <c r="E83" s="66" t="str">
        <f>IF(AND('ENTRY DATA'!F83=""),"",('ENTRY DATA'!F83))</f>
        <v/>
      </c>
      <c r="F83" s="67" t="str">
        <f>IF(AND('ENTRY DATA'!G83=""),"",('ENTRY DATA'!G83))</f>
        <v/>
      </c>
      <c r="G83" s="61" t="s">
        <v>40</v>
      </c>
      <c r="I83" s="81" t="str">
        <f>IF(AND('DAY 1'!M83=""),"",('DAY 1'!M83))</f>
        <v/>
      </c>
      <c r="J83" s="79" t="str">
        <f>IF(AND('DAY 2'!M83=""),"",('DAY 2'!M83))</f>
        <v/>
      </c>
      <c r="K83" s="79" t="str">
        <f>IF(AND('DAY 3'!M83=""),"",('DAY 3'!M83))</f>
        <v/>
      </c>
      <c r="L83" s="79" t="str">
        <f>IF(AND('DAY 4'!M83=""),"",('DAY 4'!M83))</f>
        <v/>
      </c>
      <c r="M83" s="80" t="str">
        <f>IF(AND('DAY 5'!M83=""),"",('DAY 5'!M83))</f>
        <v/>
      </c>
      <c r="O83" s="78">
        <f>SUM('DAY 1'!L83,'DAY 2'!L83,'DAY 3'!L83,'DAY 4'!L83,'DAY 5'!L83)</f>
        <v>0</v>
      </c>
      <c r="P83" s="82" t="str">
        <f t="shared" si="8"/>
        <v/>
      </c>
      <c r="Q83" s="83" t="str">
        <f t="shared" si="9"/>
        <v/>
      </c>
      <c r="R83" s="148" t="str">
        <f t="shared" si="10"/>
        <v/>
      </c>
      <c r="S83" s="149" t="str">
        <f t="shared" si="11"/>
        <v/>
      </c>
      <c r="U83" s="66" t="str">
        <f>'DAY 1'!Y83</f>
        <v/>
      </c>
      <c r="V83" s="89" t="str">
        <f>'DAY 2'!Y83</f>
        <v/>
      </c>
      <c r="W83" s="89" t="str">
        <f>'DAY 3'!Y83</f>
        <v/>
      </c>
      <c r="X83" s="89" t="str">
        <f>'DAY 4'!Y83</f>
        <v/>
      </c>
      <c r="Y83" s="67" t="str">
        <f>'DAY 5'!Y83</f>
        <v/>
      </c>
      <c r="Z83" s="142" t="str">
        <f t="shared" si="12"/>
        <v/>
      </c>
      <c r="AA83" s="22" t="str">
        <f t="shared" si="13"/>
        <v/>
      </c>
      <c r="AB83" t="str">
        <f>'DAY 1'!Z83</f>
        <v/>
      </c>
      <c r="AC83" t="str">
        <f>'DAY 2'!Z83</f>
        <v/>
      </c>
      <c r="AD83" t="str">
        <f>'DAY 3'!Z83</f>
        <v/>
      </c>
      <c r="AE83" t="str">
        <f>'DAY 4'!Z83</f>
        <v/>
      </c>
      <c r="AF83" t="str">
        <f>'DAY 5'!Z83</f>
        <v/>
      </c>
      <c r="AG83" s="144" t="str">
        <f t="shared" si="14"/>
        <v/>
      </c>
      <c r="AH83" s="145" t="str">
        <f t="shared" si="15"/>
        <v/>
      </c>
    </row>
    <row r="84" spans="2:34" ht="15.75" thickBot="1" x14ac:dyDescent="0.3">
      <c r="B84" s="66" t="str">
        <f>IF(AND('ENTRY DATA'!C84=""),"",('ENTRY DATA'!C84))</f>
        <v/>
      </c>
      <c r="C84" s="67" t="str">
        <f>IF(AND('ENTRY DATA'!D84=""),"",('ENTRY DATA'!D84))</f>
        <v/>
      </c>
      <c r="E84" s="66" t="str">
        <f>IF(AND('ENTRY DATA'!F84=""),"",('ENTRY DATA'!F84))</f>
        <v/>
      </c>
      <c r="F84" s="67" t="str">
        <f>IF(AND('ENTRY DATA'!G84=""),"",('ENTRY DATA'!G84))</f>
        <v/>
      </c>
      <c r="G84" s="61" t="s">
        <v>40</v>
      </c>
      <c r="I84" s="81" t="str">
        <f>IF(AND('DAY 1'!M84=""),"",('DAY 1'!M84))</f>
        <v/>
      </c>
      <c r="J84" s="79" t="str">
        <f>IF(AND('DAY 2'!M84=""),"",('DAY 2'!M84))</f>
        <v/>
      </c>
      <c r="K84" s="79" t="str">
        <f>IF(AND('DAY 3'!M84=""),"",('DAY 3'!M84))</f>
        <v/>
      </c>
      <c r="L84" s="79" t="str">
        <f>IF(AND('DAY 4'!M84=""),"",('DAY 4'!M84))</f>
        <v/>
      </c>
      <c r="M84" s="80" t="str">
        <f>IF(AND('DAY 5'!M84=""),"",('DAY 5'!M84))</f>
        <v/>
      </c>
      <c r="O84" s="78">
        <f>SUM('DAY 1'!L84,'DAY 2'!L84,'DAY 3'!L84,'DAY 4'!L84,'DAY 5'!L84)</f>
        <v>0</v>
      </c>
      <c r="P84" s="82" t="str">
        <f t="shared" si="8"/>
        <v/>
      </c>
      <c r="Q84" s="83" t="str">
        <f t="shared" si="9"/>
        <v/>
      </c>
      <c r="R84" s="148" t="str">
        <f t="shared" si="10"/>
        <v/>
      </c>
      <c r="S84" s="149" t="str">
        <f t="shared" si="11"/>
        <v/>
      </c>
      <c r="U84" s="66" t="str">
        <f>'DAY 1'!Y84</f>
        <v/>
      </c>
      <c r="V84" s="89" t="str">
        <f>'DAY 2'!Y84</f>
        <v/>
      </c>
      <c r="W84" s="89" t="str">
        <f>'DAY 3'!Y84</f>
        <v/>
      </c>
      <c r="X84" s="89" t="str">
        <f>'DAY 4'!Y84</f>
        <v/>
      </c>
      <c r="Y84" s="67" t="str">
        <f>'DAY 5'!Y84</f>
        <v/>
      </c>
      <c r="Z84" s="142" t="str">
        <f t="shared" si="12"/>
        <v/>
      </c>
      <c r="AA84" s="22" t="str">
        <f t="shared" si="13"/>
        <v/>
      </c>
      <c r="AB84" t="str">
        <f>'DAY 1'!Z84</f>
        <v/>
      </c>
      <c r="AC84" t="str">
        <f>'DAY 2'!Z84</f>
        <v/>
      </c>
      <c r="AD84" t="str">
        <f>'DAY 3'!Z84</f>
        <v/>
      </c>
      <c r="AE84" t="str">
        <f>'DAY 4'!Z84</f>
        <v/>
      </c>
      <c r="AF84" t="str">
        <f>'DAY 5'!Z84</f>
        <v/>
      </c>
      <c r="AG84" s="144" t="str">
        <f t="shared" si="14"/>
        <v/>
      </c>
      <c r="AH84" s="145" t="str">
        <f t="shared" si="15"/>
        <v/>
      </c>
    </row>
    <row r="85" spans="2:34" ht="15.75" thickBot="1" x14ac:dyDescent="0.3">
      <c r="B85" s="66" t="str">
        <f>IF(AND('ENTRY DATA'!C85=""),"",('ENTRY DATA'!C85))</f>
        <v/>
      </c>
      <c r="C85" s="67" t="str">
        <f>IF(AND('ENTRY DATA'!D85=""),"",('ENTRY DATA'!D85))</f>
        <v/>
      </c>
      <c r="E85" s="66" t="str">
        <f>IF(AND('ENTRY DATA'!F85=""),"",('ENTRY DATA'!F85))</f>
        <v/>
      </c>
      <c r="F85" s="67" t="str">
        <f>IF(AND('ENTRY DATA'!G85=""),"",('ENTRY DATA'!G85))</f>
        <v/>
      </c>
      <c r="G85" s="61" t="s">
        <v>40</v>
      </c>
      <c r="I85" s="81" t="str">
        <f>IF(AND('DAY 1'!M85=""),"",('DAY 1'!M85))</f>
        <v/>
      </c>
      <c r="J85" s="79" t="str">
        <f>IF(AND('DAY 2'!M85=""),"",('DAY 2'!M85))</f>
        <v/>
      </c>
      <c r="K85" s="79" t="str">
        <f>IF(AND('DAY 3'!M85=""),"",('DAY 3'!M85))</f>
        <v/>
      </c>
      <c r="L85" s="79" t="str">
        <f>IF(AND('DAY 4'!M85=""),"",('DAY 4'!M85))</f>
        <v/>
      </c>
      <c r="M85" s="80" t="str">
        <f>IF(AND('DAY 5'!M85=""),"",('DAY 5'!M85))</f>
        <v/>
      </c>
      <c r="O85" s="78">
        <f>SUM('DAY 1'!L85,'DAY 2'!L85,'DAY 3'!L85,'DAY 4'!L85,'DAY 5'!L85)</f>
        <v>0</v>
      </c>
      <c r="P85" s="82" t="str">
        <f t="shared" si="8"/>
        <v/>
      </c>
      <c r="Q85" s="83" t="str">
        <f t="shared" si="9"/>
        <v/>
      </c>
      <c r="R85" s="148" t="str">
        <f t="shared" si="10"/>
        <v/>
      </c>
      <c r="S85" s="149" t="str">
        <f t="shared" si="11"/>
        <v/>
      </c>
      <c r="U85" s="66" t="str">
        <f>'DAY 1'!Y85</f>
        <v/>
      </c>
      <c r="V85" s="89" t="str">
        <f>'DAY 2'!Y85</f>
        <v/>
      </c>
      <c r="W85" s="89" t="str">
        <f>'DAY 3'!Y85</f>
        <v/>
      </c>
      <c r="X85" s="89" t="str">
        <f>'DAY 4'!Y85</f>
        <v/>
      </c>
      <c r="Y85" s="67" t="str">
        <f>'DAY 5'!Y85</f>
        <v/>
      </c>
      <c r="Z85" s="142" t="str">
        <f t="shared" si="12"/>
        <v/>
      </c>
      <c r="AA85" s="22" t="str">
        <f t="shared" si="13"/>
        <v/>
      </c>
      <c r="AB85" t="str">
        <f>'DAY 1'!Z85</f>
        <v/>
      </c>
      <c r="AC85" t="str">
        <f>'DAY 2'!Z85</f>
        <v/>
      </c>
      <c r="AD85" t="str">
        <f>'DAY 3'!Z85</f>
        <v/>
      </c>
      <c r="AE85" t="str">
        <f>'DAY 4'!Z85</f>
        <v/>
      </c>
      <c r="AF85" t="str">
        <f>'DAY 5'!Z85</f>
        <v/>
      </c>
      <c r="AG85" s="144" t="str">
        <f t="shared" si="14"/>
        <v/>
      </c>
      <c r="AH85" s="145" t="str">
        <f t="shared" si="15"/>
        <v/>
      </c>
    </row>
    <row r="86" spans="2:34" ht="15.75" thickBot="1" x14ac:dyDescent="0.3">
      <c r="B86" s="66" t="str">
        <f>IF(AND('ENTRY DATA'!C86=""),"",('ENTRY DATA'!C86))</f>
        <v/>
      </c>
      <c r="C86" s="67" t="str">
        <f>IF(AND('ENTRY DATA'!D86=""),"",('ENTRY DATA'!D86))</f>
        <v/>
      </c>
      <c r="E86" s="66" t="str">
        <f>IF(AND('ENTRY DATA'!F86=""),"",('ENTRY DATA'!F86))</f>
        <v/>
      </c>
      <c r="F86" s="67" t="str">
        <f>IF(AND('ENTRY DATA'!G86=""),"",('ENTRY DATA'!G86))</f>
        <v/>
      </c>
      <c r="G86" s="61" t="s">
        <v>40</v>
      </c>
      <c r="I86" s="81" t="str">
        <f>IF(AND('DAY 1'!M86=""),"",('DAY 1'!M86))</f>
        <v/>
      </c>
      <c r="J86" s="79" t="str">
        <f>IF(AND('DAY 2'!M86=""),"",('DAY 2'!M86))</f>
        <v/>
      </c>
      <c r="K86" s="79" t="str">
        <f>IF(AND('DAY 3'!M86=""),"",('DAY 3'!M86))</f>
        <v/>
      </c>
      <c r="L86" s="79" t="str">
        <f>IF(AND('DAY 4'!M86=""),"",('DAY 4'!M86))</f>
        <v/>
      </c>
      <c r="M86" s="80" t="str">
        <f>IF(AND('DAY 5'!M86=""),"",('DAY 5'!M86))</f>
        <v/>
      </c>
      <c r="O86" s="78">
        <f>SUM('DAY 1'!L86,'DAY 2'!L86,'DAY 3'!L86,'DAY 4'!L86,'DAY 5'!L86)</f>
        <v>0</v>
      </c>
      <c r="P86" s="82" t="str">
        <f t="shared" si="8"/>
        <v/>
      </c>
      <c r="Q86" s="83" t="str">
        <f t="shared" si="9"/>
        <v/>
      </c>
      <c r="R86" s="148" t="str">
        <f t="shared" si="10"/>
        <v/>
      </c>
      <c r="S86" s="149" t="str">
        <f t="shared" si="11"/>
        <v/>
      </c>
      <c r="U86" s="66" t="str">
        <f>'DAY 1'!Y86</f>
        <v/>
      </c>
      <c r="V86" s="89" t="str">
        <f>'DAY 2'!Y86</f>
        <v/>
      </c>
      <c r="W86" s="89" t="str">
        <f>'DAY 3'!Y86</f>
        <v/>
      </c>
      <c r="X86" s="89" t="str">
        <f>'DAY 4'!Y86</f>
        <v/>
      </c>
      <c r="Y86" s="67" t="str">
        <f>'DAY 5'!Y86</f>
        <v/>
      </c>
      <c r="Z86" s="142" t="str">
        <f t="shared" si="12"/>
        <v/>
      </c>
      <c r="AA86" s="22" t="str">
        <f t="shared" si="13"/>
        <v/>
      </c>
      <c r="AB86" t="str">
        <f>'DAY 1'!Z86</f>
        <v/>
      </c>
      <c r="AC86" t="str">
        <f>'DAY 2'!Z86</f>
        <v/>
      </c>
      <c r="AD86" t="str">
        <f>'DAY 3'!Z86</f>
        <v/>
      </c>
      <c r="AE86" t="str">
        <f>'DAY 4'!Z86</f>
        <v/>
      </c>
      <c r="AF86" t="str">
        <f>'DAY 5'!Z86</f>
        <v/>
      </c>
      <c r="AG86" s="144" t="str">
        <f t="shared" si="14"/>
        <v/>
      </c>
      <c r="AH86" s="145" t="str">
        <f t="shared" si="15"/>
        <v/>
      </c>
    </row>
    <row r="87" spans="2:34" ht="15.75" thickBot="1" x14ac:dyDescent="0.3">
      <c r="B87" s="66" t="str">
        <f>IF(AND('ENTRY DATA'!C87=""),"",('ENTRY DATA'!C87))</f>
        <v/>
      </c>
      <c r="C87" s="67" t="str">
        <f>IF(AND('ENTRY DATA'!D87=""),"",('ENTRY DATA'!D87))</f>
        <v/>
      </c>
      <c r="E87" s="66" t="str">
        <f>IF(AND('ENTRY DATA'!F87=""),"",('ENTRY DATA'!F87))</f>
        <v/>
      </c>
      <c r="F87" s="67" t="str">
        <f>IF(AND('ENTRY DATA'!G87=""),"",('ENTRY DATA'!G87))</f>
        <v/>
      </c>
      <c r="G87" s="61" t="s">
        <v>40</v>
      </c>
      <c r="I87" s="81" t="str">
        <f>IF(AND('DAY 1'!M87=""),"",('DAY 1'!M87))</f>
        <v/>
      </c>
      <c r="J87" s="79" t="str">
        <f>IF(AND('DAY 2'!M87=""),"",('DAY 2'!M87))</f>
        <v/>
      </c>
      <c r="K87" s="79" t="str">
        <f>IF(AND('DAY 3'!M87=""),"",('DAY 3'!M87))</f>
        <v/>
      </c>
      <c r="L87" s="79" t="str">
        <f>IF(AND('DAY 4'!M87=""),"",('DAY 4'!M87))</f>
        <v/>
      </c>
      <c r="M87" s="80" t="str">
        <f>IF(AND('DAY 5'!M87=""),"",('DAY 5'!M87))</f>
        <v/>
      </c>
      <c r="O87" s="78">
        <f>SUM('DAY 1'!L87,'DAY 2'!L87,'DAY 3'!L87,'DAY 4'!L87,'DAY 5'!L87)</f>
        <v>0</v>
      </c>
      <c r="P87" s="82" t="str">
        <f t="shared" si="8"/>
        <v/>
      </c>
      <c r="Q87" s="83" t="str">
        <f t="shared" si="9"/>
        <v/>
      </c>
      <c r="R87" s="148" t="str">
        <f t="shared" si="10"/>
        <v/>
      </c>
      <c r="S87" s="149" t="str">
        <f t="shared" si="11"/>
        <v/>
      </c>
      <c r="U87" s="66" t="str">
        <f>'DAY 1'!Y87</f>
        <v/>
      </c>
      <c r="V87" s="89" t="str">
        <f>'DAY 2'!Y87</f>
        <v/>
      </c>
      <c r="W87" s="89" t="str">
        <f>'DAY 3'!Y87</f>
        <v/>
      </c>
      <c r="X87" s="89" t="str">
        <f>'DAY 4'!Y87</f>
        <v/>
      </c>
      <c r="Y87" s="67" t="str">
        <f>'DAY 5'!Y87</f>
        <v/>
      </c>
      <c r="Z87" s="142" t="str">
        <f t="shared" si="12"/>
        <v/>
      </c>
      <c r="AA87" s="22" t="str">
        <f t="shared" si="13"/>
        <v/>
      </c>
      <c r="AB87" t="str">
        <f>'DAY 1'!Z87</f>
        <v/>
      </c>
      <c r="AC87" t="str">
        <f>'DAY 2'!Z87</f>
        <v/>
      </c>
      <c r="AD87" t="str">
        <f>'DAY 3'!Z87</f>
        <v/>
      </c>
      <c r="AE87" t="str">
        <f>'DAY 4'!Z87</f>
        <v/>
      </c>
      <c r="AF87" t="str">
        <f>'DAY 5'!Z87</f>
        <v/>
      </c>
      <c r="AG87" s="144" t="str">
        <f t="shared" si="14"/>
        <v/>
      </c>
      <c r="AH87" s="145" t="str">
        <f t="shared" si="15"/>
        <v/>
      </c>
    </row>
    <row r="88" spans="2:34" ht="15.75" thickBot="1" x14ac:dyDescent="0.3">
      <c r="B88" s="66" t="str">
        <f>IF(AND('ENTRY DATA'!C88=""),"",('ENTRY DATA'!C88))</f>
        <v/>
      </c>
      <c r="C88" s="67" t="str">
        <f>IF(AND('ENTRY DATA'!D88=""),"",('ENTRY DATA'!D88))</f>
        <v/>
      </c>
      <c r="E88" s="66" t="str">
        <f>IF(AND('ENTRY DATA'!F88=""),"",('ENTRY DATA'!F88))</f>
        <v/>
      </c>
      <c r="F88" s="67" t="str">
        <f>IF(AND('ENTRY DATA'!G88=""),"",('ENTRY DATA'!G88))</f>
        <v/>
      </c>
      <c r="G88" s="61" t="s">
        <v>40</v>
      </c>
      <c r="I88" s="81" t="str">
        <f>IF(AND('DAY 1'!M88=""),"",('DAY 1'!M88))</f>
        <v/>
      </c>
      <c r="J88" s="79" t="str">
        <f>IF(AND('DAY 2'!M88=""),"",('DAY 2'!M88))</f>
        <v/>
      </c>
      <c r="K88" s="79" t="str">
        <f>IF(AND('DAY 3'!M88=""),"",('DAY 3'!M88))</f>
        <v/>
      </c>
      <c r="L88" s="79" t="str">
        <f>IF(AND('DAY 4'!M88=""),"",('DAY 4'!M88))</f>
        <v/>
      </c>
      <c r="M88" s="80" t="str">
        <f>IF(AND('DAY 5'!M88=""),"",('DAY 5'!M88))</f>
        <v/>
      </c>
      <c r="O88" s="78">
        <f>SUM('DAY 1'!L88,'DAY 2'!L88,'DAY 3'!L88,'DAY 4'!L88,'DAY 5'!L88)</f>
        <v>0</v>
      </c>
      <c r="P88" s="82" t="str">
        <f t="shared" si="8"/>
        <v/>
      </c>
      <c r="Q88" s="83" t="str">
        <f t="shared" si="9"/>
        <v/>
      </c>
      <c r="R88" s="148" t="str">
        <f t="shared" si="10"/>
        <v/>
      </c>
      <c r="S88" s="149" t="str">
        <f t="shared" si="11"/>
        <v/>
      </c>
      <c r="U88" s="66" t="str">
        <f>'DAY 1'!Y88</f>
        <v/>
      </c>
      <c r="V88" s="89" t="str">
        <f>'DAY 2'!Y88</f>
        <v/>
      </c>
      <c r="W88" s="89" t="str">
        <f>'DAY 3'!Y88</f>
        <v/>
      </c>
      <c r="X88" s="89" t="str">
        <f>'DAY 4'!Y88</f>
        <v/>
      </c>
      <c r="Y88" s="67" t="str">
        <f>'DAY 5'!Y88</f>
        <v/>
      </c>
      <c r="Z88" s="142" t="str">
        <f t="shared" si="12"/>
        <v/>
      </c>
      <c r="AA88" s="22" t="str">
        <f t="shared" si="13"/>
        <v/>
      </c>
      <c r="AB88" t="str">
        <f>'DAY 1'!Z88</f>
        <v/>
      </c>
      <c r="AC88" t="str">
        <f>'DAY 2'!Z88</f>
        <v/>
      </c>
      <c r="AD88" t="str">
        <f>'DAY 3'!Z88</f>
        <v/>
      </c>
      <c r="AE88" t="str">
        <f>'DAY 4'!Z88</f>
        <v/>
      </c>
      <c r="AF88" t="str">
        <f>'DAY 5'!Z88</f>
        <v/>
      </c>
      <c r="AG88" s="144" t="str">
        <f t="shared" si="14"/>
        <v/>
      </c>
      <c r="AH88" s="145" t="str">
        <f t="shared" si="15"/>
        <v/>
      </c>
    </row>
    <row r="89" spans="2:34" ht="15.75" thickBot="1" x14ac:dyDescent="0.3">
      <c r="B89" s="66" t="str">
        <f>IF(AND('ENTRY DATA'!C89=""),"",('ENTRY DATA'!C89))</f>
        <v/>
      </c>
      <c r="C89" s="67" t="str">
        <f>IF(AND('ENTRY DATA'!D89=""),"",('ENTRY DATA'!D89))</f>
        <v/>
      </c>
      <c r="E89" s="66" t="str">
        <f>IF(AND('ENTRY DATA'!F89=""),"",('ENTRY DATA'!F89))</f>
        <v/>
      </c>
      <c r="F89" s="67" t="str">
        <f>IF(AND('ENTRY DATA'!G89=""),"",('ENTRY DATA'!G89))</f>
        <v/>
      </c>
      <c r="G89" s="61" t="s">
        <v>40</v>
      </c>
      <c r="I89" s="81" t="str">
        <f>IF(AND('DAY 1'!M89=""),"",('DAY 1'!M89))</f>
        <v/>
      </c>
      <c r="J89" s="79" t="str">
        <f>IF(AND('DAY 2'!M89=""),"",('DAY 2'!M89))</f>
        <v/>
      </c>
      <c r="K89" s="79" t="str">
        <f>IF(AND('DAY 3'!M89=""),"",('DAY 3'!M89))</f>
        <v/>
      </c>
      <c r="L89" s="79" t="str">
        <f>IF(AND('DAY 4'!M89=""),"",('DAY 4'!M89))</f>
        <v/>
      </c>
      <c r="M89" s="80" t="str">
        <f>IF(AND('DAY 5'!M89=""),"",('DAY 5'!M89))</f>
        <v/>
      </c>
      <c r="O89" s="78">
        <f>SUM('DAY 1'!L89,'DAY 2'!L89,'DAY 3'!L89,'DAY 4'!L89,'DAY 5'!L89)</f>
        <v>0</v>
      </c>
      <c r="P89" s="82" t="str">
        <f t="shared" si="8"/>
        <v/>
      </c>
      <c r="Q89" s="83" t="str">
        <f t="shared" si="9"/>
        <v/>
      </c>
      <c r="R89" s="148" t="str">
        <f t="shared" si="10"/>
        <v/>
      </c>
      <c r="S89" s="149" t="str">
        <f t="shared" si="11"/>
        <v/>
      </c>
      <c r="U89" s="66" t="str">
        <f>'DAY 1'!Y89</f>
        <v/>
      </c>
      <c r="V89" s="89" t="str">
        <f>'DAY 2'!Y89</f>
        <v/>
      </c>
      <c r="W89" s="89" t="str">
        <f>'DAY 3'!Y89</f>
        <v/>
      </c>
      <c r="X89" s="89" t="str">
        <f>'DAY 4'!Y89</f>
        <v/>
      </c>
      <c r="Y89" s="67" t="str">
        <f>'DAY 5'!Y89</f>
        <v/>
      </c>
      <c r="Z89" s="142" t="str">
        <f t="shared" si="12"/>
        <v/>
      </c>
      <c r="AA89" s="22" t="str">
        <f t="shared" si="13"/>
        <v/>
      </c>
      <c r="AB89" t="str">
        <f>'DAY 1'!Z89</f>
        <v/>
      </c>
      <c r="AC89" t="str">
        <f>'DAY 2'!Z89</f>
        <v/>
      </c>
      <c r="AD89" t="str">
        <f>'DAY 3'!Z89</f>
        <v/>
      </c>
      <c r="AE89" t="str">
        <f>'DAY 4'!Z89</f>
        <v/>
      </c>
      <c r="AF89" t="str">
        <f>'DAY 5'!Z89</f>
        <v/>
      </c>
      <c r="AG89" s="144" t="str">
        <f t="shared" si="14"/>
        <v/>
      </c>
      <c r="AH89" s="145" t="str">
        <f t="shared" si="15"/>
        <v/>
      </c>
    </row>
    <row r="90" spans="2:34" ht="15.75" thickBot="1" x14ac:dyDescent="0.3">
      <c r="B90" s="66" t="str">
        <f>IF(AND('ENTRY DATA'!C90=""),"",('ENTRY DATA'!C90))</f>
        <v/>
      </c>
      <c r="C90" s="67" t="str">
        <f>IF(AND('ENTRY DATA'!D90=""),"",('ENTRY DATA'!D90))</f>
        <v/>
      </c>
      <c r="E90" s="66" t="str">
        <f>IF(AND('ENTRY DATA'!F90=""),"",('ENTRY DATA'!F90))</f>
        <v/>
      </c>
      <c r="F90" s="67" t="str">
        <f>IF(AND('ENTRY DATA'!G90=""),"",('ENTRY DATA'!G90))</f>
        <v/>
      </c>
      <c r="G90" s="61" t="s">
        <v>40</v>
      </c>
      <c r="I90" s="81" t="str">
        <f>IF(AND('DAY 1'!M90=""),"",('DAY 1'!M90))</f>
        <v/>
      </c>
      <c r="J90" s="79" t="str">
        <f>IF(AND('DAY 2'!M90=""),"",('DAY 2'!M90))</f>
        <v/>
      </c>
      <c r="K90" s="79" t="str">
        <f>IF(AND('DAY 3'!M90=""),"",('DAY 3'!M90))</f>
        <v/>
      </c>
      <c r="L90" s="79" t="str">
        <f>IF(AND('DAY 4'!M90=""),"",('DAY 4'!M90))</f>
        <v/>
      </c>
      <c r="M90" s="80" t="str">
        <f>IF(AND('DAY 5'!M90=""),"",('DAY 5'!M90))</f>
        <v/>
      </c>
      <c r="O90" s="78">
        <f>SUM('DAY 1'!L90,'DAY 2'!L90,'DAY 3'!L90,'DAY 4'!L90,'DAY 5'!L90)</f>
        <v>0</v>
      </c>
      <c r="P90" s="82" t="str">
        <f t="shared" si="8"/>
        <v/>
      </c>
      <c r="Q90" s="83" t="str">
        <f t="shared" si="9"/>
        <v/>
      </c>
      <c r="R90" s="148" t="str">
        <f t="shared" si="10"/>
        <v/>
      </c>
      <c r="S90" s="149" t="str">
        <f t="shared" si="11"/>
        <v/>
      </c>
      <c r="U90" s="66" t="str">
        <f>'DAY 1'!Y90</f>
        <v/>
      </c>
      <c r="V90" s="89" t="str">
        <f>'DAY 2'!Y90</f>
        <v/>
      </c>
      <c r="W90" s="89" t="str">
        <f>'DAY 3'!Y90</f>
        <v/>
      </c>
      <c r="X90" s="89" t="str">
        <f>'DAY 4'!Y90</f>
        <v/>
      </c>
      <c r="Y90" s="67" t="str">
        <f>'DAY 5'!Y90</f>
        <v/>
      </c>
      <c r="Z90" s="142" t="str">
        <f t="shared" si="12"/>
        <v/>
      </c>
      <c r="AA90" s="22" t="str">
        <f t="shared" si="13"/>
        <v/>
      </c>
      <c r="AB90" t="str">
        <f>'DAY 1'!Z90</f>
        <v/>
      </c>
      <c r="AC90" t="str">
        <f>'DAY 2'!Z90</f>
        <v/>
      </c>
      <c r="AD90" t="str">
        <f>'DAY 3'!Z90</f>
        <v/>
      </c>
      <c r="AE90" t="str">
        <f>'DAY 4'!Z90</f>
        <v/>
      </c>
      <c r="AF90" t="str">
        <f>'DAY 5'!Z90</f>
        <v/>
      </c>
      <c r="AG90" s="144" t="str">
        <f t="shared" si="14"/>
        <v/>
      </c>
      <c r="AH90" s="145" t="str">
        <f t="shared" si="15"/>
        <v/>
      </c>
    </row>
    <row r="91" spans="2:34" ht="15.75" thickBot="1" x14ac:dyDescent="0.3">
      <c r="B91" s="66" t="str">
        <f>IF(AND('ENTRY DATA'!C91=""),"",('ENTRY DATA'!C91))</f>
        <v/>
      </c>
      <c r="C91" s="67" t="str">
        <f>IF(AND('ENTRY DATA'!D91=""),"",('ENTRY DATA'!D91))</f>
        <v/>
      </c>
      <c r="E91" s="66" t="str">
        <f>IF(AND('ENTRY DATA'!F91=""),"",('ENTRY DATA'!F91))</f>
        <v/>
      </c>
      <c r="F91" s="67" t="str">
        <f>IF(AND('ENTRY DATA'!G91=""),"",('ENTRY DATA'!G91))</f>
        <v/>
      </c>
      <c r="G91" s="61" t="s">
        <v>40</v>
      </c>
      <c r="I91" s="81" t="str">
        <f>IF(AND('DAY 1'!M91=""),"",('DAY 1'!M91))</f>
        <v/>
      </c>
      <c r="J91" s="79" t="str">
        <f>IF(AND('DAY 2'!M91=""),"",('DAY 2'!M91))</f>
        <v/>
      </c>
      <c r="K91" s="79" t="str">
        <f>IF(AND('DAY 3'!M91=""),"",('DAY 3'!M91))</f>
        <v/>
      </c>
      <c r="L91" s="79" t="str">
        <f>IF(AND('DAY 4'!M91=""),"",('DAY 4'!M91))</f>
        <v/>
      </c>
      <c r="M91" s="80" t="str">
        <f>IF(AND('DAY 5'!M91=""),"",('DAY 5'!M91))</f>
        <v/>
      </c>
      <c r="O91" s="78">
        <f>SUM('DAY 1'!L91,'DAY 2'!L91,'DAY 3'!L91,'DAY 4'!L91,'DAY 5'!L91)</f>
        <v>0</v>
      </c>
      <c r="P91" s="82" t="str">
        <f t="shared" si="8"/>
        <v/>
      </c>
      <c r="Q91" s="83" t="str">
        <f t="shared" si="9"/>
        <v/>
      </c>
      <c r="R91" s="148" t="str">
        <f t="shared" si="10"/>
        <v/>
      </c>
      <c r="S91" s="149" t="str">
        <f t="shared" si="11"/>
        <v/>
      </c>
      <c r="U91" s="66" t="str">
        <f>'DAY 1'!Y91</f>
        <v/>
      </c>
      <c r="V91" s="89" t="str">
        <f>'DAY 2'!Y91</f>
        <v/>
      </c>
      <c r="W91" s="89" t="str">
        <f>'DAY 3'!Y91</f>
        <v/>
      </c>
      <c r="X91" s="89" t="str">
        <f>'DAY 4'!Y91</f>
        <v/>
      </c>
      <c r="Y91" s="67" t="str">
        <f>'DAY 5'!Y91</f>
        <v/>
      </c>
      <c r="Z91" s="142" t="str">
        <f t="shared" si="12"/>
        <v/>
      </c>
      <c r="AA91" s="22" t="str">
        <f t="shared" si="13"/>
        <v/>
      </c>
      <c r="AB91" t="str">
        <f>'DAY 1'!Z91</f>
        <v/>
      </c>
      <c r="AC91" t="str">
        <f>'DAY 2'!Z91</f>
        <v/>
      </c>
      <c r="AD91" t="str">
        <f>'DAY 3'!Z91</f>
        <v/>
      </c>
      <c r="AE91" t="str">
        <f>'DAY 4'!Z91</f>
        <v/>
      </c>
      <c r="AF91" t="str">
        <f>'DAY 5'!Z91</f>
        <v/>
      </c>
      <c r="AG91" s="144" t="str">
        <f t="shared" si="14"/>
        <v/>
      </c>
      <c r="AH91" s="145" t="str">
        <f t="shared" si="15"/>
        <v/>
      </c>
    </row>
    <row r="92" spans="2:34" ht="15.75" thickBot="1" x14ac:dyDescent="0.3">
      <c r="B92" s="66" t="str">
        <f>IF(AND('ENTRY DATA'!C92=""),"",('ENTRY DATA'!C92))</f>
        <v/>
      </c>
      <c r="C92" s="67" t="str">
        <f>IF(AND('ENTRY DATA'!D92=""),"",('ENTRY DATA'!D92))</f>
        <v/>
      </c>
      <c r="E92" s="66" t="str">
        <f>IF(AND('ENTRY DATA'!F92=""),"",('ENTRY DATA'!F92))</f>
        <v/>
      </c>
      <c r="F92" s="67" t="str">
        <f>IF(AND('ENTRY DATA'!G92=""),"",('ENTRY DATA'!G92))</f>
        <v/>
      </c>
      <c r="G92" s="61" t="s">
        <v>40</v>
      </c>
      <c r="I92" s="81" t="str">
        <f>IF(AND('DAY 1'!M92=""),"",('DAY 1'!M92))</f>
        <v/>
      </c>
      <c r="J92" s="79" t="str">
        <f>IF(AND('DAY 2'!M92=""),"",('DAY 2'!M92))</f>
        <v/>
      </c>
      <c r="K92" s="79" t="str">
        <f>IF(AND('DAY 3'!M92=""),"",('DAY 3'!M92))</f>
        <v/>
      </c>
      <c r="L92" s="79" t="str">
        <f>IF(AND('DAY 4'!M92=""),"",('DAY 4'!M92))</f>
        <v/>
      </c>
      <c r="M92" s="80" t="str">
        <f>IF(AND('DAY 5'!M92=""),"",('DAY 5'!M92))</f>
        <v/>
      </c>
      <c r="O92" s="78">
        <f>SUM('DAY 1'!L92,'DAY 2'!L92,'DAY 3'!L92,'DAY 4'!L92,'DAY 5'!L92)</f>
        <v>0</v>
      </c>
      <c r="P92" s="82" t="str">
        <f t="shared" si="8"/>
        <v/>
      </c>
      <c r="Q92" s="83" t="str">
        <f t="shared" si="9"/>
        <v/>
      </c>
      <c r="R92" s="148" t="str">
        <f t="shared" si="10"/>
        <v/>
      </c>
      <c r="S92" s="149" t="str">
        <f t="shared" si="11"/>
        <v/>
      </c>
      <c r="U92" s="66" t="str">
        <f>'DAY 1'!Y92</f>
        <v/>
      </c>
      <c r="V92" s="89" t="str">
        <f>'DAY 2'!Y92</f>
        <v/>
      </c>
      <c r="W92" s="89" t="str">
        <f>'DAY 3'!Y92</f>
        <v/>
      </c>
      <c r="X92" s="89" t="str">
        <f>'DAY 4'!Y92</f>
        <v/>
      </c>
      <c r="Y92" s="67" t="str">
        <f>'DAY 5'!Y92</f>
        <v/>
      </c>
      <c r="Z92" s="142" t="str">
        <f t="shared" si="12"/>
        <v/>
      </c>
      <c r="AA92" s="22" t="str">
        <f t="shared" si="13"/>
        <v/>
      </c>
      <c r="AB92" t="str">
        <f>'DAY 1'!Z92</f>
        <v/>
      </c>
      <c r="AC92" t="str">
        <f>'DAY 2'!Z92</f>
        <v/>
      </c>
      <c r="AD92" t="str">
        <f>'DAY 3'!Z92</f>
        <v/>
      </c>
      <c r="AE92" t="str">
        <f>'DAY 4'!Z92</f>
        <v/>
      </c>
      <c r="AF92" t="str">
        <f>'DAY 5'!Z92</f>
        <v/>
      </c>
      <c r="AG92" s="144" t="str">
        <f t="shared" si="14"/>
        <v/>
      </c>
      <c r="AH92" s="145" t="str">
        <f t="shared" si="15"/>
        <v/>
      </c>
    </row>
    <row r="93" spans="2:34" ht="15.75" thickBot="1" x14ac:dyDescent="0.3">
      <c r="B93" s="66" t="str">
        <f>IF(AND('ENTRY DATA'!C93=""),"",('ENTRY DATA'!C93))</f>
        <v/>
      </c>
      <c r="C93" s="67" t="str">
        <f>IF(AND('ENTRY DATA'!D93=""),"",('ENTRY DATA'!D93))</f>
        <v/>
      </c>
      <c r="E93" s="66" t="str">
        <f>IF(AND('ENTRY DATA'!F93=""),"",('ENTRY DATA'!F93))</f>
        <v/>
      </c>
      <c r="F93" s="67" t="str">
        <f>IF(AND('ENTRY DATA'!G93=""),"",('ENTRY DATA'!G93))</f>
        <v/>
      </c>
      <c r="G93" s="61" t="s">
        <v>40</v>
      </c>
      <c r="I93" s="81" t="str">
        <f>IF(AND('DAY 1'!M93=""),"",('DAY 1'!M93))</f>
        <v/>
      </c>
      <c r="J93" s="79" t="str">
        <f>IF(AND('DAY 2'!M93=""),"",('DAY 2'!M93))</f>
        <v/>
      </c>
      <c r="K93" s="79" t="str">
        <f>IF(AND('DAY 3'!M93=""),"",('DAY 3'!M93))</f>
        <v/>
      </c>
      <c r="L93" s="79" t="str">
        <f>IF(AND('DAY 4'!M93=""),"",('DAY 4'!M93))</f>
        <v/>
      </c>
      <c r="M93" s="80" t="str">
        <f>IF(AND('DAY 5'!M93=""),"",('DAY 5'!M93))</f>
        <v/>
      </c>
      <c r="O93" s="78">
        <f>SUM('DAY 1'!L93,'DAY 2'!L93,'DAY 3'!L93,'DAY 4'!L93,'DAY 5'!L93)</f>
        <v>0</v>
      </c>
      <c r="P93" s="82" t="str">
        <f t="shared" si="8"/>
        <v/>
      </c>
      <c r="Q93" s="83" t="str">
        <f t="shared" si="9"/>
        <v/>
      </c>
      <c r="R93" s="148" t="str">
        <f t="shared" si="10"/>
        <v/>
      </c>
      <c r="S93" s="149" t="str">
        <f t="shared" si="11"/>
        <v/>
      </c>
      <c r="U93" s="66" t="str">
        <f>'DAY 1'!Y93</f>
        <v/>
      </c>
      <c r="V93" s="89" t="str">
        <f>'DAY 2'!Y93</f>
        <v/>
      </c>
      <c r="W93" s="89" t="str">
        <f>'DAY 3'!Y93</f>
        <v/>
      </c>
      <c r="X93" s="89" t="str">
        <f>'DAY 4'!Y93</f>
        <v/>
      </c>
      <c r="Y93" s="67" t="str">
        <f>'DAY 5'!Y93</f>
        <v/>
      </c>
      <c r="Z93" s="142" t="str">
        <f t="shared" si="12"/>
        <v/>
      </c>
      <c r="AA93" s="22" t="str">
        <f t="shared" si="13"/>
        <v/>
      </c>
      <c r="AB93" t="str">
        <f>'DAY 1'!Z93</f>
        <v/>
      </c>
      <c r="AC93" t="str">
        <f>'DAY 2'!Z93</f>
        <v/>
      </c>
      <c r="AD93" t="str">
        <f>'DAY 3'!Z93</f>
        <v/>
      </c>
      <c r="AE93" t="str">
        <f>'DAY 4'!Z93</f>
        <v/>
      </c>
      <c r="AF93" t="str">
        <f>'DAY 5'!Z93</f>
        <v/>
      </c>
      <c r="AG93" s="144" t="str">
        <f t="shared" si="14"/>
        <v/>
      </c>
      <c r="AH93" s="145" t="str">
        <f t="shared" si="15"/>
        <v/>
      </c>
    </row>
    <row r="94" spans="2:34" ht="15.75" thickBot="1" x14ac:dyDescent="0.3">
      <c r="B94" s="66" t="str">
        <f>IF(AND('ENTRY DATA'!C94=""),"",('ENTRY DATA'!C94))</f>
        <v/>
      </c>
      <c r="C94" s="67" t="str">
        <f>IF(AND('ENTRY DATA'!D94=""),"",('ENTRY DATA'!D94))</f>
        <v/>
      </c>
      <c r="E94" s="66" t="str">
        <f>IF(AND('ENTRY DATA'!F94=""),"",('ENTRY DATA'!F94))</f>
        <v/>
      </c>
      <c r="F94" s="67" t="str">
        <f>IF(AND('ENTRY DATA'!G94=""),"",('ENTRY DATA'!G94))</f>
        <v/>
      </c>
      <c r="G94" s="61" t="s">
        <v>40</v>
      </c>
      <c r="I94" s="81" t="str">
        <f>IF(AND('DAY 1'!M94=""),"",('DAY 1'!M94))</f>
        <v/>
      </c>
      <c r="J94" s="79" t="str">
        <f>IF(AND('DAY 2'!M94=""),"",('DAY 2'!M94))</f>
        <v/>
      </c>
      <c r="K94" s="79" t="str">
        <f>IF(AND('DAY 3'!M94=""),"",('DAY 3'!M94))</f>
        <v/>
      </c>
      <c r="L94" s="79" t="str">
        <f>IF(AND('DAY 4'!M94=""),"",('DAY 4'!M94))</f>
        <v/>
      </c>
      <c r="M94" s="80" t="str">
        <f>IF(AND('DAY 5'!M94=""),"",('DAY 5'!M94))</f>
        <v/>
      </c>
      <c r="O94" s="78">
        <f>SUM('DAY 1'!L94,'DAY 2'!L94,'DAY 3'!L94,'DAY 4'!L94,'DAY 5'!L94)</f>
        <v>0</v>
      </c>
      <c r="P94" s="82" t="str">
        <f t="shared" si="8"/>
        <v/>
      </c>
      <c r="Q94" s="83" t="str">
        <f t="shared" si="9"/>
        <v/>
      </c>
      <c r="R94" s="148" t="str">
        <f t="shared" si="10"/>
        <v/>
      </c>
      <c r="S94" s="149" t="str">
        <f t="shared" si="11"/>
        <v/>
      </c>
      <c r="U94" s="66" t="str">
        <f>'DAY 1'!Y94</f>
        <v/>
      </c>
      <c r="V94" s="89" t="str">
        <f>'DAY 2'!Y94</f>
        <v/>
      </c>
      <c r="W94" s="89" t="str">
        <f>'DAY 3'!Y94</f>
        <v/>
      </c>
      <c r="X94" s="89" t="str">
        <f>'DAY 4'!Y94</f>
        <v/>
      </c>
      <c r="Y94" s="67" t="str">
        <f>'DAY 5'!Y94</f>
        <v/>
      </c>
      <c r="Z94" s="142" t="str">
        <f t="shared" si="12"/>
        <v/>
      </c>
      <c r="AA94" s="22" t="str">
        <f t="shared" si="13"/>
        <v/>
      </c>
      <c r="AB94" t="str">
        <f>'DAY 1'!Z94</f>
        <v/>
      </c>
      <c r="AC94" t="str">
        <f>'DAY 2'!Z94</f>
        <v/>
      </c>
      <c r="AD94" t="str">
        <f>'DAY 3'!Z94</f>
        <v/>
      </c>
      <c r="AE94" t="str">
        <f>'DAY 4'!Z94</f>
        <v/>
      </c>
      <c r="AF94" t="str">
        <f>'DAY 5'!Z94</f>
        <v/>
      </c>
      <c r="AG94" s="144" t="str">
        <f t="shared" si="14"/>
        <v/>
      </c>
      <c r="AH94" s="145" t="str">
        <f t="shared" si="15"/>
        <v/>
      </c>
    </row>
    <row r="95" spans="2:34" ht="15.75" thickBot="1" x14ac:dyDescent="0.3">
      <c r="B95" s="66" t="str">
        <f>IF(AND('ENTRY DATA'!C95=""),"",('ENTRY DATA'!C95))</f>
        <v/>
      </c>
      <c r="C95" s="67" t="str">
        <f>IF(AND('ENTRY DATA'!D95=""),"",('ENTRY DATA'!D95))</f>
        <v/>
      </c>
      <c r="E95" s="66" t="str">
        <f>IF(AND('ENTRY DATA'!F95=""),"",('ENTRY DATA'!F95))</f>
        <v/>
      </c>
      <c r="F95" s="67" t="str">
        <f>IF(AND('ENTRY DATA'!G95=""),"",('ENTRY DATA'!G95))</f>
        <v/>
      </c>
      <c r="G95" s="61" t="s">
        <v>40</v>
      </c>
      <c r="I95" s="81" t="str">
        <f>IF(AND('DAY 1'!M95=""),"",('DAY 1'!M95))</f>
        <v/>
      </c>
      <c r="J95" s="79" t="str">
        <f>IF(AND('DAY 2'!M95=""),"",('DAY 2'!M95))</f>
        <v/>
      </c>
      <c r="K95" s="79" t="str">
        <f>IF(AND('DAY 3'!M95=""),"",('DAY 3'!M95))</f>
        <v/>
      </c>
      <c r="L95" s="79" t="str">
        <f>IF(AND('DAY 4'!M95=""),"",('DAY 4'!M95))</f>
        <v/>
      </c>
      <c r="M95" s="80" t="str">
        <f>IF(AND('DAY 5'!M95=""),"",('DAY 5'!M95))</f>
        <v/>
      </c>
      <c r="O95" s="78">
        <f>SUM('DAY 1'!L95,'DAY 2'!L95,'DAY 3'!L95,'DAY 4'!L95,'DAY 5'!L95)</f>
        <v>0</v>
      </c>
      <c r="P95" s="82" t="str">
        <f t="shared" si="8"/>
        <v/>
      </c>
      <c r="Q95" s="83" t="str">
        <f t="shared" si="9"/>
        <v/>
      </c>
      <c r="R95" s="148" t="str">
        <f t="shared" si="10"/>
        <v/>
      </c>
      <c r="S95" s="149" t="str">
        <f t="shared" si="11"/>
        <v/>
      </c>
      <c r="U95" s="66" t="str">
        <f>'DAY 1'!Y95</f>
        <v/>
      </c>
      <c r="V95" s="89" t="str">
        <f>'DAY 2'!Y95</f>
        <v/>
      </c>
      <c r="W95" s="89" t="str">
        <f>'DAY 3'!Y95</f>
        <v/>
      </c>
      <c r="X95" s="89" t="str">
        <f>'DAY 4'!Y95</f>
        <v/>
      </c>
      <c r="Y95" s="67" t="str">
        <f>'DAY 5'!Y95</f>
        <v/>
      </c>
      <c r="Z95" s="142" t="str">
        <f t="shared" si="12"/>
        <v/>
      </c>
      <c r="AA95" s="22" t="str">
        <f t="shared" si="13"/>
        <v/>
      </c>
      <c r="AB95" t="str">
        <f>'DAY 1'!Z95</f>
        <v/>
      </c>
      <c r="AC95" t="str">
        <f>'DAY 2'!Z95</f>
        <v/>
      </c>
      <c r="AD95" t="str">
        <f>'DAY 3'!Z95</f>
        <v/>
      </c>
      <c r="AE95" t="str">
        <f>'DAY 4'!Z95</f>
        <v/>
      </c>
      <c r="AF95" t="str">
        <f>'DAY 5'!Z95</f>
        <v/>
      </c>
      <c r="AG95" s="144" t="str">
        <f t="shared" si="14"/>
        <v/>
      </c>
      <c r="AH95" s="145" t="str">
        <f t="shared" si="15"/>
        <v/>
      </c>
    </row>
    <row r="96" spans="2:34" ht="15.75" thickBot="1" x14ac:dyDescent="0.3">
      <c r="B96" s="66" t="str">
        <f>IF(AND('ENTRY DATA'!C96=""),"",('ENTRY DATA'!C96))</f>
        <v/>
      </c>
      <c r="C96" s="67" t="str">
        <f>IF(AND('ENTRY DATA'!D96=""),"",('ENTRY DATA'!D96))</f>
        <v/>
      </c>
      <c r="E96" s="66" t="str">
        <f>IF(AND('ENTRY DATA'!F96=""),"",('ENTRY DATA'!F96))</f>
        <v/>
      </c>
      <c r="F96" s="67" t="str">
        <f>IF(AND('ENTRY DATA'!G96=""),"",('ENTRY DATA'!G96))</f>
        <v/>
      </c>
      <c r="G96" s="61" t="s">
        <v>40</v>
      </c>
      <c r="I96" s="81" t="str">
        <f>IF(AND('DAY 1'!M96=""),"",('DAY 1'!M96))</f>
        <v/>
      </c>
      <c r="J96" s="79" t="str">
        <f>IF(AND('DAY 2'!M96=""),"",('DAY 2'!M96))</f>
        <v/>
      </c>
      <c r="K96" s="79" t="str">
        <f>IF(AND('DAY 3'!M96=""),"",('DAY 3'!M96))</f>
        <v/>
      </c>
      <c r="L96" s="79" t="str">
        <f>IF(AND('DAY 4'!M96=""),"",('DAY 4'!M96))</f>
        <v/>
      </c>
      <c r="M96" s="80" t="str">
        <f>IF(AND('DAY 5'!M96=""),"",('DAY 5'!M96))</f>
        <v/>
      </c>
      <c r="O96" s="78">
        <f>SUM('DAY 1'!L96,'DAY 2'!L96,'DAY 3'!L96,'DAY 4'!L96,'DAY 5'!L96)</f>
        <v>0</v>
      </c>
      <c r="P96" s="82" t="str">
        <f t="shared" si="8"/>
        <v/>
      </c>
      <c r="Q96" s="83" t="str">
        <f t="shared" si="9"/>
        <v/>
      </c>
      <c r="R96" s="148" t="str">
        <f t="shared" si="10"/>
        <v/>
      </c>
      <c r="S96" s="149" t="str">
        <f t="shared" si="11"/>
        <v/>
      </c>
      <c r="U96" s="66" t="str">
        <f>'DAY 1'!Y96</f>
        <v/>
      </c>
      <c r="V96" s="89" t="str">
        <f>'DAY 2'!Y96</f>
        <v/>
      </c>
      <c r="W96" s="89" t="str">
        <f>'DAY 3'!Y96</f>
        <v/>
      </c>
      <c r="X96" s="89" t="str">
        <f>'DAY 4'!Y96</f>
        <v/>
      </c>
      <c r="Y96" s="67" t="str">
        <f>'DAY 5'!Y96</f>
        <v/>
      </c>
      <c r="Z96" s="142" t="str">
        <f t="shared" si="12"/>
        <v/>
      </c>
      <c r="AA96" s="22" t="str">
        <f t="shared" si="13"/>
        <v/>
      </c>
      <c r="AB96" t="str">
        <f>'DAY 1'!Z96</f>
        <v/>
      </c>
      <c r="AC96" t="str">
        <f>'DAY 2'!Z96</f>
        <v/>
      </c>
      <c r="AD96" t="str">
        <f>'DAY 3'!Z96</f>
        <v/>
      </c>
      <c r="AE96" t="str">
        <f>'DAY 4'!Z96</f>
        <v/>
      </c>
      <c r="AF96" t="str">
        <f>'DAY 5'!Z96</f>
        <v/>
      </c>
      <c r="AG96" s="144" t="str">
        <f t="shared" si="14"/>
        <v/>
      </c>
      <c r="AH96" s="145" t="str">
        <f t="shared" si="15"/>
        <v/>
      </c>
    </row>
    <row r="97" spans="2:34" ht="15.75" thickBot="1" x14ac:dyDescent="0.3">
      <c r="B97" s="66" t="str">
        <f>IF(AND('ENTRY DATA'!C97=""),"",('ENTRY DATA'!C97))</f>
        <v/>
      </c>
      <c r="C97" s="67" t="str">
        <f>IF(AND('ENTRY DATA'!D97=""),"",('ENTRY DATA'!D97))</f>
        <v/>
      </c>
      <c r="E97" s="66" t="str">
        <f>IF(AND('ENTRY DATA'!F97=""),"",('ENTRY DATA'!F97))</f>
        <v/>
      </c>
      <c r="F97" s="67" t="str">
        <f>IF(AND('ENTRY DATA'!G97=""),"",('ENTRY DATA'!G97))</f>
        <v/>
      </c>
      <c r="G97" s="61" t="s">
        <v>40</v>
      </c>
      <c r="I97" s="81" t="str">
        <f>IF(AND('DAY 1'!M97=""),"",('DAY 1'!M97))</f>
        <v/>
      </c>
      <c r="J97" s="79" t="str">
        <f>IF(AND('DAY 2'!M97=""),"",('DAY 2'!M97))</f>
        <v/>
      </c>
      <c r="K97" s="79" t="str">
        <f>IF(AND('DAY 3'!M97=""),"",('DAY 3'!M97))</f>
        <v/>
      </c>
      <c r="L97" s="79" t="str">
        <f>IF(AND('DAY 4'!M97=""),"",('DAY 4'!M97))</f>
        <v/>
      </c>
      <c r="M97" s="80" t="str">
        <f>IF(AND('DAY 5'!M97=""),"",('DAY 5'!M97))</f>
        <v/>
      </c>
      <c r="O97" s="78">
        <f>SUM('DAY 1'!L97,'DAY 2'!L97,'DAY 3'!L97,'DAY 4'!L97,'DAY 5'!L97)</f>
        <v>0</v>
      </c>
      <c r="P97" s="82" t="str">
        <f t="shared" si="8"/>
        <v/>
      </c>
      <c r="Q97" s="83" t="str">
        <f t="shared" si="9"/>
        <v/>
      </c>
      <c r="R97" s="148" t="str">
        <f t="shared" si="10"/>
        <v/>
      </c>
      <c r="S97" s="149" t="str">
        <f t="shared" si="11"/>
        <v/>
      </c>
      <c r="U97" s="66" t="str">
        <f>'DAY 1'!Y97</f>
        <v/>
      </c>
      <c r="V97" s="89" t="str">
        <f>'DAY 2'!Y97</f>
        <v/>
      </c>
      <c r="W97" s="89" t="str">
        <f>'DAY 3'!Y97</f>
        <v/>
      </c>
      <c r="X97" s="89" t="str">
        <f>'DAY 4'!Y97</f>
        <v/>
      </c>
      <c r="Y97" s="67" t="str">
        <f>'DAY 5'!Y97</f>
        <v/>
      </c>
      <c r="Z97" s="142" t="str">
        <f t="shared" si="12"/>
        <v/>
      </c>
      <c r="AA97" s="22" t="str">
        <f t="shared" si="13"/>
        <v/>
      </c>
      <c r="AB97" t="str">
        <f>'DAY 1'!Z97</f>
        <v/>
      </c>
      <c r="AC97" t="str">
        <f>'DAY 2'!Z97</f>
        <v/>
      </c>
      <c r="AD97" t="str">
        <f>'DAY 3'!Z97</f>
        <v/>
      </c>
      <c r="AE97" t="str">
        <f>'DAY 4'!Z97</f>
        <v/>
      </c>
      <c r="AF97" t="str">
        <f>'DAY 5'!Z97</f>
        <v/>
      </c>
      <c r="AG97" s="144" t="str">
        <f t="shared" si="14"/>
        <v/>
      </c>
      <c r="AH97" s="145" t="str">
        <f t="shared" si="15"/>
        <v/>
      </c>
    </row>
    <row r="98" spans="2:34" ht="15.75" thickBot="1" x14ac:dyDescent="0.3">
      <c r="B98" s="66" t="str">
        <f>IF(AND('ENTRY DATA'!C98=""),"",('ENTRY DATA'!C98))</f>
        <v/>
      </c>
      <c r="C98" s="67" t="str">
        <f>IF(AND('ENTRY DATA'!D98=""),"",('ENTRY DATA'!D98))</f>
        <v/>
      </c>
      <c r="E98" s="66" t="str">
        <f>IF(AND('ENTRY DATA'!F98=""),"",('ENTRY DATA'!F98))</f>
        <v/>
      </c>
      <c r="F98" s="67" t="str">
        <f>IF(AND('ENTRY DATA'!G98=""),"",('ENTRY DATA'!G98))</f>
        <v/>
      </c>
      <c r="G98" s="61" t="s">
        <v>40</v>
      </c>
      <c r="I98" s="81" t="str">
        <f>IF(AND('DAY 1'!M98=""),"",('DAY 1'!M98))</f>
        <v/>
      </c>
      <c r="J98" s="79" t="str">
        <f>IF(AND('DAY 2'!M98=""),"",('DAY 2'!M98))</f>
        <v/>
      </c>
      <c r="K98" s="79" t="str">
        <f>IF(AND('DAY 3'!M98=""),"",('DAY 3'!M98))</f>
        <v/>
      </c>
      <c r="L98" s="79" t="str">
        <f>IF(AND('DAY 4'!M98=""),"",('DAY 4'!M98))</f>
        <v/>
      </c>
      <c r="M98" s="80" t="str">
        <f>IF(AND('DAY 5'!M98=""),"",('DAY 5'!M98))</f>
        <v/>
      </c>
      <c r="O98" s="78">
        <f>SUM('DAY 1'!L98,'DAY 2'!L98,'DAY 3'!L98,'DAY 4'!L98,'DAY 5'!L98)</f>
        <v>0</v>
      </c>
      <c r="P98" s="82" t="str">
        <f t="shared" si="8"/>
        <v/>
      </c>
      <c r="Q98" s="83" t="str">
        <f t="shared" si="9"/>
        <v/>
      </c>
      <c r="R98" s="148" t="str">
        <f t="shared" si="10"/>
        <v/>
      </c>
      <c r="S98" s="149" t="str">
        <f t="shared" si="11"/>
        <v/>
      </c>
      <c r="U98" s="66" t="str">
        <f>'DAY 1'!Y98</f>
        <v/>
      </c>
      <c r="V98" s="89" t="str">
        <f>'DAY 2'!Y98</f>
        <v/>
      </c>
      <c r="W98" s="89" t="str">
        <f>'DAY 3'!Y98</f>
        <v/>
      </c>
      <c r="X98" s="89" t="str">
        <f>'DAY 4'!Y98</f>
        <v/>
      </c>
      <c r="Y98" s="67" t="str">
        <f>'DAY 5'!Y98</f>
        <v/>
      </c>
      <c r="Z98" s="142" t="str">
        <f t="shared" si="12"/>
        <v/>
      </c>
      <c r="AA98" s="22" t="str">
        <f t="shared" si="13"/>
        <v/>
      </c>
      <c r="AB98" t="str">
        <f>'DAY 1'!Z98</f>
        <v/>
      </c>
      <c r="AC98" t="str">
        <f>'DAY 2'!Z98</f>
        <v/>
      </c>
      <c r="AD98" t="str">
        <f>'DAY 3'!Z98</f>
        <v/>
      </c>
      <c r="AE98" t="str">
        <f>'DAY 4'!Z98</f>
        <v/>
      </c>
      <c r="AF98" t="str">
        <f>'DAY 5'!Z98</f>
        <v/>
      </c>
      <c r="AG98" s="144" t="str">
        <f t="shared" si="14"/>
        <v/>
      </c>
      <c r="AH98" s="145" t="str">
        <f t="shared" si="15"/>
        <v/>
      </c>
    </row>
    <row r="99" spans="2:34" ht="15.75" thickBot="1" x14ac:dyDescent="0.3">
      <c r="B99" s="66" t="str">
        <f>IF(AND('ENTRY DATA'!C99=""),"",('ENTRY DATA'!C99))</f>
        <v/>
      </c>
      <c r="C99" s="67" t="str">
        <f>IF(AND('ENTRY DATA'!D99=""),"",('ENTRY DATA'!D99))</f>
        <v/>
      </c>
      <c r="E99" s="66" t="str">
        <f>IF(AND('ENTRY DATA'!F99=""),"",('ENTRY DATA'!F99))</f>
        <v/>
      </c>
      <c r="F99" s="67" t="str">
        <f>IF(AND('ENTRY DATA'!G99=""),"",('ENTRY DATA'!G99))</f>
        <v/>
      </c>
      <c r="G99" s="61" t="s">
        <v>40</v>
      </c>
      <c r="I99" s="81" t="str">
        <f>IF(AND('DAY 1'!M99=""),"",('DAY 1'!M99))</f>
        <v/>
      </c>
      <c r="J99" s="79" t="str">
        <f>IF(AND('DAY 2'!M99=""),"",('DAY 2'!M99))</f>
        <v/>
      </c>
      <c r="K99" s="79" t="str">
        <f>IF(AND('DAY 3'!M99=""),"",('DAY 3'!M99))</f>
        <v/>
      </c>
      <c r="L99" s="79" t="str">
        <f>IF(AND('DAY 4'!M99=""),"",('DAY 4'!M99))</f>
        <v/>
      </c>
      <c r="M99" s="80" t="str">
        <f>IF(AND('DAY 5'!M99=""),"",('DAY 5'!M99))</f>
        <v/>
      </c>
      <c r="O99" s="78">
        <f>SUM('DAY 1'!L99,'DAY 2'!L99,'DAY 3'!L99,'DAY 4'!L99,'DAY 5'!L99)</f>
        <v>0</v>
      </c>
      <c r="P99" s="82" t="str">
        <f t="shared" si="8"/>
        <v/>
      </c>
      <c r="Q99" s="83" t="str">
        <f t="shared" si="9"/>
        <v/>
      </c>
      <c r="R99" s="148" t="str">
        <f t="shared" si="10"/>
        <v/>
      </c>
      <c r="S99" s="149" t="str">
        <f t="shared" si="11"/>
        <v/>
      </c>
      <c r="U99" s="66" t="str">
        <f>'DAY 1'!Y99</f>
        <v/>
      </c>
      <c r="V99" s="89" t="str">
        <f>'DAY 2'!Y99</f>
        <v/>
      </c>
      <c r="W99" s="89" t="str">
        <f>'DAY 3'!Y99</f>
        <v/>
      </c>
      <c r="X99" s="89" t="str">
        <f>'DAY 4'!Y99</f>
        <v/>
      </c>
      <c r="Y99" s="67" t="str">
        <f>'DAY 5'!Y99</f>
        <v/>
      </c>
      <c r="Z99" s="142" t="str">
        <f t="shared" si="12"/>
        <v/>
      </c>
      <c r="AA99" s="22" t="str">
        <f t="shared" si="13"/>
        <v/>
      </c>
      <c r="AB99" t="str">
        <f>'DAY 1'!Z99</f>
        <v/>
      </c>
      <c r="AC99" t="str">
        <f>'DAY 2'!Z99</f>
        <v/>
      </c>
      <c r="AD99" t="str">
        <f>'DAY 3'!Z99</f>
        <v/>
      </c>
      <c r="AE99" t="str">
        <f>'DAY 4'!Z99</f>
        <v/>
      </c>
      <c r="AF99" t="str">
        <f>'DAY 5'!Z99</f>
        <v/>
      </c>
      <c r="AG99" s="144" t="str">
        <f t="shared" si="14"/>
        <v/>
      </c>
      <c r="AH99" s="145" t="str">
        <f t="shared" si="15"/>
        <v/>
      </c>
    </row>
    <row r="100" spans="2:34" ht="15.75" thickBot="1" x14ac:dyDescent="0.3">
      <c r="B100" s="66" t="str">
        <f>IF(AND('ENTRY DATA'!C100=""),"",('ENTRY DATA'!C100))</f>
        <v/>
      </c>
      <c r="C100" s="67" t="str">
        <f>IF(AND('ENTRY DATA'!D100=""),"",('ENTRY DATA'!D100))</f>
        <v/>
      </c>
      <c r="E100" s="66" t="str">
        <f>IF(AND('ENTRY DATA'!F100=""),"",('ENTRY DATA'!F100))</f>
        <v/>
      </c>
      <c r="F100" s="67" t="str">
        <f>IF(AND('ENTRY DATA'!G100=""),"",('ENTRY DATA'!G100))</f>
        <v/>
      </c>
      <c r="G100" s="61" t="s">
        <v>40</v>
      </c>
      <c r="I100" s="81" t="str">
        <f>IF(AND('DAY 1'!M100=""),"",('DAY 1'!M100))</f>
        <v/>
      </c>
      <c r="J100" s="79" t="str">
        <f>IF(AND('DAY 2'!M100=""),"",('DAY 2'!M100))</f>
        <v/>
      </c>
      <c r="K100" s="79" t="str">
        <f>IF(AND('DAY 3'!M100=""),"",('DAY 3'!M100))</f>
        <v/>
      </c>
      <c r="L100" s="79" t="str">
        <f>IF(AND('DAY 4'!M100=""),"",('DAY 4'!M100))</f>
        <v/>
      </c>
      <c r="M100" s="80" t="str">
        <f>IF(AND('DAY 5'!M100=""),"",('DAY 5'!M100))</f>
        <v/>
      </c>
      <c r="O100" s="78">
        <f>SUM('DAY 1'!L100,'DAY 2'!L100,'DAY 3'!L100,'DAY 4'!L100,'DAY 5'!L100)</f>
        <v>0</v>
      </c>
      <c r="P100" s="82" t="str">
        <f t="shared" si="8"/>
        <v/>
      </c>
      <c r="Q100" s="83" t="str">
        <f t="shared" si="9"/>
        <v/>
      </c>
      <c r="R100" s="148" t="str">
        <f t="shared" si="10"/>
        <v/>
      </c>
      <c r="S100" s="149" t="str">
        <f t="shared" si="11"/>
        <v/>
      </c>
      <c r="U100" s="66" t="str">
        <f>'DAY 1'!Y100</f>
        <v/>
      </c>
      <c r="V100" s="89" t="str">
        <f>'DAY 2'!Y100</f>
        <v/>
      </c>
      <c r="W100" s="89" t="str">
        <f>'DAY 3'!Y100</f>
        <v/>
      </c>
      <c r="X100" s="89" t="str">
        <f>'DAY 4'!Y100</f>
        <v/>
      </c>
      <c r="Y100" s="67" t="str">
        <f>'DAY 5'!Y100</f>
        <v/>
      </c>
      <c r="Z100" s="142" t="str">
        <f t="shared" si="12"/>
        <v/>
      </c>
      <c r="AA100" s="22" t="str">
        <f t="shared" si="13"/>
        <v/>
      </c>
      <c r="AB100" t="str">
        <f>'DAY 1'!Z100</f>
        <v/>
      </c>
      <c r="AC100" t="str">
        <f>'DAY 2'!Z100</f>
        <v/>
      </c>
      <c r="AD100" t="str">
        <f>'DAY 3'!Z100</f>
        <v/>
      </c>
      <c r="AE100" t="str">
        <f>'DAY 4'!Z100</f>
        <v/>
      </c>
      <c r="AF100" t="str">
        <f>'DAY 5'!Z100</f>
        <v/>
      </c>
      <c r="AG100" s="144" t="str">
        <f t="shared" si="14"/>
        <v/>
      </c>
      <c r="AH100" s="145" t="str">
        <f t="shared" si="15"/>
        <v/>
      </c>
    </row>
    <row r="101" spans="2:34" ht="15.75" thickBot="1" x14ac:dyDescent="0.3">
      <c r="B101" s="66" t="str">
        <f>IF(AND('ENTRY DATA'!C101=""),"",('ENTRY DATA'!C101))</f>
        <v/>
      </c>
      <c r="C101" s="67" t="str">
        <f>IF(AND('ENTRY DATA'!D101=""),"",('ENTRY DATA'!D101))</f>
        <v/>
      </c>
      <c r="E101" s="66" t="str">
        <f>IF(AND('ENTRY DATA'!F101=""),"",('ENTRY DATA'!F101))</f>
        <v/>
      </c>
      <c r="F101" s="67" t="str">
        <f>IF(AND('ENTRY DATA'!G101=""),"",('ENTRY DATA'!G101))</f>
        <v/>
      </c>
      <c r="G101" s="61" t="s">
        <v>40</v>
      </c>
      <c r="I101" s="81" t="str">
        <f>IF(AND('DAY 1'!M101=""),"",('DAY 1'!M101))</f>
        <v/>
      </c>
      <c r="J101" s="79" t="str">
        <f>IF(AND('DAY 2'!M101=""),"",('DAY 2'!M101))</f>
        <v/>
      </c>
      <c r="K101" s="79" t="str">
        <f>IF(AND('DAY 3'!M101=""),"",('DAY 3'!M101))</f>
        <v/>
      </c>
      <c r="L101" s="79" t="str">
        <f>IF(AND('DAY 4'!M101=""),"",('DAY 4'!M101))</f>
        <v/>
      </c>
      <c r="M101" s="80" t="str">
        <f>IF(AND('DAY 5'!M101=""),"",('DAY 5'!M101))</f>
        <v/>
      </c>
      <c r="O101" s="78">
        <f>SUM('DAY 1'!L101,'DAY 2'!L101,'DAY 3'!L101,'DAY 4'!L101,'DAY 5'!L101)</f>
        <v>0</v>
      </c>
      <c r="P101" s="82" t="str">
        <f t="shared" si="8"/>
        <v/>
      </c>
      <c r="Q101" s="83" t="str">
        <f t="shared" si="9"/>
        <v/>
      </c>
      <c r="R101" s="148" t="str">
        <f t="shared" si="10"/>
        <v/>
      </c>
      <c r="S101" s="149" t="str">
        <f t="shared" si="11"/>
        <v/>
      </c>
      <c r="U101" s="66" t="str">
        <f>'DAY 1'!Y101</f>
        <v/>
      </c>
      <c r="V101" s="89" t="str">
        <f>'DAY 2'!Y101</f>
        <v/>
      </c>
      <c r="W101" s="89" t="str">
        <f>'DAY 3'!Y101</f>
        <v/>
      </c>
      <c r="X101" s="89" t="str">
        <f>'DAY 4'!Y101</f>
        <v/>
      </c>
      <c r="Y101" s="67" t="str">
        <f>'DAY 5'!Y101</f>
        <v/>
      </c>
      <c r="Z101" s="142" t="str">
        <f t="shared" si="12"/>
        <v/>
      </c>
      <c r="AA101" s="22" t="str">
        <f t="shared" si="13"/>
        <v/>
      </c>
      <c r="AB101" t="str">
        <f>'DAY 1'!Z101</f>
        <v/>
      </c>
      <c r="AC101" t="str">
        <f>'DAY 2'!Z101</f>
        <v/>
      </c>
      <c r="AD101" t="str">
        <f>'DAY 3'!Z101</f>
        <v/>
      </c>
      <c r="AE101" t="str">
        <f>'DAY 4'!Z101</f>
        <v/>
      </c>
      <c r="AF101" t="str">
        <f>'DAY 5'!Z101</f>
        <v/>
      </c>
      <c r="AG101" s="144" t="str">
        <f t="shared" si="14"/>
        <v/>
      </c>
      <c r="AH101" s="145" t="str">
        <f t="shared" si="15"/>
        <v/>
      </c>
    </row>
    <row r="102" spans="2:34" ht="15.75" thickBot="1" x14ac:dyDescent="0.3">
      <c r="B102" s="66" t="str">
        <f>IF(AND('ENTRY DATA'!C102=""),"",('ENTRY DATA'!C102))</f>
        <v/>
      </c>
      <c r="C102" s="67" t="str">
        <f>IF(AND('ENTRY DATA'!D102=""),"",('ENTRY DATA'!D102))</f>
        <v/>
      </c>
      <c r="E102" s="66" t="str">
        <f>IF(AND('ENTRY DATA'!F102=""),"",('ENTRY DATA'!F102))</f>
        <v/>
      </c>
      <c r="F102" s="67" t="str">
        <f>IF(AND('ENTRY DATA'!G102=""),"",('ENTRY DATA'!G102))</f>
        <v/>
      </c>
      <c r="G102" s="61" t="s">
        <v>40</v>
      </c>
      <c r="I102" s="81" t="str">
        <f>IF(AND('DAY 1'!M102=""),"",('DAY 1'!M102))</f>
        <v/>
      </c>
      <c r="J102" s="79" t="str">
        <f>IF(AND('DAY 2'!M102=""),"",('DAY 2'!M102))</f>
        <v/>
      </c>
      <c r="K102" s="79" t="str">
        <f>IF(AND('DAY 3'!M102=""),"",('DAY 3'!M102))</f>
        <v/>
      </c>
      <c r="L102" s="79" t="str">
        <f>IF(AND('DAY 4'!M102=""),"",('DAY 4'!M102))</f>
        <v/>
      </c>
      <c r="M102" s="80" t="str">
        <f>IF(AND('DAY 5'!M102=""),"",('DAY 5'!M102))</f>
        <v/>
      </c>
      <c r="O102" s="78">
        <f>SUM('DAY 1'!L102,'DAY 2'!L102,'DAY 3'!L102,'DAY 4'!L102,'DAY 5'!L102)</f>
        <v>0</v>
      </c>
      <c r="P102" s="82" t="str">
        <f t="shared" si="8"/>
        <v/>
      </c>
      <c r="Q102" s="83" t="str">
        <f t="shared" si="9"/>
        <v/>
      </c>
      <c r="R102" s="148" t="str">
        <f t="shared" si="10"/>
        <v/>
      </c>
      <c r="S102" s="149" t="str">
        <f t="shared" si="11"/>
        <v/>
      </c>
      <c r="U102" s="66" t="str">
        <f>'DAY 1'!Y102</f>
        <v/>
      </c>
      <c r="V102" s="89" t="str">
        <f>'DAY 2'!Y102</f>
        <v/>
      </c>
      <c r="W102" s="89" t="str">
        <f>'DAY 3'!Y102</f>
        <v/>
      </c>
      <c r="X102" s="89" t="str">
        <f>'DAY 4'!Y102</f>
        <v/>
      </c>
      <c r="Y102" s="67" t="str">
        <f>'DAY 5'!Y102</f>
        <v/>
      </c>
      <c r="Z102" s="142" t="str">
        <f t="shared" si="12"/>
        <v/>
      </c>
      <c r="AA102" s="22" t="str">
        <f t="shared" si="13"/>
        <v/>
      </c>
      <c r="AB102" t="str">
        <f>'DAY 1'!Z102</f>
        <v/>
      </c>
      <c r="AC102" t="str">
        <f>'DAY 2'!Z102</f>
        <v/>
      </c>
      <c r="AD102" t="str">
        <f>'DAY 3'!Z102</f>
        <v/>
      </c>
      <c r="AE102" t="str">
        <f>'DAY 4'!Z102</f>
        <v/>
      </c>
      <c r="AF102" t="str">
        <f>'DAY 5'!Z102</f>
        <v/>
      </c>
      <c r="AG102" s="144" t="str">
        <f t="shared" si="14"/>
        <v/>
      </c>
      <c r="AH102" s="145" t="str">
        <f t="shared" si="15"/>
        <v/>
      </c>
    </row>
    <row r="103" spans="2:34" ht="15.75" thickBot="1" x14ac:dyDescent="0.3">
      <c r="B103" s="66" t="str">
        <f>IF(AND('ENTRY DATA'!C103=""),"",('ENTRY DATA'!C103))</f>
        <v/>
      </c>
      <c r="C103" s="67" t="str">
        <f>IF(AND('ENTRY DATA'!D103=""),"",('ENTRY DATA'!D103))</f>
        <v/>
      </c>
      <c r="E103" s="66" t="str">
        <f>IF(AND('ENTRY DATA'!F103=""),"",('ENTRY DATA'!F103))</f>
        <v/>
      </c>
      <c r="F103" s="67" t="str">
        <f>IF(AND('ENTRY DATA'!G103=""),"",('ENTRY DATA'!G103))</f>
        <v/>
      </c>
      <c r="G103" s="61" t="s">
        <v>40</v>
      </c>
      <c r="I103" s="81" t="str">
        <f>IF(AND('DAY 1'!M103=""),"",('DAY 1'!M103))</f>
        <v/>
      </c>
      <c r="J103" s="79" t="str">
        <f>IF(AND('DAY 2'!M103=""),"",('DAY 2'!M103))</f>
        <v/>
      </c>
      <c r="K103" s="79" t="str">
        <f>IF(AND('DAY 3'!M103=""),"",('DAY 3'!M103))</f>
        <v/>
      </c>
      <c r="L103" s="79" t="str">
        <f>IF(AND('DAY 4'!M103=""),"",('DAY 4'!M103))</f>
        <v/>
      </c>
      <c r="M103" s="80" t="str">
        <f>IF(AND('DAY 5'!M103=""),"",('DAY 5'!M103))</f>
        <v/>
      </c>
      <c r="O103" s="78">
        <f>SUM('DAY 1'!L103,'DAY 2'!L103,'DAY 3'!L103,'DAY 4'!L103,'DAY 5'!L103)</f>
        <v>0</v>
      </c>
      <c r="P103" s="82" t="str">
        <f t="shared" si="8"/>
        <v/>
      </c>
      <c r="Q103" s="83" t="str">
        <f t="shared" si="9"/>
        <v/>
      </c>
      <c r="R103" s="148" t="str">
        <f t="shared" si="10"/>
        <v/>
      </c>
      <c r="S103" s="149" t="str">
        <f t="shared" si="11"/>
        <v/>
      </c>
      <c r="U103" s="66" t="str">
        <f>'DAY 1'!Y103</f>
        <v/>
      </c>
      <c r="V103" s="89" t="str">
        <f>'DAY 2'!Y103</f>
        <v/>
      </c>
      <c r="W103" s="89" t="str">
        <f>'DAY 3'!Y103</f>
        <v/>
      </c>
      <c r="X103" s="89" t="str">
        <f>'DAY 4'!Y103</f>
        <v/>
      </c>
      <c r="Y103" s="67" t="str">
        <f>'DAY 5'!Y103</f>
        <v/>
      </c>
      <c r="Z103" s="142" t="str">
        <f t="shared" si="12"/>
        <v/>
      </c>
      <c r="AA103" s="22" t="str">
        <f t="shared" si="13"/>
        <v/>
      </c>
      <c r="AB103" t="str">
        <f>'DAY 1'!Z103</f>
        <v/>
      </c>
      <c r="AC103" t="str">
        <f>'DAY 2'!Z103</f>
        <v/>
      </c>
      <c r="AD103" t="str">
        <f>'DAY 3'!Z103</f>
        <v/>
      </c>
      <c r="AE103" t="str">
        <f>'DAY 4'!Z103</f>
        <v/>
      </c>
      <c r="AF103" t="str">
        <f>'DAY 5'!Z103</f>
        <v/>
      </c>
      <c r="AG103" s="144" t="str">
        <f t="shared" si="14"/>
        <v/>
      </c>
      <c r="AH103" s="145" t="str">
        <f t="shared" si="15"/>
        <v/>
      </c>
    </row>
    <row r="104" spans="2:34" ht="15.75" thickBot="1" x14ac:dyDescent="0.3">
      <c r="B104" s="66" t="str">
        <f>IF(AND('ENTRY DATA'!C104=""),"",('ENTRY DATA'!C104))</f>
        <v/>
      </c>
      <c r="C104" s="67" t="str">
        <f>IF(AND('ENTRY DATA'!D104=""),"",('ENTRY DATA'!D104))</f>
        <v/>
      </c>
      <c r="E104" s="66" t="str">
        <f>IF(AND('ENTRY DATA'!F104=""),"",('ENTRY DATA'!F104))</f>
        <v/>
      </c>
      <c r="F104" s="67" t="str">
        <f>IF(AND('ENTRY DATA'!G104=""),"",('ENTRY DATA'!G104))</f>
        <v/>
      </c>
      <c r="G104" s="61" t="s">
        <v>40</v>
      </c>
      <c r="I104" s="81" t="str">
        <f>IF(AND('DAY 1'!M104=""),"",('DAY 1'!M104))</f>
        <v/>
      </c>
      <c r="J104" s="79" t="str">
        <f>IF(AND('DAY 2'!M104=""),"",('DAY 2'!M104))</f>
        <v/>
      </c>
      <c r="K104" s="79" t="str">
        <f>IF(AND('DAY 3'!M104=""),"",('DAY 3'!M104))</f>
        <v/>
      </c>
      <c r="L104" s="79" t="str">
        <f>IF(AND('DAY 4'!M104=""),"",('DAY 4'!M104))</f>
        <v/>
      </c>
      <c r="M104" s="80" t="str">
        <f>IF(AND('DAY 5'!M104=""),"",('DAY 5'!M104))</f>
        <v/>
      </c>
      <c r="O104" s="78">
        <f>SUM('DAY 1'!L104,'DAY 2'!L104,'DAY 3'!L104,'DAY 4'!L104,'DAY 5'!L104)</f>
        <v>0</v>
      </c>
      <c r="P104" s="82" t="str">
        <f t="shared" si="8"/>
        <v/>
      </c>
      <c r="Q104" s="83" t="str">
        <f t="shared" si="9"/>
        <v/>
      </c>
      <c r="R104" s="148" t="str">
        <f t="shared" si="10"/>
        <v/>
      </c>
      <c r="S104" s="149" t="str">
        <f t="shared" si="11"/>
        <v/>
      </c>
      <c r="U104" s="66" t="str">
        <f>'DAY 1'!Y104</f>
        <v/>
      </c>
      <c r="V104" s="89" t="str">
        <f>'DAY 2'!Y104</f>
        <v/>
      </c>
      <c r="W104" s="89" t="str">
        <f>'DAY 3'!Y104</f>
        <v/>
      </c>
      <c r="X104" s="89" t="str">
        <f>'DAY 4'!Y104</f>
        <v/>
      </c>
      <c r="Y104" s="67" t="str">
        <f>'DAY 5'!Y104</f>
        <v/>
      </c>
      <c r="Z104" s="142" t="str">
        <f t="shared" si="12"/>
        <v/>
      </c>
      <c r="AA104" s="22" t="str">
        <f t="shared" si="13"/>
        <v/>
      </c>
      <c r="AB104" t="str">
        <f>'DAY 1'!Z104</f>
        <v/>
      </c>
      <c r="AC104" t="str">
        <f>'DAY 2'!Z104</f>
        <v/>
      </c>
      <c r="AD104" t="str">
        <f>'DAY 3'!Z104</f>
        <v/>
      </c>
      <c r="AE104" t="str">
        <f>'DAY 4'!Z104</f>
        <v/>
      </c>
      <c r="AF104" t="str">
        <f>'DAY 5'!Z104</f>
        <v/>
      </c>
      <c r="AG104" s="144" t="str">
        <f t="shared" si="14"/>
        <v/>
      </c>
      <c r="AH104" s="145" t="str">
        <f t="shared" si="15"/>
        <v/>
      </c>
    </row>
    <row r="105" spans="2:34" ht="15.75" thickBot="1" x14ac:dyDescent="0.3">
      <c r="B105" s="66" t="str">
        <f>IF(AND('ENTRY DATA'!C105=""),"",('ENTRY DATA'!C105))</f>
        <v/>
      </c>
      <c r="C105" s="67" t="str">
        <f>IF(AND('ENTRY DATA'!D105=""),"",('ENTRY DATA'!D105))</f>
        <v/>
      </c>
      <c r="E105" s="66" t="str">
        <f>IF(AND('ENTRY DATA'!F105=""),"",('ENTRY DATA'!F105))</f>
        <v/>
      </c>
      <c r="F105" s="67" t="str">
        <f>IF(AND('ENTRY DATA'!G105=""),"",('ENTRY DATA'!G105))</f>
        <v/>
      </c>
      <c r="G105" s="61" t="s">
        <v>40</v>
      </c>
      <c r="I105" s="81" t="str">
        <f>IF(AND('DAY 1'!M105=""),"",('DAY 1'!M105))</f>
        <v/>
      </c>
      <c r="J105" s="79" t="str">
        <f>IF(AND('DAY 2'!M105=""),"",('DAY 2'!M105))</f>
        <v/>
      </c>
      <c r="K105" s="79" t="str">
        <f>IF(AND('DAY 3'!M105=""),"",('DAY 3'!M105))</f>
        <v/>
      </c>
      <c r="L105" s="79" t="str">
        <f>IF(AND('DAY 4'!M105=""),"",('DAY 4'!M105))</f>
        <v/>
      </c>
      <c r="M105" s="80" t="str">
        <f>IF(AND('DAY 5'!M105=""),"",('DAY 5'!M105))</f>
        <v/>
      </c>
      <c r="O105" s="78">
        <f>SUM('DAY 1'!L105,'DAY 2'!L105,'DAY 3'!L105,'DAY 4'!L105,'DAY 5'!L105)</f>
        <v>0</v>
      </c>
      <c r="P105" s="82" t="str">
        <f t="shared" si="8"/>
        <v/>
      </c>
      <c r="Q105" s="83" t="str">
        <f t="shared" si="9"/>
        <v/>
      </c>
      <c r="R105" s="148" t="str">
        <f t="shared" si="10"/>
        <v/>
      </c>
      <c r="S105" s="149" t="str">
        <f t="shared" si="11"/>
        <v/>
      </c>
      <c r="U105" s="66" t="str">
        <f>'DAY 1'!Y105</f>
        <v/>
      </c>
      <c r="V105" s="89" t="str">
        <f>'DAY 2'!Y105</f>
        <v/>
      </c>
      <c r="W105" s="89" t="str">
        <f>'DAY 3'!Y105</f>
        <v/>
      </c>
      <c r="X105" s="89" t="str">
        <f>'DAY 4'!Y105</f>
        <v/>
      </c>
      <c r="Y105" s="67" t="str">
        <f>'DAY 5'!Y105</f>
        <v/>
      </c>
      <c r="Z105" s="142" t="str">
        <f t="shared" si="12"/>
        <v/>
      </c>
      <c r="AA105" s="22" t="str">
        <f t="shared" si="13"/>
        <v/>
      </c>
      <c r="AB105" t="str">
        <f>'DAY 1'!Z105</f>
        <v/>
      </c>
      <c r="AC105" t="str">
        <f>'DAY 2'!Z105</f>
        <v/>
      </c>
      <c r="AD105" t="str">
        <f>'DAY 3'!Z105</f>
        <v/>
      </c>
      <c r="AE105" t="str">
        <f>'DAY 4'!Z105</f>
        <v/>
      </c>
      <c r="AF105" t="str">
        <f>'DAY 5'!Z105</f>
        <v/>
      </c>
      <c r="AG105" s="144" t="str">
        <f t="shared" si="14"/>
        <v/>
      </c>
      <c r="AH105" s="145" t="str">
        <f t="shared" si="15"/>
        <v/>
      </c>
    </row>
    <row r="106" spans="2:34" ht="15.75" thickBot="1" x14ac:dyDescent="0.3">
      <c r="B106" s="66" t="str">
        <f>IF(AND('ENTRY DATA'!C106=""),"",('ENTRY DATA'!C106))</f>
        <v/>
      </c>
      <c r="C106" s="67" t="str">
        <f>IF(AND('ENTRY DATA'!D106=""),"",('ENTRY DATA'!D106))</f>
        <v/>
      </c>
      <c r="E106" s="66" t="str">
        <f>IF(AND('ENTRY DATA'!F106=""),"",('ENTRY DATA'!F106))</f>
        <v/>
      </c>
      <c r="F106" s="67" t="str">
        <f>IF(AND('ENTRY DATA'!G106=""),"",('ENTRY DATA'!G106))</f>
        <v/>
      </c>
      <c r="G106" s="61" t="s">
        <v>40</v>
      </c>
      <c r="I106" s="81" t="str">
        <f>IF(AND('DAY 1'!M106=""),"",('DAY 1'!M106))</f>
        <v/>
      </c>
      <c r="J106" s="79" t="str">
        <f>IF(AND('DAY 2'!M106=""),"",('DAY 2'!M106))</f>
        <v/>
      </c>
      <c r="K106" s="79" t="str">
        <f>IF(AND('DAY 3'!M106=""),"",('DAY 3'!M106))</f>
        <v/>
      </c>
      <c r="L106" s="79" t="str">
        <f>IF(AND('DAY 4'!M106=""),"",('DAY 4'!M106))</f>
        <v/>
      </c>
      <c r="M106" s="80" t="str">
        <f>IF(AND('DAY 5'!M106=""),"",('DAY 5'!M106))</f>
        <v/>
      </c>
      <c r="O106" s="78">
        <f>SUM('DAY 1'!L106,'DAY 2'!L106,'DAY 3'!L106,'DAY 4'!L106,'DAY 5'!L106)</f>
        <v>0</v>
      </c>
      <c r="P106" s="82" t="str">
        <f t="shared" si="8"/>
        <v/>
      </c>
      <c r="Q106" s="83" t="str">
        <f t="shared" si="9"/>
        <v/>
      </c>
      <c r="R106" s="148" t="str">
        <f t="shared" si="10"/>
        <v/>
      </c>
      <c r="S106" s="149" t="str">
        <f t="shared" si="11"/>
        <v/>
      </c>
      <c r="U106" s="66" t="str">
        <f>'DAY 1'!Y106</f>
        <v/>
      </c>
      <c r="V106" s="89" t="str">
        <f>'DAY 2'!Y106</f>
        <v/>
      </c>
      <c r="W106" s="89" t="str">
        <f>'DAY 3'!Y106</f>
        <v/>
      </c>
      <c r="X106" s="89" t="str">
        <f>'DAY 4'!Y106</f>
        <v/>
      </c>
      <c r="Y106" s="67" t="str">
        <f>'DAY 5'!Y106</f>
        <v/>
      </c>
      <c r="Z106" s="142" t="str">
        <f t="shared" si="12"/>
        <v/>
      </c>
      <c r="AA106" s="22" t="str">
        <f t="shared" si="13"/>
        <v/>
      </c>
      <c r="AB106" t="str">
        <f>'DAY 1'!Z106</f>
        <v/>
      </c>
      <c r="AC106" t="str">
        <f>'DAY 2'!Z106</f>
        <v/>
      </c>
      <c r="AD106" t="str">
        <f>'DAY 3'!Z106</f>
        <v/>
      </c>
      <c r="AE106" t="str">
        <f>'DAY 4'!Z106</f>
        <v/>
      </c>
      <c r="AF106" t="str">
        <f>'DAY 5'!Z106</f>
        <v/>
      </c>
      <c r="AG106" s="144" t="str">
        <f t="shared" si="14"/>
        <v/>
      </c>
      <c r="AH106" s="145" t="str">
        <f t="shared" si="15"/>
        <v/>
      </c>
    </row>
    <row r="107" spans="2:34" ht="15.75" thickBot="1" x14ac:dyDescent="0.3">
      <c r="B107" s="66" t="str">
        <f>IF(AND('ENTRY DATA'!C107=""),"",('ENTRY DATA'!C107))</f>
        <v/>
      </c>
      <c r="C107" s="67" t="str">
        <f>IF(AND('ENTRY DATA'!D107=""),"",('ENTRY DATA'!D107))</f>
        <v/>
      </c>
      <c r="E107" s="66" t="str">
        <f>IF(AND('ENTRY DATA'!F107=""),"",('ENTRY DATA'!F107))</f>
        <v/>
      </c>
      <c r="F107" s="67" t="str">
        <f>IF(AND('ENTRY DATA'!G107=""),"",('ENTRY DATA'!G107))</f>
        <v/>
      </c>
      <c r="G107" s="61" t="s">
        <v>40</v>
      </c>
      <c r="I107" s="81" t="str">
        <f>IF(AND('DAY 1'!M107=""),"",('DAY 1'!M107))</f>
        <v/>
      </c>
      <c r="J107" s="79" t="str">
        <f>IF(AND('DAY 2'!M107=""),"",('DAY 2'!M107))</f>
        <v/>
      </c>
      <c r="K107" s="79" t="str">
        <f>IF(AND('DAY 3'!M107=""),"",('DAY 3'!M107))</f>
        <v/>
      </c>
      <c r="L107" s="79" t="str">
        <f>IF(AND('DAY 4'!M107=""),"",('DAY 4'!M107))</f>
        <v/>
      </c>
      <c r="M107" s="80" t="str">
        <f>IF(AND('DAY 5'!M107=""),"",('DAY 5'!M107))</f>
        <v/>
      </c>
      <c r="O107" s="78">
        <f>SUM('DAY 1'!L107,'DAY 2'!L107,'DAY 3'!L107,'DAY 4'!L107,'DAY 5'!L107)</f>
        <v>0</v>
      </c>
      <c r="P107" s="82" t="str">
        <f t="shared" si="8"/>
        <v/>
      </c>
      <c r="Q107" s="83" t="str">
        <f t="shared" si="9"/>
        <v/>
      </c>
      <c r="R107" s="148" t="str">
        <f t="shared" si="10"/>
        <v/>
      </c>
      <c r="S107" s="149" t="str">
        <f t="shared" si="11"/>
        <v/>
      </c>
      <c r="U107" s="66" t="str">
        <f>'DAY 1'!Y107</f>
        <v/>
      </c>
      <c r="V107" s="89" t="str">
        <f>'DAY 2'!Y107</f>
        <v/>
      </c>
      <c r="W107" s="89" t="str">
        <f>'DAY 3'!Y107</f>
        <v/>
      </c>
      <c r="X107" s="89" t="str">
        <f>'DAY 4'!Y107</f>
        <v/>
      </c>
      <c r="Y107" s="67" t="str">
        <f>'DAY 5'!Y107</f>
        <v/>
      </c>
      <c r="Z107" s="142" t="str">
        <f t="shared" si="12"/>
        <v/>
      </c>
      <c r="AA107" s="22" t="str">
        <f t="shared" si="13"/>
        <v/>
      </c>
      <c r="AB107" t="str">
        <f>'DAY 1'!Z107</f>
        <v/>
      </c>
      <c r="AC107" t="str">
        <f>'DAY 2'!Z107</f>
        <v/>
      </c>
      <c r="AD107" t="str">
        <f>'DAY 3'!Z107</f>
        <v/>
      </c>
      <c r="AE107" t="str">
        <f>'DAY 4'!Z107</f>
        <v/>
      </c>
      <c r="AF107" t="str">
        <f>'DAY 5'!Z107</f>
        <v/>
      </c>
      <c r="AG107" s="144" t="str">
        <f t="shared" si="14"/>
        <v/>
      </c>
      <c r="AH107" s="145" t="str">
        <f t="shared" si="15"/>
        <v/>
      </c>
    </row>
    <row r="108" spans="2:34" ht="15.75" thickBot="1" x14ac:dyDescent="0.3">
      <c r="B108" s="66" t="str">
        <f>IF(AND('ENTRY DATA'!C108=""),"",('ENTRY DATA'!C108))</f>
        <v/>
      </c>
      <c r="C108" s="67" t="str">
        <f>IF(AND('ENTRY DATA'!D108=""),"",('ENTRY DATA'!D108))</f>
        <v/>
      </c>
      <c r="E108" s="66" t="str">
        <f>IF(AND('ENTRY DATA'!F108=""),"",('ENTRY DATA'!F108))</f>
        <v/>
      </c>
      <c r="F108" s="67" t="str">
        <f>IF(AND('ENTRY DATA'!G108=""),"",('ENTRY DATA'!G108))</f>
        <v/>
      </c>
      <c r="G108" s="61" t="s">
        <v>40</v>
      </c>
      <c r="I108" s="81" t="str">
        <f>IF(AND('DAY 1'!M108=""),"",('DAY 1'!M108))</f>
        <v/>
      </c>
      <c r="J108" s="79" t="str">
        <f>IF(AND('DAY 2'!M108=""),"",('DAY 2'!M108))</f>
        <v/>
      </c>
      <c r="K108" s="79" t="str">
        <f>IF(AND('DAY 3'!M108=""),"",('DAY 3'!M108))</f>
        <v/>
      </c>
      <c r="L108" s="79" t="str">
        <f>IF(AND('DAY 4'!M108=""),"",('DAY 4'!M108))</f>
        <v/>
      </c>
      <c r="M108" s="80" t="str">
        <f>IF(AND('DAY 5'!M108=""),"",('DAY 5'!M108))</f>
        <v/>
      </c>
      <c r="O108" s="78">
        <f>SUM('DAY 1'!L108,'DAY 2'!L108,'DAY 3'!L108,'DAY 4'!L108,'DAY 5'!L108)</f>
        <v>0</v>
      </c>
      <c r="P108" s="82" t="str">
        <f t="shared" si="8"/>
        <v/>
      </c>
      <c r="Q108" s="83" t="str">
        <f t="shared" si="9"/>
        <v/>
      </c>
      <c r="R108" s="148" t="str">
        <f t="shared" si="10"/>
        <v/>
      </c>
      <c r="S108" s="149" t="str">
        <f t="shared" si="11"/>
        <v/>
      </c>
      <c r="U108" s="66" t="str">
        <f>'DAY 1'!Y108</f>
        <v/>
      </c>
      <c r="V108" s="89" t="str">
        <f>'DAY 2'!Y108</f>
        <v/>
      </c>
      <c r="W108" s="89" t="str">
        <f>'DAY 3'!Y108</f>
        <v/>
      </c>
      <c r="X108" s="89" t="str">
        <f>'DAY 4'!Y108</f>
        <v/>
      </c>
      <c r="Y108" s="67" t="str">
        <f>'DAY 5'!Y108</f>
        <v/>
      </c>
      <c r="Z108" s="142" t="str">
        <f t="shared" si="12"/>
        <v/>
      </c>
      <c r="AA108" s="22" t="str">
        <f t="shared" si="13"/>
        <v/>
      </c>
      <c r="AB108" t="str">
        <f>'DAY 1'!Z108</f>
        <v/>
      </c>
      <c r="AC108" t="str">
        <f>'DAY 2'!Z108</f>
        <v/>
      </c>
      <c r="AD108" t="str">
        <f>'DAY 3'!Z108</f>
        <v/>
      </c>
      <c r="AE108" t="str">
        <f>'DAY 4'!Z108</f>
        <v/>
      </c>
      <c r="AF108" t="str">
        <f>'DAY 5'!Z108</f>
        <v/>
      </c>
      <c r="AG108" s="144" t="str">
        <f t="shared" si="14"/>
        <v/>
      </c>
      <c r="AH108" s="145" t="str">
        <f t="shared" si="15"/>
        <v/>
      </c>
    </row>
    <row r="109" spans="2:34" ht="15.75" thickBot="1" x14ac:dyDescent="0.3">
      <c r="B109" s="66" t="str">
        <f>IF(AND('ENTRY DATA'!C109=""),"",('ENTRY DATA'!C109))</f>
        <v/>
      </c>
      <c r="C109" s="67" t="str">
        <f>IF(AND('ENTRY DATA'!D109=""),"",('ENTRY DATA'!D109))</f>
        <v/>
      </c>
      <c r="E109" s="66" t="str">
        <f>IF(AND('ENTRY DATA'!F109=""),"",('ENTRY DATA'!F109))</f>
        <v/>
      </c>
      <c r="F109" s="67" t="str">
        <f>IF(AND('ENTRY DATA'!G109=""),"",('ENTRY DATA'!G109))</f>
        <v/>
      </c>
      <c r="G109" s="61" t="s">
        <v>40</v>
      </c>
      <c r="I109" s="81" t="str">
        <f>IF(AND('DAY 1'!M109=""),"",('DAY 1'!M109))</f>
        <v/>
      </c>
      <c r="J109" s="79" t="str">
        <f>IF(AND('DAY 2'!M109=""),"",('DAY 2'!M109))</f>
        <v/>
      </c>
      <c r="K109" s="79" t="str">
        <f>IF(AND('DAY 3'!M109=""),"",('DAY 3'!M109))</f>
        <v/>
      </c>
      <c r="L109" s="79" t="str">
        <f>IF(AND('DAY 4'!M109=""),"",('DAY 4'!M109))</f>
        <v/>
      </c>
      <c r="M109" s="80" t="str">
        <f>IF(AND('DAY 5'!M109=""),"",('DAY 5'!M109))</f>
        <v/>
      </c>
      <c r="O109" s="78">
        <f>SUM('DAY 1'!L109,'DAY 2'!L109,'DAY 3'!L109,'DAY 4'!L109,'DAY 5'!L109)</f>
        <v>0</v>
      </c>
      <c r="P109" s="82" t="str">
        <f t="shared" si="8"/>
        <v/>
      </c>
      <c r="Q109" s="83" t="str">
        <f t="shared" si="9"/>
        <v/>
      </c>
      <c r="R109" s="148" t="str">
        <f t="shared" si="10"/>
        <v/>
      </c>
      <c r="S109" s="149" t="str">
        <f t="shared" si="11"/>
        <v/>
      </c>
      <c r="U109" s="66" t="str">
        <f>'DAY 1'!Y109</f>
        <v/>
      </c>
      <c r="V109" s="89" t="str">
        <f>'DAY 2'!Y109</f>
        <v/>
      </c>
      <c r="W109" s="89" t="str">
        <f>'DAY 3'!Y109</f>
        <v/>
      </c>
      <c r="X109" s="89" t="str">
        <f>'DAY 4'!Y109</f>
        <v/>
      </c>
      <c r="Y109" s="67" t="str">
        <f>'DAY 5'!Y109</f>
        <v/>
      </c>
      <c r="Z109" s="142" t="str">
        <f t="shared" si="12"/>
        <v/>
      </c>
      <c r="AA109" s="22" t="str">
        <f t="shared" si="13"/>
        <v/>
      </c>
      <c r="AB109" t="str">
        <f>'DAY 1'!Z109</f>
        <v/>
      </c>
      <c r="AC109" t="str">
        <f>'DAY 2'!Z109</f>
        <v/>
      </c>
      <c r="AD109" t="str">
        <f>'DAY 3'!Z109</f>
        <v/>
      </c>
      <c r="AE109" t="str">
        <f>'DAY 4'!Z109</f>
        <v/>
      </c>
      <c r="AF109" t="str">
        <f>'DAY 5'!Z109</f>
        <v/>
      </c>
      <c r="AG109" s="144" t="str">
        <f t="shared" si="14"/>
        <v/>
      </c>
      <c r="AH109" s="145" t="str">
        <f t="shared" si="15"/>
        <v/>
      </c>
    </row>
    <row r="110" spans="2:34" ht="15.75" thickBot="1" x14ac:dyDescent="0.3">
      <c r="B110" s="66" t="str">
        <f>IF(AND('ENTRY DATA'!C110=""),"",('ENTRY DATA'!C110))</f>
        <v/>
      </c>
      <c r="C110" s="67" t="str">
        <f>IF(AND('ENTRY DATA'!D110=""),"",('ENTRY DATA'!D110))</f>
        <v/>
      </c>
      <c r="E110" s="66" t="str">
        <f>IF(AND('ENTRY DATA'!F110=""),"",('ENTRY DATA'!F110))</f>
        <v/>
      </c>
      <c r="F110" s="67" t="str">
        <f>IF(AND('ENTRY DATA'!G110=""),"",('ENTRY DATA'!G110))</f>
        <v/>
      </c>
      <c r="G110" s="61" t="s">
        <v>40</v>
      </c>
      <c r="I110" s="81" t="str">
        <f>IF(AND('DAY 1'!M110=""),"",('DAY 1'!M110))</f>
        <v/>
      </c>
      <c r="J110" s="79" t="str">
        <f>IF(AND('DAY 2'!M110=""),"",('DAY 2'!M110))</f>
        <v/>
      </c>
      <c r="K110" s="79" t="str">
        <f>IF(AND('DAY 3'!M110=""),"",('DAY 3'!M110))</f>
        <v/>
      </c>
      <c r="L110" s="79" t="str">
        <f>IF(AND('DAY 4'!M110=""),"",('DAY 4'!M110))</f>
        <v/>
      </c>
      <c r="M110" s="80" t="str">
        <f>IF(AND('DAY 5'!M110=""),"",('DAY 5'!M110))</f>
        <v/>
      </c>
      <c r="O110" s="78">
        <f>SUM('DAY 1'!L110,'DAY 2'!L110,'DAY 3'!L110,'DAY 4'!L110,'DAY 5'!L110)</f>
        <v>0</v>
      </c>
      <c r="P110" s="82" t="str">
        <f t="shared" si="8"/>
        <v/>
      </c>
      <c r="Q110" s="83" t="str">
        <f t="shared" si="9"/>
        <v/>
      </c>
      <c r="R110" s="148" t="str">
        <f t="shared" si="10"/>
        <v/>
      </c>
      <c r="S110" s="149" t="str">
        <f t="shared" si="11"/>
        <v/>
      </c>
      <c r="U110" s="66" t="str">
        <f>'DAY 1'!Y110</f>
        <v/>
      </c>
      <c r="V110" s="89" t="str">
        <f>'DAY 2'!Y110</f>
        <v/>
      </c>
      <c r="W110" s="89" t="str">
        <f>'DAY 3'!Y110</f>
        <v/>
      </c>
      <c r="X110" s="89" t="str">
        <f>'DAY 4'!Y110</f>
        <v/>
      </c>
      <c r="Y110" s="67" t="str">
        <f>'DAY 5'!Y110</f>
        <v/>
      </c>
      <c r="Z110" s="142" t="str">
        <f t="shared" si="12"/>
        <v/>
      </c>
      <c r="AA110" s="22" t="str">
        <f t="shared" si="13"/>
        <v/>
      </c>
      <c r="AB110" t="str">
        <f>'DAY 1'!Z110</f>
        <v/>
      </c>
      <c r="AC110" t="str">
        <f>'DAY 2'!Z110</f>
        <v/>
      </c>
      <c r="AD110" t="str">
        <f>'DAY 3'!Z110</f>
        <v/>
      </c>
      <c r="AE110" t="str">
        <f>'DAY 4'!Z110</f>
        <v/>
      </c>
      <c r="AF110" t="str">
        <f>'DAY 5'!Z110</f>
        <v/>
      </c>
      <c r="AG110" s="144" t="str">
        <f t="shared" si="14"/>
        <v/>
      </c>
      <c r="AH110" s="145" t="str">
        <f t="shared" si="15"/>
        <v/>
      </c>
    </row>
    <row r="111" spans="2:34" ht="15.75" thickBot="1" x14ac:dyDescent="0.3">
      <c r="B111" s="66" t="str">
        <f>IF(AND('ENTRY DATA'!C111=""),"",('ENTRY DATA'!C111))</f>
        <v/>
      </c>
      <c r="C111" s="67" t="str">
        <f>IF(AND('ENTRY DATA'!D111=""),"",('ENTRY DATA'!D111))</f>
        <v/>
      </c>
      <c r="E111" s="66" t="str">
        <f>IF(AND('ENTRY DATA'!F111=""),"",('ENTRY DATA'!F111))</f>
        <v/>
      </c>
      <c r="F111" s="67" t="str">
        <f>IF(AND('ENTRY DATA'!G111=""),"",('ENTRY DATA'!G111))</f>
        <v/>
      </c>
      <c r="G111" s="61" t="s">
        <v>40</v>
      </c>
      <c r="I111" s="81" t="str">
        <f>IF(AND('DAY 1'!M111=""),"",('DAY 1'!M111))</f>
        <v/>
      </c>
      <c r="J111" s="79" t="str">
        <f>IF(AND('DAY 2'!M111=""),"",('DAY 2'!M111))</f>
        <v/>
      </c>
      <c r="K111" s="79" t="str">
        <f>IF(AND('DAY 3'!M111=""),"",('DAY 3'!M111))</f>
        <v/>
      </c>
      <c r="L111" s="79" t="str">
        <f>IF(AND('DAY 4'!M111=""),"",('DAY 4'!M111))</f>
        <v/>
      </c>
      <c r="M111" s="80" t="str">
        <f>IF(AND('DAY 5'!M111=""),"",('DAY 5'!M111))</f>
        <v/>
      </c>
      <c r="O111" s="78">
        <f>SUM('DAY 1'!L111,'DAY 2'!L111,'DAY 3'!L111,'DAY 4'!L111,'DAY 5'!L111)</f>
        <v>0</v>
      </c>
      <c r="P111" s="82" t="str">
        <f t="shared" si="8"/>
        <v/>
      </c>
      <c r="Q111" s="83" t="str">
        <f t="shared" si="9"/>
        <v/>
      </c>
      <c r="R111" s="148" t="str">
        <f t="shared" si="10"/>
        <v/>
      </c>
      <c r="S111" s="149" t="str">
        <f t="shared" si="11"/>
        <v/>
      </c>
      <c r="U111" s="66" t="str">
        <f>'DAY 1'!Y111</f>
        <v/>
      </c>
      <c r="V111" s="89" t="str">
        <f>'DAY 2'!Y111</f>
        <v/>
      </c>
      <c r="W111" s="89" t="str">
        <f>'DAY 3'!Y111</f>
        <v/>
      </c>
      <c r="X111" s="89" t="str">
        <f>'DAY 4'!Y111</f>
        <v/>
      </c>
      <c r="Y111" s="67" t="str">
        <f>'DAY 5'!Y111</f>
        <v/>
      </c>
      <c r="Z111" s="142" t="str">
        <f t="shared" si="12"/>
        <v/>
      </c>
      <c r="AA111" s="22" t="str">
        <f t="shared" si="13"/>
        <v/>
      </c>
      <c r="AB111" t="str">
        <f>'DAY 1'!Z111</f>
        <v/>
      </c>
      <c r="AC111" t="str">
        <f>'DAY 2'!Z111</f>
        <v/>
      </c>
      <c r="AD111" t="str">
        <f>'DAY 3'!Z111</f>
        <v/>
      </c>
      <c r="AE111" t="str">
        <f>'DAY 4'!Z111</f>
        <v/>
      </c>
      <c r="AF111" t="str">
        <f>'DAY 5'!Z111</f>
        <v/>
      </c>
      <c r="AG111" s="144" t="str">
        <f t="shared" si="14"/>
        <v/>
      </c>
      <c r="AH111" s="145" t="str">
        <f t="shared" si="15"/>
        <v/>
      </c>
    </row>
    <row r="112" spans="2:34" ht="15.75" thickBot="1" x14ac:dyDescent="0.3">
      <c r="B112" s="66" t="str">
        <f>IF(AND('ENTRY DATA'!C112=""),"",('ENTRY DATA'!C112))</f>
        <v/>
      </c>
      <c r="C112" s="67" t="str">
        <f>IF(AND('ENTRY DATA'!D112=""),"",('ENTRY DATA'!D112))</f>
        <v/>
      </c>
      <c r="E112" s="66" t="str">
        <f>IF(AND('ENTRY DATA'!F112=""),"",('ENTRY DATA'!F112))</f>
        <v/>
      </c>
      <c r="F112" s="67" t="str">
        <f>IF(AND('ENTRY DATA'!G112=""),"",('ENTRY DATA'!G112))</f>
        <v/>
      </c>
      <c r="G112" s="61" t="s">
        <v>40</v>
      </c>
      <c r="I112" s="81" t="str">
        <f>IF(AND('DAY 1'!M112=""),"",('DAY 1'!M112))</f>
        <v/>
      </c>
      <c r="J112" s="79" t="str">
        <f>IF(AND('DAY 2'!M112=""),"",('DAY 2'!M112))</f>
        <v/>
      </c>
      <c r="K112" s="79" t="str">
        <f>IF(AND('DAY 3'!M112=""),"",('DAY 3'!M112))</f>
        <v/>
      </c>
      <c r="L112" s="79" t="str">
        <f>IF(AND('DAY 4'!M112=""),"",('DAY 4'!M112))</f>
        <v/>
      </c>
      <c r="M112" s="80" t="str">
        <f>IF(AND('DAY 5'!M112=""),"",('DAY 5'!M112))</f>
        <v/>
      </c>
      <c r="O112" s="78">
        <f>SUM('DAY 1'!L112,'DAY 2'!L112,'DAY 3'!L112,'DAY 4'!L112,'DAY 5'!L112)</f>
        <v>0</v>
      </c>
      <c r="P112" s="82" t="str">
        <f t="shared" si="8"/>
        <v/>
      </c>
      <c r="Q112" s="83" t="str">
        <f t="shared" si="9"/>
        <v/>
      </c>
      <c r="R112" s="148" t="str">
        <f t="shared" si="10"/>
        <v/>
      </c>
      <c r="S112" s="149" t="str">
        <f t="shared" si="11"/>
        <v/>
      </c>
      <c r="U112" s="66" t="str">
        <f>'DAY 1'!Y112</f>
        <v/>
      </c>
      <c r="V112" s="89" t="str">
        <f>'DAY 2'!Y112</f>
        <v/>
      </c>
      <c r="W112" s="89" t="str">
        <f>'DAY 3'!Y112</f>
        <v/>
      </c>
      <c r="X112" s="89" t="str">
        <f>'DAY 4'!Y112</f>
        <v/>
      </c>
      <c r="Y112" s="67" t="str">
        <f>'DAY 5'!Y112</f>
        <v/>
      </c>
      <c r="Z112" s="142" t="str">
        <f t="shared" si="12"/>
        <v/>
      </c>
      <c r="AA112" s="22" t="str">
        <f t="shared" si="13"/>
        <v/>
      </c>
      <c r="AB112" t="str">
        <f>'DAY 1'!Z112</f>
        <v/>
      </c>
      <c r="AC112" t="str">
        <f>'DAY 2'!Z112</f>
        <v/>
      </c>
      <c r="AD112" t="str">
        <f>'DAY 3'!Z112</f>
        <v/>
      </c>
      <c r="AE112" t="str">
        <f>'DAY 4'!Z112</f>
        <v/>
      </c>
      <c r="AF112" t="str">
        <f>'DAY 5'!Z112</f>
        <v/>
      </c>
      <c r="AG112" s="144" t="str">
        <f t="shared" si="14"/>
        <v/>
      </c>
      <c r="AH112" s="145" t="str">
        <f t="shared" si="15"/>
        <v/>
      </c>
    </row>
    <row r="113" spans="2:34" ht="15.75" thickBot="1" x14ac:dyDescent="0.3">
      <c r="B113" s="66" t="str">
        <f>IF(AND('ENTRY DATA'!C113=""),"",('ENTRY DATA'!C113))</f>
        <v/>
      </c>
      <c r="C113" s="67" t="str">
        <f>IF(AND('ENTRY DATA'!D113=""),"",('ENTRY DATA'!D113))</f>
        <v/>
      </c>
      <c r="E113" s="66" t="str">
        <f>IF(AND('ENTRY DATA'!F113=""),"",('ENTRY DATA'!F113))</f>
        <v/>
      </c>
      <c r="F113" s="67" t="str">
        <f>IF(AND('ENTRY DATA'!G113=""),"",('ENTRY DATA'!G113))</f>
        <v/>
      </c>
      <c r="G113" s="61" t="s">
        <v>40</v>
      </c>
      <c r="I113" s="81" t="str">
        <f>IF(AND('DAY 1'!M113=""),"",('DAY 1'!M113))</f>
        <v/>
      </c>
      <c r="J113" s="79" t="str">
        <f>IF(AND('DAY 2'!M113=""),"",('DAY 2'!M113))</f>
        <v/>
      </c>
      <c r="K113" s="79" t="str">
        <f>IF(AND('DAY 3'!M113=""),"",('DAY 3'!M113))</f>
        <v/>
      </c>
      <c r="L113" s="79" t="str">
        <f>IF(AND('DAY 4'!M113=""),"",('DAY 4'!M113))</f>
        <v/>
      </c>
      <c r="M113" s="80" t="str">
        <f>IF(AND('DAY 5'!M113=""),"",('DAY 5'!M113))</f>
        <v/>
      </c>
      <c r="O113" s="78">
        <f>SUM('DAY 1'!L113,'DAY 2'!L113,'DAY 3'!L113,'DAY 4'!L113,'DAY 5'!L113)</f>
        <v>0</v>
      </c>
      <c r="P113" s="82" t="str">
        <f t="shared" si="8"/>
        <v/>
      </c>
      <c r="Q113" s="83" t="str">
        <f t="shared" si="9"/>
        <v/>
      </c>
      <c r="R113" s="148" t="str">
        <f t="shared" si="10"/>
        <v/>
      </c>
      <c r="S113" s="149" t="str">
        <f t="shared" si="11"/>
        <v/>
      </c>
      <c r="U113" s="66" t="str">
        <f>'DAY 1'!Y113</f>
        <v/>
      </c>
      <c r="V113" s="89" t="str">
        <f>'DAY 2'!Y113</f>
        <v/>
      </c>
      <c r="W113" s="89" t="str">
        <f>'DAY 3'!Y113</f>
        <v/>
      </c>
      <c r="X113" s="89" t="str">
        <f>'DAY 4'!Y113</f>
        <v/>
      </c>
      <c r="Y113" s="67" t="str">
        <f>'DAY 5'!Y113</f>
        <v/>
      </c>
      <c r="Z113" s="142" t="str">
        <f t="shared" si="12"/>
        <v/>
      </c>
      <c r="AA113" s="22" t="str">
        <f t="shared" si="13"/>
        <v/>
      </c>
      <c r="AB113" t="str">
        <f>'DAY 1'!Z113</f>
        <v/>
      </c>
      <c r="AC113" t="str">
        <f>'DAY 2'!Z113</f>
        <v/>
      </c>
      <c r="AD113" t="str">
        <f>'DAY 3'!Z113</f>
        <v/>
      </c>
      <c r="AE113" t="str">
        <f>'DAY 4'!Z113</f>
        <v/>
      </c>
      <c r="AF113" t="str">
        <f>'DAY 5'!Z113</f>
        <v/>
      </c>
      <c r="AG113" s="144" t="str">
        <f t="shared" si="14"/>
        <v/>
      </c>
      <c r="AH113" s="145" t="str">
        <f t="shared" si="15"/>
        <v/>
      </c>
    </row>
    <row r="114" spans="2:34" ht="15.75" thickBot="1" x14ac:dyDescent="0.3">
      <c r="B114" s="66" t="str">
        <f>IF(AND('ENTRY DATA'!C114=""),"",('ENTRY DATA'!C114))</f>
        <v/>
      </c>
      <c r="C114" s="67" t="str">
        <f>IF(AND('ENTRY DATA'!D114=""),"",('ENTRY DATA'!D114))</f>
        <v/>
      </c>
      <c r="E114" s="66" t="str">
        <f>IF(AND('ENTRY DATA'!F114=""),"",('ENTRY DATA'!F114))</f>
        <v/>
      </c>
      <c r="F114" s="67" t="str">
        <f>IF(AND('ENTRY DATA'!G114=""),"",('ENTRY DATA'!G114))</f>
        <v/>
      </c>
      <c r="G114" s="61" t="s">
        <v>40</v>
      </c>
      <c r="I114" s="81" t="str">
        <f>IF(AND('DAY 1'!M114=""),"",('DAY 1'!M114))</f>
        <v/>
      </c>
      <c r="J114" s="79" t="str">
        <f>IF(AND('DAY 2'!M114=""),"",('DAY 2'!M114))</f>
        <v/>
      </c>
      <c r="K114" s="79" t="str">
        <f>IF(AND('DAY 3'!M114=""),"",('DAY 3'!M114))</f>
        <v/>
      </c>
      <c r="L114" s="79" t="str">
        <f>IF(AND('DAY 4'!M114=""),"",('DAY 4'!M114))</f>
        <v/>
      </c>
      <c r="M114" s="80" t="str">
        <f>IF(AND('DAY 5'!M114=""),"",('DAY 5'!M114))</f>
        <v/>
      </c>
      <c r="O114" s="78">
        <f>SUM('DAY 1'!L114,'DAY 2'!L114,'DAY 3'!L114,'DAY 4'!L114,'DAY 5'!L114)</f>
        <v>0</v>
      </c>
      <c r="P114" s="82" t="str">
        <f t="shared" si="8"/>
        <v/>
      </c>
      <c r="Q114" s="83" t="str">
        <f t="shared" si="9"/>
        <v/>
      </c>
      <c r="R114" s="148" t="str">
        <f t="shared" si="10"/>
        <v/>
      </c>
      <c r="S114" s="149" t="str">
        <f t="shared" si="11"/>
        <v/>
      </c>
      <c r="U114" s="66" t="str">
        <f>'DAY 1'!Y114</f>
        <v/>
      </c>
      <c r="V114" s="89" t="str">
        <f>'DAY 2'!Y114</f>
        <v/>
      </c>
      <c r="W114" s="89" t="str">
        <f>'DAY 3'!Y114</f>
        <v/>
      </c>
      <c r="X114" s="89" t="str">
        <f>'DAY 4'!Y114</f>
        <v/>
      </c>
      <c r="Y114" s="67" t="str">
        <f>'DAY 5'!Y114</f>
        <v/>
      </c>
      <c r="Z114" s="142" t="str">
        <f t="shared" si="12"/>
        <v/>
      </c>
      <c r="AA114" s="22" t="str">
        <f t="shared" si="13"/>
        <v/>
      </c>
      <c r="AB114" t="str">
        <f>'DAY 1'!Z114</f>
        <v/>
      </c>
      <c r="AC114" t="str">
        <f>'DAY 2'!Z114</f>
        <v/>
      </c>
      <c r="AD114" t="str">
        <f>'DAY 3'!Z114</f>
        <v/>
      </c>
      <c r="AE114" t="str">
        <f>'DAY 4'!Z114</f>
        <v/>
      </c>
      <c r="AF114" t="str">
        <f>'DAY 5'!Z114</f>
        <v/>
      </c>
      <c r="AG114" s="144" t="str">
        <f t="shared" si="14"/>
        <v/>
      </c>
      <c r="AH114" s="145" t="str">
        <f t="shared" si="15"/>
        <v/>
      </c>
    </row>
    <row r="115" spans="2:34" ht="15.75" thickBot="1" x14ac:dyDescent="0.3">
      <c r="B115" s="66" t="str">
        <f>IF(AND('ENTRY DATA'!C115=""),"",('ENTRY DATA'!C115))</f>
        <v/>
      </c>
      <c r="C115" s="67" t="str">
        <f>IF(AND('ENTRY DATA'!D115=""),"",('ENTRY DATA'!D115))</f>
        <v/>
      </c>
      <c r="E115" s="66" t="str">
        <f>IF(AND('ENTRY DATA'!F115=""),"",('ENTRY DATA'!F115))</f>
        <v/>
      </c>
      <c r="F115" s="67" t="str">
        <f>IF(AND('ENTRY DATA'!G115=""),"",('ENTRY DATA'!G115))</f>
        <v/>
      </c>
      <c r="G115" s="61" t="s">
        <v>40</v>
      </c>
      <c r="I115" s="81" t="str">
        <f>IF(AND('DAY 1'!M115=""),"",('DAY 1'!M115))</f>
        <v/>
      </c>
      <c r="J115" s="79" t="str">
        <f>IF(AND('DAY 2'!M115=""),"",('DAY 2'!M115))</f>
        <v/>
      </c>
      <c r="K115" s="79" t="str">
        <f>IF(AND('DAY 3'!M115=""),"",('DAY 3'!M115))</f>
        <v/>
      </c>
      <c r="L115" s="79" t="str">
        <f>IF(AND('DAY 4'!M115=""),"",('DAY 4'!M115))</f>
        <v/>
      </c>
      <c r="M115" s="80" t="str">
        <f>IF(AND('DAY 5'!M115=""),"",('DAY 5'!M115))</f>
        <v/>
      </c>
      <c r="O115" s="78">
        <f>SUM('DAY 1'!L115,'DAY 2'!L115,'DAY 3'!L115,'DAY 4'!L115,'DAY 5'!L115)</f>
        <v>0</v>
      </c>
      <c r="P115" s="82" t="str">
        <f t="shared" si="8"/>
        <v/>
      </c>
      <c r="Q115" s="83" t="str">
        <f t="shared" si="9"/>
        <v/>
      </c>
      <c r="R115" s="148" t="str">
        <f t="shared" si="10"/>
        <v/>
      </c>
      <c r="S115" s="149" t="str">
        <f t="shared" si="11"/>
        <v/>
      </c>
      <c r="U115" s="66" t="str">
        <f>'DAY 1'!Y115</f>
        <v/>
      </c>
      <c r="V115" s="89" t="str">
        <f>'DAY 2'!Y115</f>
        <v/>
      </c>
      <c r="W115" s="89" t="str">
        <f>'DAY 3'!Y115</f>
        <v/>
      </c>
      <c r="X115" s="89" t="str">
        <f>'DAY 4'!Y115</f>
        <v/>
      </c>
      <c r="Y115" s="67" t="str">
        <f>'DAY 5'!Y115</f>
        <v/>
      </c>
      <c r="Z115" s="142" t="str">
        <f t="shared" si="12"/>
        <v/>
      </c>
      <c r="AA115" s="22" t="str">
        <f t="shared" si="13"/>
        <v/>
      </c>
      <c r="AB115" t="str">
        <f>'DAY 1'!Z115</f>
        <v/>
      </c>
      <c r="AC115" t="str">
        <f>'DAY 2'!Z115</f>
        <v/>
      </c>
      <c r="AD115" t="str">
        <f>'DAY 3'!Z115</f>
        <v/>
      </c>
      <c r="AE115" t="str">
        <f>'DAY 4'!Z115</f>
        <v/>
      </c>
      <c r="AF115" t="str">
        <f>'DAY 5'!Z115</f>
        <v/>
      </c>
      <c r="AG115" s="144" t="str">
        <f t="shared" si="14"/>
        <v/>
      </c>
      <c r="AH115" s="145" t="str">
        <f t="shared" si="15"/>
        <v/>
      </c>
    </row>
    <row r="116" spans="2:34" ht="15.75" thickBot="1" x14ac:dyDescent="0.3">
      <c r="B116" s="66" t="str">
        <f>IF(AND('ENTRY DATA'!C116=""),"",('ENTRY DATA'!C116))</f>
        <v/>
      </c>
      <c r="C116" s="67" t="str">
        <f>IF(AND('ENTRY DATA'!D116=""),"",('ENTRY DATA'!D116))</f>
        <v/>
      </c>
      <c r="E116" s="66" t="str">
        <f>IF(AND('ENTRY DATA'!F116=""),"",('ENTRY DATA'!F116))</f>
        <v/>
      </c>
      <c r="F116" s="67" t="str">
        <f>IF(AND('ENTRY DATA'!G116=""),"",('ENTRY DATA'!G116))</f>
        <v/>
      </c>
      <c r="G116" s="61" t="s">
        <v>40</v>
      </c>
      <c r="I116" s="81" t="str">
        <f>IF(AND('DAY 1'!M116=""),"",('DAY 1'!M116))</f>
        <v/>
      </c>
      <c r="J116" s="79" t="str">
        <f>IF(AND('DAY 2'!M116=""),"",('DAY 2'!M116))</f>
        <v/>
      </c>
      <c r="K116" s="79" t="str">
        <f>IF(AND('DAY 3'!M116=""),"",('DAY 3'!M116))</f>
        <v/>
      </c>
      <c r="L116" s="79" t="str">
        <f>IF(AND('DAY 4'!M116=""),"",('DAY 4'!M116))</f>
        <v/>
      </c>
      <c r="M116" s="80" t="str">
        <f>IF(AND('DAY 5'!M116=""),"",('DAY 5'!M116))</f>
        <v/>
      </c>
      <c r="O116" s="78">
        <f>SUM('DAY 1'!L116,'DAY 2'!L116,'DAY 3'!L116,'DAY 4'!L116,'DAY 5'!L116)</f>
        <v>0</v>
      </c>
      <c r="P116" s="82" t="str">
        <f t="shared" si="8"/>
        <v/>
      </c>
      <c r="Q116" s="83" t="str">
        <f t="shared" si="9"/>
        <v/>
      </c>
      <c r="R116" s="148" t="str">
        <f t="shared" si="10"/>
        <v/>
      </c>
      <c r="S116" s="149" t="str">
        <f t="shared" si="11"/>
        <v/>
      </c>
      <c r="U116" s="66" t="str">
        <f>'DAY 1'!Y116</f>
        <v/>
      </c>
      <c r="V116" s="89" t="str">
        <f>'DAY 2'!Y116</f>
        <v/>
      </c>
      <c r="W116" s="89" t="str">
        <f>'DAY 3'!Y116</f>
        <v/>
      </c>
      <c r="X116" s="89" t="str">
        <f>'DAY 4'!Y116</f>
        <v/>
      </c>
      <c r="Y116" s="67" t="str">
        <f>'DAY 5'!Y116</f>
        <v/>
      </c>
      <c r="Z116" s="142" t="str">
        <f t="shared" si="12"/>
        <v/>
      </c>
      <c r="AA116" s="22" t="str">
        <f t="shared" si="13"/>
        <v/>
      </c>
      <c r="AB116" t="str">
        <f>'DAY 1'!Z116</f>
        <v/>
      </c>
      <c r="AC116" t="str">
        <f>'DAY 2'!Z116</f>
        <v/>
      </c>
      <c r="AD116" t="str">
        <f>'DAY 3'!Z116</f>
        <v/>
      </c>
      <c r="AE116" t="str">
        <f>'DAY 4'!Z116</f>
        <v/>
      </c>
      <c r="AF116" t="str">
        <f>'DAY 5'!Z116</f>
        <v/>
      </c>
      <c r="AG116" s="144" t="str">
        <f t="shared" si="14"/>
        <v/>
      </c>
      <c r="AH116" s="145" t="str">
        <f t="shared" si="15"/>
        <v/>
      </c>
    </row>
    <row r="117" spans="2:34" ht="15.75" thickBot="1" x14ac:dyDescent="0.3">
      <c r="B117" s="66" t="str">
        <f>IF(AND('ENTRY DATA'!C117=""),"",('ENTRY DATA'!C117))</f>
        <v/>
      </c>
      <c r="C117" s="67" t="str">
        <f>IF(AND('ENTRY DATA'!D117=""),"",('ENTRY DATA'!D117))</f>
        <v/>
      </c>
      <c r="E117" s="66" t="str">
        <f>IF(AND('ENTRY DATA'!F117=""),"",('ENTRY DATA'!F117))</f>
        <v/>
      </c>
      <c r="F117" s="67" t="str">
        <f>IF(AND('ENTRY DATA'!G117=""),"",('ENTRY DATA'!G117))</f>
        <v/>
      </c>
      <c r="G117" s="61" t="s">
        <v>40</v>
      </c>
      <c r="I117" s="81" t="str">
        <f>IF(AND('DAY 1'!M117=""),"",('DAY 1'!M117))</f>
        <v/>
      </c>
      <c r="J117" s="79" t="str">
        <f>IF(AND('DAY 2'!M117=""),"",('DAY 2'!M117))</f>
        <v/>
      </c>
      <c r="K117" s="79" t="str">
        <f>IF(AND('DAY 3'!M117=""),"",('DAY 3'!M117))</f>
        <v/>
      </c>
      <c r="L117" s="79" t="str">
        <f>IF(AND('DAY 4'!M117=""),"",('DAY 4'!M117))</f>
        <v/>
      </c>
      <c r="M117" s="80" t="str">
        <f>IF(AND('DAY 5'!M117=""),"",('DAY 5'!M117))</f>
        <v/>
      </c>
      <c r="O117" s="78">
        <f>SUM('DAY 1'!L117,'DAY 2'!L117,'DAY 3'!L117,'DAY 4'!L117,'DAY 5'!L117)</f>
        <v>0</v>
      </c>
      <c r="P117" s="82" t="str">
        <f t="shared" si="8"/>
        <v/>
      </c>
      <c r="Q117" s="83" t="str">
        <f t="shared" si="9"/>
        <v/>
      </c>
      <c r="R117" s="148" t="str">
        <f t="shared" si="10"/>
        <v/>
      </c>
      <c r="S117" s="149" t="str">
        <f t="shared" si="11"/>
        <v/>
      </c>
      <c r="U117" s="66" t="str">
        <f>'DAY 1'!Y117</f>
        <v/>
      </c>
      <c r="V117" s="89" t="str">
        <f>'DAY 2'!Y117</f>
        <v/>
      </c>
      <c r="W117" s="89" t="str">
        <f>'DAY 3'!Y117</f>
        <v/>
      </c>
      <c r="X117" s="89" t="str">
        <f>'DAY 4'!Y117</f>
        <v/>
      </c>
      <c r="Y117" s="67" t="str">
        <f>'DAY 5'!Y117</f>
        <v/>
      </c>
      <c r="Z117" s="142" t="str">
        <f t="shared" si="12"/>
        <v/>
      </c>
      <c r="AA117" s="22" t="str">
        <f t="shared" si="13"/>
        <v/>
      </c>
      <c r="AB117" t="str">
        <f>'DAY 1'!Z117</f>
        <v/>
      </c>
      <c r="AC117" t="str">
        <f>'DAY 2'!Z117</f>
        <v/>
      </c>
      <c r="AD117" t="str">
        <f>'DAY 3'!Z117</f>
        <v/>
      </c>
      <c r="AE117" t="str">
        <f>'DAY 4'!Z117</f>
        <v/>
      </c>
      <c r="AF117" t="str">
        <f>'DAY 5'!Z117</f>
        <v/>
      </c>
      <c r="AG117" s="144" t="str">
        <f t="shared" si="14"/>
        <v/>
      </c>
      <c r="AH117" s="145" t="str">
        <f t="shared" si="15"/>
        <v/>
      </c>
    </row>
    <row r="118" spans="2:34" ht="15.75" thickBot="1" x14ac:dyDescent="0.3">
      <c r="B118" s="66" t="str">
        <f>IF(AND('ENTRY DATA'!C118=""),"",('ENTRY DATA'!C118))</f>
        <v/>
      </c>
      <c r="C118" s="67" t="str">
        <f>IF(AND('ENTRY DATA'!D118=""),"",('ENTRY DATA'!D118))</f>
        <v/>
      </c>
      <c r="E118" s="66" t="str">
        <f>IF(AND('ENTRY DATA'!F118=""),"",('ENTRY DATA'!F118))</f>
        <v/>
      </c>
      <c r="F118" s="67" t="str">
        <f>IF(AND('ENTRY DATA'!G118=""),"",('ENTRY DATA'!G118))</f>
        <v/>
      </c>
      <c r="G118" s="61" t="s">
        <v>40</v>
      </c>
      <c r="I118" s="81" t="str">
        <f>IF(AND('DAY 1'!M118=""),"",('DAY 1'!M118))</f>
        <v/>
      </c>
      <c r="J118" s="79" t="str">
        <f>IF(AND('DAY 2'!M118=""),"",('DAY 2'!M118))</f>
        <v/>
      </c>
      <c r="K118" s="79" t="str">
        <f>IF(AND('DAY 3'!M118=""),"",('DAY 3'!M118))</f>
        <v/>
      </c>
      <c r="L118" s="79" t="str">
        <f>IF(AND('DAY 4'!M118=""),"",('DAY 4'!M118))</f>
        <v/>
      </c>
      <c r="M118" s="80" t="str">
        <f>IF(AND('DAY 5'!M118=""),"",('DAY 5'!M118))</f>
        <v/>
      </c>
      <c r="O118" s="78">
        <f>SUM('DAY 1'!L118,'DAY 2'!L118,'DAY 3'!L118,'DAY 4'!L118,'DAY 5'!L118)</f>
        <v>0</v>
      </c>
      <c r="P118" s="82" t="str">
        <f t="shared" si="8"/>
        <v/>
      </c>
      <c r="Q118" s="83" t="str">
        <f t="shared" si="9"/>
        <v/>
      </c>
      <c r="R118" s="148" t="str">
        <f t="shared" si="10"/>
        <v/>
      </c>
      <c r="S118" s="149" t="str">
        <f t="shared" si="11"/>
        <v/>
      </c>
      <c r="U118" s="66" t="str">
        <f>'DAY 1'!Y118</f>
        <v/>
      </c>
      <c r="V118" s="89" t="str">
        <f>'DAY 2'!Y118</f>
        <v/>
      </c>
      <c r="W118" s="89" t="str">
        <f>'DAY 3'!Y118</f>
        <v/>
      </c>
      <c r="X118" s="89" t="str">
        <f>'DAY 4'!Y118</f>
        <v/>
      </c>
      <c r="Y118" s="67" t="str">
        <f>'DAY 5'!Y118</f>
        <v/>
      </c>
      <c r="Z118" s="142" t="str">
        <f t="shared" si="12"/>
        <v/>
      </c>
      <c r="AA118" s="22" t="str">
        <f t="shared" si="13"/>
        <v/>
      </c>
      <c r="AB118" t="str">
        <f>'DAY 1'!Z118</f>
        <v/>
      </c>
      <c r="AC118" t="str">
        <f>'DAY 2'!Z118</f>
        <v/>
      </c>
      <c r="AD118" t="str">
        <f>'DAY 3'!Z118</f>
        <v/>
      </c>
      <c r="AE118" t="str">
        <f>'DAY 4'!Z118</f>
        <v/>
      </c>
      <c r="AF118" t="str">
        <f>'DAY 5'!Z118</f>
        <v/>
      </c>
      <c r="AG118" s="144" t="str">
        <f t="shared" si="14"/>
        <v/>
      </c>
      <c r="AH118" s="145" t="str">
        <f t="shared" si="15"/>
        <v/>
      </c>
    </row>
    <row r="119" spans="2:34" ht="15.75" thickBot="1" x14ac:dyDescent="0.3">
      <c r="B119" s="66" t="str">
        <f>IF(AND('ENTRY DATA'!C119=""),"",('ENTRY DATA'!C119))</f>
        <v/>
      </c>
      <c r="C119" s="67" t="str">
        <f>IF(AND('ENTRY DATA'!D119=""),"",('ENTRY DATA'!D119))</f>
        <v/>
      </c>
      <c r="E119" s="66" t="str">
        <f>IF(AND('ENTRY DATA'!F119=""),"",('ENTRY DATA'!F119))</f>
        <v/>
      </c>
      <c r="F119" s="67" t="str">
        <f>IF(AND('ENTRY DATA'!G119=""),"",('ENTRY DATA'!G119))</f>
        <v/>
      </c>
      <c r="G119" s="61" t="s">
        <v>40</v>
      </c>
      <c r="I119" s="81" t="str">
        <f>IF(AND('DAY 1'!M119=""),"",('DAY 1'!M119))</f>
        <v/>
      </c>
      <c r="J119" s="79" t="str">
        <f>IF(AND('DAY 2'!M119=""),"",('DAY 2'!M119))</f>
        <v/>
      </c>
      <c r="K119" s="79" t="str">
        <f>IF(AND('DAY 3'!M119=""),"",('DAY 3'!M119))</f>
        <v/>
      </c>
      <c r="L119" s="79" t="str">
        <f>IF(AND('DAY 4'!M119=""),"",('DAY 4'!M119))</f>
        <v/>
      </c>
      <c r="M119" s="80" t="str">
        <f>IF(AND('DAY 5'!M119=""),"",('DAY 5'!M119))</f>
        <v/>
      </c>
      <c r="O119" s="78">
        <f>SUM('DAY 1'!L119,'DAY 2'!L119,'DAY 3'!L119,'DAY 4'!L119,'DAY 5'!L119)</f>
        <v>0</v>
      </c>
      <c r="P119" s="82" t="str">
        <f t="shared" si="8"/>
        <v/>
      </c>
      <c r="Q119" s="83" t="str">
        <f t="shared" si="9"/>
        <v/>
      </c>
      <c r="R119" s="148" t="str">
        <f t="shared" si="10"/>
        <v/>
      </c>
      <c r="S119" s="149" t="str">
        <f t="shared" si="11"/>
        <v/>
      </c>
      <c r="U119" s="66" t="str">
        <f>'DAY 1'!Y119</f>
        <v/>
      </c>
      <c r="V119" s="89" t="str">
        <f>'DAY 2'!Y119</f>
        <v/>
      </c>
      <c r="W119" s="89" t="str">
        <f>'DAY 3'!Y119</f>
        <v/>
      </c>
      <c r="X119" s="89" t="str">
        <f>'DAY 4'!Y119</f>
        <v/>
      </c>
      <c r="Y119" s="67" t="str">
        <f>'DAY 5'!Y119</f>
        <v/>
      </c>
      <c r="Z119" s="142" t="str">
        <f t="shared" si="12"/>
        <v/>
      </c>
      <c r="AA119" s="22" t="str">
        <f t="shared" si="13"/>
        <v/>
      </c>
      <c r="AB119" t="str">
        <f>'DAY 1'!Z119</f>
        <v/>
      </c>
      <c r="AC119" t="str">
        <f>'DAY 2'!Z119</f>
        <v/>
      </c>
      <c r="AD119" t="str">
        <f>'DAY 3'!Z119</f>
        <v/>
      </c>
      <c r="AE119" t="str">
        <f>'DAY 4'!Z119</f>
        <v/>
      </c>
      <c r="AF119" t="str">
        <f>'DAY 5'!Z119</f>
        <v/>
      </c>
      <c r="AG119" s="144" t="str">
        <f t="shared" si="14"/>
        <v/>
      </c>
      <c r="AH119" s="145" t="str">
        <f t="shared" si="15"/>
        <v/>
      </c>
    </row>
    <row r="120" spans="2:34" ht="15.75" thickBot="1" x14ac:dyDescent="0.3">
      <c r="B120" s="66" t="str">
        <f>IF(AND('ENTRY DATA'!C120=""),"",('ENTRY DATA'!C120))</f>
        <v/>
      </c>
      <c r="C120" s="67" t="str">
        <f>IF(AND('ENTRY DATA'!D120=""),"",('ENTRY DATA'!D120))</f>
        <v/>
      </c>
      <c r="E120" s="66" t="str">
        <f>IF(AND('ENTRY DATA'!F120=""),"",('ENTRY DATA'!F120))</f>
        <v/>
      </c>
      <c r="F120" s="67" t="str">
        <f>IF(AND('ENTRY DATA'!G120=""),"",('ENTRY DATA'!G120))</f>
        <v/>
      </c>
      <c r="G120" s="61" t="s">
        <v>40</v>
      </c>
      <c r="I120" s="81" t="str">
        <f>IF(AND('DAY 1'!M120=""),"",('DAY 1'!M120))</f>
        <v/>
      </c>
      <c r="J120" s="79" t="str">
        <f>IF(AND('DAY 2'!M120=""),"",('DAY 2'!M120))</f>
        <v/>
      </c>
      <c r="K120" s="79" t="str">
        <f>IF(AND('DAY 3'!M120=""),"",('DAY 3'!M120))</f>
        <v/>
      </c>
      <c r="L120" s="79" t="str">
        <f>IF(AND('DAY 4'!M120=""),"",('DAY 4'!M120))</f>
        <v/>
      </c>
      <c r="M120" s="80" t="str">
        <f>IF(AND('DAY 5'!M120=""),"",('DAY 5'!M120))</f>
        <v/>
      </c>
      <c r="O120" s="78">
        <f>SUM('DAY 1'!L120,'DAY 2'!L120,'DAY 3'!L120,'DAY 4'!L120,'DAY 5'!L120)</f>
        <v>0</v>
      </c>
      <c r="P120" s="82" t="str">
        <f t="shared" si="8"/>
        <v/>
      </c>
      <c r="Q120" s="83" t="str">
        <f t="shared" si="9"/>
        <v/>
      </c>
      <c r="R120" s="148" t="str">
        <f t="shared" si="10"/>
        <v/>
      </c>
      <c r="S120" s="149" t="str">
        <f t="shared" si="11"/>
        <v/>
      </c>
      <c r="U120" s="66" t="str">
        <f>'DAY 1'!Y120</f>
        <v/>
      </c>
      <c r="V120" s="89" t="str">
        <f>'DAY 2'!Y120</f>
        <v/>
      </c>
      <c r="W120" s="89" t="str">
        <f>'DAY 3'!Y120</f>
        <v/>
      </c>
      <c r="X120" s="89" t="str">
        <f>'DAY 4'!Y120</f>
        <v/>
      </c>
      <c r="Y120" s="67" t="str">
        <f>'DAY 5'!Y120</f>
        <v/>
      </c>
      <c r="Z120" s="142" t="str">
        <f t="shared" si="12"/>
        <v/>
      </c>
      <c r="AA120" s="22" t="str">
        <f t="shared" si="13"/>
        <v/>
      </c>
      <c r="AB120" t="str">
        <f>'DAY 1'!Z120</f>
        <v/>
      </c>
      <c r="AC120" t="str">
        <f>'DAY 2'!Z120</f>
        <v/>
      </c>
      <c r="AD120" t="str">
        <f>'DAY 3'!Z120</f>
        <v/>
      </c>
      <c r="AE120" t="str">
        <f>'DAY 4'!Z120</f>
        <v/>
      </c>
      <c r="AF120" t="str">
        <f>'DAY 5'!Z120</f>
        <v/>
      </c>
      <c r="AG120" s="144" t="str">
        <f t="shared" si="14"/>
        <v/>
      </c>
      <c r="AH120" s="145" t="str">
        <f t="shared" si="15"/>
        <v/>
      </c>
    </row>
    <row r="121" spans="2:34" ht="15.75" thickBot="1" x14ac:dyDescent="0.3">
      <c r="B121" s="66" t="str">
        <f>IF(AND('ENTRY DATA'!C121=""),"",('ENTRY DATA'!C121))</f>
        <v/>
      </c>
      <c r="C121" s="67" t="str">
        <f>IF(AND('ENTRY DATA'!D121=""),"",('ENTRY DATA'!D121))</f>
        <v/>
      </c>
      <c r="E121" s="66" t="str">
        <f>IF(AND('ENTRY DATA'!F121=""),"",('ENTRY DATA'!F121))</f>
        <v/>
      </c>
      <c r="F121" s="67" t="str">
        <f>IF(AND('ENTRY DATA'!G121=""),"",('ENTRY DATA'!G121))</f>
        <v/>
      </c>
      <c r="G121" s="61" t="s">
        <v>40</v>
      </c>
      <c r="I121" s="81" t="str">
        <f>IF(AND('DAY 1'!M121=""),"",('DAY 1'!M121))</f>
        <v/>
      </c>
      <c r="J121" s="79" t="str">
        <f>IF(AND('DAY 2'!M121=""),"",('DAY 2'!M121))</f>
        <v/>
      </c>
      <c r="K121" s="79" t="str">
        <f>IF(AND('DAY 3'!M121=""),"",('DAY 3'!M121))</f>
        <v/>
      </c>
      <c r="L121" s="79" t="str">
        <f>IF(AND('DAY 4'!M121=""),"",('DAY 4'!M121))</f>
        <v/>
      </c>
      <c r="M121" s="80" t="str">
        <f>IF(AND('DAY 5'!M121=""),"",('DAY 5'!M121))</f>
        <v/>
      </c>
      <c r="O121" s="78">
        <f>SUM('DAY 1'!L121,'DAY 2'!L121,'DAY 3'!L121,'DAY 4'!L121,'DAY 5'!L121)</f>
        <v>0</v>
      </c>
      <c r="P121" s="82" t="str">
        <f t="shared" si="8"/>
        <v/>
      </c>
      <c r="Q121" s="83" t="str">
        <f t="shared" si="9"/>
        <v/>
      </c>
      <c r="R121" s="148" t="str">
        <f t="shared" si="10"/>
        <v/>
      </c>
      <c r="S121" s="149" t="str">
        <f t="shared" si="11"/>
        <v/>
      </c>
      <c r="U121" s="66" t="str">
        <f>'DAY 1'!Y121</f>
        <v/>
      </c>
      <c r="V121" s="89" t="str">
        <f>'DAY 2'!Y121</f>
        <v/>
      </c>
      <c r="W121" s="89" t="str">
        <f>'DAY 3'!Y121</f>
        <v/>
      </c>
      <c r="X121" s="89" t="str">
        <f>'DAY 4'!Y121</f>
        <v/>
      </c>
      <c r="Y121" s="67" t="str">
        <f>'DAY 5'!Y121</f>
        <v/>
      </c>
      <c r="Z121" s="142" t="str">
        <f t="shared" si="12"/>
        <v/>
      </c>
      <c r="AA121" s="22" t="str">
        <f t="shared" si="13"/>
        <v/>
      </c>
      <c r="AB121" t="str">
        <f>'DAY 1'!Z121</f>
        <v/>
      </c>
      <c r="AC121" t="str">
        <f>'DAY 2'!Z121</f>
        <v/>
      </c>
      <c r="AD121" t="str">
        <f>'DAY 3'!Z121</f>
        <v/>
      </c>
      <c r="AE121" t="str">
        <f>'DAY 4'!Z121</f>
        <v/>
      </c>
      <c r="AF121" t="str">
        <f>'DAY 5'!Z121</f>
        <v/>
      </c>
      <c r="AG121" s="144" t="str">
        <f t="shared" si="14"/>
        <v/>
      </c>
      <c r="AH121" s="145" t="str">
        <f t="shared" si="15"/>
        <v/>
      </c>
    </row>
    <row r="122" spans="2:34" ht="15.75" thickBot="1" x14ac:dyDescent="0.3">
      <c r="B122" s="66" t="str">
        <f>IF(AND('ENTRY DATA'!C122=""),"",('ENTRY DATA'!C122))</f>
        <v/>
      </c>
      <c r="C122" s="67" t="str">
        <f>IF(AND('ENTRY DATA'!D122=""),"",('ENTRY DATA'!D122))</f>
        <v/>
      </c>
      <c r="E122" s="66" t="str">
        <f>IF(AND('ENTRY DATA'!F122=""),"",('ENTRY DATA'!F122))</f>
        <v/>
      </c>
      <c r="F122" s="67" t="str">
        <f>IF(AND('ENTRY DATA'!G122=""),"",('ENTRY DATA'!G122))</f>
        <v/>
      </c>
      <c r="G122" s="61" t="s">
        <v>40</v>
      </c>
      <c r="I122" s="81" t="str">
        <f>IF(AND('DAY 1'!M122=""),"",('DAY 1'!M122))</f>
        <v/>
      </c>
      <c r="J122" s="79" t="str">
        <f>IF(AND('DAY 2'!M122=""),"",('DAY 2'!M122))</f>
        <v/>
      </c>
      <c r="K122" s="79" t="str">
        <f>IF(AND('DAY 3'!M122=""),"",('DAY 3'!M122))</f>
        <v/>
      </c>
      <c r="L122" s="79" t="str">
        <f>IF(AND('DAY 4'!M122=""),"",('DAY 4'!M122))</f>
        <v/>
      </c>
      <c r="M122" s="80" t="str">
        <f>IF(AND('DAY 5'!M122=""),"",('DAY 5'!M122))</f>
        <v/>
      </c>
      <c r="O122" s="78">
        <f>SUM('DAY 1'!L122,'DAY 2'!L122,'DAY 3'!L122,'DAY 4'!L122,'DAY 5'!L122)</f>
        <v>0</v>
      </c>
      <c r="P122" s="82" t="str">
        <f t="shared" si="8"/>
        <v/>
      </c>
      <c r="Q122" s="83" t="str">
        <f t="shared" si="9"/>
        <v/>
      </c>
      <c r="R122" s="148" t="str">
        <f t="shared" si="10"/>
        <v/>
      </c>
      <c r="S122" s="149" t="str">
        <f t="shared" si="11"/>
        <v/>
      </c>
      <c r="U122" s="66" t="str">
        <f>'DAY 1'!Y122</f>
        <v/>
      </c>
      <c r="V122" s="89" t="str">
        <f>'DAY 2'!Y122</f>
        <v/>
      </c>
      <c r="W122" s="89" t="str">
        <f>'DAY 3'!Y122</f>
        <v/>
      </c>
      <c r="X122" s="89" t="str">
        <f>'DAY 4'!Y122</f>
        <v/>
      </c>
      <c r="Y122" s="67" t="str">
        <f>'DAY 5'!Y122</f>
        <v/>
      </c>
      <c r="Z122" s="142" t="str">
        <f t="shared" si="12"/>
        <v/>
      </c>
      <c r="AA122" s="22" t="str">
        <f t="shared" si="13"/>
        <v/>
      </c>
      <c r="AB122" t="str">
        <f>'DAY 1'!Z122</f>
        <v/>
      </c>
      <c r="AC122" t="str">
        <f>'DAY 2'!Z122</f>
        <v/>
      </c>
      <c r="AD122" t="str">
        <f>'DAY 3'!Z122</f>
        <v/>
      </c>
      <c r="AE122" t="str">
        <f>'DAY 4'!Z122</f>
        <v/>
      </c>
      <c r="AF122" t="str">
        <f>'DAY 5'!Z122</f>
        <v/>
      </c>
      <c r="AG122" s="144" t="str">
        <f t="shared" si="14"/>
        <v/>
      </c>
      <c r="AH122" s="145" t="str">
        <f t="shared" si="15"/>
        <v/>
      </c>
    </row>
    <row r="123" spans="2:34" ht="15.75" thickBot="1" x14ac:dyDescent="0.3">
      <c r="B123" s="66" t="str">
        <f>IF(AND('ENTRY DATA'!C123=""),"",('ENTRY DATA'!C123))</f>
        <v/>
      </c>
      <c r="C123" s="67" t="str">
        <f>IF(AND('ENTRY DATA'!D123=""),"",('ENTRY DATA'!D123))</f>
        <v/>
      </c>
      <c r="E123" s="66" t="str">
        <f>IF(AND('ENTRY DATA'!F123=""),"",('ENTRY DATA'!F123))</f>
        <v/>
      </c>
      <c r="F123" s="67" t="str">
        <f>IF(AND('ENTRY DATA'!G123=""),"",('ENTRY DATA'!G123))</f>
        <v/>
      </c>
      <c r="G123" s="61" t="s">
        <v>40</v>
      </c>
      <c r="I123" s="81" t="str">
        <f>IF(AND('DAY 1'!M123=""),"",('DAY 1'!M123))</f>
        <v/>
      </c>
      <c r="J123" s="79" t="str">
        <f>IF(AND('DAY 2'!M123=""),"",('DAY 2'!M123))</f>
        <v/>
      </c>
      <c r="K123" s="79" t="str">
        <f>IF(AND('DAY 3'!M123=""),"",('DAY 3'!M123))</f>
        <v/>
      </c>
      <c r="L123" s="79" t="str">
        <f>IF(AND('DAY 4'!M123=""),"",('DAY 4'!M123))</f>
        <v/>
      </c>
      <c r="M123" s="80" t="str">
        <f>IF(AND('DAY 5'!M123=""),"",('DAY 5'!M123))</f>
        <v/>
      </c>
      <c r="O123" s="78">
        <f>SUM('DAY 1'!L123,'DAY 2'!L123,'DAY 3'!L123,'DAY 4'!L123,'DAY 5'!L123)</f>
        <v>0</v>
      </c>
      <c r="P123" s="82" t="str">
        <f t="shared" si="8"/>
        <v/>
      </c>
      <c r="Q123" s="83" t="str">
        <f t="shared" si="9"/>
        <v/>
      </c>
      <c r="R123" s="148" t="str">
        <f t="shared" si="10"/>
        <v/>
      </c>
      <c r="S123" s="149" t="str">
        <f t="shared" si="11"/>
        <v/>
      </c>
      <c r="U123" s="66" t="str">
        <f>'DAY 1'!Y123</f>
        <v/>
      </c>
      <c r="V123" s="89" t="str">
        <f>'DAY 2'!Y123</f>
        <v/>
      </c>
      <c r="W123" s="89" t="str">
        <f>'DAY 3'!Y123</f>
        <v/>
      </c>
      <c r="X123" s="89" t="str">
        <f>'DAY 4'!Y123</f>
        <v/>
      </c>
      <c r="Y123" s="67" t="str">
        <f>'DAY 5'!Y123</f>
        <v/>
      </c>
      <c r="Z123" s="142" t="str">
        <f t="shared" si="12"/>
        <v/>
      </c>
      <c r="AA123" s="22" t="str">
        <f t="shared" si="13"/>
        <v/>
      </c>
      <c r="AB123" t="str">
        <f>'DAY 1'!Z123</f>
        <v/>
      </c>
      <c r="AC123" t="str">
        <f>'DAY 2'!Z123</f>
        <v/>
      </c>
      <c r="AD123" t="str">
        <f>'DAY 3'!Z123</f>
        <v/>
      </c>
      <c r="AE123" t="str">
        <f>'DAY 4'!Z123</f>
        <v/>
      </c>
      <c r="AF123" t="str">
        <f>'DAY 5'!Z123</f>
        <v/>
      </c>
      <c r="AG123" s="144" t="str">
        <f t="shared" si="14"/>
        <v/>
      </c>
      <c r="AH123" s="145" t="str">
        <f t="shared" si="15"/>
        <v/>
      </c>
    </row>
    <row r="124" spans="2:34" ht="15.75" thickBot="1" x14ac:dyDescent="0.3">
      <c r="B124" s="66" t="str">
        <f>IF(AND('ENTRY DATA'!C124=""),"",('ENTRY DATA'!C124))</f>
        <v/>
      </c>
      <c r="C124" s="67" t="str">
        <f>IF(AND('ENTRY DATA'!D124=""),"",('ENTRY DATA'!D124))</f>
        <v/>
      </c>
      <c r="E124" s="66" t="str">
        <f>IF(AND('ENTRY DATA'!F124=""),"",('ENTRY DATA'!F124))</f>
        <v/>
      </c>
      <c r="F124" s="67" t="str">
        <f>IF(AND('ENTRY DATA'!G124=""),"",('ENTRY DATA'!G124))</f>
        <v/>
      </c>
      <c r="G124" s="61" t="s">
        <v>40</v>
      </c>
      <c r="I124" s="81" t="str">
        <f>IF(AND('DAY 1'!M124=""),"",('DAY 1'!M124))</f>
        <v/>
      </c>
      <c r="J124" s="79" t="str">
        <f>IF(AND('DAY 2'!M124=""),"",('DAY 2'!M124))</f>
        <v/>
      </c>
      <c r="K124" s="79" t="str">
        <f>IF(AND('DAY 3'!M124=""),"",('DAY 3'!M124))</f>
        <v/>
      </c>
      <c r="L124" s="79" t="str">
        <f>IF(AND('DAY 4'!M124=""),"",('DAY 4'!M124))</f>
        <v/>
      </c>
      <c r="M124" s="80" t="str">
        <f>IF(AND('DAY 5'!M124=""),"",('DAY 5'!M124))</f>
        <v/>
      </c>
      <c r="O124" s="78">
        <f>SUM('DAY 1'!L124,'DAY 2'!L124,'DAY 3'!L124,'DAY 4'!L124,'DAY 5'!L124)</f>
        <v>0</v>
      </c>
      <c r="P124" s="82" t="str">
        <f t="shared" si="8"/>
        <v/>
      </c>
      <c r="Q124" s="83" t="str">
        <f t="shared" si="9"/>
        <v/>
      </c>
      <c r="R124" s="148" t="str">
        <f t="shared" si="10"/>
        <v/>
      </c>
      <c r="S124" s="149" t="str">
        <f t="shared" si="11"/>
        <v/>
      </c>
      <c r="U124" s="66" t="str">
        <f>'DAY 1'!Y124</f>
        <v/>
      </c>
      <c r="V124" s="89" t="str">
        <f>'DAY 2'!Y124</f>
        <v/>
      </c>
      <c r="W124" s="89" t="str">
        <f>'DAY 3'!Y124</f>
        <v/>
      </c>
      <c r="X124" s="89" t="str">
        <f>'DAY 4'!Y124</f>
        <v/>
      </c>
      <c r="Y124" s="67" t="str">
        <f>'DAY 5'!Y124</f>
        <v/>
      </c>
      <c r="Z124" s="142" t="str">
        <f t="shared" si="12"/>
        <v/>
      </c>
      <c r="AA124" s="22" t="str">
        <f t="shared" si="13"/>
        <v/>
      </c>
      <c r="AB124" t="str">
        <f>'DAY 1'!Z124</f>
        <v/>
      </c>
      <c r="AC124" t="str">
        <f>'DAY 2'!Z124</f>
        <v/>
      </c>
      <c r="AD124" t="str">
        <f>'DAY 3'!Z124</f>
        <v/>
      </c>
      <c r="AE124" t="str">
        <f>'DAY 4'!Z124</f>
        <v/>
      </c>
      <c r="AF124" t="str">
        <f>'DAY 5'!Z124</f>
        <v/>
      </c>
      <c r="AG124" s="144" t="str">
        <f t="shared" si="14"/>
        <v/>
      </c>
      <c r="AH124" s="145" t="str">
        <f t="shared" si="15"/>
        <v/>
      </c>
    </row>
    <row r="125" spans="2:34" ht="15.75" thickBot="1" x14ac:dyDescent="0.3">
      <c r="B125" s="66" t="str">
        <f>IF(AND('ENTRY DATA'!C125=""),"",('ENTRY DATA'!C125))</f>
        <v/>
      </c>
      <c r="C125" s="67" t="str">
        <f>IF(AND('ENTRY DATA'!D125=""),"",('ENTRY DATA'!D125))</f>
        <v/>
      </c>
      <c r="E125" s="66" t="str">
        <f>IF(AND('ENTRY DATA'!F125=""),"",('ENTRY DATA'!F125))</f>
        <v/>
      </c>
      <c r="F125" s="67" t="str">
        <f>IF(AND('ENTRY DATA'!G125=""),"",('ENTRY DATA'!G125))</f>
        <v/>
      </c>
      <c r="G125" s="61" t="s">
        <v>40</v>
      </c>
      <c r="I125" s="81" t="str">
        <f>IF(AND('DAY 1'!M125=""),"",('DAY 1'!M125))</f>
        <v/>
      </c>
      <c r="J125" s="79" t="str">
        <f>IF(AND('DAY 2'!M125=""),"",('DAY 2'!M125))</f>
        <v/>
      </c>
      <c r="K125" s="79" t="str">
        <f>IF(AND('DAY 3'!M125=""),"",('DAY 3'!M125))</f>
        <v/>
      </c>
      <c r="L125" s="79" t="str">
        <f>IF(AND('DAY 4'!M125=""),"",('DAY 4'!M125))</f>
        <v/>
      </c>
      <c r="M125" s="80" t="str">
        <f>IF(AND('DAY 5'!M125=""),"",('DAY 5'!M125))</f>
        <v/>
      </c>
      <c r="O125" s="78">
        <f>SUM('DAY 1'!L125,'DAY 2'!L125,'DAY 3'!L125,'DAY 4'!L125,'DAY 5'!L125)</f>
        <v>0</v>
      </c>
      <c r="P125" s="82" t="str">
        <f t="shared" si="8"/>
        <v/>
      </c>
      <c r="Q125" s="83" t="str">
        <f t="shared" si="9"/>
        <v/>
      </c>
      <c r="R125" s="148" t="str">
        <f t="shared" si="10"/>
        <v/>
      </c>
      <c r="S125" s="149" t="str">
        <f t="shared" si="11"/>
        <v/>
      </c>
      <c r="U125" s="66" t="str">
        <f>'DAY 1'!Y125</f>
        <v/>
      </c>
      <c r="V125" s="89" t="str">
        <f>'DAY 2'!Y125</f>
        <v/>
      </c>
      <c r="W125" s="89" t="str">
        <f>'DAY 3'!Y125</f>
        <v/>
      </c>
      <c r="X125" s="89" t="str">
        <f>'DAY 4'!Y125</f>
        <v/>
      </c>
      <c r="Y125" s="67" t="str">
        <f>'DAY 5'!Y125</f>
        <v/>
      </c>
      <c r="Z125" s="142" t="str">
        <f t="shared" si="12"/>
        <v/>
      </c>
      <c r="AA125" s="22" t="str">
        <f t="shared" si="13"/>
        <v/>
      </c>
      <c r="AB125" t="str">
        <f>'DAY 1'!Z125</f>
        <v/>
      </c>
      <c r="AC125" t="str">
        <f>'DAY 2'!Z125</f>
        <v/>
      </c>
      <c r="AD125" t="str">
        <f>'DAY 3'!Z125</f>
        <v/>
      </c>
      <c r="AE125" t="str">
        <f>'DAY 4'!Z125</f>
        <v/>
      </c>
      <c r="AF125" t="str">
        <f>'DAY 5'!Z125</f>
        <v/>
      </c>
      <c r="AG125" s="144" t="str">
        <f t="shared" si="14"/>
        <v/>
      </c>
      <c r="AH125" s="145" t="str">
        <f t="shared" si="15"/>
        <v/>
      </c>
    </row>
    <row r="126" spans="2:34" ht="15.75" thickBot="1" x14ac:dyDescent="0.3">
      <c r="B126" s="66" t="str">
        <f>IF(AND('ENTRY DATA'!C126=""),"",('ENTRY DATA'!C126))</f>
        <v/>
      </c>
      <c r="C126" s="67" t="str">
        <f>IF(AND('ENTRY DATA'!D126=""),"",('ENTRY DATA'!D126))</f>
        <v/>
      </c>
      <c r="E126" s="66" t="str">
        <f>IF(AND('ENTRY DATA'!F126=""),"",('ENTRY DATA'!F126))</f>
        <v/>
      </c>
      <c r="F126" s="67" t="str">
        <f>IF(AND('ENTRY DATA'!G126=""),"",('ENTRY DATA'!G126))</f>
        <v/>
      </c>
      <c r="G126" s="61" t="s">
        <v>40</v>
      </c>
      <c r="I126" s="81" t="str">
        <f>IF(AND('DAY 1'!M126=""),"",('DAY 1'!M126))</f>
        <v/>
      </c>
      <c r="J126" s="79" t="str">
        <f>IF(AND('DAY 2'!M126=""),"",('DAY 2'!M126))</f>
        <v/>
      </c>
      <c r="K126" s="79" t="str">
        <f>IF(AND('DAY 3'!M126=""),"",('DAY 3'!M126))</f>
        <v/>
      </c>
      <c r="L126" s="79" t="str">
        <f>IF(AND('DAY 4'!M126=""),"",('DAY 4'!M126))</f>
        <v/>
      </c>
      <c r="M126" s="80" t="str">
        <f>IF(AND('DAY 5'!M126=""),"",('DAY 5'!M126))</f>
        <v/>
      </c>
      <c r="O126" s="78">
        <f>SUM('DAY 1'!L126,'DAY 2'!L126,'DAY 3'!L126,'DAY 4'!L126,'DAY 5'!L126)</f>
        <v>0</v>
      </c>
      <c r="P126" s="82" t="str">
        <f t="shared" si="8"/>
        <v/>
      </c>
      <c r="Q126" s="83" t="str">
        <f t="shared" si="9"/>
        <v/>
      </c>
      <c r="R126" s="148" t="str">
        <f t="shared" si="10"/>
        <v/>
      </c>
      <c r="S126" s="149" t="str">
        <f t="shared" si="11"/>
        <v/>
      </c>
      <c r="U126" s="66" t="str">
        <f>'DAY 1'!Y126</f>
        <v/>
      </c>
      <c r="V126" s="89" t="str">
        <f>'DAY 2'!Y126</f>
        <v/>
      </c>
      <c r="W126" s="89" t="str">
        <f>'DAY 3'!Y126</f>
        <v/>
      </c>
      <c r="X126" s="89" t="str">
        <f>'DAY 4'!Y126</f>
        <v/>
      </c>
      <c r="Y126" s="67" t="str">
        <f>'DAY 5'!Y126</f>
        <v/>
      </c>
      <c r="Z126" s="142" t="str">
        <f t="shared" si="12"/>
        <v/>
      </c>
      <c r="AA126" s="22" t="str">
        <f t="shared" si="13"/>
        <v/>
      </c>
      <c r="AB126" t="str">
        <f>'DAY 1'!Z126</f>
        <v/>
      </c>
      <c r="AC126" t="str">
        <f>'DAY 2'!Z126</f>
        <v/>
      </c>
      <c r="AD126" t="str">
        <f>'DAY 3'!Z126</f>
        <v/>
      </c>
      <c r="AE126" t="str">
        <f>'DAY 4'!Z126</f>
        <v/>
      </c>
      <c r="AF126" t="str">
        <f>'DAY 5'!Z126</f>
        <v/>
      </c>
      <c r="AG126" s="144" t="str">
        <f t="shared" si="14"/>
        <v/>
      </c>
      <c r="AH126" s="145" t="str">
        <f t="shared" si="15"/>
        <v/>
      </c>
    </row>
    <row r="127" spans="2:34" ht="15.75" thickBot="1" x14ac:dyDescent="0.3">
      <c r="B127" s="66" t="str">
        <f>IF(AND('ENTRY DATA'!C127=""),"",('ENTRY DATA'!C127))</f>
        <v/>
      </c>
      <c r="C127" s="67" t="str">
        <f>IF(AND('ENTRY DATA'!D127=""),"",('ENTRY DATA'!D127))</f>
        <v/>
      </c>
      <c r="E127" s="66" t="str">
        <f>IF(AND('ENTRY DATA'!F127=""),"",('ENTRY DATA'!F127))</f>
        <v/>
      </c>
      <c r="F127" s="67" t="str">
        <f>IF(AND('ENTRY DATA'!G127=""),"",('ENTRY DATA'!G127))</f>
        <v/>
      </c>
      <c r="G127" s="61" t="s">
        <v>40</v>
      </c>
      <c r="I127" s="81" t="str">
        <f>IF(AND('DAY 1'!M127=""),"",('DAY 1'!M127))</f>
        <v/>
      </c>
      <c r="J127" s="79" t="str">
        <f>IF(AND('DAY 2'!M127=""),"",('DAY 2'!M127))</f>
        <v/>
      </c>
      <c r="K127" s="79" t="str">
        <f>IF(AND('DAY 3'!M127=""),"",('DAY 3'!M127))</f>
        <v/>
      </c>
      <c r="L127" s="79" t="str">
        <f>IF(AND('DAY 4'!M127=""),"",('DAY 4'!M127))</f>
        <v/>
      </c>
      <c r="M127" s="80" t="str">
        <f>IF(AND('DAY 5'!M127=""),"",('DAY 5'!M127))</f>
        <v/>
      </c>
      <c r="O127" s="78">
        <f>SUM('DAY 1'!L127,'DAY 2'!L127,'DAY 3'!L127,'DAY 4'!L127,'DAY 5'!L127)</f>
        <v>0</v>
      </c>
      <c r="P127" s="82" t="str">
        <f t="shared" si="8"/>
        <v/>
      </c>
      <c r="Q127" s="83" t="str">
        <f t="shared" si="9"/>
        <v/>
      </c>
      <c r="R127" s="148" t="str">
        <f t="shared" si="10"/>
        <v/>
      </c>
      <c r="S127" s="149" t="str">
        <f t="shared" si="11"/>
        <v/>
      </c>
      <c r="U127" s="66" t="str">
        <f>'DAY 1'!Y127</f>
        <v/>
      </c>
      <c r="V127" s="89" t="str">
        <f>'DAY 2'!Y127</f>
        <v/>
      </c>
      <c r="W127" s="89" t="str">
        <f>'DAY 3'!Y127</f>
        <v/>
      </c>
      <c r="X127" s="89" t="str">
        <f>'DAY 4'!Y127</f>
        <v/>
      </c>
      <c r="Y127" s="67" t="str">
        <f>'DAY 5'!Y127</f>
        <v/>
      </c>
      <c r="Z127" s="142" t="str">
        <f t="shared" si="12"/>
        <v/>
      </c>
      <c r="AA127" s="22" t="str">
        <f t="shared" si="13"/>
        <v/>
      </c>
      <c r="AB127" t="str">
        <f>'DAY 1'!Z127</f>
        <v/>
      </c>
      <c r="AC127" t="str">
        <f>'DAY 2'!Z127</f>
        <v/>
      </c>
      <c r="AD127" t="str">
        <f>'DAY 3'!Z127</f>
        <v/>
      </c>
      <c r="AE127" t="str">
        <f>'DAY 4'!Z127</f>
        <v/>
      </c>
      <c r="AF127" t="str">
        <f>'DAY 5'!Z127</f>
        <v/>
      </c>
      <c r="AG127" s="144" t="str">
        <f t="shared" si="14"/>
        <v/>
      </c>
      <c r="AH127" s="145" t="str">
        <f t="shared" si="15"/>
        <v/>
      </c>
    </row>
    <row r="128" spans="2:34" ht="15.75" thickBot="1" x14ac:dyDescent="0.3">
      <c r="B128" s="66" t="str">
        <f>IF(AND('ENTRY DATA'!C128=""),"",('ENTRY DATA'!C128))</f>
        <v/>
      </c>
      <c r="C128" s="67" t="str">
        <f>IF(AND('ENTRY DATA'!D128=""),"",('ENTRY DATA'!D128))</f>
        <v/>
      </c>
      <c r="E128" s="66" t="str">
        <f>IF(AND('ENTRY DATA'!F128=""),"",('ENTRY DATA'!F128))</f>
        <v/>
      </c>
      <c r="F128" s="67" t="str">
        <f>IF(AND('ENTRY DATA'!G128=""),"",('ENTRY DATA'!G128))</f>
        <v/>
      </c>
      <c r="G128" s="61" t="s">
        <v>40</v>
      </c>
      <c r="I128" s="81" t="str">
        <f>IF(AND('DAY 1'!M128=""),"",('DAY 1'!M128))</f>
        <v/>
      </c>
      <c r="J128" s="79" t="str">
        <f>IF(AND('DAY 2'!M128=""),"",('DAY 2'!M128))</f>
        <v/>
      </c>
      <c r="K128" s="79" t="str">
        <f>IF(AND('DAY 3'!M128=""),"",('DAY 3'!M128))</f>
        <v/>
      </c>
      <c r="L128" s="79" t="str">
        <f>IF(AND('DAY 4'!M128=""),"",('DAY 4'!M128))</f>
        <v/>
      </c>
      <c r="M128" s="80" t="str">
        <f>IF(AND('DAY 5'!M128=""),"",('DAY 5'!M128))</f>
        <v/>
      </c>
      <c r="O128" s="78">
        <f>SUM('DAY 1'!L128,'DAY 2'!L128,'DAY 3'!L128,'DAY 4'!L128,'DAY 5'!L128)</f>
        <v>0</v>
      </c>
      <c r="P128" s="82" t="str">
        <f t="shared" si="8"/>
        <v/>
      </c>
      <c r="Q128" s="83" t="str">
        <f t="shared" si="9"/>
        <v/>
      </c>
      <c r="R128" s="148" t="str">
        <f t="shared" si="10"/>
        <v/>
      </c>
      <c r="S128" s="149" t="str">
        <f t="shared" si="11"/>
        <v/>
      </c>
      <c r="U128" s="66" t="str">
        <f>'DAY 1'!Y128</f>
        <v/>
      </c>
      <c r="V128" s="89" t="str">
        <f>'DAY 2'!Y128</f>
        <v/>
      </c>
      <c r="W128" s="89" t="str">
        <f>'DAY 3'!Y128</f>
        <v/>
      </c>
      <c r="X128" s="89" t="str">
        <f>'DAY 4'!Y128</f>
        <v/>
      </c>
      <c r="Y128" s="67" t="str">
        <f>'DAY 5'!Y128</f>
        <v/>
      </c>
      <c r="Z128" s="142" t="str">
        <f t="shared" si="12"/>
        <v/>
      </c>
      <c r="AA128" s="22" t="str">
        <f t="shared" si="13"/>
        <v/>
      </c>
      <c r="AB128" t="str">
        <f>'DAY 1'!Z128</f>
        <v/>
      </c>
      <c r="AC128" t="str">
        <f>'DAY 2'!Z128</f>
        <v/>
      </c>
      <c r="AD128" t="str">
        <f>'DAY 3'!Z128</f>
        <v/>
      </c>
      <c r="AE128" t="str">
        <f>'DAY 4'!Z128</f>
        <v/>
      </c>
      <c r="AF128" t="str">
        <f>'DAY 5'!Z128</f>
        <v/>
      </c>
      <c r="AG128" s="144" t="str">
        <f t="shared" si="14"/>
        <v/>
      </c>
      <c r="AH128" s="145" t="str">
        <f t="shared" si="15"/>
        <v/>
      </c>
    </row>
    <row r="129" spans="2:34" ht="15.75" thickBot="1" x14ac:dyDescent="0.3">
      <c r="B129" s="66" t="str">
        <f>IF(AND('ENTRY DATA'!C129=""),"",('ENTRY DATA'!C129))</f>
        <v/>
      </c>
      <c r="C129" s="67" t="str">
        <f>IF(AND('ENTRY DATA'!D129=""),"",('ENTRY DATA'!D129))</f>
        <v/>
      </c>
      <c r="E129" s="66" t="str">
        <f>IF(AND('ENTRY DATA'!F129=""),"",('ENTRY DATA'!F129))</f>
        <v/>
      </c>
      <c r="F129" s="67" t="str">
        <f>IF(AND('ENTRY DATA'!G129=""),"",('ENTRY DATA'!G129))</f>
        <v/>
      </c>
      <c r="G129" s="61" t="s">
        <v>40</v>
      </c>
      <c r="I129" s="81" t="str">
        <f>IF(AND('DAY 1'!M129=""),"",('DAY 1'!M129))</f>
        <v/>
      </c>
      <c r="J129" s="79" t="str">
        <f>IF(AND('DAY 2'!M129=""),"",('DAY 2'!M129))</f>
        <v/>
      </c>
      <c r="K129" s="79" t="str">
        <f>IF(AND('DAY 3'!M129=""),"",('DAY 3'!M129))</f>
        <v/>
      </c>
      <c r="L129" s="79" t="str">
        <f>IF(AND('DAY 4'!M129=""),"",('DAY 4'!M129))</f>
        <v/>
      </c>
      <c r="M129" s="80" t="str">
        <f>IF(AND('DAY 5'!M129=""),"",('DAY 5'!M129))</f>
        <v/>
      </c>
      <c r="O129" s="78">
        <f>SUM('DAY 1'!L129,'DAY 2'!L129,'DAY 3'!L129,'DAY 4'!L129,'DAY 5'!L129)</f>
        <v>0</v>
      </c>
      <c r="P129" s="82" t="str">
        <f t="shared" si="8"/>
        <v/>
      </c>
      <c r="Q129" s="83" t="str">
        <f t="shared" si="9"/>
        <v/>
      </c>
      <c r="R129" s="148" t="str">
        <f t="shared" si="10"/>
        <v/>
      </c>
      <c r="S129" s="149" t="str">
        <f t="shared" si="11"/>
        <v/>
      </c>
      <c r="U129" s="66" t="str">
        <f>'DAY 1'!Y129</f>
        <v/>
      </c>
      <c r="V129" s="89" t="str">
        <f>'DAY 2'!Y129</f>
        <v/>
      </c>
      <c r="W129" s="89" t="str">
        <f>'DAY 3'!Y129</f>
        <v/>
      </c>
      <c r="X129" s="89" t="str">
        <f>'DAY 4'!Y129</f>
        <v/>
      </c>
      <c r="Y129" s="67" t="str">
        <f>'DAY 5'!Y129</f>
        <v/>
      </c>
      <c r="Z129" s="142" t="str">
        <f t="shared" si="12"/>
        <v/>
      </c>
      <c r="AA129" s="22" t="str">
        <f t="shared" si="13"/>
        <v/>
      </c>
      <c r="AB129" t="str">
        <f>'DAY 1'!Z129</f>
        <v/>
      </c>
      <c r="AC129" t="str">
        <f>'DAY 2'!Z129</f>
        <v/>
      </c>
      <c r="AD129" t="str">
        <f>'DAY 3'!Z129</f>
        <v/>
      </c>
      <c r="AE129" t="str">
        <f>'DAY 4'!Z129</f>
        <v/>
      </c>
      <c r="AF129" t="str">
        <f>'DAY 5'!Z129</f>
        <v/>
      </c>
      <c r="AG129" s="144" t="str">
        <f t="shared" si="14"/>
        <v/>
      </c>
      <c r="AH129" s="145" t="str">
        <f t="shared" si="15"/>
        <v/>
      </c>
    </row>
    <row r="130" spans="2:34" ht="15.75" thickBot="1" x14ac:dyDescent="0.3">
      <c r="B130" s="66" t="str">
        <f>IF(AND('ENTRY DATA'!C130=""),"",('ENTRY DATA'!C130))</f>
        <v/>
      </c>
      <c r="C130" s="67" t="str">
        <f>IF(AND('ENTRY DATA'!D130=""),"",('ENTRY DATA'!D130))</f>
        <v/>
      </c>
      <c r="E130" s="66" t="str">
        <f>IF(AND('ENTRY DATA'!F130=""),"",('ENTRY DATA'!F130))</f>
        <v/>
      </c>
      <c r="F130" s="67" t="str">
        <f>IF(AND('ENTRY DATA'!G130=""),"",('ENTRY DATA'!G130))</f>
        <v/>
      </c>
      <c r="G130" s="61" t="s">
        <v>40</v>
      </c>
      <c r="I130" s="81" t="str">
        <f>IF(AND('DAY 1'!M130=""),"",('DAY 1'!M130))</f>
        <v/>
      </c>
      <c r="J130" s="79" t="str">
        <f>IF(AND('DAY 2'!M130=""),"",('DAY 2'!M130))</f>
        <v/>
      </c>
      <c r="K130" s="79" t="str">
        <f>IF(AND('DAY 3'!M130=""),"",('DAY 3'!M130))</f>
        <v/>
      </c>
      <c r="L130" s="79" t="str">
        <f>IF(AND('DAY 4'!M130=""),"",('DAY 4'!M130))</f>
        <v/>
      </c>
      <c r="M130" s="80" t="str">
        <f>IF(AND('DAY 5'!M130=""),"",('DAY 5'!M130))</f>
        <v/>
      </c>
      <c r="O130" s="78">
        <f>SUM('DAY 1'!L130,'DAY 2'!L130,'DAY 3'!L130,'DAY 4'!L130,'DAY 5'!L130)</f>
        <v>0</v>
      </c>
      <c r="P130" s="82" t="str">
        <f t="shared" si="8"/>
        <v/>
      </c>
      <c r="Q130" s="83" t="str">
        <f t="shared" si="9"/>
        <v/>
      </c>
      <c r="R130" s="148" t="str">
        <f t="shared" si="10"/>
        <v/>
      </c>
      <c r="S130" s="149" t="str">
        <f t="shared" si="11"/>
        <v/>
      </c>
      <c r="U130" s="66" t="str">
        <f>'DAY 1'!Y130</f>
        <v/>
      </c>
      <c r="V130" s="89" t="str">
        <f>'DAY 2'!Y130</f>
        <v/>
      </c>
      <c r="W130" s="89" t="str">
        <f>'DAY 3'!Y130</f>
        <v/>
      </c>
      <c r="X130" s="89" t="str">
        <f>'DAY 4'!Y130</f>
        <v/>
      </c>
      <c r="Y130" s="67" t="str">
        <f>'DAY 5'!Y130</f>
        <v/>
      </c>
      <c r="Z130" s="142" t="str">
        <f t="shared" si="12"/>
        <v/>
      </c>
      <c r="AA130" s="22" t="str">
        <f t="shared" si="13"/>
        <v/>
      </c>
      <c r="AB130" t="str">
        <f>'DAY 1'!Z130</f>
        <v/>
      </c>
      <c r="AC130" t="str">
        <f>'DAY 2'!Z130</f>
        <v/>
      </c>
      <c r="AD130" t="str">
        <f>'DAY 3'!Z130</f>
        <v/>
      </c>
      <c r="AE130" t="str">
        <f>'DAY 4'!Z130</f>
        <v/>
      </c>
      <c r="AF130" t="str">
        <f>'DAY 5'!Z130</f>
        <v/>
      </c>
      <c r="AG130" s="144" t="str">
        <f t="shared" si="14"/>
        <v/>
      </c>
      <c r="AH130" s="145" t="str">
        <f t="shared" si="15"/>
        <v/>
      </c>
    </row>
    <row r="131" spans="2:34" ht="15.75" thickBot="1" x14ac:dyDescent="0.3">
      <c r="B131" s="66" t="str">
        <f>IF(AND('ENTRY DATA'!C131=""),"",('ENTRY DATA'!C131))</f>
        <v/>
      </c>
      <c r="C131" s="67" t="str">
        <f>IF(AND('ENTRY DATA'!D131=""),"",('ENTRY DATA'!D131))</f>
        <v/>
      </c>
      <c r="E131" s="66" t="str">
        <f>IF(AND('ENTRY DATA'!F131=""),"",('ENTRY DATA'!F131))</f>
        <v/>
      </c>
      <c r="F131" s="67" t="str">
        <f>IF(AND('ENTRY DATA'!G131=""),"",('ENTRY DATA'!G131))</f>
        <v/>
      </c>
      <c r="G131" s="61" t="s">
        <v>40</v>
      </c>
      <c r="I131" s="81" t="str">
        <f>IF(AND('DAY 1'!M131=""),"",('DAY 1'!M131))</f>
        <v/>
      </c>
      <c r="J131" s="79" t="str">
        <f>IF(AND('DAY 2'!M131=""),"",('DAY 2'!M131))</f>
        <v/>
      </c>
      <c r="K131" s="79" t="str">
        <f>IF(AND('DAY 3'!M131=""),"",('DAY 3'!M131))</f>
        <v/>
      </c>
      <c r="L131" s="79" t="str">
        <f>IF(AND('DAY 4'!M131=""),"",('DAY 4'!M131))</f>
        <v/>
      </c>
      <c r="M131" s="80" t="str">
        <f>IF(AND('DAY 5'!M131=""),"",('DAY 5'!M131))</f>
        <v/>
      </c>
      <c r="O131" s="78">
        <f>SUM('DAY 1'!L131,'DAY 2'!L131,'DAY 3'!L131,'DAY 4'!L131,'DAY 5'!L131)</f>
        <v>0</v>
      </c>
      <c r="P131" s="82" t="str">
        <f t="shared" si="8"/>
        <v/>
      </c>
      <c r="Q131" s="83" t="str">
        <f t="shared" si="9"/>
        <v/>
      </c>
      <c r="R131" s="148" t="str">
        <f t="shared" si="10"/>
        <v/>
      </c>
      <c r="S131" s="149" t="str">
        <f t="shared" si="11"/>
        <v/>
      </c>
      <c r="U131" s="66" t="str">
        <f>'DAY 1'!Y131</f>
        <v/>
      </c>
      <c r="V131" s="89" t="str">
        <f>'DAY 2'!Y131</f>
        <v/>
      </c>
      <c r="W131" s="89" t="str">
        <f>'DAY 3'!Y131</f>
        <v/>
      </c>
      <c r="X131" s="89" t="str">
        <f>'DAY 4'!Y131</f>
        <v/>
      </c>
      <c r="Y131" s="67" t="str">
        <f>'DAY 5'!Y131</f>
        <v/>
      </c>
      <c r="Z131" s="142" t="str">
        <f t="shared" si="12"/>
        <v/>
      </c>
      <c r="AA131" s="22" t="str">
        <f t="shared" si="13"/>
        <v/>
      </c>
      <c r="AB131" t="str">
        <f>'DAY 1'!Z131</f>
        <v/>
      </c>
      <c r="AC131" t="str">
        <f>'DAY 2'!Z131</f>
        <v/>
      </c>
      <c r="AD131" t="str">
        <f>'DAY 3'!Z131</f>
        <v/>
      </c>
      <c r="AE131" t="str">
        <f>'DAY 4'!Z131</f>
        <v/>
      </c>
      <c r="AF131" t="str">
        <f>'DAY 5'!Z131</f>
        <v/>
      </c>
      <c r="AG131" s="144" t="str">
        <f t="shared" si="14"/>
        <v/>
      </c>
      <c r="AH131" s="145" t="str">
        <f t="shared" si="15"/>
        <v/>
      </c>
    </row>
    <row r="132" spans="2:34" ht="15.75" thickBot="1" x14ac:dyDescent="0.3">
      <c r="B132" s="66" t="str">
        <f>IF(AND('ENTRY DATA'!C132=""),"",('ENTRY DATA'!C132))</f>
        <v/>
      </c>
      <c r="C132" s="67" t="str">
        <f>IF(AND('ENTRY DATA'!D132=""),"",('ENTRY DATA'!D132))</f>
        <v/>
      </c>
      <c r="E132" s="66" t="str">
        <f>IF(AND('ENTRY DATA'!F132=""),"",('ENTRY DATA'!F132))</f>
        <v/>
      </c>
      <c r="F132" s="67" t="str">
        <f>IF(AND('ENTRY DATA'!G132=""),"",('ENTRY DATA'!G132))</f>
        <v/>
      </c>
      <c r="G132" s="61" t="s">
        <v>40</v>
      </c>
      <c r="I132" s="81" t="str">
        <f>IF(AND('DAY 1'!M132=""),"",('DAY 1'!M132))</f>
        <v/>
      </c>
      <c r="J132" s="79" t="str">
        <f>IF(AND('DAY 2'!M132=""),"",('DAY 2'!M132))</f>
        <v/>
      </c>
      <c r="K132" s="79" t="str">
        <f>IF(AND('DAY 3'!M132=""),"",('DAY 3'!M132))</f>
        <v/>
      </c>
      <c r="L132" s="79" t="str">
        <f>IF(AND('DAY 4'!M132=""),"",('DAY 4'!M132))</f>
        <v/>
      </c>
      <c r="M132" s="80" t="str">
        <f>IF(AND('DAY 5'!M132=""),"",('DAY 5'!M132))</f>
        <v/>
      </c>
      <c r="O132" s="78">
        <f>SUM('DAY 1'!L132,'DAY 2'!L132,'DAY 3'!L132,'DAY 4'!L132,'DAY 5'!L132)</f>
        <v>0</v>
      </c>
      <c r="P132" s="82" t="str">
        <f t="shared" si="8"/>
        <v/>
      </c>
      <c r="Q132" s="83" t="str">
        <f t="shared" si="9"/>
        <v/>
      </c>
      <c r="R132" s="148" t="str">
        <f t="shared" si="10"/>
        <v/>
      </c>
      <c r="S132" s="149" t="str">
        <f t="shared" si="11"/>
        <v/>
      </c>
      <c r="U132" s="66" t="str">
        <f>'DAY 1'!Y132</f>
        <v/>
      </c>
      <c r="V132" s="89" t="str">
        <f>'DAY 2'!Y132</f>
        <v/>
      </c>
      <c r="W132" s="89" t="str">
        <f>'DAY 3'!Y132</f>
        <v/>
      </c>
      <c r="X132" s="89" t="str">
        <f>'DAY 4'!Y132</f>
        <v/>
      </c>
      <c r="Y132" s="67" t="str">
        <f>'DAY 5'!Y132</f>
        <v/>
      </c>
      <c r="Z132" s="142" t="str">
        <f t="shared" si="12"/>
        <v/>
      </c>
      <c r="AA132" s="22" t="str">
        <f t="shared" si="13"/>
        <v/>
      </c>
      <c r="AB132" t="str">
        <f>'DAY 1'!Z132</f>
        <v/>
      </c>
      <c r="AC132" t="str">
        <f>'DAY 2'!Z132</f>
        <v/>
      </c>
      <c r="AD132" t="str">
        <f>'DAY 3'!Z132</f>
        <v/>
      </c>
      <c r="AE132" t="str">
        <f>'DAY 4'!Z132</f>
        <v/>
      </c>
      <c r="AF132" t="str">
        <f>'DAY 5'!Z132</f>
        <v/>
      </c>
      <c r="AG132" s="144" t="str">
        <f t="shared" si="14"/>
        <v/>
      </c>
      <c r="AH132" s="145" t="str">
        <f t="shared" si="15"/>
        <v/>
      </c>
    </row>
    <row r="133" spans="2:34" ht="15.75" thickBot="1" x14ac:dyDescent="0.3">
      <c r="B133" s="66" t="str">
        <f>IF(AND('ENTRY DATA'!C133=""),"",('ENTRY DATA'!C133))</f>
        <v/>
      </c>
      <c r="C133" s="67" t="str">
        <f>IF(AND('ENTRY DATA'!D133=""),"",('ENTRY DATA'!D133))</f>
        <v/>
      </c>
      <c r="E133" s="66" t="str">
        <f>IF(AND('ENTRY DATA'!F133=""),"",('ENTRY DATA'!F133))</f>
        <v/>
      </c>
      <c r="F133" s="67" t="str">
        <f>IF(AND('ENTRY DATA'!G133=""),"",('ENTRY DATA'!G133))</f>
        <v/>
      </c>
      <c r="G133" s="61" t="s">
        <v>40</v>
      </c>
      <c r="I133" s="81" t="str">
        <f>IF(AND('DAY 1'!M133=""),"",('DAY 1'!M133))</f>
        <v/>
      </c>
      <c r="J133" s="79" t="str">
        <f>IF(AND('DAY 2'!M133=""),"",('DAY 2'!M133))</f>
        <v/>
      </c>
      <c r="K133" s="79" t="str">
        <f>IF(AND('DAY 3'!M133=""),"",('DAY 3'!M133))</f>
        <v/>
      </c>
      <c r="L133" s="79" t="str">
        <f>IF(AND('DAY 4'!M133=""),"",('DAY 4'!M133))</f>
        <v/>
      </c>
      <c r="M133" s="80" t="str">
        <f>IF(AND('DAY 5'!M133=""),"",('DAY 5'!M133))</f>
        <v/>
      </c>
      <c r="O133" s="78">
        <f>SUM('DAY 1'!L133,'DAY 2'!L133,'DAY 3'!L133,'DAY 4'!L133,'DAY 5'!L133)</f>
        <v>0</v>
      </c>
      <c r="P133" s="82" t="str">
        <f t="shared" si="8"/>
        <v/>
      </c>
      <c r="Q133" s="83" t="str">
        <f t="shared" si="9"/>
        <v/>
      </c>
      <c r="R133" s="148" t="str">
        <f t="shared" si="10"/>
        <v/>
      </c>
      <c r="S133" s="149" t="str">
        <f t="shared" si="11"/>
        <v/>
      </c>
      <c r="U133" s="66" t="str">
        <f>'DAY 1'!Y133</f>
        <v/>
      </c>
      <c r="V133" s="89" t="str">
        <f>'DAY 2'!Y133</f>
        <v/>
      </c>
      <c r="W133" s="89" t="str">
        <f>'DAY 3'!Y133</f>
        <v/>
      </c>
      <c r="X133" s="89" t="str">
        <f>'DAY 4'!Y133</f>
        <v/>
      </c>
      <c r="Y133" s="67" t="str">
        <f>'DAY 5'!Y133</f>
        <v/>
      </c>
      <c r="Z133" s="142" t="str">
        <f t="shared" si="12"/>
        <v/>
      </c>
      <c r="AA133" s="22" t="str">
        <f t="shared" si="13"/>
        <v/>
      </c>
      <c r="AB133" t="str">
        <f>'DAY 1'!Z133</f>
        <v/>
      </c>
      <c r="AC133" t="str">
        <f>'DAY 2'!Z133</f>
        <v/>
      </c>
      <c r="AD133" t="str">
        <f>'DAY 3'!Z133</f>
        <v/>
      </c>
      <c r="AE133" t="str">
        <f>'DAY 4'!Z133</f>
        <v/>
      </c>
      <c r="AF133" t="str">
        <f>'DAY 5'!Z133</f>
        <v/>
      </c>
      <c r="AG133" s="144" t="str">
        <f t="shared" si="14"/>
        <v/>
      </c>
      <c r="AH133" s="145" t="str">
        <f t="shared" si="15"/>
        <v/>
      </c>
    </row>
    <row r="134" spans="2:34" ht="15.75" thickBot="1" x14ac:dyDescent="0.3">
      <c r="B134" s="66" t="str">
        <f>IF(AND('ENTRY DATA'!C134=""),"",('ENTRY DATA'!C134))</f>
        <v/>
      </c>
      <c r="C134" s="67" t="str">
        <f>IF(AND('ENTRY DATA'!D134=""),"",('ENTRY DATA'!D134))</f>
        <v/>
      </c>
      <c r="E134" s="66" t="str">
        <f>IF(AND('ENTRY DATA'!F134=""),"",('ENTRY DATA'!F134))</f>
        <v/>
      </c>
      <c r="F134" s="67" t="str">
        <f>IF(AND('ENTRY DATA'!G134=""),"",('ENTRY DATA'!G134))</f>
        <v/>
      </c>
      <c r="G134" s="61" t="s">
        <v>40</v>
      </c>
      <c r="I134" s="81" t="str">
        <f>IF(AND('DAY 1'!M134=""),"",('DAY 1'!M134))</f>
        <v/>
      </c>
      <c r="J134" s="79" t="str">
        <f>IF(AND('DAY 2'!M134=""),"",('DAY 2'!M134))</f>
        <v/>
      </c>
      <c r="K134" s="79" t="str">
        <f>IF(AND('DAY 3'!M134=""),"",('DAY 3'!M134))</f>
        <v/>
      </c>
      <c r="L134" s="79" t="str">
        <f>IF(AND('DAY 4'!M134=""),"",('DAY 4'!M134))</f>
        <v/>
      </c>
      <c r="M134" s="80" t="str">
        <f>IF(AND('DAY 5'!M134=""),"",('DAY 5'!M134))</f>
        <v/>
      </c>
      <c r="O134" s="78">
        <f>SUM('DAY 1'!L134,'DAY 2'!L134,'DAY 3'!L134,'DAY 4'!L134,'DAY 5'!L134)</f>
        <v>0</v>
      </c>
      <c r="P134" s="82" t="str">
        <f t="shared" ref="P134:P197" si="16">IF(AND(I134="",J134="",K134="",L134="",M134=""),"",COUNT(I134,J134,K134,L134,M134))</f>
        <v/>
      </c>
      <c r="Q134" s="83" t="str">
        <f t="shared" ref="Q134:Q197" si="17">IF(AND(I134="",J134="",K134="",L134="",M134=""),"",SUM(I134,J134,K134,L134,M134))</f>
        <v/>
      </c>
      <c r="R134" s="148" t="str">
        <f t="shared" ref="R134:R197" si="18">IF(AND(Z134="",AA134=""),"",(Z134/AA134))</f>
        <v/>
      </c>
      <c r="S134" s="149" t="str">
        <f t="shared" ref="S134:S197" si="19">IF(AND(AG134="",AH134=""),"",(AG134/AH134))</f>
        <v/>
      </c>
      <c r="U134" s="66" t="str">
        <f>'DAY 1'!Y134</f>
        <v/>
      </c>
      <c r="V134" s="89" t="str">
        <f>'DAY 2'!Y134</f>
        <v/>
      </c>
      <c r="W134" s="89" t="str">
        <f>'DAY 3'!Y134</f>
        <v/>
      </c>
      <c r="X134" s="89" t="str">
        <f>'DAY 4'!Y134</f>
        <v/>
      </c>
      <c r="Y134" s="67" t="str">
        <f>'DAY 5'!Y134</f>
        <v/>
      </c>
      <c r="Z134" s="142" t="str">
        <f t="shared" ref="Z134:Z197" si="20">IF(AND(U134="",V134="",W134="",X134="",Y134=""),"",SUM(U134,V134,W134,X134,Y134))</f>
        <v/>
      </c>
      <c r="AA134" s="22" t="str">
        <f t="shared" ref="AA134:AA197" si="21">IF(AND(U134="",V134="",W134="",X134="",Y134=""),"",COUNT(U134,V134,W134,X134,Y134))</f>
        <v/>
      </c>
      <c r="AB134" t="str">
        <f>'DAY 1'!Z134</f>
        <v/>
      </c>
      <c r="AC134" t="str">
        <f>'DAY 2'!Z134</f>
        <v/>
      </c>
      <c r="AD134" t="str">
        <f>'DAY 3'!Z134</f>
        <v/>
      </c>
      <c r="AE134" t="str">
        <f>'DAY 4'!Z134</f>
        <v/>
      </c>
      <c r="AF134" t="str">
        <f>'DAY 5'!Z134</f>
        <v/>
      </c>
      <c r="AG134" s="144" t="str">
        <f t="shared" ref="AG134:AG197" si="22">IF(AND(AB134="",AC134="",AD134="",AE134="",AF134=""),"",SUM(AB134,AC134,AD134,AE134,AF134))</f>
        <v/>
      </c>
      <c r="AH134" s="145" t="str">
        <f t="shared" ref="AH134:AH197" si="23">IF(AND(AB134="",AC134="",AD134="",AE134="",AF134=""),"",COUNT(AB134,AC134,AD134,AE134,AF134))</f>
        <v/>
      </c>
    </row>
    <row r="135" spans="2:34" ht="15.75" thickBot="1" x14ac:dyDescent="0.3">
      <c r="B135" s="66" t="str">
        <f>IF(AND('ENTRY DATA'!C135=""),"",('ENTRY DATA'!C135))</f>
        <v/>
      </c>
      <c r="C135" s="67" t="str">
        <f>IF(AND('ENTRY DATA'!D135=""),"",('ENTRY DATA'!D135))</f>
        <v/>
      </c>
      <c r="E135" s="66" t="str">
        <f>IF(AND('ENTRY DATA'!F135=""),"",('ENTRY DATA'!F135))</f>
        <v/>
      </c>
      <c r="F135" s="67" t="str">
        <f>IF(AND('ENTRY DATA'!G135=""),"",('ENTRY DATA'!G135))</f>
        <v/>
      </c>
      <c r="G135" s="61" t="s">
        <v>40</v>
      </c>
      <c r="I135" s="81" t="str">
        <f>IF(AND('DAY 1'!M135=""),"",('DAY 1'!M135))</f>
        <v/>
      </c>
      <c r="J135" s="79" t="str">
        <f>IF(AND('DAY 2'!M135=""),"",('DAY 2'!M135))</f>
        <v/>
      </c>
      <c r="K135" s="79" t="str">
        <f>IF(AND('DAY 3'!M135=""),"",('DAY 3'!M135))</f>
        <v/>
      </c>
      <c r="L135" s="79" t="str">
        <f>IF(AND('DAY 4'!M135=""),"",('DAY 4'!M135))</f>
        <v/>
      </c>
      <c r="M135" s="80" t="str">
        <f>IF(AND('DAY 5'!M135=""),"",('DAY 5'!M135))</f>
        <v/>
      </c>
      <c r="O135" s="78">
        <f>SUM('DAY 1'!L135,'DAY 2'!L135,'DAY 3'!L135,'DAY 4'!L135,'DAY 5'!L135)</f>
        <v>0</v>
      </c>
      <c r="P135" s="82" t="str">
        <f t="shared" si="16"/>
        <v/>
      </c>
      <c r="Q135" s="83" t="str">
        <f t="shared" si="17"/>
        <v/>
      </c>
      <c r="R135" s="148" t="str">
        <f t="shared" si="18"/>
        <v/>
      </c>
      <c r="S135" s="149" t="str">
        <f t="shared" si="19"/>
        <v/>
      </c>
      <c r="U135" s="66" t="str">
        <f>'DAY 1'!Y135</f>
        <v/>
      </c>
      <c r="V135" s="89" t="str">
        <f>'DAY 2'!Y135</f>
        <v/>
      </c>
      <c r="W135" s="89" t="str">
        <f>'DAY 3'!Y135</f>
        <v/>
      </c>
      <c r="X135" s="89" t="str">
        <f>'DAY 4'!Y135</f>
        <v/>
      </c>
      <c r="Y135" s="67" t="str">
        <f>'DAY 5'!Y135</f>
        <v/>
      </c>
      <c r="Z135" s="142" t="str">
        <f t="shared" si="20"/>
        <v/>
      </c>
      <c r="AA135" s="22" t="str">
        <f t="shared" si="21"/>
        <v/>
      </c>
      <c r="AB135" t="str">
        <f>'DAY 1'!Z135</f>
        <v/>
      </c>
      <c r="AC135" t="str">
        <f>'DAY 2'!Z135</f>
        <v/>
      </c>
      <c r="AD135" t="str">
        <f>'DAY 3'!Z135</f>
        <v/>
      </c>
      <c r="AE135" t="str">
        <f>'DAY 4'!Z135</f>
        <v/>
      </c>
      <c r="AF135" t="str">
        <f>'DAY 5'!Z135</f>
        <v/>
      </c>
      <c r="AG135" s="144" t="str">
        <f t="shared" si="22"/>
        <v/>
      </c>
      <c r="AH135" s="145" t="str">
        <f t="shared" si="23"/>
        <v/>
      </c>
    </row>
    <row r="136" spans="2:34" ht="15.75" thickBot="1" x14ac:dyDescent="0.3">
      <c r="B136" s="66" t="str">
        <f>IF(AND('ENTRY DATA'!C136=""),"",('ENTRY DATA'!C136))</f>
        <v/>
      </c>
      <c r="C136" s="67" t="str">
        <f>IF(AND('ENTRY DATA'!D136=""),"",('ENTRY DATA'!D136))</f>
        <v/>
      </c>
      <c r="E136" s="66" t="str">
        <f>IF(AND('ENTRY DATA'!F136=""),"",('ENTRY DATA'!F136))</f>
        <v/>
      </c>
      <c r="F136" s="67" t="str">
        <f>IF(AND('ENTRY DATA'!G136=""),"",('ENTRY DATA'!G136))</f>
        <v/>
      </c>
      <c r="G136" s="61" t="s">
        <v>40</v>
      </c>
      <c r="I136" s="81" t="str">
        <f>IF(AND('DAY 1'!M136=""),"",('DAY 1'!M136))</f>
        <v/>
      </c>
      <c r="J136" s="79" t="str">
        <f>IF(AND('DAY 2'!M136=""),"",('DAY 2'!M136))</f>
        <v/>
      </c>
      <c r="K136" s="79" t="str">
        <f>IF(AND('DAY 3'!M136=""),"",('DAY 3'!M136))</f>
        <v/>
      </c>
      <c r="L136" s="79" t="str">
        <f>IF(AND('DAY 4'!M136=""),"",('DAY 4'!M136))</f>
        <v/>
      </c>
      <c r="M136" s="80" t="str">
        <f>IF(AND('DAY 5'!M136=""),"",('DAY 5'!M136))</f>
        <v/>
      </c>
      <c r="O136" s="78">
        <f>SUM('DAY 1'!L136,'DAY 2'!L136,'DAY 3'!L136,'DAY 4'!L136,'DAY 5'!L136)</f>
        <v>0</v>
      </c>
      <c r="P136" s="82" t="str">
        <f t="shared" si="16"/>
        <v/>
      </c>
      <c r="Q136" s="83" t="str">
        <f t="shared" si="17"/>
        <v/>
      </c>
      <c r="R136" s="148" t="str">
        <f t="shared" si="18"/>
        <v/>
      </c>
      <c r="S136" s="149" t="str">
        <f t="shared" si="19"/>
        <v/>
      </c>
      <c r="U136" s="66" t="str">
        <f>'DAY 1'!Y136</f>
        <v/>
      </c>
      <c r="V136" s="89" t="str">
        <f>'DAY 2'!Y136</f>
        <v/>
      </c>
      <c r="W136" s="89" t="str">
        <f>'DAY 3'!Y136</f>
        <v/>
      </c>
      <c r="X136" s="89" t="str">
        <f>'DAY 4'!Y136</f>
        <v/>
      </c>
      <c r="Y136" s="67" t="str">
        <f>'DAY 5'!Y136</f>
        <v/>
      </c>
      <c r="Z136" s="142" t="str">
        <f t="shared" si="20"/>
        <v/>
      </c>
      <c r="AA136" s="22" t="str">
        <f t="shared" si="21"/>
        <v/>
      </c>
      <c r="AB136" t="str">
        <f>'DAY 1'!Z136</f>
        <v/>
      </c>
      <c r="AC136" t="str">
        <f>'DAY 2'!Z136</f>
        <v/>
      </c>
      <c r="AD136" t="str">
        <f>'DAY 3'!Z136</f>
        <v/>
      </c>
      <c r="AE136" t="str">
        <f>'DAY 4'!Z136</f>
        <v/>
      </c>
      <c r="AF136" t="str">
        <f>'DAY 5'!Z136</f>
        <v/>
      </c>
      <c r="AG136" s="144" t="str">
        <f t="shared" si="22"/>
        <v/>
      </c>
      <c r="AH136" s="145" t="str">
        <f t="shared" si="23"/>
        <v/>
      </c>
    </row>
    <row r="137" spans="2:34" ht="15.75" thickBot="1" x14ac:dyDescent="0.3">
      <c r="B137" s="66" t="str">
        <f>IF(AND('ENTRY DATA'!C137=""),"",('ENTRY DATA'!C137))</f>
        <v/>
      </c>
      <c r="C137" s="67" t="str">
        <f>IF(AND('ENTRY DATA'!D137=""),"",('ENTRY DATA'!D137))</f>
        <v/>
      </c>
      <c r="E137" s="66" t="str">
        <f>IF(AND('ENTRY DATA'!F137=""),"",('ENTRY DATA'!F137))</f>
        <v/>
      </c>
      <c r="F137" s="67" t="str">
        <f>IF(AND('ENTRY DATA'!G137=""),"",('ENTRY DATA'!G137))</f>
        <v/>
      </c>
      <c r="G137" s="61" t="s">
        <v>40</v>
      </c>
      <c r="I137" s="81" t="str">
        <f>IF(AND('DAY 1'!M137=""),"",('DAY 1'!M137))</f>
        <v/>
      </c>
      <c r="J137" s="79" t="str">
        <f>IF(AND('DAY 2'!M137=""),"",('DAY 2'!M137))</f>
        <v/>
      </c>
      <c r="K137" s="79" t="str">
        <f>IF(AND('DAY 3'!M137=""),"",('DAY 3'!M137))</f>
        <v/>
      </c>
      <c r="L137" s="79" t="str">
        <f>IF(AND('DAY 4'!M137=""),"",('DAY 4'!M137))</f>
        <v/>
      </c>
      <c r="M137" s="80" t="str">
        <f>IF(AND('DAY 5'!M137=""),"",('DAY 5'!M137))</f>
        <v/>
      </c>
      <c r="O137" s="78">
        <f>SUM('DAY 1'!L137,'DAY 2'!L137,'DAY 3'!L137,'DAY 4'!L137,'DAY 5'!L137)</f>
        <v>0</v>
      </c>
      <c r="P137" s="82" t="str">
        <f t="shared" si="16"/>
        <v/>
      </c>
      <c r="Q137" s="83" t="str">
        <f t="shared" si="17"/>
        <v/>
      </c>
      <c r="R137" s="148" t="str">
        <f t="shared" si="18"/>
        <v/>
      </c>
      <c r="S137" s="149" t="str">
        <f t="shared" si="19"/>
        <v/>
      </c>
      <c r="U137" s="66" t="str">
        <f>'DAY 1'!Y137</f>
        <v/>
      </c>
      <c r="V137" s="89" t="str">
        <f>'DAY 2'!Y137</f>
        <v/>
      </c>
      <c r="W137" s="89" t="str">
        <f>'DAY 3'!Y137</f>
        <v/>
      </c>
      <c r="X137" s="89" t="str">
        <f>'DAY 4'!Y137</f>
        <v/>
      </c>
      <c r="Y137" s="67" t="str">
        <f>'DAY 5'!Y137</f>
        <v/>
      </c>
      <c r="Z137" s="142" t="str">
        <f t="shared" si="20"/>
        <v/>
      </c>
      <c r="AA137" s="22" t="str">
        <f t="shared" si="21"/>
        <v/>
      </c>
      <c r="AB137" t="str">
        <f>'DAY 1'!Z137</f>
        <v/>
      </c>
      <c r="AC137" t="str">
        <f>'DAY 2'!Z137</f>
        <v/>
      </c>
      <c r="AD137" t="str">
        <f>'DAY 3'!Z137</f>
        <v/>
      </c>
      <c r="AE137" t="str">
        <f>'DAY 4'!Z137</f>
        <v/>
      </c>
      <c r="AF137" t="str">
        <f>'DAY 5'!Z137</f>
        <v/>
      </c>
      <c r="AG137" s="144" t="str">
        <f t="shared" si="22"/>
        <v/>
      </c>
      <c r="AH137" s="145" t="str">
        <f t="shared" si="23"/>
        <v/>
      </c>
    </row>
    <row r="138" spans="2:34" ht="15.75" thickBot="1" x14ac:dyDescent="0.3">
      <c r="B138" s="66" t="str">
        <f>IF(AND('ENTRY DATA'!C138=""),"",('ENTRY DATA'!C138))</f>
        <v/>
      </c>
      <c r="C138" s="67" t="str">
        <f>IF(AND('ENTRY DATA'!D138=""),"",('ENTRY DATA'!D138))</f>
        <v/>
      </c>
      <c r="E138" s="66" t="str">
        <f>IF(AND('ENTRY DATA'!F138=""),"",('ENTRY DATA'!F138))</f>
        <v/>
      </c>
      <c r="F138" s="67" t="str">
        <f>IF(AND('ENTRY DATA'!G138=""),"",('ENTRY DATA'!G138))</f>
        <v/>
      </c>
      <c r="G138" s="61" t="s">
        <v>40</v>
      </c>
      <c r="I138" s="81" t="str">
        <f>IF(AND('DAY 1'!M138=""),"",('DAY 1'!M138))</f>
        <v/>
      </c>
      <c r="J138" s="79" t="str">
        <f>IF(AND('DAY 2'!M138=""),"",('DAY 2'!M138))</f>
        <v/>
      </c>
      <c r="K138" s="79" t="str">
        <f>IF(AND('DAY 3'!M138=""),"",('DAY 3'!M138))</f>
        <v/>
      </c>
      <c r="L138" s="79" t="str">
        <f>IF(AND('DAY 4'!M138=""),"",('DAY 4'!M138))</f>
        <v/>
      </c>
      <c r="M138" s="80" t="str">
        <f>IF(AND('DAY 5'!M138=""),"",('DAY 5'!M138))</f>
        <v/>
      </c>
      <c r="O138" s="78">
        <f>SUM('DAY 1'!L138,'DAY 2'!L138,'DAY 3'!L138,'DAY 4'!L138,'DAY 5'!L138)</f>
        <v>0</v>
      </c>
      <c r="P138" s="82" t="str">
        <f t="shared" si="16"/>
        <v/>
      </c>
      <c r="Q138" s="83" t="str">
        <f t="shared" si="17"/>
        <v/>
      </c>
      <c r="R138" s="148" t="str">
        <f t="shared" si="18"/>
        <v/>
      </c>
      <c r="S138" s="149" t="str">
        <f t="shared" si="19"/>
        <v/>
      </c>
      <c r="U138" s="66" t="str">
        <f>'DAY 1'!Y138</f>
        <v/>
      </c>
      <c r="V138" s="89" t="str">
        <f>'DAY 2'!Y138</f>
        <v/>
      </c>
      <c r="W138" s="89" t="str">
        <f>'DAY 3'!Y138</f>
        <v/>
      </c>
      <c r="X138" s="89" t="str">
        <f>'DAY 4'!Y138</f>
        <v/>
      </c>
      <c r="Y138" s="67" t="str">
        <f>'DAY 5'!Y138</f>
        <v/>
      </c>
      <c r="Z138" s="142" t="str">
        <f t="shared" si="20"/>
        <v/>
      </c>
      <c r="AA138" s="22" t="str">
        <f t="shared" si="21"/>
        <v/>
      </c>
      <c r="AB138" t="str">
        <f>'DAY 1'!Z138</f>
        <v/>
      </c>
      <c r="AC138" t="str">
        <f>'DAY 2'!Z138</f>
        <v/>
      </c>
      <c r="AD138" t="str">
        <f>'DAY 3'!Z138</f>
        <v/>
      </c>
      <c r="AE138" t="str">
        <f>'DAY 4'!Z138</f>
        <v/>
      </c>
      <c r="AF138" t="str">
        <f>'DAY 5'!Z138</f>
        <v/>
      </c>
      <c r="AG138" s="144" t="str">
        <f t="shared" si="22"/>
        <v/>
      </c>
      <c r="AH138" s="145" t="str">
        <f t="shared" si="23"/>
        <v/>
      </c>
    </row>
    <row r="139" spans="2:34" ht="15.75" thickBot="1" x14ac:dyDescent="0.3">
      <c r="B139" s="66" t="str">
        <f>IF(AND('ENTRY DATA'!C139=""),"",('ENTRY DATA'!C139))</f>
        <v/>
      </c>
      <c r="C139" s="67" t="str">
        <f>IF(AND('ENTRY DATA'!D139=""),"",('ENTRY DATA'!D139))</f>
        <v/>
      </c>
      <c r="E139" s="66" t="str">
        <f>IF(AND('ENTRY DATA'!F139=""),"",('ENTRY DATA'!F139))</f>
        <v/>
      </c>
      <c r="F139" s="67" t="str">
        <f>IF(AND('ENTRY DATA'!G139=""),"",('ENTRY DATA'!G139))</f>
        <v/>
      </c>
      <c r="G139" s="61" t="s">
        <v>40</v>
      </c>
      <c r="I139" s="81" t="str">
        <f>IF(AND('DAY 1'!M139=""),"",('DAY 1'!M139))</f>
        <v/>
      </c>
      <c r="J139" s="79" t="str">
        <f>IF(AND('DAY 2'!M139=""),"",('DAY 2'!M139))</f>
        <v/>
      </c>
      <c r="K139" s="79" t="str">
        <f>IF(AND('DAY 3'!M139=""),"",('DAY 3'!M139))</f>
        <v/>
      </c>
      <c r="L139" s="79" t="str">
        <f>IF(AND('DAY 4'!M139=""),"",('DAY 4'!M139))</f>
        <v/>
      </c>
      <c r="M139" s="80" t="str">
        <f>IF(AND('DAY 5'!M139=""),"",('DAY 5'!M139))</f>
        <v/>
      </c>
      <c r="O139" s="78">
        <f>SUM('DAY 1'!L139,'DAY 2'!L139,'DAY 3'!L139,'DAY 4'!L139,'DAY 5'!L139)</f>
        <v>0</v>
      </c>
      <c r="P139" s="82" t="str">
        <f t="shared" si="16"/>
        <v/>
      </c>
      <c r="Q139" s="83" t="str">
        <f t="shared" si="17"/>
        <v/>
      </c>
      <c r="R139" s="148" t="str">
        <f t="shared" si="18"/>
        <v/>
      </c>
      <c r="S139" s="149" t="str">
        <f t="shared" si="19"/>
        <v/>
      </c>
      <c r="U139" s="66" t="str">
        <f>'DAY 1'!Y139</f>
        <v/>
      </c>
      <c r="V139" s="89" t="str">
        <f>'DAY 2'!Y139</f>
        <v/>
      </c>
      <c r="W139" s="89" t="str">
        <f>'DAY 3'!Y139</f>
        <v/>
      </c>
      <c r="X139" s="89" t="str">
        <f>'DAY 4'!Y139</f>
        <v/>
      </c>
      <c r="Y139" s="67" t="str">
        <f>'DAY 5'!Y139</f>
        <v/>
      </c>
      <c r="Z139" s="142" t="str">
        <f t="shared" si="20"/>
        <v/>
      </c>
      <c r="AA139" s="22" t="str">
        <f t="shared" si="21"/>
        <v/>
      </c>
      <c r="AB139" t="str">
        <f>'DAY 1'!Z139</f>
        <v/>
      </c>
      <c r="AC139" t="str">
        <f>'DAY 2'!Z139</f>
        <v/>
      </c>
      <c r="AD139" t="str">
        <f>'DAY 3'!Z139</f>
        <v/>
      </c>
      <c r="AE139" t="str">
        <f>'DAY 4'!Z139</f>
        <v/>
      </c>
      <c r="AF139" t="str">
        <f>'DAY 5'!Z139</f>
        <v/>
      </c>
      <c r="AG139" s="144" t="str">
        <f t="shared" si="22"/>
        <v/>
      </c>
      <c r="AH139" s="145" t="str">
        <f t="shared" si="23"/>
        <v/>
      </c>
    </row>
    <row r="140" spans="2:34" ht="15.75" thickBot="1" x14ac:dyDescent="0.3">
      <c r="B140" s="66" t="str">
        <f>IF(AND('ENTRY DATA'!C140=""),"",('ENTRY DATA'!C140))</f>
        <v/>
      </c>
      <c r="C140" s="67" t="str">
        <f>IF(AND('ENTRY DATA'!D140=""),"",('ENTRY DATA'!D140))</f>
        <v/>
      </c>
      <c r="E140" s="66" t="str">
        <f>IF(AND('ENTRY DATA'!F140=""),"",('ENTRY DATA'!F140))</f>
        <v/>
      </c>
      <c r="F140" s="67" t="str">
        <f>IF(AND('ENTRY DATA'!G140=""),"",('ENTRY DATA'!G140))</f>
        <v/>
      </c>
      <c r="G140" s="61" t="s">
        <v>40</v>
      </c>
      <c r="I140" s="81" t="str">
        <f>IF(AND('DAY 1'!M140=""),"",('DAY 1'!M140))</f>
        <v/>
      </c>
      <c r="J140" s="79" t="str">
        <f>IF(AND('DAY 2'!M140=""),"",('DAY 2'!M140))</f>
        <v/>
      </c>
      <c r="K140" s="79" t="str">
        <f>IF(AND('DAY 3'!M140=""),"",('DAY 3'!M140))</f>
        <v/>
      </c>
      <c r="L140" s="79" t="str">
        <f>IF(AND('DAY 4'!M140=""),"",('DAY 4'!M140))</f>
        <v/>
      </c>
      <c r="M140" s="80" t="str">
        <f>IF(AND('DAY 5'!M140=""),"",('DAY 5'!M140))</f>
        <v/>
      </c>
      <c r="O140" s="78">
        <f>SUM('DAY 1'!L140,'DAY 2'!L140,'DAY 3'!L140,'DAY 4'!L140,'DAY 5'!L140)</f>
        <v>0</v>
      </c>
      <c r="P140" s="82" t="str">
        <f t="shared" si="16"/>
        <v/>
      </c>
      <c r="Q140" s="83" t="str">
        <f t="shared" si="17"/>
        <v/>
      </c>
      <c r="R140" s="148" t="str">
        <f t="shared" si="18"/>
        <v/>
      </c>
      <c r="S140" s="149" t="str">
        <f t="shared" si="19"/>
        <v/>
      </c>
      <c r="U140" s="66" t="str">
        <f>'DAY 1'!Y140</f>
        <v/>
      </c>
      <c r="V140" s="89" t="str">
        <f>'DAY 2'!Y140</f>
        <v/>
      </c>
      <c r="W140" s="89" t="str">
        <f>'DAY 3'!Y140</f>
        <v/>
      </c>
      <c r="X140" s="89" t="str">
        <f>'DAY 4'!Y140</f>
        <v/>
      </c>
      <c r="Y140" s="67" t="str">
        <f>'DAY 5'!Y140</f>
        <v/>
      </c>
      <c r="Z140" s="142" t="str">
        <f t="shared" si="20"/>
        <v/>
      </c>
      <c r="AA140" s="22" t="str">
        <f t="shared" si="21"/>
        <v/>
      </c>
      <c r="AB140" t="str">
        <f>'DAY 1'!Z140</f>
        <v/>
      </c>
      <c r="AC140" t="str">
        <f>'DAY 2'!Z140</f>
        <v/>
      </c>
      <c r="AD140" t="str">
        <f>'DAY 3'!Z140</f>
        <v/>
      </c>
      <c r="AE140" t="str">
        <f>'DAY 4'!Z140</f>
        <v/>
      </c>
      <c r="AF140" t="str">
        <f>'DAY 5'!Z140</f>
        <v/>
      </c>
      <c r="AG140" s="144" t="str">
        <f t="shared" si="22"/>
        <v/>
      </c>
      <c r="AH140" s="145" t="str">
        <f t="shared" si="23"/>
        <v/>
      </c>
    </row>
    <row r="141" spans="2:34" ht="15.75" thickBot="1" x14ac:dyDescent="0.3">
      <c r="B141" s="66" t="str">
        <f>IF(AND('ENTRY DATA'!C141=""),"",('ENTRY DATA'!C141))</f>
        <v/>
      </c>
      <c r="C141" s="67" t="str">
        <f>IF(AND('ENTRY DATA'!D141=""),"",('ENTRY DATA'!D141))</f>
        <v/>
      </c>
      <c r="E141" s="66" t="str">
        <f>IF(AND('ENTRY DATA'!F141=""),"",('ENTRY DATA'!F141))</f>
        <v/>
      </c>
      <c r="F141" s="67" t="str">
        <f>IF(AND('ENTRY DATA'!G141=""),"",('ENTRY DATA'!G141))</f>
        <v/>
      </c>
      <c r="G141" s="61" t="s">
        <v>40</v>
      </c>
      <c r="I141" s="81" t="str">
        <f>IF(AND('DAY 1'!M141=""),"",('DAY 1'!M141))</f>
        <v/>
      </c>
      <c r="J141" s="79" t="str">
        <f>IF(AND('DAY 2'!M141=""),"",('DAY 2'!M141))</f>
        <v/>
      </c>
      <c r="K141" s="79" t="str">
        <f>IF(AND('DAY 3'!M141=""),"",('DAY 3'!M141))</f>
        <v/>
      </c>
      <c r="L141" s="79" t="str">
        <f>IF(AND('DAY 4'!M141=""),"",('DAY 4'!M141))</f>
        <v/>
      </c>
      <c r="M141" s="80" t="str">
        <f>IF(AND('DAY 5'!M141=""),"",('DAY 5'!M141))</f>
        <v/>
      </c>
      <c r="O141" s="78">
        <f>SUM('DAY 1'!L141,'DAY 2'!L141,'DAY 3'!L141,'DAY 4'!L141,'DAY 5'!L141)</f>
        <v>0</v>
      </c>
      <c r="P141" s="82" t="str">
        <f t="shared" si="16"/>
        <v/>
      </c>
      <c r="Q141" s="83" t="str">
        <f t="shared" si="17"/>
        <v/>
      </c>
      <c r="R141" s="148" t="str">
        <f t="shared" si="18"/>
        <v/>
      </c>
      <c r="S141" s="149" t="str">
        <f t="shared" si="19"/>
        <v/>
      </c>
      <c r="U141" s="66" t="str">
        <f>'DAY 1'!Y141</f>
        <v/>
      </c>
      <c r="V141" s="89" t="str">
        <f>'DAY 2'!Y141</f>
        <v/>
      </c>
      <c r="W141" s="89" t="str">
        <f>'DAY 3'!Y141</f>
        <v/>
      </c>
      <c r="X141" s="89" t="str">
        <f>'DAY 4'!Y141</f>
        <v/>
      </c>
      <c r="Y141" s="67" t="str">
        <f>'DAY 5'!Y141</f>
        <v/>
      </c>
      <c r="Z141" s="142" t="str">
        <f t="shared" si="20"/>
        <v/>
      </c>
      <c r="AA141" s="22" t="str">
        <f t="shared" si="21"/>
        <v/>
      </c>
      <c r="AB141" t="str">
        <f>'DAY 1'!Z141</f>
        <v/>
      </c>
      <c r="AC141" t="str">
        <f>'DAY 2'!Z141</f>
        <v/>
      </c>
      <c r="AD141" t="str">
        <f>'DAY 3'!Z141</f>
        <v/>
      </c>
      <c r="AE141" t="str">
        <f>'DAY 4'!Z141</f>
        <v/>
      </c>
      <c r="AF141" t="str">
        <f>'DAY 5'!Z141</f>
        <v/>
      </c>
      <c r="AG141" s="144" t="str">
        <f t="shared" si="22"/>
        <v/>
      </c>
      <c r="AH141" s="145" t="str">
        <f t="shared" si="23"/>
        <v/>
      </c>
    </row>
    <row r="142" spans="2:34" ht="15.75" thickBot="1" x14ac:dyDescent="0.3">
      <c r="B142" s="66" t="str">
        <f>IF(AND('ENTRY DATA'!C142=""),"",('ENTRY DATA'!C142))</f>
        <v/>
      </c>
      <c r="C142" s="67" t="str">
        <f>IF(AND('ENTRY DATA'!D142=""),"",('ENTRY DATA'!D142))</f>
        <v/>
      </c>
      <c r="E142" s="66" t="str">
        <f>IF(AND('ENTRY DATA'!F142=""),"",('ENTRY DATA'!F142))</f>
        <v/>
      </c>
      <c r="F142" s="67" t="str">
        <f>IF(AND('ENTRY DATA'!G142=""),"",('ENTRY DATA'!G142))</f>
        <v/>
      </c>
      <c r="G142" s="61" t="s">
        <v>40</v>
      </c>
      <c r="I142" s="81" t="str">
        <f>IF(AND('DAY 1'!M142=""),"",('DAY 1'!M142))</f>
        <v/>
      </c>
      <c r="J142" s="79" t="str">
        <f>IF(AND('DAY 2'!M142=""),"",('DAY 2'!M142))</f>
        <v/>
      </c>
      <c r="K142" s="79" t="str">
        <f>IF(AND('DAY 3'!M142=""),"",('DAY 3'!M142))</f>
        <v/>
      </c>
      <c r="L142" s="79" t="str">
        <f>IF(AND('DAY 4'!M142=""),"",('DAY 4'!M142))</f>
        <v/>
      </c>
      <c r="M142" s="80" t="str">
        <f>IF(AND('DAY 5'!M142=""),"",('DAY 5'!M142))</f>
        <v/>
      </c>
      <c r="O142" s="78">
        <f>SUM('DAY 1'!L142,'DAY 2'!L142,'DAY 3'!L142,'DAY 4'!L142,'DAY 5'!L142)</f>
        <v>0</v>
      </c>
      <c r="P142" s="82" t="str">
        <f t="shared" si="16"/>
        <v/>
      </c>
      <c r="Q142" s="83" t="str">
        <f t="shared" si="17"/>
        <v/>
      </c>
      <c r="R142" s="148" t="str">
        <f t="shared" si="18"/>
        <v/>
      </c>
      <c r="S142" s="149" t="str">
        <f t="shared" si="19"/>
        <v/>
      </c>
      <c r="U142" s="66" t="str">
        <f>'DAY 1'!Y142</f>
        <v/>
      </c>
      <c r="V142" s="89" t="str">
        <f>'DAY 2'!Y142</f>
        <v/>
      </c>
      <c r="W142" s="89" t="str">
        <f>'DAY 3'!Y142</f>
        <v/>
      </c>
      <c r="X142" s="89" t="str">
        <f>'DAY 4'!Y142</f>
        <v/>
      </c>
      <c r="Y142" s="67" t="str">
        <f>'DAY 5'!Y142</f>
        <v/>
      </c>
      <c r="Z142" s="142" t="str">
        <f t="shared" si="20"/>
        <v/>
      </c>
      <c r="AA142" s="22" t="str">
        <f t="shared" si="21"/>
        <v/>
      </c>
      <c r="AB142" t="str">
        <f>'DAY 1'!Z142</f>
        <v/>
      </c>
      <c r="AC142" t="str">
        <f>'DAY 2'!Z142</f>
        <v/>
      </c>
      <c r="AD142" t="str">
        <f>'DAY 3'!Z142</f>
        <v/>
      </c>
      <c r="AE142" t="str">
        <f>'DAY 4'!Z142</f>
        <v/>
      </c>
      <c r="AF142" t="str">
        <f>'DAY 5'!Z142</f>
        <v/>
      </c>
      <c r="AG142" s="144" t="str">
        <f t="shared" si="22"/>
        <v/>
      </c>
      <c r="AH142" s="145" t="str">
        <f t="shared" si="23"/>
        <v/>
      </c>
    </row>
    <row r="143" spans="2:34" ht="15.75" thickBot="1" x14ac:dyDescent="0.3">
      <c r="B143" s="66" t="str">
        <f>IF(AND('ENTRY DATA'!C143=""),"",('ENTRY DATA'!C143))</f>
        <v/>
      </c>
      <c r="C143" s="67" t="str">
        <f>IF(AND('ENTRY DATA'!D143=""),"",('ENTRY DATA'!D143))</f>
        <v/>
      </c>
      <c r="E143" s="66" t="str">
        <f>IF(AND('ENTRY DATA'!F143=""),"",('ENTRY DATA'!F143))</f>
        <v/>
      </c>
      <c r="F143" s="67" t="str">
        <f>IF(AND('ENTRY DATA'!G143=""),"",('ENTRY DATA'!G143))</f>
        <v/>
      </c>
      <c r="G143" s="61" t="s">
        <v>40</v>
      </c>
      <c r="I143" s="81" t="str">
        <f>IF(AND('DAY 1'!M143=""),"",('DAY 1'!M143))</f>
        <v/>
      </c>
      <c r="J143" s="79" t="str">
        <f>IF(AND('DAY 2'!M143=""),"",('DAY 2'!M143))</f>
        <v/>
      </c>
      <c r="K143" s="79" t="str">
        <f>IF(AND('DAY 3'!M143=""),"",('DAY 3'!M143))</f>
        <v/>
      </c>
      <c r="L143" s="79" t="str">
        <f>IF(AND('DAY 4'!M143=""),"",('DAY 4'!M143))</f>
        <v/>
      </c>
      <c r="M143" s="80" t="str">
        <f>IF(AND('DAY 5'!M143=""),"",('DAY 5'!M143))</f>
        <v/>
      </c>
      <c r="O143" s="78">
        <f>SUM('DAY 1'!L143,'DAY 2'!L143,'DAY 3'!L143,'DAY 4'!L143,'DAY 5'!L143)</f>
        <v>0</v>
      </c>
      <c r="P143" s="82" t="str">
        <f t="shared" si="16"/>
        <v/>
      </c>
      <c r="Q143" s="83" t="str">
        <f t="shared" si="17"/>
        <v/>
      </c>
      <c r="R143" s="148" t="str">
        <f t="shared" si="18"/>
        <v/>
      </c>
      <c r="S143" s="149" t="str">
        <f t="shared" si="19"/>
        <v/>
      </c>
      <c r="U143" s="66" t="str">
        <f>'DAY 1'!Y143</f>
        <v/>
      </c>
      <c r="V143" s="89" t="str">
        <f>'DAY 2'!Y143</f>
        <v/>
      </c>
      <c r="W143" s="89" t="str">
        <f>'DAY 3'!Y143</f>
        <v/>
      </c>
      <c r="X143" s="89" t="str">
        <f>'DAY 4'!Y143</f>
        <v/>
      </c>
      <c r="Y143" s="67" t="str">
        <f>'DAY 5'!Y143</f>
        <v/>
      </c>
      <c r="Z143" s="142" t="str">
        <f t="shared" si="20"/>
        <v/>
      </c>
      <c r="AA143" s="22" t="str">
        <f t="shared" si="21"/>
        <v/>
      </c>
      <c r="AB143" t="str">
        <f>'DAY 1'!Z143</f>
        <v/>
      </c>
      <c r="AC143" t="str">
        <f>'DAY 2'!Z143</f>
        <v/>
      </c>
      <c r="AD143" t="str">
        <f>'DAY 3'!Z143</f>
        <v/>
      </c>
      <c r="AE143" t="str">
        <f>'DAY 4'!Z143</f>
        <v/>
      </c>
      <c r="AF143" t="str">
        <f>'DAY 5'!Z143</f>
        <v/>
      </c>
      <c r="AG143" s="144" t="str">
        <f t="shared" si="22"/>
        <v/>
      </c>
      <c r="AH143" s="145" t="str">
        <f t="shared" si="23"/>
        <v/>
      </c>
    </row>
    <row r="144" spans="2:34" ht="15.75" thickBot="1" x14ac:dyDescent="0.3">
      <c r="B144" s="66" t="str">
        <f>IF(AND('ENTRY DATA'!C144=""),"",('ENTRY DATA'!C144))</f>
        <v/>
      </c>
      <c r="C144" s="67" t="str">
        <f>IF(AND('ENTRY DATA'!D144=""),"",('ENTRY DATA'!D144))</f>
        <v/>
      </c>
      <c r="E144" s="66" t="str">
        <f>IF(AND('ENTRY DATA'!F144=""),"",('ENTRY DATA'!F144))</f>
        <v/>
      </c>
      <c r="F144" s="67" t="str">
        <f>IF(AND('ENTRY DATA'!G144=""),"",('ENTRY DATA'!G144))</f>
        <v/>
      </c>
      <c r="G144" s="61" t="s">
        <v>40</v>
      </c>
      <c r="I144" s="81" t="str">
        <f>IF(AND('DAY 1'!M144=""),"",('DAY 1'!M144))</f>
        <v/>
      </c>
      <c r="J144" s="79" t="str">
        <f>IF(AND('DAY 2'!M144=""),"",('DAY 2'!M144))</f>
        <v/>
      </c>
      <c r="K144" s="79" t="str">
        <f>IF(AND('DAY 3'!M144=""),"",('DAY 3'!M144))</f>
        <v/>
      </c>
      <c r="L144" s="79" t="str">
        <f>IF(AND('DAY 4'!M144=""),"",('DAY 4'!M144))</f>
        <v/>
      </c>
      <c r="M144" s="80" t="str">
        <f>IF(AND('DAY 5'!M144=""),"",('DAY 5'!M144))</f>
        <v/>
      </c>
      <c r="O144" s="78">
        <f>SUM('DAY 1'!L144,'DAY 2'!L144,'DAY 3'!L144,'DAY 4'!L144,'DAY 5'!L144)</f>
        <v>0</v>
      </c>
      <c r="P144" s="82" t="str">
        <f t="shared" si="16"/>
        <v/>
      </c>
      <c r="Q144" s="83" t="str">
        <f t="shared" si="17"/>
        <v/>
      </c>
      <c r="R144" s="148" t="str">
        <f t="shared" si="18"/>
        <v/>
      </c>
      <c r="S144" s="149" t="str">
        <f t="shared" si="19"/>
        <v/>
      </c>
      <c r="U144" s="66" t="str">
        <f>'DAY 1'!Y144</f>
        <v/>
      </c>
      <c r="V144" s="89" t="str">
        <f>'DAY 2'!Y144</f>
        <v/>
      </c>
      <c r="W144" s="89" t="str">
        <f>'DAY 3'!Y144</f>
        <v/>
      </c>
      <c r="X144" s="89" t="str">
        <f>'DAY 4'!Y144</f>
        <v/>
      </c>
      <c r="Y144" s="67" t="str">
        <f>'DAY 5'!Y144</f>
        <v/>
      </c>
      <c r="Z144" s="142" t="str">
        <f t="shared" si="20"/>
        <v/>
      </c>
      <c r="AA144" s="22" t="str">
        <f t="shared" si="21"/>
        <v/>
      </c>
      <c r="AB144" t="str">
        <f>'DAY 1'!Z144</f>
        <v/>
      </c>
      <c r="AC144" t="str">
        <f>'DAY 2'!Z144</f>
        <v/>
      </c>
      <c r="AD144" t="str">
        <f>'DAY 3'!Z144</f>
        <v/>
      </c>
      <c r="AE144" t="str">
        <f>'DAY 4'!Z144</f>
        <v/>
      </c>
      <c r="AF144" t="str">
        <f>'DAY 5'!Z144</f>
        <v/>
      </c>
      <c r="AG144" s="144" t="str">
        <f t="shared" si="22"/>
        <v/>
      </c>
      <c r="AH144" s="145" t="str">
        <f t="shared" si="23"/>
        <v/>
      </c>
    </row>
    <row r="145" spans="2:34" ht="15.75" thickBot="1" x14ac:dyDescent="0.3">
      <c r="B145" s="66" t="str">
        <f>IF(AND('ENTRY DATA'!C145=""),"",('ENTRY DATA'!C145))</f>
        <v/>
      </c>
      <c r="C145" s="67" t="str">
        <f>IF(AND('ENTRY DATA'!D145=""),"",('ENTRY DATA'!D145))</f>
        <v/>
      </c>
      <c r="E145" s="66" t="str">
        <f>IF(AND('ENTRY DATA'!F145=""),"",('ENTRY DATA'!F145))</f>
        <v/>
      </c>
      <c r="F145" s="67" t="str">
        <f>IF(AND('ENTRY DATA'!G145=""),"",('ENTRY DATA'!G145))</f>
        <v/>
      </c>
      <c r="G145" s="61" t="s">
        <v>40</v>
      </c>
      <c r="I145" s="81" t="str">
        <f>IF(AND('DAY 1'!M145=""),"",('DAY 1'!M145))</f>
        <v/>
      </c>
      <c r="J145" s="79" t="str">
        <f>IF(AND('DAY 2'!M145=""),"",('DAY 2'!M145))</f>
        <v/>
      </c>
      <c r="K145" s="79" t="str">
        <f>IF(AND('DAY 3'!M145=""),"",('DAY 3'!M145))</f>
        <v/>
      </c>
      <c r="L145" s="79" t="str">
        <f>IF(AND('DAY 4'!M145=""),"",('DAY 4'!M145))</f>
        <v/>
      </c>
      <c r="M145" s="80" t="str">
        <f>IF(AND('DAY 5'!M145=""),"",('DAY 5'!M145))</f>
        <v/>
      </c>
      <c r="O145" s="78">
        <f>SUM('DAY 1'!L145,'DAY 2'!L145,'DAY 3'!L145,'DAY 4'!L145,'DAY 5'!L145)</f>
        <v>0</v>
      </c>
      <c r="P145" s="82" t="str">
        <f t="shared" si="16"/>
        <v/>
      </c>
      <c r="Q145" s="83" t="str">
        <f t="shared" si="17"/>
        <v/>
      </c>
      <c r="R145" s="148" t="str">
        <f t="shared" si="18"/>
        <v/>
      </c>
      <c r="S145" s="149" t="str">
        <f t="shared" si="19"/>
        <v/>
      </c>
      <c r="U145" s="66" t="str">
        <f>'DAY 1'!Y145</f>
        <v/>
      </c>
      <c r="V145" s="89" t="str">
        <f>'DAY 2'!Y145</f>
        <v/>
      </c>
      <c r="W145" s="89" t="str">
        <f>'DAY 3'!Y145</f>
        <v/>
      </c>
      <c r="X145" s="89" t="str">
        <f>'DAY 4'!Y145</f>
        <v/>
      </c>
      <c r="Y145" s="67" t="str">
        <f>'DAY 5'!Y145</f>
        <v/>
      </c>
      <c r="Z145" s="142" t="str">
        <f t="shared" si="20"/>
        <v/>
      </c>
      <c r="AA145" s="22" t="str">
        <f t="shared" si="21"/>
        <v/>
      </c>
      <c r="AB145" t="str">
        <f>'DAY 1'!Z145</f>
        <v/>
      </c>
      <c r="AC145" t="str">
        <f>'DAY 2'!Z145</f>
        <v/>
      </c>
      <c r="AD145" t="str">
        <f>'DAY 3'!Z145</f>
        <v/>
      </c>
      <c r="AE145" t="str">
        <f>'DAY 4'!Z145</f>
        <v/>
      </c>
      <c r="AF145" t="str">
        <f>'DAY 5'!Z145</f>
        <v/>
      </c>
      <c r="AG145" s="144" t="str">
        <f t="shared" si="22"/>
        <v/>
      </c>
      <c r="AH145" s="145" t="str">
        <f t="shared" si="23"/>
        <v/>
      </c>
    </row>
    <row r="146" spans="2:34" ht="15.75" thickBot="1" x14ac:dyDescent="0.3">
      <c r="B146" s="66" t="str">
        <f>IF(AND('ENTRY DATA'!C146=""),"",('ENTRY DATA'!C146))</f>
        <v/>
      </c>
      <c r="C146" s="67" t="str">
        <f>IF(AND('ENTRY DATA'!D146=""),"",('ENTRY DATA'!D146))</f>
        <v/>
      </c>
      <c r="E146" s="66" t="str">
        <f>IF(AND('ENTRY DATA'!F146=""),"",('ENTRY DATA'!F146))</f>
        <v/>
      </c>
      <c r="F146" s="67" t="str">
        <f>IF(AND('ENTRY DATA'!G146=""),"",('ENTRY DATA'!G146))</f>
        <v/>
      </c>
      <c r="G146" s="61" t="s">
        <v>40</v>
      </c>
      <c r="I146" s="81" t="str">
        <f>IF(AND('DAY 1'!M146=""),"",('DAY 1'!M146))</f>
        <v/>
      </c>
      <c r="J146" s="79" t="str">
        <f>IF(AND('DAY 2'!M146=""),"",('DAY 2'!M146))</f>
        <v/>
      </c>
      <c r="K146" s="79" t="str">
        <f>IF(AND('DAY 3'!M146=""),"",('DAY 3'!M146))</f>
        <v/>
      </c>
      <c r="L146" s="79" t="str">
        <f>IF(AND('DAY 4'!M146=""),"",('DAY 4'!M146))</f>
        <v/>
      </c>
      <c r="M146" s="80" t="str">
        <f>IF(AND('DAY 5'!M146=""),"",('DAY 5'!M146))</f>
        <v/>
      </c>
      <c r="O146" s="78">
        <f>SUM('DAY 1'!L146,'DAY 2'!L146,'DAY 3'!L146,'DAY 4'!L146,'DAY 5'!L146)</f>
        <v>0</v>
      </c>
      <c r="P146" s="82" t="str">
        <f t="shared" si="16"/>
        <v/>
      </c>
      <c r="Q146" s="83" t="str">
        <f t="shared" si="17"/>
        <v/>
      </c>
      <c r="R146" s="148" t="str">
        <f t="shared" si="18"/>
        <v/>
      </c>
      <c r="S146" s="149" t="str">
        <f t="shared" si="19"/>
        <v/>
      </c>
      <c r="U146" s="66" t="str">
        <f>'DAY 1'!Y146</f>
        <v/>
      </c>
      <c r="V146" s="89" t="str">
        <f>'DAY 2'!Y146</f>
        <v/>
      </c>
      <c r="W146" s="89" t="str">
        <f>'DAY 3'!Y146</f>
        <v/>
      </c>
      <c r="X146" s="89" t="str">
        <f>'DAY 4'!Y146</f>
        <v/>
      </c>
      <c r="Y146" s="67" t="str">
        <f>'DAY 5'!Y146</f>
        <v/>
      </c>
      <c r="Z146" s="142" t="str">
        <f t="shared" si="20"/>
        <v/>
      </c>
      <c r="AA146" s="22" t="str">
        <f t="shared" si="21"/>
        <v/>
      </c>
      <c r="AB146" t="str">
        <f>'DAY 1'!Z146</f>
        <v/>
      </c>
      <c r="AC146" t="str">
        <f>'DAY 2'!Z146</f>
        <v/>
      </c>
      <c r="AD146" t="str">
        <f>'DAY 3'!Z146</f>
        <v/>
      </c>
      <c r="AE146" t="str">
        <f>'DAY 4'!Z146</f>
        <v/>
      </c>
      <c r="AF146" t="str">
        <f>'DAY 5'!Z146</f>
        <v/>
      </c>
      <c r="AG146" s="144" t="str">
        <f t="shared" si="22"/>
        <v/>
      </c>
      <c r="AH146" s="145" t="str">
        <f t="shared" si="23"/>
        <v/>
      </c>
    </row>
    <row r="147" spans="2:34" ht="15.75" thickBot="1" x14ac:dyDescent="0.3">
      <c r="B147" s="66" t="str">
        <f>IF(AND('ENTRY DATA'!C147=""),"",('ENTRY DATA'!C147))</f>
        <v/>
      </c>
      <c r="C147" s="67" t="str">
        <f>IF(AND('ENTRY DATA'!D147=""),"",('ENTRY DATA'!D147))</f>
        <v/>
      </c>
      <c r="E147" s="66" t="str">
        <f>IF(AND('ENTRY DATA'!F147=""),"",('ENTRY DATA'!F147))</f>
        <v/>
      </c>
      <c r="F147" s="67" t="str">
        <f>IF(AND('ENTRY DATA'!G147=""),"",('ENTRY DATA'!G147))</f>
        <v/>
      </c>
      <c r="G147" s="61" t="s">
        <v>40</v>
      </c>
      <c r="I147" s="81" t="str">
        <f>IF(AND('DAY 1'!M147=""),"",('DAY 1'!M147))</f>
        <v/>
      </c>
      <c r="J147" s="79" t="str">
        <f>IF(AND('DAY 2'!M147=""),"",('DAY 2'!M147))</f>
        <v/>
      </c>
      <c r="K147" s="79" t="str">
        <f>IF(AND('DAY 3'!M147=""),"",('DAY 3'!M147))</f>
        <v/>
      </c>
      <c r="L147" s="79" t="str">
        <f>IF(AND('DAY 4'!M147=""),"",('DAY 4'!M147))</f>
        <v/>
      </c>
      <c r="M147" s="80" t="str">
        <f>IF(AND('DAY 5'!M147=""),"",('DAY 5'!M147))</f>
        <v/>
      </c>
      <c r="O147" s="78">
        <f>SUM('DAY 1'!L147,'DAY 2'!L147,'DAY 3'!L147,'DAY 4'!L147,'DAY 5'!L147)</f>
        <v>0</v>
      </c>
      <c r="P147" s="82" t="str">
        <f t="shared" si="16"/>
        <v/>
      </c>
      <c r="Q147" s="83" t="str">
        <f t="shared" si="17"/>
        <v/>
      </c>
      <c r="R147" s="148" t="str">
        <f t="shared" si="18"/>
        <v/>
      </c>
      <c r="S147" s="149" t="str">
        <f t="shared" si="19"/>
        <v/>
      </c>
      <c r="U147" s="66" t="str">
        <f>'DAY 1'!Y147</f>
        <v/>
      </c>
      <c r="V147" s="89" t="str">
        <f>'DAY 2'!Y147</f>
        <v/>
      </c>
      <c r="W147" s="89" t="str">
        <f>'DAY 3'!Y147</f>
        <v/>
      </c>
      <c r="X147" s="89" t="str">
        <f>'DAY 4'!Y147</f>
        <v/>
      </c>
      <c r="Y147" s="67" t="str">
        <f>'DAY 5'!Y147</f>
        <v/>
      </c>
      <c r="Z147" s="142" t="str">
        <f t="shared" si="20"/>
        <v/>
      </c>
      <c r="AA147" s="22" t="str">
        <f t="shared" si="21"/>
        <v/>
      </c>
      <c r="AB147" t="str">
        <f>'DAY 1'!Z147</f>
        <v/>
      </c>
      <c r="AC147" t="str">
        <f>'DAY 2'!Z147</f>
        <v/>
      </c>
      <c r="AD147" t="str">
        <f>'DAY 3'!Z147</f>
        <v/>
      </c>
      <c r="AE147" t="str">
        <f>'DAY 4'!Z147</f>
        <v/>
      </c>
      <c r="AF147" t="str">
        <f>'DAY 5'!Z147</f>
        <v/>
      </c>
      <c r="AG147" s="144" t="str">
        <f t="shared" si="22"/>
        <v/>
      </c>
      <c r="AH147" s="145" t="str">
        <f t="shared" si="23"/>
        <v/>
      </c>
    </row>
    <row r="148" spans="2:34" ht="15.75" thickBot="1" x14ac:dyDescent="0.3">
      <c r="B148" s="66" t="str">
        <f>IF(AND('ENTRY DATA'!C148=""),"",('ENTRY DATA'!C148))</f>
        <v/>
      </c>
      <c r="C148" s="67" t="str">
        <f>IF(AND('ENTRY DATA'!D148=""),"",('ENTRY DATA'!D148))</f>
        <v/>
      </c>
      <c r="E148" s="66" t="str">
        <f>IF(AND('ENTRY DATA'!F148=""),"",('ENTRY DATA'!F148))</f>
        <v/>
      </c>
      <c r="F148" s="67" t="str">
        <f>IF(AND('ENTRY DATA'!G148=""),"",('ENTRY DATA'!G148))</f>
        <v/>
      </c>
      <c r="G148" s="61" t="s">
        <v>40</v>
      </c>
      <c r="I148" s="81" t="str">
        <f>IF(AND('DAY 1'!M148=""),"",('DAY 1'!M148))</f>
        <v/>
      </c>
      <c r="J148" s="79" t="str">
        <f>IF(AND('DAY 2'!M148=""),"",('DAY 2'!M148))</f>
        <v/>
      </c>
      <c r="K148" s="79" t="str">
        <f>IF(AND('DAY 3'!M148=""),"",('DAY 3'!M148))</f>
        <v/>
      </c>
      <c r="L148" s="79" t="str">
        <f>IF(AND('DAY 4'!M148=""),"",('DAY 4'!M148))</f>
        <v/>
      </c>
      <c r="M148" s="80" t="str">
        <f>IF(AND('DAY 5'!M148=""),"",('DAY 5'!M148))</f>
        <v/>
      </c>
      <c r="O148" s="78">
        <f>SUM('DAY 1'!L148,'DAY 2'!L148,'DAY 3'!L148,'DAY 4'!L148,'DAY 5'!L148)</f>
        <v>0</v>
      </c>
      <c r="P148" s="82" t="str">
        <f t="shared" si="16"/>
        <v/>
      </c>
      <c r="Q148" s="83" t="str">
        <f t="shared" si="17"/>
        <v/>
      </c>
      <c r="R148" s="148" t="str">
        <f t="shared" si="18"/>
        <v/>
      </c>
      <c r="S148" s="149" t="str">
        <f t="shared" si="19"/>
        <v/>
      </c>
      <c r="U148" s="66" t="str">
        <f>'DAY 1'!Y148</f>
        <v/>
      </c>
      <c r="V148" s="89" t="str">
        <f>'DAY 2'!Y148</f>
        <v/>
      </c>
      <c r="W148" s="89" t="str">
        <f>'DAY 3'!Y148</f>
        <v/>
      </c>
      <c r="X148" s="89" t="str">
        <f>'DAY 4'!Y148</f>
        <v/>
      </c>
      <c r="Y148" s="67" t="str">
        <f>'DAY 5'!Y148</f>
        <v/>
      </c>
      <c r="Z148" s="142" t="str">
        <f t="shared" si="20"/>
        <v/>
      </c>
      <c r="AA148" s="22" t="str">
        <f t="shared" si="21"/>
        <v/>
      </c>
      <c r="AB148" t="str">
        <f>'DAY 1'!Z148</f>
        <v/>
      </c>
      <c r="AC148" t="str">
        <f>'DAY 2'!Z148</f>
        <v/>
      </c>
      <c r="AD148" t="str">
        <f>'DAY 3'!Z148</f>
        <v/>
      </c>
      <c r="AE148" t="str">
        <f>'DAY 4'!Z148</f>
        <v/>
      </c>
      <c r="AF148" t="str">
        <f>'DAY 5'!Z148</f>
        <v/>
      </c>
      <c r="AG148" s="144" t="str">
        <f t="shared" si="22"/>
        <v/>
      </c>
      <c r="AH148" s="145" t="str">
        <f t="shared" si="23"/>
        <v/>
      </c>
    </row>
    <row r="149" spans="2:34" ht="15.75" thickBot="1" x14ac:dyDescent="0.3">
      <c r="B149" s="66" t="str">
        <f>IF(AND('ENTRY DATA'!C149=""),"",('ENTRY DATA'!C149))</f>
        <v/>
      </c>
      <c r="C149" s="67" t="str">
        <f>IF(AND('ENTRY DATA'!D149=""),"",('ENTRY DATA'!D149))</f>
        <v/>
      </c>
      <c r="E149" s="66" t="str">
        <f>IF(AND('ENTRY DATA'!F149=""),"",('ENTRY DATA'!F149))</f>
        <v/>
      </c>
      <c r="F149" s="67" t="str">
        <f>IF(AND('ENTRY DATA'!G149=""),"",('ENTRY DATA'!G149))</f>
        <v/>
      </c>
      <c r="G149" s="61" t="s">
        <v>40</v>
      </c>
      <c r="I149" s="81" t="str">
        <f>IF(AND('DAY 1'!M149=""),"",('DAY 1'!M149))</f>
        <v/>
      </c>
      <c r="J149" s="79" t="str">
        <f>IF(AND('DAY 2'!M149=""),"",('DAY 2'!M149))</f>
        <v/>
      </c>
      <c r="K149" s="79" t="str">
        <f>IF(AND('DAY 3'!M149=""),"",('DAY 3'!M149))</f>
        <v/>
      </c>
      <c r="L149" s="79" t="str">
        <f>IF(AND('DAY 4'!M149=""),"",('DAY 4'!M149))</f>
        <v/>
      </c>
      <c r="M149" s="80" t="str">
        <f>IF(AND('DAY 5'!M149=""),"",('DAY 5'!M149))</f>
        <v/>
      </c>
      <c r="O149" s="78">
        <f>SUM('DAY 1'!L149,'DAY 2'!L149,'DAY 3'!L149,'DAY 4'!L149,'DAY 5'!L149)</f>
        <v>0</v>
      </c>
      <c r="P149" s="82" t="str">
        <f t="shared" si="16"/>
        <v/>
      </c>
      <c r="Q149" s="83" t="str">
        <f t="shared" si="17"/>
        <v/>
      </c>
      <c r="R149" s="148" t="str">
        <f t="shared" si="18"/>
        <v/>
      </c>
      <c r="S149" s="149" t="str">
        <f t="shared" si="19"/>
        <v/>
      </c>
      <c r="U149" s="66" t="str">
        <f>'DAY 1'!Y149</f>
        <v/>
      </c>
      <c r="V149" s="89" t="str">
        <f>'DAY 2'!Y149</f>
        <v/>
      </c>
      <c r="W149" s="89" t="str">
        <f>'DAY 3'!Y149</f>
        <v/>
      </c>
      <c r="X149" s="89" t="str">
        <f>'DAY 4'!Y149</f>
        <v/>
      </c>
      <c r="Y149" s="67" t="str">
        <f>'DAY 5'!Y149</f>
        <v/>
      </c>
      <c r="Z149" s="142" t="str">
        <f t="shared" si="20"/>
        <v/>
      </c>
      <c r="AA149" s="22" t="str">
        <f t="shared" si="21"/>
        <v/>
      </c>
      <c r="AB149" t="str">
        <f>'DAY 1'!Z149</f>
        <v/>
      </c>
      <c r="AC149" t="str">
        <f>'DAY 2'!Z149</f>
        <v/>
      </c>
      <c r="AD149" t="str">
        <f>'DAY 3'!Z149</f>
        <v/>
      </c>
      <c r="AE149" t="str">
        <f>'DAY 4'!Z149</f>
        <v/>
      </c>
      <c r="AF149" t="str">
        <f>'DAY 5'!Z149</f>
        <v/>
      </c>
      <c r="AG149" s="144" t="str">
        <f t="shared" si="22"/>
        <v/>
      </c>
      <c r="AH149" s="145" t="str">
        <f t="shared" si="23"/>
        <v/>
      </c>
    </row>
    <row r="150" spans="2:34" ht="15.75" thickBot="1" x14ac:dyDescent="0.3">
      <c r="B150" s="66" t="str">
        <f>IF(AND('ENTRY DATA'!C150=""),"",('ENTRY DATA'!C150))</f>
        <v/>
      </c>
      <c r="C150" s="67" t="str">
        <f>IF(AND('ENTRY DATA'!D150=""),"",('ENTRY DATA'!D150))</f>
        <v/>
      </c>
      <c r="E150" s="66" t="str">
        <f>IF(AND('ENTRY DATA'!F150=""),"",('ENTRY DATA'!F150))</f>
        <v/>
      </c>
      <c r="F150" s="67" t="str">
        <f>IF(AND('ENTRY DATA'!G150=""),"",('ENTRY DATA'!G150))</f>
        <v/>
      </c>
      <c r="G150" s="61" t="s">
        <v>40</v>
      </c>
      <c r="I150" s="81" t="str">
        <f>IF(AND('DAY 1'!M150=""),"",('DAY 1'!M150))</f>
        <v/>
      </c>
      <c r="J150" s="79" t="str">
        <f>IF(AND('DAY 2'!M150=""),"",('DAY 2'!M150))</f>
        <v/>
      </c>
      <c r="K150" s="79" t="str">
        <f>IF(AND('DAY 3'!M150=""),"",('DAY 3'!M150))</f>
        <v/>
      </c>
      <c r="L150" s="79" t="str">
        <f>IF(AND('DAY 4'!M150=""),"",('DAY 4'!M150))</f>
        <v/>
      </c>
      <c r="M150" s="80" t="str">
        <f>IF(AND('DAY 5'!M150=""),"",('DAY 5'!M150))</f>
        <v/>
      </c>
      <c r="O150" s="78">
        <f>SUM('DAY 1'!L150,'DAY 2'!L150,'DAY 3'!L150,'DAY 4'!L150,'DAY 5'!L150)</f>
        <v>0</v>
      </c>
      <c r="P150" s="82" t="str">
        <f t="shared" si="16"/>
        <v/>
      </c>
      <c r="Q150" s="83" t="str">
        <f t="shared" si="17"/>
        <v/>
      </c>
      <c r="R150" s="148" t="str">
        <f t="shared" si="18"/>
        <v/>
      </c>
      <c r="S150" s="149" t="str">
        <f t="shared" si="19"/>
        <v/>
      </c>
      <c r="U150" s="66" t="str">
        <f>'DAY 1'!Y150</f>
        <v/>
      </c>
      <c r="V150" s="89" t="str">
        <f>'DAY 2'!Y150</f>
        <v/>
      </c>
      <c r="W150" s="89" t="str">
        <f>'DAY 3'!Y150</f>
        <v/>
      </c>
      <c r="X150" s="89" t="str">
        <f>'DAY 4'!Y150</f>
        <v/>
      </c>
      <c r="Y150" s="67" t="str">
        <f>'DAY 5'!Y150</f>
        <v/>
      </c>
      <c r="Z150" s="142" t="str">
        <f t="shared" si="20"/>
        <v/>
      </c>
      <c r="AA150" s="22" t="str">
        <f t="shared" si="21"/>
        <v/>
      </c>
      <c r="AB150" t="str">
        <f>'DAY 1'!Z150</f>
        <v/>
      </c>
      <c r="AC150" t="str">
        <f>'DAY 2'!Z150</f>
        <v/>
      </c>
      <c r="AD150" t="str">
        <f>'DAY 3'!Z150</f>
        <v/>
      </c>
      <c r="AE150" t="str">
        <f>'DAY 4'!Z150</f>
        <v/>
      </c>
      <c r="AF150" t="str">
        <f>'DAY 5'!Z150</f>
        <v/>
      </c>
      <c r="AG150" s="144" t="str">
        <f t="shared" si="22"/>
        <v/>
      </c>
      <c r="AH150" s="145" t="str">
        <f t="shared" si="23"/>
        <v/>
      </c>
    </row>
    <row r="151" spans="2:34" ht="15.75" thickBot="1" x14ac:dyDescent="0.3">
      <c r="B151" s="66" t="str">
        <f>IF(AND('ENTRY DATA'!C151=""),"",('ENTRY DATA'!C151))</f>
        <v/>
      </c>
      <c r="C151" s="67" t="str">
        <f>IF(AND('ENTRY DATA'!D151=""),"",('ENTRY DATA'!D151))</f>
        <v/>
      </c>
      <c r="E151" s="66" t="str">
        <f>IF(AND('ENTRY DATA'!F151=""),"",('ENTRY DATA'!F151))</f>
        <v/>
      </c>
      <c r="F151" s="67" t="str">
        <f>IF(AND('ENTRY DATA'!G151=""),"",('ENTRY DATA'!G151))</f>
        <v/>
      </c>
      <c r="G151" s="61" t="s">
        <v>40</v>
      </c>
      <c r="I151" s="81" t="str">
        <f>IF(AND('DAY 1'!M151=""),"",('DAY 1'!M151))</f>
        <v/>
      </c>
      <c r="J151" s="79" t="str">
        <f>IF(AND('DAY 2'!M151=""),"",('DAY 2'!M151))</f>
        <v/>
      </c>
      <c r="K151" s="79" t="str">
        <f>IF(AND('DAY 3'!M151=""),"",('DAY 3'!M151))</f>
        <v/>
      </c>
      <c r="L151" s="79" t="str">
        <f>IF(AND('DAY 4'!M151=""),"",('DAY 4'!M151))</f>
        <v/>
      </c>
      <c r="M151" s="80" t="str">
        <f>IF(AND('DAY 5'!M151=""),"",('DAY 5'!M151))</f>
        <v/>
      </c>
      <c r="O151" s="78">
        <f>SUM('DAY 1'!L151,'DAY 2'!L151,'DAY 3'!L151,'DAY 4'!L151,'DAY 5'!L151)</f>
        <v>0</v>
      </c>
      <c r="P151" s="82" t="str">
        <f t="shared" si="16"/>
        <v/>
      </c>
      <c r="Q151" s="83" t="str">
        <f t="shared" si="17"/>
        <v/>
      </c>
      <c r="R151" s="148" t="str">
        <f t="shared" si="18"/>
        <v/>
      </c>
      <c r="S151" s="149" t="str">
        <f t="shared" si="19"/>
        <v/>
      </c>
      <c r="U151" s="66" t="str">
        <f>'DAY 1'!Y151</f>
        <v/>
      </c>
      <c r="V151" s="89" t="str">
        <f>'DAY 2'!Y151</f>
        <v/>
      </c>
      <c r="W151" s="89" t="str">
        <f>'DAY 3'!Y151</f>
        <v/>
      </c>
      <c r="X151" s="89" t="str">
        <f>'DAY 4'!Y151</f>
        <v/>
      </c>
      <c r="Y151" s="67" t="str">
        <f>'DAY 5'!Y151</f>
        <v/>
      </c>
      <c r="Z151" s="142" t="str">
        <f t="shared" si="20"/>
        <v/>
      </c>
      <c r="AA151" s="22" t="str">
        <f t="shared" si="21"/>
        <v/>
      </c>
      <c r="AB151" t="str">
        <f>'DAY 1'!Z151</f>
        <v/>
      </c>
      <c r="AC151" t="str">
        <f>'DAY 2'!Z151</f>
        <v/>
      </c>
      <c r="AD151" t="str">
        <f>'DAY 3'!Z151</f>
        <v/>
      </c>
      <c r="AE151" t="str">
        <f>'DAY 4'!Z151</f>
        <v/>
      </c>
      <c r="AF151" t="str">
        <f>'DAY 5'!Z151</f>
        <v/>
      </c>
      <c r="AG151" s="144" t="str">
        <f t="shared" si="22"/>
        <v/>
      </c>
      <c r="AH151" s="145" t="str">
        <f t="shared" si="23"/>
        <v/>
      </c>
    </row>
    <row r="152" spans="2:34" ht="15.75" thickBot="1" x14ac:dyDescent="0.3">
      <c r="B152" s="66" t="str">
        <f>IF(AND('ENTRY DATA'!C152=""),"",('ENTRY DATA'!C152))</f>
        <v/>
      </c>
      <c r="C152" s="67" t="str">
        <f>IF(AND('ENTRY DATA'!D152=""),"",('ENTRY DATA'!D152))</f>
        <v/>
      </c>
      <c r="E152" s="66" t="str">
        <f>IF(AND('ENTRY DATA'!F152=""),"",('ENTRY DATA'!F152))</f>
        <v/>
      </c>
      <c r="F152" s="67" t="str">
        <f>IF(AND('ENTRY DATA'!G152=""),"",('ENTRY DATA'!G152))</f>
        <v/>
      </c>
      <c r="G152" s="61" t="s">
        <v>40</v>
      </c>
      <c r="I152" s="81" t="str">
        <f>IF(AND('DAY 1'!M152=""),"",('DAY 1'!M152))</f>
        <v/>
      </c>
      <c r="J152" s="79" t="str">
        <f>IF(AND('DAY 2'!M152=""),"",('DAY 2'!M152))</f>
        <v/>
      </c>
      <c r="K152" s="79" t="str">
        <f>IF(AND('DAY 3'!M152=""),"",('DAY 3'!M152))</f>
        <v/>
      </c>
      <c r="L152" s="79" t="str">
        <f>IF(AND('DAY 4'!M152=""),"",('DAY 4'!M152))</f>
        <v/>
      </c>
      <c r="M152" s="80" t="str">
        <f>IF(AND('DAY 5'!M152=""),"",('DAY 5'!M152))</f>
        <v/>
      </c>
      <c r="O152" s="78">
        <f>SUM('DAY 1'!L152,'DAY 2'!L152,'DAY 3'!L152,'DAY 4'!L152,'DAY 5'!L152)</f>
        <v>0</v>
      </c>
      <c r="P152" s="82" t="str">
        <f t="shared" si="16"/>
        <v/>
      </c>
      <c r="Q152" s="83" t="str">
        <f t="shared" si="17"/>
        <v/>
      </c>
      <c r="R152" s="148" t="str">
        <f t="shared" si="18"/>
        <v/>
      </c>
      <c r="S152" s="149" t="str">
        <f t="shared" si="19"/>
        <v/>
      </c>
      <c r="U152" s="66" t="str">
        <f>'DAY 1'!Y152</f>
        <v/>
      </c>
      <c r="V152" s="89" t="str">
        <f>'DAY 2'!Y152</f>
        <v/>
      </c>
      <c r="W152" s="89" t="str">
        <f>'DAY 3'!Y152</f>
        <v/>
      </c>
      <c r="X152" s="89" t="str">
        <f>'DAY 4'!Y152</f>
        <v/>
      </c>
      <c r="Y152" s="67" t="str">
        <f>'DAY 5'!Y152</f>
        <v/>
      </c>
      <c r="Z152" s="142" t="str">
        <f t="shared" si="20"/>
        <v/>
      </c>
      <c r="AA152" s="22" t="str">
        <f t="shared" si="21"/>
        <v/>
      </c>
      <c r="AB152" t="str">
        <f>'DAY 1'!Z152</f>
        <v/>
      </c>
      <c r="AC152" t="str">
        <f>'DAY 2'!Z152</f>
        <v/>
      </c>
      <c r="AD152" t="str">
        <f>'DAY 3'!Z152</f>
        <v/>
      </c>
      <c r="AE152" t="str">
        <f>'DAY 4'!Z152</f>
        <v/>
      </c>
      <c r="AF152" t="str">
        <f>'DAY 5'!Z152</f>
        <v/>
      </c>
      <c r="AG152" s="144" t="str">
        <f t="shared" si="22"/>
        <v/>
      </c>
      <c r="AH152" s="145" t="str">
        <f t="shared" si="23"/>
        <v/>
      </c>
    </row>
    <row r="153" spans="2:34" ht="15.75" thickBot="1" x14ac:dyDescent="0.3">
      <c r="B153" s="66" t="str">
        <f>IF(AND('ENTRY DATA'!C153=""),"",('ENTRY DATA'!C153))</f>
        <v/>
      </c>
      <c r="C153" s="67" t="str">
        <f>IF(AND('ENTRY DATA'!D153=""),"",('ENTRY DATA'!D153))</f>
        <v/>
      </c>
      <c r="E153" s="66" t="str">
        <f>IF(AND('ENTRY DATA'!F153=""),"",('ENTRY DATA'!F153))</f>
        <v/>
      </c>
      <c r="F153" s="67" t="str">
        <f>IF(AND('ENTRY DATA'!G153=""),"",('ENTRY DATA'!G153))</f>
        <v/>
      </c>
      <c r="G153" s="61" t="s">
        <v>40</v>
      </c>
      <c r="I153" s="81" t="str">
        <f>IF(AND('DAY 1'!M153=""),"",('DAY 1'!M153))</f>
        <v/>
      </c>
      <c r="J153" s="79" t="str">
        <f>IF(AND('DAY 2'!M153=""),"",('DAY 2'!M153))</f>
        <v/>
      </c>
      <c r="K153" s="79" t="str">
        <f>IF(AND('DAY 3'!M153=""),"",('DAY 3'!M153))</f>
        <v/>
      </c>
      <c r="L153" s="79" t="str">
        <f>IF(AND('DAY 4'!M153=""),"",('DAY 4'!M153))</f>
        <v/>
      </c>
      <c r="M153" s="80" t="str">
        <f>IF(AND('DAY 5'!M153=""),"",('DAY 5'!M153))</f>
        <v/>
      </c>
      <c r="O153" s="78">
        <f>SUM('DAY 1'!L153,'DAY 2'!L153,'DAY 3'!L153,'DAY 4'!L153,'DAY 5'!L153)</f>
        <v>0</v>
      </c>
      <c r="P153" s="82" t="str">
        <f t="shared" si="16"/>
        <v/>
      </c>
      <c r="Q153" s="83" t="str">
        <f t="shared" si="17"/>
        <v/>
      </c>
      <c r="R153" s="148" t="str">
        <f t="shared" si="18"/>
        <v/>
      </c>
      <c r="S153" s="149" t="str">
        <f t="shared" si="19"/>
        <v/>
      </c>
      <c r="U153" s="66" t="str">
        <f>'DAY 1'!Y153</f>
        <v/>
      </c>
      <c r="V153" s="89" t="str">
        <f>'DAY 2'!Y153</f>
        <v/>
      </c>
      <c r="W153" s="89" t="str">
        <f>'DAY 3'!Y153</f>
        <v/>
      </c>
      <c r="X153" s="89" t="str">
        <f>'DAY 4'!Y153</f>
        <v/>
      </c>
      <c r="Y153" s="67" t="str">
        <f>'DAY 5'!Y153</f>
        <v/>
      </c>
      <c r="Z153" s="142" t="str">
        <f t="shared" si="20"/>
        <v/>
      </c>
      <c r="AA153" s="22" t="str">
        <f t="shared" si="21"/>
        <v/>
      </c>
      <c r="AB153" t="str">
        <f>'DAY 1'!Z153</f>
        <v/>
      </c>
      <c r="AC153" t="str">
        <f>'DAY 2'!Z153</f>
        <v/>
      </c>
      <c r="AD153" t="str">
        <f>'DAY 3'!Z153</f>
        <v/>
      </c>
      <c r="AE153" t="str">
        <f>'DAY 4'!Z153</f>
        <v/>
      </c>
      <c r="AF153" t="str">
        <f>'DAY 5'!Z153</f>
        <v/>
      </c>
      <c r="AG153" s="144" t="str">
        <f t="shared" si="22"/>
        <v/>
      </c>
      <c r="AH153" s="145" t="str">
        <f t="shared" si="23"/>
        <v/>
      </c>
    </row>
    <row r="154" spans="2:34" ht="15.75" thickBot="1" x14ac:dyDescent="0.3">
      <c r="B154" s="66" t="str">
        <f>IF(AND('ENTRY DATA'!C154=""),"",('ENTRY DATA'!C154))</f>
        <v/>
      </c>
      <c r="C154" s="67" t="str">
        <f>IF(AND('ENTRY DATA'!D154=""),"",('ENTRY DATA'!D154))</f>
        <v/>
      </c>
      <c r="E154" s="66" t="str">
        <f>IF(AND('ENTRY DATA'!F154=""),"",('ENTRY DATA'!F154))</f>
        <v/>
      </c>
      <c r="F154" s="67" t="str">
        <f>IF(AND('ENTRY DATA'!G154=""),"",('ENTRY DATA'!G154))</f>
        <v/>
      </c>
      <c r="G154" s="61" t="s">
        <v>40</v>
      </c>
      <c r="I154" s="81" t="str">
        <f>IF(AND('DAY 1'!M154=""),"",('DAY 1'!M154))</f>
        <v/>
      </c>
      <c r="J154" s="79" t="str">
        <f>IF(AND('DAY 2'!M154=""),"",('DAY 2'!M154))</f>
        <v/>
      </c>
      <c r="K154" s="79" t="str">
        <f>IF(AND('DAY 3'!M154=""),"",('DAY 3'!M154))</f>
        <v/>
      </c>
      <c r="L154" s="79" t="str">
        <f>IF(AND('DAY 4'!M154=""),"",('DAY 4'!M154))</f>
        <v/>
      </c>
      <c r="M154" s="80" t="str">
        <f>IF(AND('DAY 5'!M154=""),"",('DAY 5'!M154))</f>
        <v/>
      </c>
      <c r="O154" s="78">
        <f>SUM('DAY 1'!L154,'DAY 2'!L154,'DAY 3'!L154,'DAY 4'!L154,'DAY 5'!L154)</f>
        <v>0</v>
      </c>
      <c r="P154" s="82" t="str">
        <f t="shared" si="16"/>
        <v/>
      </c>
      <c r="Q154" s="83" t="str">
        <f t="shared" si="17"/>
        <v/>
      </c>
      <c r="R154" s="148" t="str">
        <f t="shared" si="18"/>
        <v/>
      </c>
      <c r="S154" s="149" t="str">
        <f t="shared" si="19"/>
        <v/>
      </c>
      <c r="U154" s="66" t="str">
        <f>'DAY 1'!Y154</f>
        <v/>
      </c>
      <c r="V154" s="89" t="str">
        <f>'DAY 2'!Y154</f>
        <v/>
      </c>
      <c r="W154" s="89" t="str">
        <f>'DAY 3'!Y154</f>
        <v/>
      </c>
      <c r="X154" s="89" t="str">
        <f>'DAY 4'!Y154</f>
        <v/>
      </c>
      <c r="Y154" s="67" t="str">
        <f>'DAY 5'!Y154</f>
        <v/>
      </c>
      <c r="Z154" s="142" t="str">
        <f t="shared" si="20"/>
        <v/>
      </c>
      <c r="AA154" s="22" t="str">
        <f t="shared" si="21"/>
        <v/>
      </c>
      <c r="AB154" t="str">
        <f>'DAY 1'!Z154</f>
        <v/>
      </c>
      <c r="AC154" t="str">
        <f>'DAY 2'!Z154</f>
        <v/>
      </c>
      <c r="AD154" t="str">
        <f>'DAY 3'!Z154</f>
        <v/>
      </c>
      <c r="AE154" t="str">
        <f>'DAY 4'!Z154</f>
        <v/>
      </c>
      <c r="AF154" t="str">
        <f>'DAY 5'!Z154</f>
        <v/>
      </c>
      <c r="AG154" s="144" t="str">
        <f t="shared" si="22"/>
        <v/>
      </c>
      <c r="AH154" s="145" t="str">
        <f t="shared" si="23"/>
        <v/>
      </c>
    </row>
    <row r="155" spans="2:34" ht="15.75" thickBot="1" x14ac:dyDescent="0.3">
      <c r="B155" s="66" t="str">
        <f>IF(AND('ENTRY DATA'!C155=""),"",('ENTRY DATA'!C155))</f>
        <v/>
      </c>
      <c r="C155" s="67" t="str">
        <f>IF(AND('ENTRY DATA'!D155=""),"",('ENTRY DATA'!D155))</f>
        <v/>
      </c>
      <c r="E155" s="66" t="str">
        <f>IF(AND('ENTRY DATA'!F155=""),"",('ENTRY DATA'!F155))</f>
        <v/>
      </c>
      <c r="F155" s="67" t="str">
        <f>IF(AND('ENTRY DATA'!G155=""),"",('ENTRY DATA'!G155))</f>
        <v/>
      </c>
      <c r="G155" s="61" t="s">
        <v>40</v>
      </c>
      <c r="I155" s="81" t="str">
        <f>IF(AND('DAY 1'!M155=""),"",('DAY 1'!M155))</f>
        <v/>
      </c>
      <c r="J155" s="79" t="str">
        <f>IF(AND('DAY 2'!M155=""),"",('DAY 2'!M155))</f>
        <v/>
      </c>
      <c r="K155" s="79" t="str">
        <f>IF(AND('DAY 3'!M155=""),"",('DAY 3'!M155))</f>
        <v/>
      </c>
      <c r="L155" s="79" t="str">
        <f>IF(AND('DAY 4'!M155=""),"",('DAY 4'!M155))</f>
        <v/>
      </c>
      <c r="M155" s="80" t="str">
        <f>IF(AND('DAY 5'!M155=""),"",('DAY 5'!M155))</f>
        <v/>
      </c>
      <c r="O155" s="78">
        <f>SUM('DAY 1'!L155,'DAY 2'!L155,'DAY 3'!L155,'DAY 4'!L155,'DAY 5'!L155)</f>
        <v>0</v>
      </c>
      <c r="P155" s="82" t="str">
        <f t="shared" si="16"/>
        <v/>
      </c>
      <c r="Q155" s="83" t="str">
        <f t="shared" si="17"/>
        <v/>
      </c>
      <c r="R155" s="148" t="str">
        <f t="shared" si="18"/>
        <v/>
      </c>
      <c r="S155" s="149" t="str">
        <f t="shared" si="19"/>
        <v/>
      </c>
      <c r="U155" s="66" t="str">
        <f>'DAY 1'!Y155</f>
        <v/>
      </c>
      <c r="V155" s="89" t="str">
        <f>'DAY 2'!Y155</f>
        <v/>
      </c>
      <c r="W155" s="89" t="str">
        <f>'DAY 3'!Y155</f>
        <v/>
      </c>
      <c r="X155" s="89" t="str">
        <f>'DAY 4'!Y155</f>
        <v/>
      </c>
      <c r="Y155" s="67" t="str">
        <f>'DAY 5'!Y155</f>
        <v/>
      </c>
      <c r="Z155" s="142" t="str">
        <f t="shared" si="20"/>
        <v/>
      </c>
      <c r="AA155" s="22" t="str">
        <f t="shared" si="21"/>
        <v/>
      </c>
      <c r="AB155" t="str">
        <f>'DAY 1'!Z155</f>
        <v/>
      </c>
      <c r="AC155" t="str">
        <f>'DAY 2'!Z155</f>
        <v/>
      </c>
      <c r="AD155" t="str">
        <f>'DAY 3'!Z155</f>
        <v/>
      </c>
      <c r="AE155" t="str">
        <f>'DAY 4'!Z155</f>
        <v/>
      </c>
      <c r="AF155" t="str">
        <f>'DAY 5'!Z155</f>
        <v/>
      </c>
      <c r="AG155" s="144" t="str">
        <f t="shared" si="22"/>
        <v/>
      </c>
      <c r="AH155" s="145" t="str">
        <f t="shared" si="23"/>
        <v/>
      </c>
    </row>
    <row r="156" spans="2:34" ht="15.75" thickBot="1" x14ac:dyDescent="0.3">
      <c r="B156" s="66" t="str">
        <f>IF(AND('ENTRY DATA'!C156=""),"",('ENTRY DATA'!C156))</f>
        <v/>
      </c>
      <c r="C156" s="67" t="str">
        <f>IF(AND('ENTRY DATA'!D156=""),"",('ENTRY DATA'!D156))</f>
        <v/>
      </c>
      <c r="E156" s="66" t="str">
        <f>IF(AND('ENTRY DATA'!F156=""),"",('ENTRY DATA'!F156))</f>
        <v/>
      </c>
      <c r="F156" s="67" t="str">
        <f>IF(AND('ENTRY DATA'!G156=""),"",('ENTRY DATA'!G156))</f>
        <v/>
      </c>
      <c r="G156" s="61" t="s">
        <v>40</v>
      </c>
      <c r="I156" s="81" t="str">
        <f>IF(AND('DAY 1'!M156=""),"",('DAY 1'!M156))</f>
        <v/>
      </c>
      <c r="J156" s="79" t="str">
        <f>IF(AND('DAY 2'!M156=""),"",('DAY 2'!M156))</f>
        <v/>
      </c>
      <c r="K156" s="79" t="str">
        <f>IF(AND('DAY 3'!M156=""),"",('DAY 3'!M156))</f>
        <v/>
      </c>
      <c r="L156" s="79" t="str">
        <f>IF(AND('DAY 4'!M156=""),"",('DAY 4'!M156))</f>
        <v/>
      </c>
      <c r="M156" s="80" t="str">
        <f>IF(AND('DAY 5'!M156=""),"",('DAY 5'!M156))</f>
        <v/>
      </c>
      <c r="O156" s="78">
        <f>SUM('DAY 1'!L156,'DAY 2'!L156,'DAY 3'!L156,'DAY 4'!L156,'DAY 5'!L156)</f>
        <v>0</v>
      </c>
      <c r="P156" s="82" t="str">
        <f t="shared" si="16"/>
        <v/>
      </c>
      <c r="Q156" s="83" t="str">
        <f t="shared" si="17"/>
        <v/>
      </c>
      <c r="R156" s="148" t="str">
        <f t="shared" si="18"/>
        <v/>
      </c>
      <c r="S156" s="149" t="str">
        <f t="shared" si="19"/>
        <v/>
      </c>
      <c r="U156" s="66" t="str">
        <f>'DAY 1'!Y156</f>
        <v/>
      </c>
      <c r="V156" s="89" t="str">
        <f>'DAY 2'!Y156</f>
        <v/>
      </c>
      <c r="W156" s="89" t="str">
        <f>'DAY 3'!Y156</f>
        <v/>
      </c>
      <c r="X156" s="89" t="str">
        <f>'DAY 4'!Y156</f>
        <v/>
      </c>
      <c r="Y156" s="67" t="str">
        <f>'DAY 5'!Y156</f>
        <v/>
      </c>
      <c r="Z156" s="142" t="str">
        <f t="shared" si="20"/>
        <v/>
      </c>
      <c r="AA156" s="22" t="str">
        <f t="shared" si="21"/>
        <v/>
      </c>
      <c r="AB156" t="str">
        <f>'DAY 1'!Z156</f>
        <v/>
      </c>
      <c r="AC156" t="str">
        <f>'DAY 2'!Z156</f>
        <v/>
      </c>
      <c r="AD156" t="str">
        <f>'DAY 3'!Z156</f>
        <v/>
      </c>
      <c r="AE156" t="str">
        <f>'DAY 4'!Z156</f>
        <v/>
      </c>
      <c r="AF156" t="str">
        <f>'DAY 5'!Z156</f>
        <v/>
      </c>
      <c r="AG156" s="144" t="str">
        <f t="shared" si="22"/>
        <v/>
      </c>
      <c r="AH156" s="145" t="str">
        <f t="shared" si="23"/>
        <v/>
      </c>
    </row>
    <row r="157" spans="2:34" ht="15.75" thickBot="1" x14ac:dyDescent="0.3">
      <c r="B157" s="66" t="str">
        <f>IF(AND('ENTRY DATA'!C157=""),"",('ENTRY DATA'!C157))</f>
        <v/>
      </c>
      <c r="C157" s="67" t="str">
        <f>IF(AND('ENTRY DATA'!D157=""),"",('ENTRY DATA'!D157))</f>
        <v/>
      </c>
      <c r="E157" s="66" t="str">
        <f>IF(AND('ENTRY DATA'!F157=""),"",('ENTRY DATA'!F157))</f>
        <v/>
      </c>
      <c r="F157" s="67" t="str">
        <f>IF(AND('ENTRY DATA'!G157=""),"",('ENTRY DATA'!G157))</f>
        <v/>
      </c>
      <c r="G157" s="61" t="s">
        <v>40</v>
      </c>
      <c r="I157" s="81" t="str">
        <f>IF(AND('DAY 1'!M157=""),"",('DAY 1'!M157))</f>
        <v/>
      </c>
      <c r="J157" s="79" t="str">
        <f>IF(AND('DAY 2'!M157=""),"",('DAY 2'!M157))</f>
        <v/>
      </c>
      <c r="K157" s="79" t="str">
        <f>IF(AND('DAY 3'!M157=""),"",('DAY 3'!M157))</f>
        <v/>
      </c>
      <c r="L157" s="79" t="str">
        <f>IF(AND('DAY 4'!M157=""),"",('DAY 4'!M157))</f>
        <v/>
      </c>
      <c r="M157" s="80" t="str">
        <f>IF(AND('DAY 5'!M157=""),"",('DAY 5'!M157))</f>
        <v/>
      </c>
      <c r="O157" s="78">
        <f>SUM('DAY 1'!L157,'DAY 2'!L157,'DAY 3'!L157,'DAY 4'!L157,'DAY 5'!L157)</f>
        <v>0</v>
      </c>
      <c r="P157" s="82" t="str">
        <f t="shared" si="16"/>
        <v/>
      </c>
      <c r="Q157" s="83" t="str">
        <f t="shared" si="17"/>
        <v/>
      </c>
      <c r="R157" s="148" t="str">
        <f t="shared" si="18"/>
        <v/>
      </c>
      <c r="S157" s="149" t="str">
        <f t="shared" si="19"/>
        <v/>
      </c>
      <c r="U157" s="66" t="str">
        <f>'DAY 1'!Y157</f>
        <v/>
      </c>
      <c r="V157" s="89" t="str">
        <f>'DAY 2'!Y157</f>
        <v/>
      </c>
      <c r="W157" s="89" t="str">
        <f>'DAY 3'!Y157</f>
        <v/>
      </c>
      <c r="X157" s="89" t="str">
        <f>'DAY 4'!Y157</f>
        <v/>
      </c>
      <c r="Y157" s="67" t="str">
        <f>'DAY 5'!Y157</f>
        <v/>
      </c>
      <c r="Z157" s="142" t="str">
        <f t="shared" si="20"/>
        <v/>
      </c>
      <c r="AA157" s="22" t="str">
        <f t="shared" si="21"/>
        <v/>
      </c>
      <c r="AB157" t="str">
        <f>'DAY 1'!Z157</f>
        <v/>
      </c>
      <c r="AC157" t="str">
        <f>'DAY 2'!Z157</f>
        <v/>
      </c>
      <c r="AD157" t="str">
        <f>'DAY 3'!Z157</f>
        <v/>
      </c>
      <c r="AE157" t="str">
        <f>'DAY 4'!Z157</f>
        <v/>
      </c>
      <c r="AF157" t="str">
        <f>'DAY 5'!Z157</f>
        <v/>
      </c>
      <c r="AG157" s="144" t="str">
        <f t="shared" si="22"/>
        <v/>
      </c>
      <c r="AH157" s="145" t="str">
        <f t="shared" si="23"/>
        <v/>
      </c>
    </row>
    <row r="158" spans="2:34" ht="15.75" thickBot="1" x14ac:dyDescent="0.3">
      <c r="B158" s="66" t="str">
        <f>IF(AND('ENTRY DATA'!C158=""),"",('ENTRY DATA'!C158))</f>
        <v/>
      </c>
      <c r="C158" s="67" t="str">
        <f>IF(AND('ENTRY DATA'!D158=""),"",('ENTRY DATA'!D158))</f>
        <v/>
      </c>
      <c r="E158" s="66" t="str">
        <f>IF(AND('ENTRY DATA'!F158=""),"",('ENTRY DATA'!F158))</f>
        <v/>
      </c>
      <c r="F158" s="67" t="str">
        <f>IF(AND('ENTRY DATA'!G158=""),"",('ENTRY DATA'!G158))</f>
        <v/>
      </c>
      <c r="G158" s="61" t="s">
        <v>40</v>
      </c>
      <c r="I158" s="81" t="str">
        <f>IF(AND('DAY 1'!M158=""),"",('DAY 1'!M158))</f>
        <v/>
      </c>
      <c r="J158" s="79" t="str">
        <f>IF(AND('DAY 2'!M158=""),"",('DAY 2'!M158))</f>
        <v/>
      </c>
      <c r="K158" s="79" t="str">
        <f>IF(AND('DAY 3'!M158=""),"",('DAY 3'!M158))</f>
        <v/>
      </c>
      <c r="L158" s="79" t="str">
        <f>IF(AND('DAY 4'!M158=""),"",('DAY 4'!M158))</f>
        <v/>
      </c>
      <c r="M158" s="80" t="str">
        <f>IF(AND('DAY 5'!M158=""),"",('DAY 5'!M158))</f>
        <v/>
      </c>
      <c r="O158" s="78">
        <f>SUM('DAY 1'!L158,'DAY 2'!L158,'DAY 3'!L158,'DAY 4'!L158,'DAY 5'!L158)</f>
        <v>0</v>
      </c>
      <c r="P158" s="82" t="str">
        <f t="shared" si="16"/>
        <v/>
      </c>
      <c r="Q158" s="83" t="str">
        <f t="shared" si="17"/>
        <v/>
      </c>
      <c r="R158" s="148" t="str">
        <f t="shared" si="18"/>
        <v/>
      </c>
      <c r="S158" s="149" t="str">
        <f t="shared" si="19"/>
        <v/>
      </c>
      <c r="U158" s="66" t="str">
        <f>'DAY 1'!Y158</f>
        <v/>
      </c>
      <c r="V158" s="89" t="str">
        <f>'DAY 2'!Y158</f>
        <v/>
      </c>
      <c r="W158" s="89" t="str">
        <f>'DAY 3'!Y158</f>
        <v/>
      </c>
      <c r="X158" s="89" t="str">
        <f>'DAY 4'!Y158</f>
        <v/>
      </c>
      <c r="Y158" s="67" t="str">
        <f>'DAY 5'!Y158</f>
        <v/>
      </c>
      <c r="Z158" s="142" t="str">
        <f t="shared" si="20"/>
        <v/>
      </c>
      <c r="AA158" s="22" t="str">
        <f t="shared" si="21"/>
        <v/>
      </c>
      <c r="AB158" t="str">
        <f>'DAY 1'!Z158</f>
        <v/>
      </c>
      <c r="AC158" t="str">
        <f>'DAY 2'!Z158</f>
        <v/>
      </c>
      <c r="AD158" t="str">
        <f>'DAY 3'!Z158</f>
        <v/>
      </c>
      <c r="AE158" t="str">
        <f>'DAY 4'!Z158</f>
        <v/>
      </c>
      <c r="AF158" t="str">
        <f>'DAY 5'!Z158</f>
        <v/>
      </c>
      <c r="AG158" s="144" t="str">
        <f t="shared" si="22"/>
        <v/>
      </c>
      <c r="AH158" s="145" t="str">
        <f t="shared" si="23"/>
        <v/>
      </c>
    </row>
    <row r="159" spans="2:34" ht="15.75" thickBot="1" x14ac:dyDescent="0.3">
      <c r="B159" s="66" t="str">
        <f>IF(AND('ENTRY DATA'!C159=""),"",('ENTRY DATA'!C159))</f>
        <v/>
      </c>
      <c r="C159" s="67" t="str">
        <f>IF(AND('ENTRY DATA'!D159=""),"",('ENTRY DATA'!D159))</f>
        <v/>
      </c>
      <c r="E159" s="66" t="str">
        <f>IF(AND('ENTRY DATA'!F159=""),"",('ENTRY DATA'!F159))</f>
        <v/>
      </c>
      <c r="F159" s="67" t="str">
        <f>IF(AND('ENTRY DATA'!G159=""),"",('ENTRY DATA'!G159))</f>
        <v/>
      </c>
      <c r="G159" s="61" t="s">
        <v>40</v>
      </c>
      <c r="I159" s="81" t="str">
        <f>IF(AND('DAY 1'!M159=""),"",('DAY 1'!M159))</f>
        <v/>
      </c>
      <c r="J159" s="79" t="str">
        <f>IF(AND('DAY 2'!M159=""),"",('DAY 2'!M159))</f>
        <v/>
      </c>
      <c r="K159" s="79" t="str">
        <f>IF(AND('DAY 3'!M159=""),"",('DAY 3'!M159))</f>
        <v/>
      </c>
      <c r="L159" s="79" t="str">
        <f>IF(AND('DAY 4'!M159=""),"",('DAY 4'!M159))</f>
        <v/>
      </c>
      <c r="M159" s="80" t="str">
        <f>IF(AND('DAY 5'!M159=""),"",('DAY 5'!M159))</f>
        <v/>
      </c>
      <c r="O159" s="78">
        <f>SUM('DAY 1'!L159,'DAY 2'!L159,'DAY 3'!L159,'DAY 4'!L159,'DAY 5'!L159)</f>
        <v>0</v>
      </c>
      <c r="P159" s="82" t="str">
        <f t="shared" si="16"/>
        <v/>
      </c>
      <c r="Q159" s="83" t="str">
        <f t="shared" si="17"/>
        <v/>
      </c>
      <c r="R159" s="148" t="str">
        <f t="shared" si="18"/>
        <v/>
      </c>
      <c r="S159" s="149" t="str">
        <f t="shared" si="19"/>
        <v/>
      </c>
      <c r="U159" s="66" t="str">
        <f>'DAY 1'!Y159</f>
        <v/>
      </c>
      <c r="V159" s="89" t="str">
        <f>'DAY 2'!Y159</f>
        <v/>
      </c>
      <c r="W159" s="89" t="str">
        <f>'DAY 3'!Y159</f>
        <v/>
      </c>
      <c r="X159" s="89" t="str">
        <f>'DAY 4'!Y159</f>
        <v/>
      </c>
      <c r="Y159" s="67" t="str">
        <f>'DAY 5'!Y159</f>
        <v/>
      </c>
      <c r="Z159" s="142" t="str">
        <f t="shared" si="20"/>
        <v/>
      </c>
      <c r="AA159" s="22" t="str">
        <f t="shared" si="21"/>
        <v/>
      </c>
      <c r="AB159" t="str">
        <f>'DAY 1'!Z159</f>
        <v/>
      </c>
      <c r="AC159" t="str">
        <f>'DAY 2'!Z159</f>
        <v/>
      </c>
      <c r="AD159" t="str">
        <f>'DAY 3'!Z159</f>
        <v/>
      </c>
      <c r="AE159" t="str">
        <f>'DAY 4'!Z159</f>
        <v/>
      </c>
      <c r="AF159" t="str">
        <f>'DAY 5'!Z159</f>
        <v/>
      </c>
      <c r="AG159" s="144" t="str">
        <f t="shared" si="22"/>
        <v/>
      </c>
      <c r="AH159" s="145" t="str">
        <f t="shared" si="23"/>
        <v/>
      </c>
    </row>
    <row r="160" spans="2:34" ht="15.75" thickBot="1" x14ac:dyDescent="0.3">
      <c r="B160" s="66" t="str">
        <f>IF(AND('ENTRY DATA'!C160=""),"",('ENTRY DATA'!C160))</f>
        <v/>
      </c>
      <c r="C160" s="67" t="str">
        <f>IF(AND('ENTRY DATA'!D160=""),"",('ENTRY DATA'!D160))</f>
        <v/>
      </c>
      <c r="E160" s="66" t="str">
        <f>IF(AND('ENTRY DATA'!F160=""),"",('ENTRY DATA'!F160))</f>
        <v/>
      </c>
      <c r="F160" s="67" t="str">
        <f>IF(AND('ENTRY DATA'!G160=""),"",('ENTRY DATA'!G160))</f>
        <v/>
      </c>
      <c r="G160" s="61" t="s">
        <v>40</v>
      </c>
      <c r="I160" s="81" t="str">
        <f>IF(AND('DAY 1'!M160=""),"",('DAY 1'!M160))</f>
        <v/>
      </c>
      <c r="J160" s="79" t="str">
        <f>IF(AND('DAY 2'!M160=""),"",('DAY 2'!M160))</f>
        <v/>
      </c>
      <c r="K160" s="79" t="str">
        <f>IF(AND('DAY 3'!M160=""),"",('DAY 3'!M160))</f>
        <v/>
      </c>
      <c r="L160" s="79" t="str">
        <f>IF(AND('DAY 4'!M160=""),"",('DAY 4'!M160))</f>
        <v/>
      </c>
      <c r="M160" s="80" t="str">
        <f>IF(AND('DAY 5'!M160=""),"",('DAY 5'!M160))</f>
        <v/>
      </c>
      <c r="O160" s="78">
        <f>SUM('DAY 1'!L160,'DAY 2'!L160,'DAY 3'!L160,'DAY 4'!L160,'DAY 5'!L160)</f>
        <v>0</v>
      </c>
      <c r="P160" s="82" t="str">
        <f t="shared" si="16"/>
        <v/>
      </c>
      <c r="Q160" s="83" t="str">
        <f t="shared" si="17"/>
        <v/>
      </c>
      <c r="R160" s="148" t="str">
        <f t="shared" si="18"/>
        <v/>
      </c>
      <c r="S160" s="149" t="str">
        <f t="shared" si="19"/>
        <v/>
      </c>
      <c r="U160" s="66" t="str">
        <f>'DAY 1'!Y160</f>
        <v/>
      </c>
      <c r="V160" s="89" t="str">
        <f>'DAY 2'!Y160</f>
        <v/>
      </c>
      <c r="W160" s="89" t="str">
        <f>'DAY 3'!Y160</f>
        <v/>
      </c>
      <c r="X160" s="89" t="str">
        <f>'DAY 4'!Y160</f>
        <v/>
      </c>
      <c r="Y160" s="67" t="str">
        <f>'DAY 5'!Y160</f>
        <v/>
      </c>
      <c r="Z160" s="142" t="str">
        <f t="shared" si="20"/>
        <v/>
      </c>
      <c r="AA160" s="22" t="str">
        <f t="shared" si="21"/>
        <v/>
      </c>
      <c r="AB160" t="str">
        <f>'DAY 1'!Z160</f>
        <v/>
      </c>
      <c r="AC160" t="str">
        <f>'DAY 2'!Z160</f>
        <v/>
      </c>
      <c r="AD160" t="str">
        <f>'DAY 3'!Z160</f>
        <v/>
      </c>
      <c r="AE160" t="str">
        <f>'DAY 4'!Z160</f>
        <v/>
      </c>
      <c r="AF160" t="str">
        <f>'DAY 5'!Z160</f>
        <v/>
      </c>
      <c r="AG160" s="144" t="str">
        <f t="shared" si="22"/>
        <v/>
      </c>
      <c r="AH160" s="145" t="str">
        <f t="shared" si="23"/>
        <v/>
      </c>
    </row>
    <row r="161" spans="2:34" ht="15.75" thickBot="1" x14ac:dyDescent="0.3">
      <c r="B161" s="66" t="str">
        <f>IF(AND('ENTRY DATA'!C161=""),"",('ENTRY DATA'!C161))</f>
        <v/>
      </c>
      <c r="C161" s="67" t="str">
        <f>IF(AND('ENTRY DATA'!D161=""),"",('ENTRY DATA'!D161))</f>
        <v/>
      </c>
      <c r="E161" s="66" t="str">
        <f>IF(AND('ENTRY DATA'!F161=""),"",('ENTRY DATA'!F161))</f>
        <v/>
      </c>
      <c r="F161" s="67" t="str">
        <f>IF(AND('ENTRY DATA'!G161=""),"",('ENTRY DATA'!G161))</f>
        <v/>
      </c>
      <c r="G161" s="61" t="s">
        <v>40</v>
      </c>
      <c r="I161" s="81" t="str">
        <f>IF(AND('DAY 1'!M161=""),"",('DAY 1'!M161))</f>
        <v/>
      </c>
      <c r="J161" s="79" t="str">
        <f>IF(AND('DAY 2'!M161=""),"",('DAY 2'!M161))</f>
        <v/>
      </c>
      <c r="K161" s="79" t="str">
        <f>IF(AND('DAY 3'!M161=""),"",('DAY 3'!M161))</f>
        <v/>
      </c>
      <c r="L161" s="79" t="str">
        <f>IF(AND('DAY 4'!M161=""),"",('DAY 4'!M161))</f>
        <v/>
      </c>
      <c r="M161" s="80" t="str">
        <f>IF(AND('DAY 5'!M161=""),"",('DAY 5'!M161))</f>
        <v/>
      </c>
      <c r="O161" s="78">
        <f>SUM('DAY 1'!L161,'DAY 2'!L161,'DAY 3'!L161,'DAY 4'!L161,'DAY 5'!L161)</f>
        <v>0</v>
      </c>
      <c r="P161" s="82" t="str">
        <f t="shared" si="16"/>
        <v/>
      </c>
      <c r="Q161" s="83" t="str">
        <f t="shared" si="17"/>
        <v/>
      </c>
      <c r="R161" s="148" t="str">
        <f t="shared" si="18"/>
        <v/>
      </c>
      <c r="S161" s="149" t="str">
        <f t="shared" si="19"/>
        <v/>
      </c>
      <c r="U161" s="66" t="str">
        <f>'DAY 1'!Y161</f>
        <v/>
      </c>
      <c r="V161" s="89" t="str">
        <f>'DAY 2'!Y161</f>
        <v/>
      </c>
      <c r="W161" s="89" t="str">
        <f>'DAY 3'!Y161</f>
        <v/>
      </c>
      <c r="X161" s="89" t="str">
        <f>'DAY 4'!Y161</f>
        <v/>
      </c>
      <c r="Y161" s="67" t="str">
        <f>'DAY 5'!Y161</f>
        <v/>
      </c>
      <c r="Z161" s="142" t="str">
        <f t="shared" si="20"/>
        <v/>
      </c>
      <c r="AA161" s="22" t="str">
        <f t="shared" si="21"/>
        <v/>
      </c>
      <c r="AB161" t="str">
        <f>'DAY 1'!Z161</f>
        <v/>
      </c>
      <c r="AC161" t="str">
        <f>'DAY 2'!Z161</f>
        <v/>
      </c>
      <c r="AD161" t="str">
        <f>'DAY 3'!Z161</f>
        <v/>
      </c>
      <c r="AE161" t="str">
        <f>'DAY 4'!Z161</f>
        <v/>
      </c>
      <c r="AF161" t="str">
        <f>'DAY 5'!Z161</f>
        <v/>
      </c>
      <c r="AG161" s="144" t="str">
        <f t="shared" si="22"/>
        <v/>
      </c>
      <c r="AH161" s="145" t="str">
        <f t="shared" si="23"/>
        <v/>
      </c>
    </row>
    <row r="162" spans="2:34" ht="15.75" thickBot="1" x14ac:dyDescent="0.3">
      <c r="B162" s="66" t="str">
        <f>IF(AND('ENTRY DATA'!C162=""),"",('ENTRY DATA'!C162))</f>
        <v/>
      </c>
      <c r="C162" s="67" t="str">
        <f>IF(AND('ENTRY DATA'!D162=""),"",('ENTRY DATA'!D162))</f>
        <v/>
      </c>
      <c r="E162" s="66" t="str">
        <f>IF(AND('ENTRY DATA'!F162=""),"",('ENTRY DATA'!F162))</f>
        <v/>
      </c>
      <c r="F162" s="67" t="str">
        <f>IF(AND('ENTRY DATA'!G162=""),"",('ENTRY DATA'!G162))</f>
        <v/>
      </c>
      <c r="G162" s="61" t="s">
        <v>40</v>
      </c>
      <c r="I162" s="81" t="str">
        <f>IF(AND('DAY 1'!M162=""),"",('DAY 1'!M162))</f>
        <v/>
      </c>
      <c r="J162" s="79" t="str">
        <f>IF(AND('DAY 2'!M162=""),"",('DAY 2'!M162))</f>
        <v/>
      </c>
      <c r="K162" s="79" t="str">
        <f>IF(AND('DAY 3'!M162=""),"",('DAY 3'!M162))</f>
        <v/>
      </c>
      <c r="L162" s="79" t="str">
        <f>IF(AND('DAY 4'!M162=""),"",('DAY 4'!M162))</f>
        <v/>
      </c>
      <c r="M162" s="80" t="str">
        <f>IF(AND('DAY 5'!M162=""),"",('DAY 5'!M162))</f>
        <v/>
      </c>
      <c r="O162" s="78">
        <f>SUM('DAY 1'!L162,'DAY 2'!L162,'DAY 3'!L162,'DAY 4'!L162,'DAY 5'!L162)</f>
        <v>0</v>
      </c>
      <c r="P162" s="82" t="str">
        <f t="shared" si="16"/>
        <v/>
      </c>
      <c r="Q162" s="83" t="str">
        <f t="shared" si="17"/>
        <v/>
      </c>
      <c r="R162" s="148" t="str">
        <f t="shared" si="18"/>
        <v/>
      </c>
      <c r="S162" s="149" t="str">
        <f t="shared" si="19"/>
        <v/>
      </c>
      <c r="U162" s="66" t="str">
        <f>'DAY 1'!Y162</f>
        <v/>
      </c>
      <c r="V162" s="89" t="str">
        <f>'DAY 2'!Y162</f>
        <v/>
      </c>
      <c r="W162" s="89" t="str">
        <f>'DAY 3'!Y162</f>
        <v/>
      </c>
      <c r="X162" s="89" t="str">
        <f>'DAY 4'!Y162</f>
        <v/>
      </c>
      <c r="Y162" s="67" t="str">
        <f>'DAY 5'!Y162</f>
        <v/>
      </c>
      <c r="Z162" s="142" t="str">
        <f t="shared" si="20"/>
        <v/>
      </c>
      <c r="AA162" s="22" t="str">
        <f t="shared" si="21"/>
        <v/>
      </c>
      <c r="AB162" t="str">
        <f>'DAY 1'!Z162</f>
        <v/>
      </c>
      <c r="AC162" t="str">
        <f>'DAY 2'!Z162</f>
        <v/>
      </c>
      <c r="AD162" t="str">
        <f>'DAY 3'!Z162</f>
        <v/>
      </c>
      <c r="AE162" t="str">
        <f>'DAY 4'!Z162</f>
        <v/>
      </c>
      <c r="AF162" t="str">
        <f>'DAY 5'!Z162</f>
        <v/>
      </c>
      <c r="AG162" s="144" t="str">
        <f t="shared" si="22"/>
        <v/>
      </c>
      <c r="AH162" s="145" t="str">
        <f t="shared" si="23"/>
        <v/>
      </c>
    </row>
    <row r="163" spans="2:34" ht="15.75" thickBot="1" x14ac:dyDescent="0.3">
      <c r="B163" s="66" t="str">
        <f>IF(AND('ENTRY DATA'!C163=""),"",('ENTRY DATA'!C163))</f>
        <v/>
      </c>
      <c r="C163" s="67" t="str">
        <f>IF(AND('ENTRY DATA'!D163=""),"",('ENTRY DATA'!D163))</f>
        <v/>
      </c>
      <c r="E163" s="66" t="str">
        <f>IF(AND('ENTRY DATA'!F163=""),"",('ENTRY DATA'!F163))</f>
        <v/>
      </c>
      <c r="F163" s="67" t="str">
        <f>IF(AND('ENTRY DATA'!G163=""),"",('ENTRY DATA'!G163))</f>
        <v/>
      </c>
      <c r="G163" s="61" t="s">
        <v>40</v>
      </c>
      <c r="I163" s="81" t="str">
        <f>IF(AND('DAY 1'!M163=""),"",('DAY 1'!M163))</f>
        <v/>
      </c>
      <c r="J163" s="79" t="str">
        <f>IF(AND('DAY 2'!M163=""),"",('DAY 2'!M163))</f>
        <v/>
      </c>
      <c r="K163" s="79" t="str">
        <f>IF(AND('DAY 3'!M163=""),"",('DAY 3'!M163))</f>
        <v/>
      </c>
      <c r="L163" s="79" t="str">
        <f>IF(AND('DAY 4'!M163=""),"",('DAY 4'!M163))</f>
        <v/>
      </c>
      <c r="M163" s="80" t="str">
        <f>IF(AND('DAY 5'!M163=""),"",('DAY 5'!M163))</f>
        <v/>
      </c>
      <c r="O163" s="78">
        <f>SUM('DAY 1'!L163,'DAY 2'!L163,'DAY 3'!L163,'DAY 4'!L163,'DAY 5'!L163)</f>
        <v>0</v>
      </c>
      <c r="P163" s="82" t="str">
        <f t="shared" si="16"/>
        <v/>
      </c>
      <c r="Q163" s="83" t="str">
        <f t="shared" si="17"/>
        <v/>
      </c>
      <c r="R163" s="148" t="str">
        <f t="shared" si="18"/>
        <v/>
      </c>
      <c r="S163" s="149" t="str">
        <f t="shared" si="19"/>
        <v/>
      </c>
      <c r="U163" s="66" t="str">
        <f>'DAY 1'!Y163</f>
        <v/>
      </c>
      <c r="V163" s="89" t="str">
        <f>'DAY 2'!Y163</f>
        <v/>
      </c>
      <c r="W163" s="89" t="str">
        <f>'DAY 3'!Y163</f>
        <v/>
      </c>
      <c r="X163" s="89" t="str">
        <f>'DAY 4'!Y163</f>
        <v/>
      </c>
      <c r="Y163" s="67" t="str">
        <f>'DAY 5'!Y163</f>
        <v/>
      </c>
      <c r="Z163" s="142" t="str">
        <f t="shared" si="20"/>
        <v/>
      </c>
      <c r="AA163" s="22" t="str">
        <f t="shared" si="21"/>
        <v/>
      </c>
      <c r="AB163" t="str">
        <f>'DAY 1'!Z163</f>
        <v/>
      </c>
      <c r="AC163" t="str">
        <f>'DAY 2'!Z163</f>
        <v/>
      </c>
      <c r="AD163" t="str">
        <f>'DAY 3'!Z163</f>
        <v/>
      </c>
      <c r="AE163" t="str">
        <f>'DAY 4'!Z163</f>
        <v/>
      </c>
      <c r="AF163" t="str">
        <f>'DAY 5'!Z163</f>
        <v/>
      </c>
      <c r="AG163" s="144" t="str">
        <f t="shared" si="22"/>
        <v/>
      </c>
      <c r="AH163" s="145" t="str">
        <f t="shared" si="23"/>
        <v/>
      </c>
    </row>
    <row r="164" spans="2:34" ht="15.75" thickBot="1" x14ac:dyDescent="0.3">
      <c r="B164" s="66" t="str">
        <f>IF(AND('ENTRY DATA'!C164=""),"",('ENTRY DATA'!C164))</f>
        <v/>
      </c>
      <c r="C164" s="67" t="str">
        <f>IF(AND('ENTRY DATA'!D164=""),"",('ENTRY DATA'!D164))</f>
        <v/>
      </c>
      <c r="E164" s="66" t="str">
        <f>IF(AND('ENTRY DATA'!F164=""),"",('ENTRY DATA'!F164))</f>
        <v/>
      </c>
      <c r="F164" s="67" t="str">
        <f>IF(AND('ENTRY DATA'!G164=""),"",('ENTRY DATA'!G164))</f>
        <v/>
      </c>
      <c r="G164" s="61" t="s">
        <v>40</v>
      </c>
      <c r="I164" s="81" t="str">
        <f>IF(AND('DAY 1'!M164=""),"",('DAY 1'!M164))</f>
        <v/>
      </c>
      <c r="J164" s="79" t="str">
        <f>IF(AND('DAY 2'!M164=""),"",('DAY 2'!M164))</f>
        <v/>
      </c>
      <c r="K164" s="79" t="str">
        <f>IF(AND('DAY 3'!M164=""),"",('DAY 3'!M164))</f>
        <v/>
      </c>
      <c r="L164" s="79" t="str">
        <f>IF(AND('DAY 4'!M164=""),"",('DAY 4'!M164))</f>
        <v/>
      </c>
      <c r="M164" s="80" t="str">
        <f>IF(AND('DAY 5'!M164=""),"",('DAY 5'!M164))</f>
        <v/>
      </c>
      <c r="O164" s="78">
        <f>SUM('DAY 1'!L164,'DAY 2'!L164,'DAY 3'!L164,'DAY 4'!L164,'DAY 5'!L164)</f>
        <v>0</v>
      </c>
      <c r="P164" s="82" t="str">
        <f t="shared" si="16"/>
        <v/>
      </c>
      <c r="Q164" s="83" t="str">
        <f t="shared" si="17"/>
        <v/>
      </c>
      <c r="R164" s="148" t="str">
        <f t="shared" si="18"/>
        <v/>
      </c>
      <c r="S164" s="149" t="str">
        <f t="shared" si="19"/>
        <v/>
      </c>
      <c r="U164" s="66" t="str">
        <f>'DAY 1'!Y164</f>
        <v/>
      </c>
      <c r="V164" s="89" t="str">
        <f>'DAY 2'!Y164</f>
        <v/>
      </c>
      <c r="W164" s="89" t="str">
        <f>'DAY 3'!Y164</f>
        <v/>
      </c>
      <c r="X164" s="89" t="str">
        <f>'DAY 4'!Y164</f>
        <v/>
      </c>
      <c r="Y164" s="67" t="str">
        <f>'DAY 5'!Y164</f>
        <v/>
      </c>
      <c r="Z164" s="142" t="str">
        <f t="shared" si="20"/>
        <v/>
      </c>
      <c r="AA164" s="22" t="str">
        <f t="shared" si="21"/>
        <v/>
      </c>
      <c r="AB164" t="str">
        <f>'DAY 1'!Z164</f>
        <v/>
      </c>
      <c r="AC164" t="str">
        <f>'DAY 2'!Z164</f>
        <v/>
      </c>
      <c r="AD164" t="str">
        <f>'DAY 3'!Z164</f>
        <v/>
      </c>
      <c r="AE164" t="str">
        <f>'DAY 4'!Z164</f>
        <v/>
      </c>
      <c r="AF164" t="str">
        <f>'DAY 5'!Z164</f>
        <v/>
      </c>
      <c r="AG164" s="144" t="str">
        <f t="shared" si="22"/>
        <v/>
      </c>
      <c r="AH164" s="145" t="str">
        <f t="shared" si="23"/>
        <v/>
      </c>
    </row>
    <row r="165" spans="2:34" ht="15.75" thickBot="1" x14ac:dyDescent="0.3">
      <c r="B165" s="66" t="str">
        <f>IF(AND('ENTRY DATA'!C165=""),"",('ENTRY DATA'!C165))</f>
        <v/>
      </c>
      <c r="C165" s="67" t="str">
        <f>IF(AND('ENTRY DATA'!D165=""),"",('ENTRY DATA'!D165))</f>
        <v/>
      </c>
      <c r="E165" s="66" t="str">
        <f>IF(AND('ENTRY DATA'!F165=""),"",('ENTRY DATA'!F165))</f>
        <v/>
      </c>
      <c r="F165" s="67" t="str">
        <f>IF(AND('ENTRY DATA'!G165=""),"",('ENTRY DATA'!G165))</f>
        <v/>
      </c>
      <c r="G165" s="61" t="s">
        <v>40</v>
      </c>
      <c r="I165" s="81" t="str">
        <f>IF(AND('DAY 1'!M165=""),"",('DAY 1'!M165))</f>
        <v/>
      </c>
      <c r="J165" s="79" t="str">
        <f>IF(AND('DAY 2'!M165=""),"",('DAY 2'!M165))</f>
        <v/>
      </c>
      <c r="K165" s="79" t="str">
        <f>IF(AND('DAY 3'!M165=""),"",('DAY 3'!M165))</f>
        <v/>
      </c>
      <c r="L165" s="79" t="str">
        <f>IF(AND('DAY 4'!M165=""),"",('DAY 4'!M165))</f>
        <v/>
      </c>
      <c r="M165" s="80" t="str">
        <f>IF(AND('DAY 5'!M165=""),"",('DAY 5'!M165))</f>
        <v/>
      </c>
      <c r="O165" s="78">
        <f>SUM('DAY 1'!L165,'DAY 2'!L165,'DAY 3'!L165,'DAY 4'!L165,'DAY 5'!L165)</f>
        <v>0</v>
      </c>
      <c r="P165" s="82" t="str">
        <f t="shared" si="16"/>
        <v/>
      </c>
      <c r="Q165" s="83" t="str">
        <f t="shared" si="17"/>
        <v/>
      </c>
      <c r="R165" s="148" t="str">
        <f t="shared" si="18"/>
        <v/>
      </c>
      <c r="S165" s="149" t="str">
        <f t="shared" si="19"/>
        <v/>
      </c>
      <c r="U165" s="66" t="str">
        <f>'DAY 1'!Y165</f>
        <v/>
      </c>
      <c r="V165" s="89" t="str">
        <f>'DAY 2'!Y165</f>
        <v/>
      </c>
      <c r="W165" s="89" t="str">
        <f>'DAY 3'!Y165</f>
        <v/>
      </c>
      <c r="X165" s="89" t="str">
        <f>'DAY 4'!Y165</f>
        <v/>
      </c>
      <c r="Y165" s="67" t="str">
        <f>'DAY 5'!Y165</f>
        <v/>
      </c>
      <c r="Z165" s="142" t="str">
        <f t="shared" si="20"/>
        <v/>
      </c>
      <c r="AA165" s="22" t="str">
        <f t="shared" si="21"/>
        <v/>
      </c>
      <c r="AB165" t="str">
        <f>'DAY 1'!Z165</f>
        <v/>
      </c>
      <c r="AC165" t="str">
        <f>'DAY 2'!Z165</f>
        <v/>
      </c>
      <c r="AD165" t="str">
        <f>'DAY 3'!Z165</f>
        <v/>
      </c>
      <c r="AE165" t="str">
        <f>'DAY 4'!Z165</f>
        <v/>
      </c>
      <c r="AF165" t="str">
        <f>'DAY 5'!Z165</f>
        <v/>
      </c>
      <c r="AG165" s="144" t="str">
        <f t="shared" si="22"/>
        <v/>
      </c>
      <c r="AH165" s="145" t="str">
        <f t="shared" si="23"/>
        <v/>
      </c>
    </row>
    <row r="166" spans="2:34" ht="15.75" thickBot="1" x14ac:dyDescent="0.3">
      <c r="B166" s="66" t="str">
        <f>IF(AND('ENTRY DATA'!C166=""),"",('ENTRY DATA'!C166))</f>
        <v/>
      </c>
      <c r="C166" s="67" t="str">
        <f>IF(AND('ENTRY DATA'!D166=""),"",('ENTRY DATA'!D166))</f>
        <v/>
      </c>
      <c r="E166" s="66" t="str">
        <f>IF(AND('ENTRY DATA'!F166=""),"",('ENTRY DATA'!F166))</f>
        <v/>
      </c>
      <c r="F166" s="67" t="str">
        <f>IF(AND('ENTRY DATA'!G166=""),"",('ENTRY DATA'!G166))</f>
        <v/>
      </c>
      <c r="G166" s="61" t="s">
        <v>40</v>
      </c>
      <c r="I166" s="81" t="str">
        <f>IF(AND('DAY 1'!M166=""),"",('DAY 1'!M166))</f>
        <v/>
      </c>
      <c r="J166" s="79" t="str">
        <f>IF(AND('DAY 2'!M166=""),"",('DAY 2'!M166))</f>
        <v/>
      </c>
      <c r="K166" s="79" t="str">
        <f>IF(AND('DAY 3'!M166=""),"",('DAY 3'!M166))</f>
        <v/>
      </c>
      <c r="L166" s="79" t="str">
        <f>IF(AND('DAY 4'!M166=""),"",('DAY 4'!M166))</f>
        <v/>
      </c>
      <c r="M166" s="80" t="str">
        <f>IF(AND('DAY 5'!M166=""),"",('DAY 5'!M166))</f>
        <v/>
      </c>
      <c r="O166" s="78">
        <f>SUM('DAY 1'!L166,'DAY 2'!L166,'DAY 3'!L166,'DAY 4'!L166,'DAY 5'!L166)</f>
        <v>0</v>
      </c>
      <c r="P166" s="82" t="str">
        <f t="shared" si="16"/>
        <v/>
      </c>
      <c r="Q166" s="83" t="str">
        <f t="shared" si="17"/>
        <v/>
      </c>
      <c r="R166" s="148" t="str">
        <f t="shared" si="18"/>
        <v/>
      </c>
      <c r="S166" s="149" t="str">
        <f t="shared" si="19"/>
        <v/>
      </c>
      <c r="U166" s="66" t="str">
        <f>'DAY 1'!Y166</f>
        <v/>
      </c>
      <c r="V166" s="89" t="str">
        <f>'DAY 2'!Y166</f>
        <v/>
      </c>
      <c r="W166" s="89" t="str">
        <f>'DAY 3'!Y166</f>
        <v/>
      </c>
      <c r="X166" s="89" t="str">
        <f>'DAY 4'!Y166</f>
        <v/>
      </c>
      <c r="Y166" s="67" t="str">
        <f>'DAY 5'!Y166</f>
        <v/>
      </c>
      <c r="Z166" s="142" t="str">
        <f t="shared" si="20"/>
        <v/>
      </c>
      <c r="AA166" s="22" t="str">
        <f t="shared" si="21"/>
        <v/>
      </c>
      <c r="AB166" t="str">
        <f>'DAY 1'!Z166</f>
        <v/>
      </c>
      <c r="AC166" t="str">
        <f>'DAY 2'!Z166</f>
        <v/>
      </c>
      <c r="AD166" t="str">
        <f>'DAY 3'!Z166</f>
        <v/>
      </c>
      <c r="AE166" t="str">
        <f>'DAY 4'!Z166</f>
        <v/>
      </c>
      <c r="AF166" t="str">
        <f>'DAY 5'!Z166</f>
        <v/>
      </c>
      <c r="AG166" s="144" t="str">
        <f t="shared" si="22"/>
        <v/>
      </c>
      <c r="AH166" s="145" t="str">
        <f t="shared" si="23"/>
        <v/>
      </c>
    </row>
    <row r="167" spans="2:34" ht="15.75" thickBot="1" x14ac:dyDescent="0.3">
      <c r="B167" s="66" t="str">
        <f>IF(AND('ENTRY DATA'!C167=""),"",('ENTRY DATA'!C167))</f>
        <v/>
      </c>
      <c r="C167" s="67" t="str">
        <f>IF(AND('ENTRY DATA'!D167=""),"",('ENTRY DATA'!D167))</f>
        <v/>
      </c>
      <c r="E167" s="66" t="str">
        <f>IF(AND('ENTRY DATA'!F167=""),"",('ENTRY DATA'!F167))</f>
        <v/>
      </c>
      <c r="F167" s="67" t="str">
        <f>IF(AND('ENTRY DATA'!G167=""),"",('ENTRY DATA'!G167))</f>
        <v/>
      </c>
      <c r="G167" s="61" t="s">
        <v>40</v>
      </c>
      <c r="I167" s="81" t="str">
        <f>IF(AND('DAY 1'!M167=""),"",('DAY 1'!M167))</f>
        <v/>
      </c>
      <c r="J167" s="79" t="str">
        <f>IF(AND('DAY 2'!M167=""),"",('DAY 2'!M167))</f>
        <v/>
      </c>
      <c r="K167" s="79" t="str">
        <f>IF(AND('DAY 3'!M167=""),"",('DAY 3'!M167))</f>
        <v/>
      </c>
      <c r="L167" s="79" t="str">
        <f>IF(AND('DAY 4'!M167=""),"",('DAY 4'!M167))</f>
        <v/>
      </c>
      <c r="M167" s="80" t="str">
        <f>IF(AND('DAY 5'!M167=""),"",('DAY 5'!M167))</f>
        <v/>
      </c>
      <c r="O167" s="78">
        <f>SUM('DAY 1'!L167,'DAY 2'!L167,'DAY 3'!L167,'DAY 4'!L167,'DAY 5'!L167)</f>
        <v>0</v>
      </c>
      <c r="P167" s="82" t="str">
        <f t="shared" si="16"/>
        <v/>
      </c>
      <c r="Q167" s="83" t="str">
        <f t="shared" si="17"/>
        <v/>
      </c>
      <c r="R167" s="148" t="str">
        <f t="shared" si="18"/>
        <v/>
      </c>
      <c r="S167" s="149" t="str">
        <f t="shared" si="19"/>
        <v/>
      </c>
      <c r="U167" s="66" t="str">
        <f>'DAY 1'!Y167</f>
        <v/>
      </c>
      <c r="V167" s="89" t="str">
        <f>'DAY 2'!Y167</f>
        <v/>
      </c>
      <c r="W167" s="89" t="str">
        <f>'DAY 3'!Y167</f>
        <v/>
      </c>
      <c r="X167" s="89" t="str">
        <f>'DAY 4'!Y167</f>
        <v/>
      </c>
      <c r="Y167" s="67" t="str">
        <f>'DAY 5'!Y167</f>
        <v/>
      </c>
      <c r="Z167" s="142" t="str">
        <f t="shared" si="20"/>
        <v/>
      </c>
      <c r="AA167" s="22" t="str">
        <f t="shared" si="21"/>
        <v/>
      </c>
      <c r="AB167" t="str">
        <f>'DAY 1'!Z167</f>
        <v/>
      </c>
      <c r="AC167" t="str">
        <f>'DAY 2'!Z167</f>
        <v/>
      </c>
      <c r="AD167" t="str">
        <f>'DAY 3'!Z167</f>
        <v/>
      </c>
      <c r="AE167" t="str">
        <f>'DAY 4'!Z167</f>
        <v/>
      </c>
      <c r="AF167" t="str">
        <f>'DAY 5'!Z167</f>
        <v/>
      </c>
      <c r="AG167" s="144" t="str">
        <f t="shared" si="22"/>
        <v/>
      </c>
      <c r="AH167" s="145" t="str">
        <f t="shared" si="23"/>
        <v/>
      </c>
    </row>
    <row r="168" spans="2:34" ht="15.75" thickBot="1" x14ac:dyDescent="0.3">
      <c r="B168" s="66" t="str">
        <f>IF(AND('ENTRY DATA'!C168=""),"",('ENTRY DATA'!C168))</f>
        <v/>
      </c>
      <c r="C168" s="67" t="str">
        <f>IF(AND('ENTRY DATA'!D168=""),"",('ENTRY DATA'!D168))</f>
        <v/>
      </c>
      <c r="E168" s="66" t="str">
        <f>IF(AND('ENTRY DATA'!F168=""),"",('ENTRY DATA'!F168))</f>
        <v/>
      </c>
      <c r="F168" s="67" t="str">
        <f>IF(AND('ENTRY DATA'!G168=""),"",('ENTRY DATA'!G168))</f>
        <v/>
      </c>
      <c r="G168" s="61" t="s">
        <v>40</v>
      </c>
      <c r="I168" s="81" t="str">
        <f>IF(AND('DAY 1'!M168=""),"",('DAY 1'!M168))</f>
        <v/>
      </c>
      <c r="J168" s="79" t="str">
        <f>IF(AND('DAY 2'!M168=""),"",('DAY 2'!M168))</f>
        <v/>
      </c>
      <c r="K168" s="79" t="str">
        <f>IF(AND('DAY 3'!M168=""),"",('DAY 3'!M168))</f>
        <v/>
      </c>
      <c r="L168" s="79" t="str">
        <f>IF(AND('DAY 4'!M168=""),"",('DAY 4'!M168))</f>
        <v/>
      </c>
      <c r="M168" s="80" t="str">
        <f>IF(AND('DAY 5'!M168=""),"",('DAY 5'!M168))</f>
        <v/>
      </c>
      <c r="O168" s="78">
        <f>SUM('DAY 1'!L168,'DAY 2'!L168,'DAY 3'!L168,'DAY 4'!L168,'DAY 5'!L168)</f>
        <v>0</v>
      </c>
      <c r="P168" s="82" t="str">
        <f t="shared" si="16"/>
        <v/>
      </c>
      <c r="Q168" s="83" t="str">
        <f t="shared" si="17"/>
        <v/>
      </c>
      <c r="R168" s="148" t="str">
        <f t="shared" si="18"/>
        <v/>
      </c>
      <c r="S168" s="149" t="str">
        <f t="shared" si="19"/>
        <v/>
      </c>
      <c r="U168" s="66" t="str">
        <f>'DAY 1'!Y168</f>
        <v/>
      </c>
      <c r="V168" s="89" t="str">
        <f>'DAY 2'!Y168</f>
        <v/>
      </c>
      <c r="W168" s="89" t="str">
        <f>'DAY 3'!Y168</f>
        <v/>
      </c>
      <c r="X168" s="89" t="str">
        <f>'DAY 4'!Y168</f>
        <v/>
      </c>
      <c r="Y168" s="67" t="str">
        <f>'DAY 5'!Y168</f>
        <v/>
      </c>
      <c r="Z168" s="142" t="str">
        <f t="shared" si="20"/>
        <v/>
      </c>
      <c r="AA168" s="22" t="str">
        <f t="shared" si="21"/>
        <v/>
      </c>
      <c r="AB168" t="str">
        <f>'DAY 1'!Z168</f>
        <v/>
      </c>
      <c r="AC168" t="str">
        <f>'DAY 2'!Z168</f>
        <v/>
      </c>
      <c r="AD168" t="str">
        <f>'DAY 3'!Z168</f>
        <v/>
      </c>
      <c r="AE168" t="str">
        <f>'DAY 4'!Z168</f>
        <v/>
      </c>
      <c r="AF168" t="str">
        <f>'DAY 5'!Z168</f>
        <v/>
      </c>
      <c r="AG168" s="144" t="str">
        <f t="shared" si="22"/>
        <v/>
      </c>
      <c r="AH168" s="145" t="str">
        <f t="shared" si="23"/>
        <v/>
      </c>
    </row>
    <row r="169" spans="2:34" ht="15.75" thickBot="1" x14ac:dyDescent="0.3">
      <c r="B169" s="66" t="str">
        <f>IF(AND('ENTRY DATA'!C169=""),"",('ENTRY DATA'!C169))</f>
        <v/>
      </c>
      <c r="C169" s="67" t="str">
        <f>IF(AND('ENTRY DATA'!D169=""),"",('ENTRY DATA'!D169))</f>
        <v/>
      </c>
      <c r="E169" s="66" t="str">
        <f>IF(AND('ENTRY DATA'!F169=""),"",('ENTRY DATA'!F169))</f>
        <v/>
      </c>
      <c r="F169" s="67" t="str">
        <f>IF(AND('ENTRY DATA'!G169=""),"",('ENTRY DATA'!G169))</f>
        <v/>
      </c>
      <c r="G169" s="61" t="s">
        <v>40</v>
      </c>
      <c r="I169" s="81" t="str">
        <f>IF(AND('DAY 1'!M169=""),"",('DAY 1'!M169))</f>
        <v/>
      </c>
      <c r="J169" s="79" t="str">
        <f>IF(AND('DAY 2'!M169=""),"",('DAY 2'!M169))</f>
        <v/>
      </c>
      <c r="K169" s="79" t="str">
        <f>IF(AND('DAY 3'!M169=""),"",('DAY 3'!M169))</f>
        <v/>
      </c>
      <c r="L169" s="79" t="str">
        <f>IF(AND('DAY 4'!M169=""),"",('DAY 4'!M169))</f>
        <v/>
      </c>
      <c r="M169" s="80" t="str">
        <f>IF(AND('DAY 5'!M169=""),"",('DAY 5'!M169))</f>
        <v/>
      </c>
      <c r="O169" s="78">
        <f>SUM('DAY 1'!L169,'DAY 2'!L169,'DAY 3'!L169,'DAY 4'!L169,'DAY 5'!L169)</f>
        <v>0</v>
      </c>
      <c r="P169" s="82" t="str">
        <f t="shared" si="16"/>
        <v/>
      </c>
      <c r="Q169" s="83" t="str">
        <f t="shared" si="17"/>
        <v/>
      </c>
      <c r="R169" s="148" t="str">
        <f t="shared" si="18"/>
        <v/>
      </c>
      <c r="S169" s="149" t="str">
        <f t="shared" si="19"/>
        <v/>
      </c>
      <c r="U169" s="66" t="str">
        <f>'DAY 1'!Y169</f>
        <v/>
      </c>
      <c r="V169" s="89" t="str">
        <f>'DAY 2'!Y169</f>
        <v/>
      </c>
      <c r="W169" s="89" t="str">
        <f>'DAY 3'!Y169</f>
        <v/>
      </c>
      <c r="X169" s="89" t="str">
        <f>'DAY 4'!Y169</f>
        <v/>
      </c>
      <c r="Y169" s="67" t="str">
        <f>'DAY 5'!Y169</f>
        <v/>
      </c>
      <c r="Z169" s="142" t="str">
        <f t="shared" si="20"/>
        <v/>
      </c>
      <c r="AA169" s="22" t="str">
        <f t="shared" si="21"/>
        <v/>
      </c>
      <c r="AB169" t="str">
        <f>'DAY 1'!Z169</f>
        <v/>
      </c>
      <c r="AC169" t="str">
        <f>'DAY 2'!Z169</f>
        <v/>
      </c>
      <c r="AD169" t="str">
        <f>'DAY 3'!Z169</f>
        <v/>
      </c>
      <c r="AE169" t="str">
        <f>'DAY 4'!Z169</f>
        <v/>
      </c>
      <c r="AF169" t="str">
        <f>'DAY 5'!Z169</f>
        <v/>
      </c>
      <c r="AG169" s="144" t="str">
        <f t="shared" si="22"/>
        <v/>
      </c>
      <c r="AH169" s="145" t="str">
        <f t="shared" si="23"/>
        <v/>
      </c>
    </row>
    <row r="170" spans="2:34" ht="15.75" thickBot="1" x14ac:dyDescent="0.3">
      <c r="B170" s="66" t="str">
        <f>IF(AND('ENTRY DATA'!C170=""),"",('ENTRY DATA'!C170))</f>
        <v/>
      </c>
      <c r="C170" s="67" t="str">
        <f>IF(AND('ENTRY DATA'!D170=""),"",('ENTRY DATA'!D170))</f>
        <v/>
      </c>
      <c r="E170" s="66" t="str">
        <f>IF(AND('ENTRY DATA'!F170=""),"",('ENTRY DATA'!F170))</f>
        <v/>
      </c>
      <c r="F170" s="67" t="str">
        <f>IF(AND('ENTRY DATA'!G170=""),"",('ENTRY DATA'!G170))</f>
        <v/>
      </c>
      <c r="G170" s="61" t="s">
        <v>40</v>
      </c>
      <c r="I170" s="81" t="str">
        <f>IF(AND('DAY 1'!M170=""),"",('DAY 1'!M170))</f>
        <v/>
      </c>
      <c r="J170" s="79" t="str">
        <f>IF(AND('DAY 2'!M170=""),"",('DAY 2'!M170))</f>
        <v/>
      </c>
      <c r="K170" s="79" t="str">
        <f>IF(AND('DAY 3'!M170=""),"",('DAY 3'!M170))</f>
        <v/>
      </c>
      <c r="L170" s="79" t="str">
        <f>IF(AND('DAY 4'!M170=""),"",('DAY 4'!M170))</f>
        <v/>
      </c>
      <c r="M170" s="80" t="str">
        <f>IF(AND('DAY 5'!M170=""),"",('DAY 5'!M170))</f>
        <v/>
      </c>
      <c r="O170" s="78">
        <f>SUM('DAY 1'!L170,'DAY 2'!L170,'DAY 3'!L170,'DAY 4'!L170,'DAY 5'!L170)</f>
        <v>0</v>
      </c>
      <c r="P170" s="82" t="str">
        <f t="shared" si="16"/>
        <v/>
      </c>
      <c r="Q170" s="83" t="str">
        <f t="shared" si="17"/>
        <v/>
      </c>
      <c r="R170" s="148" t="str">
        <f t="shared" si="18"/>
        <v/>
      </c>
      <c r="S170" s="149" t="str">
        <f t="shared" si="19"/>
        <v/>
      </c>
      <c r="U170" s="66" t="str">
        <f>'DAY 1'!Y170</f>
        <v/>
      </c>
      <c r="V170" s="89" t="str">
        <f>'DAY 2'!Y170</f>
        <v/>
      </c>
      <c r="W170" s="89" t="str">
        <f>'DAY 3'!Y170</f>
        <v/>
      </c>
      <c r="X170" s="89" t="str">
        <f>'DAY 4'!Y170</f>
        <v/>
      </c>
      <c r="Y170" s="67" t="str">
        <f>'DAY 5'!Y170</f>
        <v/>
      </c>
      <c r="Z170" s="142" t="str">
        <f t="shared" si="20"/>
        <v/>
      </c>
      <c r="AA170" s="22" t="str">
        <f t="shared" si="21"/>
        <v/>
      </c>
      <c r="AB170" t="str">
        <f>'DAY 1'!Z170</f>
        <v/>
      </c>
      <c r="AC170" t="str">
        <f>'DAY 2'!Z170</f>
        <v/>
      </c>
      <c r="AD170" t="str">
        <f>'DAY 3'!Z170</f>
        <v/>
      </c>
      <c r="AE170" t="str">
        <f>'DAY 4'!Z170</f>
        <v/>
      </c>
      <c r="AF170" t="str">
        <f>'DAY 5'!Z170</f>
        <v/>
      </c>
      <c r="AG170" s="144" t="str">
        <f t="shared" si="22"/>
        <v/>
      </c>
      <c r="AH170" s="145" t="str">
        <f t="shared" si="23"/>
        <v/>
      </c>
    </row>
    <row r="171" spans="2:34" ht="15.75" thickBot="1" x14ac:dyDescent="0.3">
      <c r="B171" s="66" t="str">
        <f>IF(AND('ENTRY DATA'!C171=""),"",('ENTRY DATA'!C171))</f>
        <v/>
      </c>
      <c r="C171" s="67" t="str">
        <f>IF(AND('ENTRY DATA'!D171=""),"",('ENTRY DATA'!D171))</f>
        <v/>
      </c>
      <c r="E171" s="66" t="str">
        <f>IF(AND('ENTRY DATA'!F171=""),"",('ENTRY DATA'!F171))</f>
        <v/>
      </c>
      <c r="F171" s="67" t="str">
        <f>IF(AND('ENTRY DATA'!G171=""),"",('ENTRY DATA'!G171))</f>
        <v/>
      </c>
      <c r="G171" s="61" t="s">
        <v>40</v>
      </c>
      <c r="I171" s="81" t="str">
        <f>IF(AND('DAY 1'!M171=""),"",('DAY 1'!M171))</f>
        <v/>
      </c>
      <c r="J171" s="79" t="str">
        <f>IF(AND('DAY 2'!M171=""),"",('DAY 2'!M171))</f>
        <v/>
      </c>
      <c r="K171" s="79" t="str">
        <f>IF(AND('DAY 3'!M171=""),"",('DAY 3'!M171))</f>
        <v/>
      </c>
      <c r="L171" s="79" t="str">
        <f>IF(AND('DAY 4'!M171=""),"",('DAY 4'!M171))</f>
        <v/>
      </c>
      <c r="M171" s="80" t="str">
        <f>IF(AND('DAY 5'!M171=""),"",('DAY 5'!M171))</f>
        <v/>
      </c>
      <c r="O171" s="78">
        <f>SUM('DAY 1'!L171,'DAY 2'!L171,'DAY 3'!L171,'DAY 4'!L171,'DAY 5'!L171)</f>
        <v>0</v>
      </c>
      <c r="P171" s="82" t="str">
        <f t="shared" si="16"/>
        <v/>
      </c>
      <c r="Q171" s="83" t="str">
        <f t="shared" si="17"/>
        <v/>
      </c>
      <c r="R171" s="148" t="str">
        <f t="shared" si="18"/>
        <v/>
      </c>
      <c r="S171" s="149" t="str">
        <f t="shared" si="19"/>
        <v/>
      </c>
      <c r="U171" s="66" t="str">
        <f>'DAY 1'!Y171</f>
        <v/>
      </c>
      <c r="V171" s="89" t="str">
        <f>'DAY 2'!Y171</f>
        <v/>
      </c>
      <c r="W171" s="89" t="str">
        <f>'DAY 3'!Y171</f>
        <v/>
      </c>
      <c r="X171" s="89" t="str">
        <f>'DAY 4'!Y171</f>
        <v/>
      </c>
      <c r="Y171" s="67" t="str">
        <f>'DAY 5'!Y171</f>
        <v/>
      </c>
      <c r="Z171" s="142" t="str">
        <f t="shared" si="20"/>
        <v/>
      </c>
      <c r="AA171" s="22" t="str">
        <f t="shared" si="21"/>
        <v/>
      </c>
      <c r="AB171" t="str">
        <f>'DAY 1'!Z171</f>
        <v/>
      </c>
      <c r="AC171" t="str">
        <f>'DAY 2'!Z171</f>
        <v/>
      </c>
      <c r="AD171" t="str">
        <f>'DAY 3'!Z171</f>
        <v/>
      </c>
      <c r="AE171" t="str">
        <f>'DAY 4'!Z171</f>
        <v/>
      </c>
      <c r="AF171" t="str">
        <f>'DAY 5'!Z171</f>
        <v/>
      </c>
      <c r="AG171" s="144" t="str">
        <f t="shared" si="22"/>
        <v/>
      </c>
      <c r="AH171" s="145" t="str">
        <f t="shared" si="23"/>
        <v/>
      </c>
    </row>
    <row r="172" spans="2:34" ht="15.75" thickBot="1" x14ac:dyDescent="0.3">
      <c r="B172" s="66" t="str">
        <f>IF(AND('ENTRY DATA'!C172=""),"",('ENTRY DATA'!C172))</f>
        <v/>
      </c>
      <c r="C172" s="67" t="str">
        <f>IF(AND('ENTRY DATA'!D172=""),"",('ENTRY DATA'!D172))</f>
        <v/>
      </c>
      <c r="E172" s="66" t="str">
        <f>IF(AND('ENTRY DATA'!F172=""),"",('ENTRY DATA'!F172))</f>
        <v/>
      </c>
      <c r="F172" s="67" t="str">
        <f>IF(AND('ENTRY DATA'!G172=""),"",('ENTRY DATA'!G172))</f>
        <v/>
      </c>
      <c r="G172" s="61" t="s">
        <v>40</v>
      </c>
      <c r="I172" s="81" t="str">
        <f>IF(AND('DAY 1'!M172=""),"",('DAY 1'!M172))</f>
        <v/>
      </c>
      <c r="J172" s="79" t="str">
        <f>IF(AND('DAY 2'!M172=""),"",('DAY 2'!M172))</f>
        <v/>
      </c>
      <c r="K172" s="79" t="str">
        <f>IF(AND('DAY 3'!M172=""),"",('DAY 3'!M172))</f>
        <v/>
      </c>
      <c r="L172" s="79" t="str">
        <f>IF(AND('DAY 4'!M172=""),"",('DAY 4'!M172))</f>
        <v/>
      </c>
      <c r="M172" s="80" t="str">
        <f>IF(AND('DAY 5'!M172=""),"",('DAY 5'!M172))</f>
        <v/>
      </c>
      <c r="O172" s="78">
        <f>SUM('DAY 1'!L172,'DAY 2'!L172,'DAY 3'!L172,'DAY 4'!L172,'DAY 5'!L172)</f>
        <v>0</v>
      </c>
      <c r="P172" s="82" t="str">
        <f t="shared" si="16"/>
        <v/>
      </c>
      <c r="Q172" s="83" t="str">
        <f t="shared" si="17"/>
        <v/>
      </c>
      <c r="R172" s="148" t="str">
        <f t="shared" si="18"/>
        <v/>
      </c>
      <c r="S172" s="149" t="str">
        <f t="shared" si="19"/>
        <v/>
      </c>
      <c r="U172" s="66" t="str">
        <f>'DAY 1'!Y172</f>
        <v/>
      </c>
      <c r="V172" s="89" t="str">
        <f>'DAY 2'!Y172</f>
        <v/>
      </c>
      <c r="W172" s="89" t="str">
        <f>'DAY 3'!Y172</f>
        <v/>
      </c>
      <c r="X172" s="89" t="str">
        <f>'DAY 4'!Y172</f>
        <v/>
      </c>
      <c r="Y172" s="67" t="str">
        <f>'DAY 5'!Y172</f>
        <v/>
      </c>
      <c r="Z172" s="142" t="str">
        <f t="shared" si="20"/>
        <v/>
      </c>
      <c r="AA172" s="22" t="str">
        <f t="shared" si="21"/>
        <v/>
      </c>
      <c r="AB172" t="str">
        <f>'DAY 1'!Z172</f>
        <v/>
      </c>
      <c r="AC172" t="str">
        <f>'DAY 2'!Z172</f>
        <v/>
      </c>
      <c r="AD172" t="str">
        <f>'DAY 3'!Z172</f>
        <v/>
      </c>
      <c r="AE172" t="str">
        <f>'DAY 4'!Z172</f>
        <v/>
      </c>
      <c r="AF172" t="str">
        <f>'DAY 5'!Z172</f>
        <v/>
      </c>
      <c r="AG172" s="144" t="str">
        <f t="shared" si="22"/>
        <v/>
      </c>
      <c r="AH172" s="145" t="str">
        <f t="shared" si="23"/>
        <v/>
      </c>
    </row>
    <row r="173" spans="2:34" ht="15.75" thickBot="1" x14ac:dyDescent="0.3">
      <c r="B173" s="66" t="str">
        <f>IF(AND('ENTRY DATA'!C173=""),"",('ENTRY DATA'!C173))</f>
        <v/>
      </c>
      <c r="C173" s="67" t="str">
        <f>IF(AND('ENTRY DATA'!D173=""),"",('ENTRY DATA'!D173))</f>
        <v/>
      </c>
      <c r="E173" s="66" t="str">
        <f>IF(AND('ENTRY DATA'!F173=""),"",('ENTRY DATA'!F173))</f>
        <v/>
      </c>
      <c r="F173" s="67" t="str">
        <f>IF(AND('ENTRY DATA'!G173=""),"",('ENTRY DATA'!G173))</f>
        <v/>
      </c>
      <c r="G173" s="61" t="s">
        <v>40</v>
      </c>
      <c r="I173" s="81" t="str">
        <f>IF(AND('DAY 1'!M173=""),"",('DAY 1'!M173))</f>
        <v/>
      </c>
      <c r="J173" s="79" t="str">
        <f>IF(AND('DAY 2'!M173=""),"",('DAY 2'!M173))</f>
        <v/>
      </c>
      <c r="K173" s="79" t="str">
        <f>IF(AND('DAY 3'!M173=""),"",('DAY 3'!M173))</f>
        <v/>
      </c>
      <c r="L173" s="79" t="str">
        <f>IF(AND('DAY 4'!M173=""),"",('DAY 4'!M173))</f>
        <v/>
      </c>
      <c r="M173" s="80" t="str">
        <f>IF(AND('DAY 5'!M173=""),"",('DAY 5'!M173))</f>
        <v/>
      </c>
      <c r="O173" s="78">
        <f>SUM('DAY 1'!L173,'DAY 2'!L173,'DAY 3'!L173,'DAY 4'!L173,'DAY 5'!L173)</f>
        <v>0</v>
      </c>
      <c r="P173" s="82" t="str">
        <f t="shared" si="16"/>
        <v/>
      </c>
      <c r="Q173" s="83" t="str">
        <f t="shared" si="17"/>
        <v/>
      </c>
      <c r="R173" s="148" t="str">
        <f t="shared" si="18"/>
        <v/>
      </c>
      <c r="S173" s="149" t="str">
        <f t="shared" si="19"/>
        <v/>
      </c>
      <c r="U173" s="66" t="str">
        <f>'DAY 1'!Y173</f>
        <v/>
      </c>
      <c r="V173" s="89" t="str">
        <f>'DAY 2'!Y173</f>
        <v/>
      </c>
      <c r="W173" s="89" t="str">
        <f>'DAY 3'!Y173</f>
        <v/>
      </c>
      <c r="X173" s="89" t="str">
        <f>'DAY 4'!Y173</f>
        <v/>
      </c>
      <c r="Y173" s="67" t="str">
        <f>'DAY 5'!Y173</f>
        <v/>
      </c>
      <c r="Z173" s="142" t="str">
        <f t="shared" si="20"/>
        <v/>
      </c>
      <c r="AA173" s="22" t="str">
        <f t="shared" si="21"/>
        <v/>
      </c>
      <c r="AB173" t="str">
        <f>'DAY 1'!Z173</f>
        <v/>
      </c>
      <c r="AC173" t="str">
        <f>'DAY 2'!Z173</f>
        <v/>
      </c>
      <c r="AD173" t="str">
        <f>'DAY 3'!Z173</f>
        <v/>
      </c>
      <c r="AE173" t="str">
        <f>'DAY 4'!Z173</f>
        <v/>
      </c>
      <c r="AF173" t="str">
        <f>'DAY 5'!Z173</f>
        <v/>
      </c>
      <c r="AG173" s="144" t="str">
        <f t="shared" si="22"/>
        <v/>
      </c>
      <c r="AH173" s="145" t="str">
        <f t="shared" si="23"/>
        <v/>
      </c>
    </row>
    <row r="174" spans="2:34" ht="15.75" thickBot="1" x14ac:dyDescent="0.3">
      <c r="B174" s="66" t="str">
        <f>IF(AND('ENTRY DATA'!C174=""),"",('ENTRY DATA'!C174))</f>
        <v/>
      </c>
      <c r="C174" s="67" t="str">
        <f>IF(AND('ENTRY DATA'!D174=""),"",('ENTRY DATA'!D174))</f>
        <v/>
      </c>
      <c r="E174" s="66" t="str">
        <f>IF(AND('ENTRY DATA'!F174=""),"",('ENTRY DATA'!F174))</f>
        <v/>
      </c>
      <c r="F174" s="67" t="str">
        <f>IF(AND('ENTRY DATA'!G174=""),"",('ENTRY DATA'!G174))</f>
        <v/>
      </c>
      <c r="G174" s="61" t="s">
        <v>40</v>
      </c>
      <c r="I174" s="81" t="str">
        <f>IF(AND('DAY 1'!M174=""),"",('DAY 1'!M174))</f>
        <v/>
      </c>
      <c r="J174" s="79" t="str">
        <f>IF(AND('DAY 2'!M174=""),"",('DAY 2'!M174))</f>
        <v/>
      </c>
      <c r="K174" s="79" t="str">
        <f>IF(AND('DAY 3'!M174=""),"",('DAY 3'!M174))</f>
        <v/>
      </c>
      <c r="L174" s="79" t="str">
        <f>IF(AND('DAY 4'!M174=""),"",('DAY 4'!M174))</f>
        <v/>
      </c>
      <c r="M174" s="80" t="str">
        <f>IF(AND('DAY 5'!M174=""),"",('DAY 5'!M174))</f>
        <v/>
      </c>
      <c r="O174" s="78">
        <f>SUM('DAY 1'!L174,'DAY 2'!L174,'DAY 3'!L174,'DAY 4'!L174,'DAY 5'!L174)</f>
        <v>0</v>
      </c>
      <c r="P174" s="82" t="str">
        <f t="shared" si="16"/>
        <v/>
      </c>
      <c r="Q174" s="83" t="str">
        <f t="shared" si="17"/>
        <v/>
      </c>
      <c r="R174" s="148" t="str">
        <f t="shared" si="18"/>
        <v/>
      </c>
      <c r="S174" s="149" t="str">
        <f t="shared" si="19"/>
        <v/>
      </c>
      <c r="U174" s="66" t="str">
        <f>'DAY 1'!Y174</f>
        <v/>
      </c>
      <c r="V174" s="89" t="str">
        <f>'DAY 2'!Y174</f>
        <v/>
      </c>
      <c r="W174" s="89" t="str">
        <f>'DAY 3'!Y174</f>
        <v/>
      </c>
      <c r="X174" s="89" t="str">
        <f>'DAY 4'!Y174</f>
        <v/>
      </c>
      <c r="Y174" s="67" t="str">
        <f>'DAY 5'!Y174</f>
        <v/>
      </c>
      <c r="Z174" s="142" t="str">
        <f t="shared" si="20"/>
        <v/>
      </c>
      <c r="AA174" s="22" t="str">
        <f t="shared" si="21"/>
        <v/>
      </c>
      <c r="AB174" t="str">
        <f>'DAY 1'!Z174</f>
        <v/>
      </c>
      <c r="AC174" t="str">
        <f>'DAY 2'!Z174</f>
        <v/>
      </c>
      <c r="AD174" t="str">
        <f>'DAY 3'!Z174</f>
        <v/>
      </c>
      <c r="AE174" t="str">
        <f>'DAY 4'!Z174</f>
        <v/>
      </c>
      <c r="AF174" t="str">
        <f>'DAY 5'!Z174</f>
        <v/>
      </c>
      <c r="AG174" s="144" t="str">
        <f t="shared" si="22"/>
        <v/>
      </c>
      <c r="AH174" s="145" t="str">
        <f t="shared" si="23"/>
        <v/>
      </c>
    </row>
    <row r="175" spans="2:34" ht="15.75" thickBot="1" x14ac:dyDescent="0.3">
      <c r="B175" s="66" t="str">
        <f>IF(AND('ENTRY DATA'!C175=""),"",('ENTRY DATA'!C175))</f>
        <v/>
      </c>
      <c r="C175" s="67" t="str">
        <f>IF(AND('ENTRY DATA'!D175=""),"",('ENTRY DATA'!D175))</f>
        <v/>
      </c>
      <c r="E175" s="66" t="str">
        <f>IF(AND('ENTRY DATA'!F175=""),"",('ENTRY DATA'!F175))</f>
        <v/>
      </c>
      <c r="F175" s="67" t="str">
        <f>IF(AND('ENTRY DATA'!G175=""),"",('ENTRY DATA'!G175))</f>
        <v/>
      </c>
      <c r="G175" s="61" t="s">
        <v>40</v>
      </c>
      <c r="I175" s="81" t="str">
        <f>IF(AND('DAY 1'!M175=""),"",('DAY 1'!M175))</f>
        <v/>
      </c>
      <c r="J175" s="79" t="str">
        <f>IF(AND('DAY 2'!M175=""),"",('DAY 2'!M175))</f>
        <v/>
      </c>
      <c r="K175" s="79" t="str">
        <f>IF(AND('DAY 3'!M175=""),"",('DAY 3'!M175))</f>
        <v/>
      </c>
      <c r="L175" s="79" t="str">
        <f>IF(AND('DAY 4'!M175=""),"",('DAY 4'!M175))</f>
        <v/>
      </c>
      <c r="M175" s="80" t="str">
        <f>IF(AND('DAY 5'!M175=""),"",('DAY 5'!M175))</f>
        <v/>
      </c>
      <c r="O175" s="78">
        <f>SUM('DAY 1'!L175,'DAY 2'!L175,'DAY 3'!L175,'DAY 4'!L175,'DAY 5'!L175)</f>
        <v>0</v>
      </c>
      <c r="P175" s="82" t="str">
        <f t="shared" si="16"/>
        <v/>
      </c>
      <c r="Q175" s="83" t="str">
        <f t="shared" si="17"/>
        <v/>
      </c>
      <c r="R175" s="148" t="str">
        <f t="shared" si="18"/>
        <v/>
      </c>
      <c r="S175" s="149" t="str">
        <f t="shared" si="19"/>
        <v/>
      </c>
      <c r="U175" s="66" t="str">
        <f>'DAY 1'!Y175</f>
        <v/>
      </c>
      <c r="V175" s="89" t="str">
        <f>'DAY 2'!Y175</f>
        <v/>
      </c>
      <c r="W175" s="89" t="str">
        <f>'DAY 3'!Y175</f>
        <v/>
      </c>
      <c r="X175" s="89" t="str">
        <f>'DAY 4'!Y175</f>
        <v/>
      </c>
      <c r="Y175" s="67" t="str">
        <f>'DAY 5'!Y175</f>
        <v/>
      </c>
      <c r="Z175" s="142" t="str">
        <f t="shared" si="20"/>
        <v/>
      </c>
      <c r="AA175" s="22" t="str">
        <f t="shared" si="21"/>
        <v/>
      </c>
      <c r="AB175" t="str">
        <f>'DAY 1'!Z175</f>
        <v/>
      </c>
      <c r="AC175" t="str">
        <f>'DAY 2'!Z175</f>
        <v/>
      </c>
      <c r="AD175" t="str">
        <f>'DAY 3'!Z175</f>
        <v/>
      </c>
      <c r="AE175" t="str">
        <f>'DAY 4'!Z175</f>
        <v/>
      </c>
      <c r="AF175" t="str">
        <f>'DAY 5'!Z175</f>
        <v/>
      </c>
      <c r="AG175" s="144" t="str">
        <f t="shared" si="22"/>
        <v/>
      </c>
      <c r="AH175" s="145" t="str">
        <f t="shared" si="23"/>
        <v/>
      </c>
    </row>
    <row r="176" spans="2:34" ht="15.75" thickBot="1" x14ac:dyDescent="0.3">
      <c r="B176" s="66" t="str">
        <f>IF(AND('ENTRY DATA'!C176=""),"",('ENTRY DATA'!C176))</f>
        <v/>
      </c>
      <c r="C176" s="67" t="str">
        <f>IF(AND('ENTRY DATA'!D176=""),"",('ENTRY DATA'!D176))</f>
        <v/>
      </c>
      <c r="E176" s="66" t="str">
        <f>IF(AND('ENTRY DATA'!F176=""),"",('ENTRY DATA'!F176))</f>
        <v/>
      </c>
      <c r="F176" s="67" t="str">
        <f>IF(AND('ENTRY DATA'!G176=""),"",('ENTRY DATA'!G176))</f>
        <v/>
      </c>
      <c r="G176" s="61" t="s">
        <v>40</v>
      </c>
      <c r="I176" s="81" t="str">
        <f>IF(AND('DAY 1'!M176=""),"",('DAY 1'!M176))</f>
        <v/>
      </c>
      <c r="J176" s="79" t="str">
        <f>IF(AND('DAY 2'!M176=""),"",('DAY 2'!M176))</f>
        <v/>
      </c>
      <c r="K176" s="79" t="str">
        <f>IF(AND('DAY 3'!M176=""),"",('DAY 3'!M176))</f>
        <v/>
      </c>
      <c r="L176" s="79" t="str">
        <f>IF(AND('DAY 4'!M176=""),"",('DAY 4'!M176))</f>
        <v/>
      </c>
      <c r="M176" s="80" t="str">
        <f>IF(AND('DAY 5'!M176=""),"",('DAY 5'!M176))</f>
        <v/>
      </c>
      <c r="O176" s="78">
        <f>SUM('DAY 1'!L176,'DAY 2'!L176,'DAY 3'!L176,'DAY 4'!L176,'DAY 5'!L176)</f>
        <v>0</v>
      </c>
      <c r="P176" s="82" t="str">
        <f t="shared" si="16"/>
        <v/>
      </c>
      <c r="Q176" s="83" t="str">
        <f t="shared" si="17"/>
        <v/>
      </c>
      <c r="R176" s="148" t="str">
        <f t="shared" si="18"/>
        <v/>
      </c>
      <c r="S176" s="149" t="str">
        <f t="shared" si="19"/>
        <v/>
      </c>
      <c r="U176" s="66" t="str">
        <f>'DAY 1'!Y176</f>
        <v/>
      </c>
      <c r="V176" s="89" t="str">
        <f>'DAY 2'!Y176</f>
        <v/>
      </c>
      <c r="W176" s="89" t="str">
        <f>'DAY 3'!Y176</f>
        <v/>
      </c>
      <c r="X176" s="89" t="str">
        <f>'DAY 4'!Y176</f>
        <v/>
      </c>
      <c r="Y176" s="67" t="str">
        <f>'DAY 5'!Y176</f>
        <v/>
      </c>
      <c r="Z176" s="142" t="str">
        <f t="shared" si="20"/>
        <v/>
      </c>
      <c r="AA176" s="22" t="str">
        <f t="shared" si="21"/>
        <v/>
      </c>
      <c r="AB176" t="str">
        <f>'DAY 1'!Z176</f>
        <v/>
      </c>
      <c r="AC176" t="str">
        <f>'DAY 2'!Z176</f>
        <v/>
      </c>
      <c r="AD176" t="str">
        <f>'DAY 3'!Z176</f>
        <v/>
      </c>
      <c r="AE176" t="str">
        <f>'DAY 4'!Z176</f>
        <v/>
      </c>
      <c r="AF176" t="str">
        <f>'DAY 5'!Z176</f>
        <v/>
      </c>
      <c r="AG176" s="144" t="str">
        <f t="shared" si="22"/>
        <v/>
      </c>
      <c r="AH176" s="145" t="str">
        <f t="shared" si="23"/>
        <v/>
      </c>
    </row>
    <row r="177" spans="2:34" ht="15.75" thickBot="1" x14ac:dyDescent="0.3">
      <c r="B177" s="66" t="str">
        <f>IF(AND('ENTRY DATA'!C177=""),"",('ENTRY DATA'!C177))</f>
        <v/>
      </c>
      <c r="C177" s="67" t="str">
        <f>IF(AND('ENTRY DATA'!D177=""),"",('ENTRY DATA'!D177))</f>
        <v/>
      </c>
      <c r="E177" s="66" t="str">
        <f>IF(AND('ENTRY DATA'!F177=""),"",('ENTRY DATA'!F177))</f>
        <v/>
      </c>
      <c r="F177" s="67" t="str">
        <f>IF(AND('ENTRY DATA'!G177=""),"",('ENTRY DATA'!G177))</f>
        <v/>
      </c>
      <c r="G177" s="61" t="s">
        <v>40</v>
      </c>
      <c r="I177" s="81" t="str">
        <f>IF(AND('DAY 1'!M177=""),"",('DAY 1'!M177))</f>
        <v/>
      </c>
      <c r="J177" s="79" t="str">
        <f>IF(AND('DAY 2'!M177=""),"",('DAY 2'!M177))</f>
        <v/>
      </c>
      <c r="K177" s="79" t="str">
        <f>IF(AND('DAY 3'!M177=""),"",('DAY 3'!M177))</f>
        <v/>
      </c>
      <c r="L177" s="79" t="str">
        <f>IF(AND('DAY 4'!M177=""),"",('DAY 4'!M177))</f>
        <v/>
      </c>
      <c r="M177" s="80" t="str">
        <f>IF(AND('DAY 5'!M177=""),"",('DAY 5'!M177))</f>
        <v/>
      </c>
      <c r="O177" s="78">
        <f>SUM('DAY 1'!L177,'DAY 2'!L177,'DAY 3'!L177,'DAY 4'!L177,'DAY 5'!L177)</f>
        <v>0</v>
      </c>
      <c r="P177" s="82" t="str">
        <f t="shared" si="16"/>
        <v/>
      </c>
      <c r="Q177" s="83" t="str">
        <f t="shared" si="17"/>
        <v/>
      </c>
      <c r="R177" s="148" t="str">
        <f t="shared" si="18"/>
        <v/>
      </c>
      <c r="S177" s="149" t="str">
        <f t="shared" si="19"/>
        <v/>
      </c>
      <c r="U177" s="66" t="str">
        <f>'DAY 1'!Y177</f>
        <v/>
      </c>
      <c r="V177" s="89" t="str">
        <f>'DAY 2'!Y177</f>
        <v/>
      </c>
      <c r="W177" s="89" t="str">
        <f>'DAY 3'!Y177</f>
        <v/>
      </c>
      <c r="X177" s="89" t="str">
        <f>'DAY 4'!Y177</f>
        <v/>
      </c>
      <c r="Y177" s="67" t="str">
        <f>'DAY 5'!Y177</f>
        <v/>
      </c>
      <c r="Z177" s="142" t="str">
        <f t="shared" si="20"/>
        <v/>
      </c>
      <c r="AA177" s="22" t="str">
        <f t="shared" si="21"/>
        <v/>
      </c>
      <c r="AB177" t="str">
        <f>'DAY 1'!Z177</f>
        <v/>
      </c>
      <c r="AC177" t="str">
        <f>'DAY 2'!Z177</f>
        <v/>
      </c>
      <c r="AD177" t="str">
        <f>'DAY 3'!Z177</f>
        <v/>
      </c>
      <c r="AE177" t="str">
        <f>'DAY 4'!Z177</f>
        <v/>
      </c>
      <c r="AF177" t="str">
        <f>'DAY 5'!Z177</f>
        <v/>
      </c>
      <c r="AG177" s="144" t="str">
        <f t="shared" si="22"/>
        <v/>
      </c>
      <c r="AH177" s="145" t="str">
        <f t="shared" si="23"/>
        <v/>
      </c>
    </row>
    <row r="178" spans="2:34" ht="15.75" thickBot="1" x14ac:dyDescent="0.3">
      <c r="B178" s="66" t="str">
        <f>IF(AND('ENTRY DATA'!C178=""),"",('ENTRY DATA'!C178))</f>
        <v/>
      </c>
      <c r="C178" s="67" t="str">
        <f>IF(AND('ENTRY DATA'!D178=""),"",('ENTRY DATA'!D178))</f>
        <v/>
      </c>
      <c r="E178" s="66" t="str">
        <f>IF(AND('ENTRY DATA'!F178=""),"",('ENTRY DATA'!F178))</f>
        <v/>
      </c>
      <c r="F178" s="67" t="str">
        <f>IF(AND('ENTRY DATA'!G178=""),"",('ENTRY DATA'!G178))</f>
        <v/>
      </c>
      <c r="G178" s="61" t="s">
        <v>40</v>
      </c>
      <c r="I178" s="81" t="str">
        <f>IF(AND('DAY 1'!M178=""),"",('DAY 1'!M178))</f>
        <v/>
      </c>
      <c r="J178" s="79" t="str">
        <f>IF(AND('DAY 2'!M178=""),"",('DAY 2'!M178))</f>
        <v/>
      </c>
      <c r="K178" s="79" t="str">
        <f>IF(AND('DAY 3'!M178=""),"",('DAY 3'!M178))</f>
        <v/>
      </c>
      <c r="L178" s="79" t="str">
        <f>IF(AND('DAY 4'!M178=""),"",('DAY 4'!M178))</f>
        <v/>
      </c>
      <c r="M178" s="80" t="str">
        <f>IF(AND('DAY 5'!M178=""),"",('DAY 5'!M178))</f>
        <v/>
      </c>
      <c r="O178" s="78">
        <f>SUM('DAY 1'!L178,'DAY 2'!L178,'DAY 3'!L178,'DAY 4'!L178,'DAY 5'!L178)</f>
        <v>0</v>
      </c>
      <c r="P178" s="82" t="str">
        <f t="shared" si="16"/>
        <v/>
      </c>
      <c r="Q178" s="83" t="str">
        <f t="shared" si="17"/>
        <v/>
      </c>
      <c r="R178" s="148" t="str">
        <f t="shared" si="18"/>
        <v/>
      </c>
      <c r="S178" s="149" t="str">
        <f t="shared" si="19"/>
        <v/>
      </c>
      <c r="U178" s="66" t="str">
        <f>'DAY 1'!Y178</f>
        <v/>
      </c>
      <c r="V178" s="89" t="str">
        <f>'DAY 2'!Y178</f>
        <v/>
      </c>
      <c r="W178" s="89" t="str">
        <f>'DAY 3'!Y178</f>
        <v/>
      </c>
      <c r="X178" s="89" t="str">
        <f>'DAY 4'!Y178</f>
        <v/>
      </c>
      <c r="Y178" s="67" t="str">
        <f>'DAY 5'!Y178</f>
        <v/>
      </c>
      <c r="Z178" s="142" t="str">
        <f t="shared" si="20"/>
        <v/>
      </c>
      <c r="AA178" s="22" t="str">
        <f t="shared" si="21"/>
        <v/>
      </c>
      <c r="AB178" t="str">
        <f>'DAY 1'!Z178</f>
        <v/>
      </c>
      <c r="AC178" t="str">
        <f>'DAY 2'!Z178</f>
        <v/>
      </c>
      <c r="AD178" t="str">
        <f>'DAY 3'!Z178</f>
        <v/>
      </c>
      <c r="AE178" t="str">
        <f>'DAY 4'!Z178</f>
        <v/>
      </c>
      <c r="AF178" t="str">
        <f>'DAY 5'!Z178</f>
        <v/>
      </c>
      <c r="AG178" s="144" t="str">
        <f t="shared" si="22"/>
        <v/>
      </c>
      <c r="AH178" s="145" t="str">
        <f t="shared" si="23"/>
        <v/>
      </c>
    </row>
    <row r="179" spans="2:34" ht="15.75" thickBot="1" x14ac:dyDescent="0.3">
      <c r="B179" s="66" t="str">
        <f>IF(AND('ENTRY DATA'!C179=""),"",('ENTRY DATA'!C179))</f>
        <v/>
      </c>
      <c r="C179" s="67" t="str">
        <f>IF(AND('ENTRY DATA'!D179=""),"",('ENTRY DATA'!D179))</f>
        <v/>
      </c>
      <c r="E179" s="66" t="str">
        <f>IF(AND('ENTRY DATA'!F179=""),"",('ENTRY DATA'!F179))</f>
        <v/>
      </c>
      <c r="F179" s="67" t="str">
        <f>IF(AND('ENTRY DATA'!G179=""),"",('ENTRY DATA'!G179))</f>
        <v/>
      </c>
      <c r="G179" s="61" t="s">
        <v>40</v>
      </c>
      <c r="I179" s="81" t="str">
        <f>IF(AND('DAY 1'!M179=""),"",('DAY 1'!M179))</f>
        <v/>
      </c>
      <c r="J179" s="79" t="str">
        <f>IF(AND('DAY 2'!M179=""),"",('DAY 2'!M179))</f>
        <v/>
      </c>
      <c r="K179" s="79" t="str">
        <f>IF(AND('DAY 3'!M179=""),"",('DAY 3'!M179))</f>
        <v/>
      </c>
      <c r="L179" s="79" t="str">
        <f>IF(AND('DAY 4'!M179=""),"",('DAY 4'!M179))</f>
        <v/>
      </c>
      <c r="M179" s="80" t="str">
        <f>IF(AND('DAY 5'!M179=""),"",('DAY 5'!M179))</f>
        <v/>
      </c>
      <c r="O179" s="78">
        <f>SUM('DAY 1'!L179,'DAY 2'!L179,'DAY 3'!L179,'DAY 4'!L179,'DAY 5'!L179)</f>
        <v>0</v>
      </c>
      <c r="P179" s="82" t="str">
        <f t="shared" si="16"/>
        <v/>
      </c>
      <c r="Q179" s="83" t="str">
        <f t="shared" si="17"/>
        <v/>
      </c>
      <c r="R179" s="148" t="str">
        <f t="shared" si="18"/>
        <v/>
      </c>
      <c r="S179" s="149" t="str">
        <f t="shared" si="19"/>
        <v/>
      </c>
      <c r="U179" s="66" t="str">
        <f>'DAY 1'!Y179</f>
        <v/>
      </c>
      <c r="V179" s="89" t="str">
        <f>'DAY 2'!Y179</f>
        <v/>
      </c>
      <c r="W179" s="89" t="str">
        <f>'DAY 3'!Y179</f>
        <v/>
      </c>
      <c r="X179" s="89" t="str">
        <f>'DAY 4'!Y179</f>
        <v/>
      </c>
      <c r="Y179" s="67" t="str">
        <f>'DAY 5'!Y179</f>
        <v/>
      </c>
      <c r="Z179" s="142" t="str">
        <f t="shared" si="20"/>
        <v/>
      </c>
      <c r="AA179" s="22" t="str">
        <f t="shared" si="21"/>
        <v/>
      </c>
      <c r="AB179" t="str">
        <f>'DAY 1'!Z179</f>
        <v/>
      </c>
      <c r="AC179" t="str">
        <f>'DAY 2'!Z179</f>
        <v/>
      </c>
      <c r="AD179" t="str">
        <f>'DAY 3'!Z179</f>
        <v/>
      </c>
      <c r="AE179" t="str">
        <f>'DAY 4'!Z179</f>
        <v/>
      </c>
      <c r="AF179" t="str">
        <f>'DAY 5'!Z179</f>
        <v/>
      </c>
      <c r="AG179" s="144" t="str">
        <f t="shared" si="22"/>
        <v/>
      </c>
      <c r="AH179" s="145" t="str">
        <f t="shared" si="23"/>
        <v/>
      </c>
    </row>
    <row r="180" spans="2:34" ht="15.75" thickBot="1" x14ac:dyDescent="0.3">
      <c r="B180" s="66" t="str">
        <f>IF(AND('ENTRY DATA'!C180=""),"",('ENTRY DATA'!C180))</f>
        <v/>
      </c>
      <c r="C180" s="67" t="str">
        <f>IF(AND('ENTRY DATA'!D180=""),"",('ENTRY DATA'!D180))</f>
        <v/>
      </c>
      <c r="E180" s="66" t="str">
        <f>IF(AND('ENTRY DATA'!F180=""),"",('ENTRY DATA'!F180))</f>
        <v/>
      </c>
      <c r="F180" s="67" t="str">
        <f>IF(AND('ENTRY DATA'!G180=""),"",('ENTRY DATA'!G180))</f>
        <v/>
      </c>
      <c r="G180" s="61" t="s">
        <v>40</v>
      </c>
      <c r="I180" s="81" t="str">
        <f>IF(AND('DAY 1'!M180=""),"",('DAY 1'!M180))</f>
        <v/>
      </c>
      <c r="J180" s="79" t="str">
        <f>IF(AND('DAY 2'!M180=""),"",('DAY 2'!M180))</f>
        <v/>
      </c>
      <c r="K180" s="79" t="str">
        <f>IF(AND('DAY 3'!M180=""),"",('DAY 3'!M180))</f>
        <v/>
      </c>
      <c r="L180" s="79" t="str">
        <f>IF(AND('DAY 4'!M180=""),"",('DAY 4'!M180))</f>
        <v/>
      </c>
      <c r="M180" s="80" t="str">
        <f>IF(AND('DAY 5'!M180=""),"",('DAY 5'!M180))</f>
        <v/>
      </c>
      <c r="O180" s="78">
        <f>SUM('DAY 1'!L180,'DAY 2'!L180,'DAY 3'!L180,'DAY 4'!L180,'DAY 5'!L180)</f>
        <v>0</v>
      </c>
      <c r="P180" s="82" t="str">
        <f t="shared" si="16"/>
        <v/>
      </c>
      <c r="Q180" s="83" t="str">
        <f t="shared" si="17"/>
        <v/>
      </c>
      <c r="R180" s="148" t="str">
        <f t="shared" si="18"/>
        <v/>
      </c>
      <c r="S180" s="149" t="str">
        <f t="shared" si="19"/>
        <v/>
      </c>
      <c r="U180" s="66" t="str">
        <f>'DAY 1'!Y180</f>
        <v/>
      </c>
      <c r="V180" s="89" t="str">
        <f>'DAY 2'!Y180</f>
        <v/>
      </c>
      <c r="W180" s="89" t="str">
        <f>'DAY 3'!Y180</f>
        <v/>
      </c>
      <c r="X180" s="89" t="str">
        <f>'DAY 4'!Y180</f>
        <v/>
      </c>
      <c r="Y180" s="67" t="str">
        <f>'DAY 5'!Y180</f>
        <v/>
      </c>
      <c r="Z180" s="142" t="str">
        <f t="shared" si="20"/>
        <v/>
      </c>
      <c r="AA180" s="22" t="str">
        <f t="shared" si="21"/>
        <v/>
      </c>
      <c r="AB180" t="str">
        <f>'DAY 1'!Z180</f>
        <v/>
      </c>
      <c r="AC180" t="str">
        <f>'DAY 2'!Z180</f>
        <v/>
      </c>
      <c r="AD180" t="str">
        <f>'DAY 3'!Z180</f>
        <v/>
      </c>
      <c r="AE180" t="str">
        <f>'DAY 4'!Z180</f>
        <v/>
      </c>
      <c r="AF180" t="str">
        <f>'DAY 5'!Z180</f>
        <v/>
      </c>
      <c r="AG180" s="144" t="str">
        <f t="shared" si="22"/>
        <v/>
      </c>
      <c r="AH180" s="145" t="str">
        <f t="shared" si="23"/>
        <v/>
      </c>
    </row>
    <row r="181" spans="2:34" ht="15.75" thickBot="1" x14ac:dyDescent="0.3">
      <c r="B181" s="66" t="str">
        <f>IF(AND('ENTRY DATA'!C181=""),"",('ENTRY DATA'!C181))</f>
        <v/>
      </c>
      <c r="C181" s="67" t="str">
        <f>IF(AND('ENTRY DATA'!D181=""),"",('ENTRY DATA'!D181))</f>
        <v/>
      </c>
      <c r="E181" s="66" t="str">
        <f>IF(AND('ENTRY DATA'!F181=""),"",('ENTRY DATA'!F181))</f>
        <v/>
      </c>
      <c r="F181" s="67" t="str">
        <f>IF(AND('ENTRY DATA'!G181=""),"",('ENTRY DATA'!G181))</f>
        <v/>
      </c>
      <c r="G181" s="61" t="s">
        <v>40</v>
      </c>
      <c r="I181" s="81" t="str">
        <f>IF(AND('DAY 1'!M181=""),"",('DAY 1'!M181))</f>
        <v/>
      </c>
      <c r="J181" s="79" t="str">
        <f>IF(AND('DAY 2'!M181=""),"",('DAY 2'!M181))</f>
        <v/>
      </c>
      <c r="K181" s="79" t="str">
        <f>IF(AND('DAY 3'!M181=""),"",('DAY 3'!M181))</f>
        <v/>
      </c>
      <c r="L181" s="79" t="str">
        <f>IF(AND('DAY 4'!M181=""),"",('DAY 4'!M181))</f>
        <v/>
      </c>
      <c r="M181" s="80" t="str">
        <f>IF(AND('DAY 5'!M181=""),"",('DAY 5'!M181))</f>
        <v/>
      </c>
      <c r="O181" s="78">
        <f>SUM('DAY 1'!L181,'DAY 2'!L181,'DAY 3'!L181,'DAY 4'!L181,'DAY 5'!L181)</f>
        <v>0</v>
      </c>
      <c r="P181" s="82" t="str">
        <f t="shared" si="16"/>
        <v/>
      </c>
      <c r="Q181" s="83" t="str">
        <f t="shared" si="17"/>
        <v/>
      </c>
      <c r="R181" s="148" t="str">
        <f t="shared" si="18"/>
        <v/>
      </c>
      <c r="S181" s="149" t="str">
        <f t="shared" si="19"/>
        <v/>
      </c>
      <c r="U181" s="66" t="str">
        <f>'DAY 1'!Y181</f>
        <v/>
      </c>
      <c r="V181" s="89" t="str">
        <f>'DAY 2'!Y181</f>
        <v/>
      </c>
      <c r="W181" s="89" t="str">
        <f>'DAY 3'!Y181</f>
        <v/>
      </c>
      <c r="X181" s="89" t="str">
        <f>'DAY 4'!Y181</f>
        <v/>
      </c>
      <c r="Y181" s="67" t="str">
        <f>'DAY 5'!Y181</f>
        <v/>
      </c>
      <c r="Z181" s="142" t="str">
        <f t="shared" si="20"/>
        <v/>
      </c>
      <c r="AA181" s="22" t="str">
        <f t="shared" si="21"/>
        <v/>
      </c>
      <c r="AB181" t="str">
        <f>'DAY 1'!Z181</f>
        <v/>
      </c>
      <c r="AC181" t="str">
        <f>'DAY 2'!Z181</f>
        <v/>
      </c>
      <c r="AD181" t="str">
        <f>'DAY 3'!Z181</f>
        <v/>
      </c>
      <c r="AE181" t="str">
        <f>'DAY 4'!Z181</f>
        <v/>
      </c>
      <c r="AF181" t="str">
        <f>'DAY 5'!Z181</f>
        <v/>
      </c>
      <c r="AG181" s="144" t="str">
        <f t="shared" si="22"/>
        <v/>
      </c>
      <c r="AH181" s="145" t="str">
        <f t="shared" si="23"/>
        <v/>
      </c>
    </row>
    <row r="182" spans="2:34" ht="15.75" thickBot="1" x14ac:dyDescent="0.3">
      <c r="B182" s="66" t="str">
        <f>IF(AND('ENTRY DATA'!C182=""),"",('ENTRY DATA'!C182))</f>
        <v/>
      </c>
      <c r="C182" s="67" t="str">
        <f>IF(AND('ENTRY DATA'!D182=""),"",('ENTRY DATA'!D182))</f>
        <v/>
      </c>
      <c r="E182" s="66" t="str">
        <f>IF(AND('ENTRY DATA'!F182=""),"",('ENTRY DATA'!F182))</f>
        <v/>
      </c>
      <c r="F182" s="67" t="str">
        <f>IF(AND('ENTRY DATA'!G182=""),"",('ENTRY DATA'!G182))</f>
        <v/>
      </c>
      <c r="G182" s="61" t="s">
        <v>40</v>
      </c>
      <c r="I182" s="81" t="str">
        <f>IF(AND('DAY 1'!M182=""),"",('DAY 1'!M182))</f>
        <v/>
      </c>
      <c r="J182" s="79" t="str">
        <f>IF(AND('DAY 2'!M182=""),"",('DAY 2'!M182))</f>
        <v/>
      </c>
      <c r="K182" s="79" t="str">
        <f>IF(AND('DAY 3'!M182=""),"",('DAY 3'!M182))</f>
        <v/>
      </c>
      <c r="L182" s="79" t="str">
        <f>IF(AND('DAY 4'!M182=""),"",('DAY 4'!M182))</f>
        <v/>
      </c>
      <c r="M182" s="80" t="str">
        <f>IF(AND('DAY 5'!M182=""),"",('DAY 5'!M182))</f>
        <v/>
      </c>
      <c r="O182" s="78">
        <f>SUM('DAY 1'!L182,'DAY 2'!L182,'DAY 3'!L182,'DAY 4'!L182,'DAY 5'!L182)</f>
        <v>0</v>
      </c>
      <c r="P182" s="82" t="str">
        <f t="shared" si="16"/>
        <v/>
      </c>
      <c r="Q182" s="83" t="str">
        <f t="shared" si="17"/>
        <v/>
      </c>
      <c r="R182" s="148" t="str">
        <f t="shared" si="18"/>
        <v/>
      </c>
      <c r="S182" s="149" t="str">
        <f t="shared" si="19"/>
        <v/>
      </c>
      <c r="U182" s="66" t="str">
        <f>'DAY 1'!Y182</f>
        <v/>
      </c>
      <c r="V182" s="89" t="str">
        <f>'DAY 2'!Y182</f>
        <v/>
      </c>
      <c r="W182" s="89" t="str">
        <f>'DAY 3'!Y182</f>
        <v/>
      </c>
      <c r="X182" s="89" t="str">
        <f>'DAY 4'!Y182</f>
        <v/>
      </c>
      <c r="Y182" s="67" t="str">
        <f>'DAY 5'!Y182</f>
        <v/>
      </c>
      <c r="Z182" s="142" t="str">
        <f t="shared" si="20"/>
        <v/>
      </c>
      <c r="AA182" s="22" t="str">
        <f t="shared" si="21"/>
        <v/>
      </c>
      <c r="AB182" t="str">
        <f>'DAY 1'!Z182</f>
        <v/>
      </c>
      <c r="AC182" t="str">
        <f>'DAY 2'!Z182</f>
        <v/>
      </c>
      <c r="AD182" t="str">
        <f>'DAY 3'!Z182</f>
        <v/>
      </c>
      <c r="AE182" t="str">
        <f>'DAY 4'!Z182</f>
        <v/>
      </c>
      <c r="AF182" t="str">
        <f>'DAY 5'!Z182</f>
        <v/>
      </c>
      <c r="AG182" s="144" t="str">
        <f t="shared" si="22"/>
        <v/>
      </c>
      <c r="AH182" s="145" t="str">
        <f t="shared" si="23"/>
        <v/>
      </c>
    </row>
    <row r="183" spans="2:34" ht="15.75" thickBot="1" x14ac:dyDescent="0.3">
      <c r="B183" s="66" t="str">
        <f>IF(AND('ENTRY DATA'!C183=""),"",('ENTRY DATA'!C183))</f>
        <v/>
      </c>
      <c r="C183" s="67" t="str">
        <f>IF(AND('ENTRY DATA'!D183=""),"",('ENTRY DATA'!D183))</f>
        <v/>
      </c>
      <c r="E183" s="66" t="str">
        <f>IF(AND('ENTRY DATA'!F183=""),"",('ENTRY DATA'!F183))</f>
        <v/>
      </c>
      <c r="F183" s="67" t="str">
        <f>IF(AND('ENTRY DATA'!G183=""),"",('ENTRY DATA'!G183))</f>
        <v/>
      </c>
      <c r="G183" s="61" t="s">
        <v>40</v>
      </c>
      <c r="I183" s="81" t="str">
        <f>IF(AND('DAY 1'!M183=""),"",('DAY 1'!M183))</f>
        <v/>
      </c>
      <c r="J183" s="79" t="str">
        <f>IF(AND('DAY 2'!M183=""),"",('DAY 2'!M183))</f>
        <v/>
      </c>
      <c r="K183" s="79" t="str">
        <f>IF(AND('DAY 3'!M183=""),"",('DAY 3'!M183))</f>
        <v/>
      </c>
      <c r="L183" s="79" t="str">
        <f>IF(AND('DAY 4'!M183=""),"",('DAY 4'!M183))</f>
        <v/>
      </c>
      <c r="M183" s="80" t="str">
        <f>IF(AND('DAY 5'!M183=""),"",('DAY 5'!M183))</f>
        <v/>
      </c>
      <c r="O183" s="78">
        <f>SUM('DAY 1'!L183,'DAY 2'!L183,'DAY 3'!L183,'DAY 4'!L183,'DAY 5'!L183)</f>
        <v>0</v>
      </c>
      <c r="P183" s="82" t="str">
        <f t="shared" si="16"/>
        <v/>
      </c>
      <c r="Q183" s="83" t="str">
        <f t="shared" si="17"/>
        <v/>
      </c>
      <c r="R183" s="148" t="str">
        <f t="shared" si="18"/>
        <v/>
      </c>
      <c r="S183" s="149" t="str">
        <f t="shared" si="19"/>
        <v/>
      </c>
      <c r="U183" s="66" t="str">
        <f>'DAY 1'!Y183</f>
        <v/>
      </c>
      <c r="V183" s="89" t="str">
        <f>'DAY 2'!Y183</f>
        <v/>
      </c>
      <c r="W183" s="89" t="str">
        <f>'DAY 3'!Y183</f>
        <v/>
      </c>
      <c r="X183" s="89" t="str">
        <f>'DAY 4'!Y183</f>
        <v/>
      </c>
      <c r="Y183" s="67" t="str">
        <f>'DAY 5'!Y183</f>
        <v/>
      </c>
      <c r="Z183" s="142" t="str">
        <f t="shared" si="20"/>
        <v/>
      </c>
      <c r="AA183" s="22" t="str">
        <f t="shared" si="21"/>
        <v/>
      </c>
      <c r="AB183" t="str">
        <f>'DAY 1'!Z183</f>
        <v/>
      </c>
      <c r="AC183" t="str">
        <f>'DAY 2'!Z183</f>
        <v/>
      </c>
      <c r="AD183" t="str">
        <f>'DAY 3'!Z183</f>
        <v/>
      </c>
      <c r="AE183" t="str">
        <f>'DAY 4'!Z183</f>
        <v/>
      </c>
      <c r="AF183" t="str">
        <f>'DAY 5'!Z183</f>
        <v/>
      </c>
      <c r="AG183" s="144" t="str">
        <f t="shared" si="22"/>
        <v/>
      </c>
      <c r="AH183" s="145" t="str">
        <f t="shared" si="23"/>
        <v/>
      </c>
    </row>
    <row r="184" spans="2:34" ht="15.75" thickBot="1" x14ac:dyDescent="0.3">
      <c r="B184" s="66" t="str">
        <f>IF(AND('ENTRY DATA'!C184=""),"",('ENTRY DATA'!C184))</f>
        <v/>
      </c>
      <c r="C184" s="67" t="str">
        <f>IF(AND('ENTRY DATA'!D184=""),"",('ENTRY DATA'!D184))</f>
        <v/>
      </c>
      <c r="E184" s="66" t="str">
        <f>IF(AND('ENTRY DATA'!F184=""),"",('ENTRY DATA'!F184))</f>
        <v/>
      </c>
      <c r="F184" s="67" t="str">
        <f>IF(AND('ENTRY DATA'!G184=""),"",('ENTRY DATA'!G184))</f>
        <v/>
      </c>
      <c r="G184" s="61" t="s">
        <v>40</v>
      </c>
      <c r="I184" s="81" t="str">
        <f>IF(AND('DAY 1'!M184=""),"",('DAY 1'!M184))</f>
        <v/>
      </c>
      <c r="J184" s="79" t="str">
        <f>IF(AND('DAY 2'!M184=""),"",('DAY 2'!M184))</f>
        <v/>
      </c>
      <c r="K184" s="79" t="str">
        <f>IF(AND('DAY 3'!M184=""),"",('DAY 3'!M184))</f>
        <v/>
      </c>
      <c r="L184" s="79" t="str">
        <f>IF(AND('DAY 4'!M184=""),"",('DAY 4'!M184))</f>
        <v/>
      </c>
      <c r="M184" s="80" t="str">
        <f>IF(AND('DAY 5'!M184=""),"",('DAY 5'!M184))</f>
        <v/>
      </c>
      <c r="O184" s="78">
        <f>SUM('DAY 1'!L184,'DAY 2'!L184,'DAY 3'!L184,'DAY 4'!L184,'DAY 5'!L184)</f>
        <v>0</v>
      </c>
      <c r="P184" s="82" t="str">
        <f t="shared" si="16"/>
        <v/>
      </c>
      <c r="Q184" s="83" t="str">
        <f t="shared" si="17"/>
        <v/>
      </c>
      <c r="R184" s="148" t="str">
        <f t="shared" si="18"/>
        <v/>
      </c>
      <c r="S184" s="149" t="str">
        <f t="shared" si="19"/>
        <v/>
      </c>
      <c r="U184" s="66" t="str">
        <f>'DAY 1'!Y184</f>
        <v/>
      </c>
      <c r="V184" s="89" t="str">
        <f>'DAY 2'!Y184</f>
        <v/>
      </c>
      <c r="W184" s="89" t="str">
        <f>'DAY 3'!Y184</f>
        <v/>
      </c>
      <c r="X184" s="89" t="str">
        <f>'DAY 4'!Y184</f>
        <v/>
      </c>
      <c r="Y184" s="67" t="str">
        <f>'DAY 5'!Y184</f>
        <v/>
      </c>
      <c r="Z184" s="142" t="str">
        <f t="shared" si="20"/>
        <v/>
      </c>
      <c r="AA184" s="22" t="str">
        <f t="shared" si="21"/>
        <v/>
      </c>
      <c r="AB184" t="str">
        <f>'DAY 1'!Z184</f>
        <v/>
      </c>
      <c r="AC184" t="str">
        <f>'DAY 2'!Z184</f>
        <v/>
      </c>
      <c r="AD184" t="str">
        <f>'DAY 3'!Z184</f>
        <v/>
      </c>
      <c r="AE184" t="str">
        <f>'DAY 4'!Z184</f>
        <v/>
      </c>
      <c r="AF184" t="str">
        <f>'DAY 5'!Z184</f>
        <v/>
      </c>
      <c r="AG184" s="144" t="str">
        <f t="shared" si="22"/>
        <v/>
      </c>
      <c r="AH184" s="145" t="str">
        <f t="shared" si="23"/>
        <v/>
      </c>
    </row>
    <row r="185" spans="2:34" ht="15.75" thickBot="1" x14ac:dyDescent="0.3">
      <c r="B185" s="66" t="str">
        <f>IF(AND('ENTRY DATA'!C185=""),"",('ENTRY DATA'!C185))</f>
        <v/>
      </c>
      <c r="C185" s="67" t="str">
        <f>IF(AND('ENTRY DATA'!D185=""),"",('ENTRY DATA'!D185))</f>
        <v/>
      </c>
      <c r="E185" s="66" t="str">
        <f>IF(AND('ENTRY DATA'!F185=""),"",('ENTRY DATA'!F185))</f>
        <v/>
      </c>
      <c r="F185" s="67" t="str">
        <f>IF(AND('ENTRY DATA'!G185=""),"",('ENTRY DATA'!G185))</f>
        <v/>
      </c>
      <c r="G185" s="61" t="s">
        <v>40</v>
      </c>
      <c r="I185" s="81" t="str">
        <f>IF(AND('DAY 1'!M185=""),"",('DAY 1'!M185))</f>
        <v/>
      </c>
      <c r="J185" s="79" t="str">
        <f>IF(AND('DAY 2'!M185=""),"",('DAY 2'!M185))</f>
        <v/>
      </c>
      <c r="K185" s="79" t="str">
        <f>IF(AND('DAY 3'!M185=""),"",('DAY 3'!M185))</f>
        <v/>
      </c>
      <c r="L185" s="79" t="str">
        <f>IF(AND('DAY 4'!M185=""),"",('DAY 4'!M185))</f>
        <v/>
      </c>
      <c r="M185" s="80" t="str">
        <f>IF(AND('DAY 5'!M185=""),"",('DAY 5'!M185))</f>
        <v/>
      </c>
      <c r="O185" s="78">
        <f>SUM('DAY 1'!L185,'DAY 2'!L185,'DAY 3'!L185,'DAY 4'!L185,'DAY 5'!L185)</f>
        <v>0</v>
      </c>
      <c r="P185" s="82" t="str">
        <f t="shared" si="16"/>
        <v/>
      </c>
      <c r="Q185" s="83" t="str">
        <f t="shared" si="17"/>
        <v/>
      </c>
      <c r="R185" s="148" t="str">
        <f t="shared" si="18"/>
        <v/>
      </c>
      <c r="S185" s="149" t="str">
        <f t="shared" si="19"/>
        <v/>
      </c>
      <c r="U185" s="66" t="str">
        <f>'DAY 1'!Y185</f>
        <v/>
      </c>
      <c r="V185" s="89" t="str">
        <f>'DAY 2'!Y185</f>
        <v/>
      </c>
      <c r="W185" s="89" t="str">
        <f>'DAY 3'!Y185</f>
        <v/>
      </c>
      <c r="X185" s="89" t="str">
        <f>'DAY 4'!Y185</f>
        <v/>
      </c>
      <c r="Y185" s="67" t="str">
        <f>'DAY 5'!Y185</f>
        <v/>
      </c>
      <c r="Z185" s="142" t="str">
        <f t="shared" si="20"/>
        <v/>
      </c>
      <c r="AA185" s="22" t="str">
        <f t="shared" si="21"/>
        <v/>
      </c>
      <c r="AB185" t="str">
        <f>'DAY 1'!Z185</f>
        <v/>
      </c>
      <c r="AC185" t="str">
        <f>'DAY 2'!Z185</f>
        <v/>
      </c>
      <c r="AD185" t="str">
        <f>'DAY 3'!Z185</f>
        <v/>
      </c>
      <c r="AE185" t="str">
        <f>'DAY 4'!Z185</f>
        <v/>
      </c>
      <c r="AF185" t="str">
        <f>'DAY 5'!Z185</f>
        <v/>
      </c>
      <c r="AG185" s="144" t="str">
        <f t="shared" si="22"/>
        <v/>
      </c>
      <c r="AH185" s="145" t="str">
        <f t="shared" si="23"/>
        <v/>
      </c>
    </row>
    <row r="186" spans="2:34" ht="15.75" thickBot="1" x14ac:dyDescent="0.3">
      <c r="B186" s="66" t="str">
        <f>IF(AND('ENTRY DATA'!C186=""),"",('ENTRY DATA'!C186))</f>
        <v/>
      </c>
      <c r="C186" s="67" t="str">
        <f>IF(AND('ENTRY DATA'!D186=""),"",('ENTRY DATA'!D186))</f>
        <v/>
      </c>
      <c r="E186" s="66" t="str">
        <f>IF(AND('ENTRY DATA'!F186=""),"",('ENTRY DATA'!F186))</f>
        <v/>
      </c>
      <c r="F186" s="67" t="str">
        <f>IF(AND('ENTRY DATA'!G186=""),"",('ENTRY DATA'!G186))</f>
        <v/>
      </c>
      <c r="G186" s="61" t="s">
        <v>40</v>
      </c>
      <c r="I186" s="81" t="str">
        <f>IF(AND('DAY 1'!M186=""),"",('DAY 1'!M186))</f>
        <v/>
      </c>
      <c r="J186" s="79" t="str">
        <f>IF(AND('DAY 2'!M186=""),"",('DAY 2'!M186))</f>
        <v/>
      </c>
      <c r="K186" s="79" t="str">
        <f>IF(AND('DAY 3'!M186=""),"",('DAY 3'!M186))</f>
        <v/>
      </c>
      <c r="L186" s="79" t="str">
        <f>IF(AND('DAY 4'!M186=""),"",('DAY 4'!M186))</f>
        <v/>
      </c>
      <c r="M186" s="80" t="str">
        <f>IF(AND('DAY 5'!M186=""),"",('DAY 5'!M186))</f>
        <v/>
      </c>
      <c r="O186" s="78">
        <f>SUM('DAY 1'!L186,'DAY 2'!L186,'DAY 3'!L186,'DAY 4'!L186,'DAY 5'!L186)</f>
        <v>0</v>
      </c>
      <c r="P186" s="82" t="str">
        <f t="shared" si="16"/>
        <v/>
      </c>
      <c r="Q186" s="83" t="str">
        <f t="shared" si="17"/>
        <v/>
      </c>
      <c r="R186" s="148" t="str">
        <f t="shared" si="18"/>
        <v/>
      </c>
      <c r="S186" s="149" t="str">
        <f t="shared" si="19"/>
        <v/>
      </c>
      <c r="U186" s="66" t="str">
        <f>'DAY 1'!Y186</f>
        <v/>
      </c>
      <c r="V186" s="89" t="str">
        <f>'DAY 2'!Y186</f>
        <v/>
      </c>
      <c r="W186" s="89" t="str">
        <f>'DAY 3'!Y186</f>
        <v/>
      </c>
      <c r="X186" s="89" t="str">
        <f>'DAY 4'!Y186</f>
        <v/>
      </c>
      <c r="Y186" s="67" t="str">
        <f>'DAY 5'!Y186</f>
        <v/>
      </c>
      <c r="Z186" s="142" t="str">
        <f t="shared" si="20"/>
        <v/>
      </c>
      <c r="AA186" s="22" t="str">
        <f t="shared" si="21"/>
        <v/>
      </c>
      <c r="AB186" t="str">
        <f>'DAY 1'!Z186</f>
        <v/>
      </c>
      <c r="AC186" t="str">
        <f>'DAY 2'!Z186</f>
        <v/>
      </c>
      <c r="AD186" t="str">
        <f>'DAY 3'!Z186</f>
        <v/>
      </c>
      <c r="AE186" t="str">
        <f>'DAY 4'!Z186</f>
        <v/>
      </c>
      <c r="AF186" t="str">
        <f>'DAY 5'!Z186</f>
        <v/>
      </c>
      <c r="AG186" s="144" t="str">
        <f t="shared" si="22"/>
        <v/>
      </c>
      <c r="AH186" s="145" t="str">
        <f t="shared" si="23"/>
        <v/>
      </c>
    </row>
    <row r="187" spans="2:34" ht="15.75" thickBot="1" x14ac:dyDescent="0.3">
      <c r="B187" s="66" t="str">
        <f>IF(AND('ENTRY DATA'!C187=""),"",('ENTRY DATA'!C187))</f>
        <v/>
      </c>
      <c r="C187" s="67" t="str">
        <f>IF(AND('ENTRY DATA'!D187=""),"",('ENTRY DATA'!D187))</f>
        <v/>
      </c>
      <c r="E187" s="66" t="str">
        <f>IF(AND('ENTRY DATA'!F187=""),"",('ENTRY DATA'!F187))</f>
        <v/>
      </c>
      <c r="F187" s="67" t="str">
        <f>IF(AND('ENTRY DATA'!G187=""),"",('ENTRY DATA'!G187))</f>
        <v/>
      </c>
      <c r="G187" s="61" t="s">
        <v>40</v>
      </c>
      <c r="I187" s="81" t="str">
        <f>IF(AND('DAY 1'!M187=""),"",('DAY 1'!M187))</f>
        <v/>
      </c>
      <c r="J187" s="79" t="str">
        <f>IF(AND('DAY 2'!M187=""),"",('DAY 2'!M187))</f>
        <v/>
      </c>
      <c r="K187" s="79" t="str">
        <f>IF(AND('DAY 3'!M187=""),"",('DAY 3'!M187))</f>
        <v/>
      </c>
      <c r="L187" s="79" t="str">
        <f>IF(AND('DAY 4'!M187=""),"",('DAY 4'!M187))</f>
        <v/>
      </c>
      <c r="M187" s="80" t="str">
        <f>IF(AND('DAY 5'!M187=""),"",('DAY 5'!M187))</f>
        <v/>
      </c>
      <c r="O187" s="78">
        <f>SUM('DAY 1'!L187,'DAY 2'!L187,'DAY 3'!L187,'DAY 4'!L187,'DAY 5'!L187)</f>
        <v>0</v>
      </c>
      <c r="P187" s="82" t="str">
        <f t="shared" si="16"/>
        <v/>
      </c>
      <c r="Q187" s="83" t="str">
        <f t="shared" si="17"/>
        <v/>
      </c>
      <c r="R187" s="148" t="str">
        <f t="shared" si="18"/>
        <v/>
      </c>
      <c r="S187" s="149" t="str">
        <f t="shared" si="19"/>
        <v/>
      </c>
      <c r="U187" s="66" t="str">
        <f>'DAY 1'!Y187</f>
        <v/>
      </c>
      <c r="V187" s="89" t="str">
        <f>'DAY 2'!Y187</f>
        <v/>
      </c>
      <c r="W187" s="89" t="str">
        <f>'DAY 3'!Y187</f>
        <v/>
      </c>
      <c r="X187" s="89" t="str">
        <f>'DAY 4'!Y187</f>
        <v/>
      </c>
      <c r="Y187" s="67" t="str">
        <f>'DAY 5'!Y187</f>
        <v/>
      </c>
      <c r="Z187" s="142" t="str">
        <f t="shared" si="20"/>
        <v/>
      </c>
      <c r="AA187" s="22" t="str">
        <f t="shared" si="21"/>
        <v/>
      </c>
      <c r="AB187" t="str">
        <f>'DAY 1'!Z187</f>
        <v/>
      </c>
      <c r="AC187" t="str">
        <f>'DAY 2'!Z187</f>
        <v/>
      </c>
      <c r="AD187" t="str">
        <f>'DAY 3'!Z187</f>
        <v/>
      </c>
      <c r="AE187" t="str">
        <f>'DAY 4'!Z187</f>
        <v/>
      </c>
      <c r="AF187" t="str">
        <f>'DAY 5'!Z187</f>
        <v/>
      </c>
      <c r="AG187" s="144" t="str">
        <f t="shared" si="22"/>
        <v/>
      </c>
      <c r="AH187" s="145" t="str">
        <f t="shared" si="23"/>
        <v/>
      </c>
    </row>
    <row r="188" spans="2:34" ht="15.75" thickBot="1" x14ac:dyDescent="0.3">
      <c r="B188" s="66" t="str">
        <f>IF(AND('ENTRY DATA'!C188=""),"",('ENTRY DATA'!C188))</f>
        <v/>
      </c>
      <c r="C188" s="67" t="str">
        <f>IF(AND('ENTRY DATA'!D188=""),"",('ENTRY DATA'!D188))</f>
        <v/>
      </c>
      <c r="E188" s="66" t="str">
        <f>IF(AND('ENTRY DATA'!F188=""),"",('ENTRY DATA'!F188))</f>
        <v/>
      </c>
      <c r="F188" s="67" t="str">
        <f>IF(AND('ENTRY DATA'!G188=""),"",('ENTRY DATA'!G188))</f>
        <v/>
      </c>
      <c r="G188" s="61" t="s">
        <v>40</v>
      </c>
      <c r="I188" s="81" t="str">
        <f>IF(AND('DAY 1'!M188=""),"",('DAY 1'!M188))</f>
        <v/>
      </c>
      <c r="J188" s="79" t="str">
        <f>IF(AND('DAY 2'!M188=""),"",('DAY 2'!M188))</f>
        <v/>
      </c>
      <c r="K188" s="79" t="str">
        <f>IF(AND('DAY 3'!M188=""),"",('DAY 3'!M188))</f>
        <v/>
      </c>
      <c r="L188" s="79" t="str">
        <f>IF(AND('DAY 4'!M188=""),"",('DAY 4'!M188))</f>
        <v/>
      </c>
      <c r="M188" s="80" t="str">
        <f>IF(AND('DAY 5'!M188=""),"",('DAY 5'!M188))</f>
        <v/>
      </c>
      <c r="O188" s="78">
        <f>SUM('DAY 1'!L188,'DAY 2'!L188,'DAY 3'!L188,'DAY 4'!L188,'DAY 5'!L188)</f>
        <v>0</v>
      </c>
      <c r="P188" s="82" t="str">
        <f t="shared" si="16"/>
        <v/>
      </c>
      <c r="Q188" s="83" t="str">
        <f t="shared" si="17"/>
        <v/>
      </c>
      <c r="R188" s="148" t="str">
        <f t="shared" si="18"/>
        <v/>
      </c>
      <c r="S188" s="149" t="str">
        <f t="shared" si="19"/>
        <v/>
      </c>
      <c r="U188" s="66" t="str">
        <f>'DAY 1'!Y188</f>
        <v/>
      </c>
      <c r="V188" s="89" t="str">
        <f>'DAY 2'!Y188</f>
        <v/>
      </c>
      <c r="W188" s="89" t="str">
        <f>'DAY 3'!Y188</f>
        <v/>
      </c>
      <c r="X188" s="89" t="str">
        <f>'DAY 4'!Y188</f>
        <v/>
      </c>
      <c r="Y188" s="67" t="str">
        <f>'DAY 5'!Y188</f>
        <v/>
      </c>
      <c r="Z188" s="142" t="str">
        <f t="shared" si="20"/>
        <v/>
      </c>
      <c r="AA188" s="22" t="str">
        <f t="shared" si="21"/>
        <v/>
      </c>
      <c r="AB188" t="str">
        <f>'DAY 1'!Z188</f>
        <v/>
      </c>
      <c r="AC188" t="str">
        <f>'DAY 2'!Z188</f>
        <v/>
      </c>
      <c r="AD188" t="str">
        <f>'DAY 3'!Z188</f>
        <v/>
      </c>
      <c r="AE188" t="str">
        <f>'DAY 4'!Z188</f>
        <v/>
      </c>
      <c r="AF188" t="str">
        <f>'DAY 5'!Z188</f>
        <v/>
      </c>
      <c r="AG188" s="144" t="str">
        <f t="shared" si="22"/>
        <v/>
      </c>
      <c r="AH188" s="145" t="str">
        <f t="shared" si="23"/>
        <v/>
      </c>
    </row>
    <row r="189" spans="2:34" ht="15.75" thickBot="1" x14ac:dyDescent="0.3">
      <c r="B189" s="66" t="str">
        <f>IF(AND('ENTRY DATA'!C189=""),"",('ENTRY DATA'!C189))</f>
        <v/>
      </c>
      <c r="C189" s="67" t="str">
        <f>IF(AND('ENTRY DATA'!D189=""),"",('ENTRY DATA'!D189))</f>
        <v/>
      </c>
      <c r="E189" s="66" t="str">
        <f>IF(AND('ENTRY DATA'!F189=""),"",('ENTRY DATA'!F189))</f>
        <v/>
      </c>
      <c r="F189" s="67" t="str">
        <f>IF(AND('ENTRY DATA'!G189=""),"",('ENTRY DATA'!G189))</f>
        <v/>
      </c>
      <c r="G189" s="61" t="s">
        <v>40</v>
      </c>
      <c r="I189" s="81" t="str">
        <f>IF(AND('DAY 1'!M189=""),"",('DAY 1'!M189))</f>
        <v/>
      </c>
      <c r="J189" s="79" t="str">
        <f>IF(AND('DAY 2'!M189=""),"",('DAY 2'!M189))</f>
        <v/>
      </c>
      <c r="K189" s="79" t="str">
        <f>IF(AND('DAY 3'!M189=""),"",('DAY 3'!M189))</f>
        <v/>
      </c>
      <c r="L189" s="79" t="str">
        <f>IF(AND('DAY 4'!M189=""),"",('DAY 4'!M189))</f>
        <v/>
      </c>
      <c r="M189" s="80" t="str">
        <f>IF(AND('DAY 5'!M189=""),"",('DAY 5'!M189))</f>
        <v/>
      </c>
      <c r="O189" s="78">
        <f>SUM('DAY 1'!L189,'DAY 2'!L189,'DAY 3'!L189,'DAY 4'!L189,'DAY 5'!L189)</f>
        <v>0</v>
      </c>
      <c r="P189" s="82" t="str">
        <f t="shared" si="16"/>
        <v/>
      </c>
      <c r="Q189" s="83" t="str">
        <f t="shared" si="17"/>
        <v/>
      </c>
      <c r="R189" s="148" t="str">
        <f t="shared" si="18"/>
        <v/>
      </c>
      <c r="S189" s="149" t="str">
        <f t="shared" si="19"/>
        <v/>
      </c>
      <c r="U189" s="66" t="str">
        <f>'DAY 1'!Y189</f>
        <v/>
      </c>
      <c r="V189" s="89" t="str">
        <f>'DAY 2'!Y189</f>
        <v/>
      </c>
      <c r="W189" s="89" t="str">
        <f>'DAY 3'!Y189</f>
        <v/>
      </c>
      <c r="X189" s="89" t="str">
        <f>'DAY 4'!Y189</f>
        <v/>
      </c>
      <c r="Y189" s="67" t="str">
        <f>'DAY 5'!Y189</f>
        <v/>
      </c>
      <c r="Z189" s="142" t="str">
        <f t="shared" si="20"/>
        <v/>
      </c>
      <c r="AA189" s="22" t="str">
        <f t="shared" si="21"/>
        <v/>
      </c>
      <c r="AB189" t="str">
        <f>'DAY 1'!Z189</f>
        <v/>
      </c>
      <c r="AC189" t="str">
        <f>'DAY 2'!Z189</f>
        <v/>
      </c>
      <c r="AD189" t="str">
        <f>'DAY 3'!Z189</f>
        <v/>
      </c>
      <c r="AE189" t="str">
        <f>'DAY 4'!Z189</f>
        <v/>
      </c>
      <c r="AF189" t="str">
        <f>'DAY 5'!Z189</f>
        <v/>
      </c>
      <c r="AG189" s="144" t="str">
        <f t="shared" si="22"/>
        <v/>
      </c>
      <c r="AH189" s="145" t="str">
        <f t="shared" si="23"/>
        <v/>
      </c>
    </row>
    <row r="190" spans="2:34" ht="15.75" thickBot="1" x14ac:dyDescent="0.3">
      <c r="B190" s="66" t="str">
        <f>IF(AND('ENTRY DATA'!C190=""),"",('ENTRY DATA'!C190))</f>
        <v/>
      </c>
      <c r="C190" s="67" t="str">
        <f>IF(AND('ENTRY DATA'!D190=""),"",('ENTRY DATA'!D190))</f>
        <v/>
      </c>
      <c r="E190" s="66" t="str">
        <f>IF(AND('ENTRY DATA'!F190=""),"",('ENTRY DATA'!F190))</f>
        <v/>
      </c>
      <c r="F190" s="67" t="str">
        <f>IF(AND('ENTRY DATA'!G190=""),"",('ENTRY DATA'!G190))</f>
        <v/>
      </c>
      <c r="G190" s="61" t="s">
        <v>40</v>
      </c>
      <c r="I190" s="81" t="str">
        <f>IF(AND('DAY 1'!M190=""),"",('DAY 1'!M190))</f>
        <v/>
      </c>
      <c r="J190" s="79" t="str">
        <f>IF(AND('DAY 2'!M190=""),"",('DAY 2'!M190))</f>
        <v/>
      </c>
      <c r="K190" s="79" t="str">
        <f>IF(AND('DAY 3'!M190=""),"",('DAY 3'!M190))</f>
        <v/>
      </c>
      <c r="L190" s="79" t="str">
        <f>IF(AND('DAY 4'!M190=""),"",('DAY 4'!M190))</f>
        <v/>
      </c>
      <c r="M190" s="80" t="str">
        <f>IF(AND('DAY 5'!M190=""),"",('DAY 5'!M190))</f>
        <v/>
      </c>
      <c r="O190" s="78">
        <f>SUM('DAY 1'!L190,'DAY 2'!L190,'DAY 3'!L190,'DAY 4'!L190,'DAY 5'!L190)</f>
        <v>0</v>
      </c>
      <c r="P190" s="82" t="str">
        <f t="shared" si="16"/>
        <v/>
      </c>
      <c r="Q190" s="83" t="str">
        <f t="shared" si="17"/>
        <v/>
      </c>
      <c r="R190" s="148" t="str">
        <f t="shared" si="18"/>
        <v/>
      </c>
      <c r="S190" s="149" t="str">
        <f t="shared" si="19"/>
        <v/>
      </c>
      <c r="U190" s="66" t="str">
        <f>'DAY 1'!Y190</f>
        <v/>
      </c>
      <c r="V190" s="89" t="str">
        <f>'DAY 2'!Y190</f>
        <v/>
      </c>
      <c r="W190" s="89" t="str">
        <f>'DAY 3'!Y190</f>
        <v/>
      </c>
      <c r="X190" s="89" t="str">
        <f>'DAY 4'!Y190</f>
        <v/>
      </c>
      <c r="Y190" s="67" t="str">
        <f>'DAY 5'!Y190</f>
        <v/>
      </c>
      <c r="Z190" s="142" t="str">
        <f t="shared" si="20"/>
        <v/>
      </c>
      <c r="AA190" s="22" t="str">
        <f t="shared" si="21"/>
        <v/>
      </c>
      <c r="AB190" t="str">
        <f>'DAY 1'!Z190</f>
        <v/>
      </c>
      <c r="AC190" t="str">
        <f>'DAY 2'!Z190</f>
        <v/>
      </c>
      <c r="AD190" t="str">
        <f>'DAY 3'!Z190</f>
        <v/>
      </c>
      <c r="AE190" t="str">
        <f>'DAY 4'!Z190</f>
        <v/>
      </c>
      <c r="AF190" t="str">
        <f>'DAY 5'!Z190</f>
        <v/>
      </c>
      <c r="AG190" s="144" t="str">
        <f t="shared" si="22"/>
        <v/>
      </c>
      <c r="AH190" s="145" t="str">
        <f t="shared" si="23"/>
        <v/>
      </c>
    </row>
    <row r="191" spans="2:34" ht="15.75" thickBot="1" x14ac:dyDescent="0.3">
      <c r="B191" s="66" t="str">
        <f>IF(AND('ENTRY DATA'!C191=""),"",('ENTRY DATA'!C191))</f>
        <v/>
      </c>
      <c r="C191" s="67" t="str">
        <f>IF(AND('ENTRY DATA'!D191=""),"",('ENTRY DATA'!D191))</f>
        <v/>
      </c>
      <c r="E191" s="66" t="str">
        <f>IF(AND('ENTRY DATA'!F191=""),"",('ENTRY DATA'!F191))</f>
        <v/>
      </c>
      <c r="F191" s="67" t="str">
        <f>IF(AND('ENTRY DATA'!G191=""),"",('ENTRY DATA'!G191))</f>
        <v/>
      </c>
      <c r="G191" s="61" t="s">
        <v>40</v>
      </c>
      <c r="I191" s="81" t="str">
        <f>IF(AND('DAY 1'!M191=""),"",('DAY 1'!M191))</f>
        <v/>
      </c>
      <c r="J191" s="79" t="str">
        <f>IF(AND('DAY 2'!M191=""),"",('DAY 2'!M191))</f>
        <v/>
      </c>
      <c r="K191" s="79" t="str">
        <f>IF(AND('DAY 3'!M191=""),"",('DAY 3'!M191))</f>
        <v/>
      </c>
      <c r="L191" s="79" t="str">
        <f>IF(AND('DAY 4'!M191=""),"",('DAY 4'!M191))</f>
        <v/>
      </c>
      <c r="M191" s="80" t="str">
        <f>IF(AND('DAY 5'!M191=""),"",('DAY 5'!M191))</f>
        <v/>
      </c>
      <c r="O191" s="78">
        <f>SUM('DAY 1'!L191,'DAY 2'!L191,'DAY 3'!L191,'DAY 4'!L191,'DAY 5'!L191)</f>
        <v>0</v>
      </c>
      <c r="P191" s="82" t="str">
        <f t="shared" si="16"/>
        <v/>
      </c>
      <c r="Q191" s="83" t="str">
        <f t="shared" si="17"/>
        <v/>
      </c>
      <c r="R191" s="148" t="str">
        <f t="shared" si="18"/>
        <v/>
      </c>
      <c r="S191" s="149" t="str">
        <f t="shared" si="19"/>
        <v/>
      </c>
      <c r="U191" s="66" t="str">
        <f>'DAY 1'!Y191</f>
        <v/>
      </c>
      <c r="V191" s="89" t="str">
        <f>'DAY 2'!Y191</f>
        <v/>
      </c>
      <c r="W191" s="89" t="str">
        <f>'DAY 3'!Y191</f>
        <v/>
      </c>
      <c r="X191" s="89" t="str">
        <f>'DAY 4'!Y191</f>
        <v/>
      </c>
      <c r="Y191" s="67" t="str">
        <f>'DAY 5'!Y191</f>
        <v/>
      </c>
      <c r="Z191" s="142" t="str">
        <f t="shared" si="20"/>
        <v/>
      </c>
      <c r="AA191" s="22" t="str">
        <f t="shared" si="21"/>
        <v/>
      </c>
      <c r="AB191" t="str">
        <f>'DAY 1'!Z191</f>
        <v/>
      </c>
      <c r="AC191" t="str">
        <f>'DAY 2'!Z191</f>
        <v/>
      </c>
      <c r="AD191" t="str">
        <f>'DAY 3'!Z191</f>
        <v/>
      </c>
      <c r="AE191" t="str">
        <f>'DAY 4'!Z191</f>
        <v/>
      </c>
      <c r="AF191" t="str">
        <f>'DAY 5'!Z191</f>
        <v/>
      </c>
      <c r="AG191" s="144" t="str">
        <f t="shared" si="22"/>
        <v/>
      </c>
      <c r="AH191" s="145" t="str">
        <f t="shared" si="23"/>
        <v/>
      </c>
    </row>
    <row r="192" spans="2:34" ht="15.75" thickBot="1" x14ac:dyDescent="0.3">
      <c r="B192" s="66" t="str">
        <f>IF(AND('ENTRY DATA'!C192=""),"",('ENTRY DATA'!C192))</f>
        <v/>
      </c>
      <c r="C192" s="67" t="str">
        <f>IF(AND('ENTRY DATA'!D192=""),"",('ENTRY DATA'!D192))</f>
        <v/>
      </c>
      <c r="E192" s="66" t="str">
        <f>IF(AND('ENTRY DATA'!F192=""),"",('ENTRY DATA'!F192))</f>
        <v/>
      </c>
      <c r="F192" s="67" t="str">
        <f>IF(AND('ENTRY DATA'!G192=""),"",('ENTRY DATA'!G192))</f>
        <v/>
      </c>
      <c r="G192" s="61" t="s">
        <v>40</v>
      </c>
      <c r="I192" s="81" t="str">
        <f>IF(AND('DAY 1'!M192=""),"",('DAY 1'!M192))</f>
        <v/>
      </c>
      <c r="J192" s="79" t="str">
        <f>IF(AND('DAY 2'!M192=""),"",('DAY 2'!M192))</f>
        <v/>
      </c>
      <c r="K192" s="79" t="str">
        <f>IF(AND('DAY 3'!M192=""),"",('DAY 3'!M192))</f>
        <v/>
      </c>
      <c r="L192" s="79" t="str">
        <f>IF(AND('DAY 4'!M192=""),"",('DAY 4'!M192))</f>
        <v/>
      </c>
      <c r="M192" s="80" t="str">
        <f>IF(AND('DAY 5'!M192=""),"",('DAY 5'!M192))</f>
        <v/>
      </c>
      <c r="O192" s="78">
        <f>SUM('DAY 1'!L192,'DAY 2'!L192,'DAY 3'!L192,'DAY 4'!L192,'DAY 5'!L192)</f>
        <v>0</v>
      </c>
      <c r="P192" s="82" t="str">
        <f t="shared" si="16"/>
        <v/>
      </c>
      <c r="Q192" s="83" t="str">
        <f t="shared" si="17"/>
        <v/>
      </c>
      <c r="R192" s="148" t="str">
        <f t="shared" si="18"/>
        <v/>
      </c>
      <c r="S192" s="149" t="str">
        <f t="shared" si="19"/>
        <v/>
      </c>
      <c r="U192" s="66" t="str">
        <f>'DAY 1'!Y192</f>
        <v/>
      </c>
      <c r="V192" s="89" t="str">
        <f>'DAY 2'!Y192</f>
        <v/>
      </c>
      <c r="W192" s="89" t="str">
        <f>'DAY 3'!Y192</f>
        <v/>
      </c>
      <c r="X192" s="89" t="str">
        <f>'DAY 4'!Y192</f>
        <v/>
      </c>
      <c r="Y192" s="67" t="str">
        <f>'DAY 5'!Y192</f>
        <v/>
      </c>
      <c r="Z192" s="142" t="str">
        <f t="shared" si="20"/>
        <v/>
      </c>
      <c r="AA192" s="22" t="str">
        <f t="shared" si="21"/>
        <v/>
      </c>
      <c r="AB192" t="str">
        <f>'DAY 1'!Z192</f>
        <v/>
      </c>
      <c r="AC192" t="str">
        <f>'DAY 2'!Z192</f>
        <v/>
      </c>
      <c r="AD192" t="str">
        <f>'DAY 3'!Z192</f>
        <v/>
      </c>
      <c r="AE192" t="str">
        <f>'DAY 4'!Z192</f>
        <v/>
      </c>
      <c r="AF192" t="str">
        <f>'DAY 5'!Z192</f>
        <v/>
      </c>
      <c r="AG192" s="144" t="str">
        <f t="shared" si="22"/>
        <v/>
      </c>
      <c r="AH192" s="145" t="str">
        <f t="shared" si="23"/>
        <v/>
      </c>
    </row>
    <row r="193" spans="2:34" ht="15.75" thickBot="1" x14ac:dyDescent="0.3">
      <c r="B193" s="66" t="str">
        <f>IF(AND('ENTRY DATA'!C193=""),"",('ENTRY DATA'!C193))</f>
        <v/>
      </c>
      <c r="C193" s="67" t="str">
        <f>IF(AND('ENTRY DATA'!D193=""),"",('ENTRY DATA'!D193))</f>
        <v/>
      </c>
      <c r="E193" s="66" t="str">
        <f>IF(AND('ENTRY DATA'!F193=""),"",('ENTRY DATA'!F193))</f>
        <v/>
      </c>
      <c r="F193" s="67" t="str">
        <f>IF(AND('ENTRY DATA'!G193=""),"",('ENTRY DATA'!G193))</f>
        <v/>
      </c>
      <c r="G193" s="61" t="s">
        <v>40</v>
      </c>
      <c r="I193" s="81" t="str">
        <f>IF(AND('DAY 1'!M193=""),"",('DAY 1'!M193))</f>
        <v/>
      </c>
      <c r="J193" s="79" t="str">
        <f>IF(AND('DAY 2'!M193=""),"",('DAY 2'!M193))</f>
        <v/>
      </c>
      <c r="K193" s="79" t="str">
        <f>IF(AND('DAY 3'!M193=""),"",('DAY 3'!M193))</f>
        <v/>
      </c>
      <c r="L193" s="79" t="str">
        <f>IF(AND('DAY 4'!M193=""),"",('DAY 4'!M193))</f>
        <v/>
      </c>
      <c r="M193" s="80" t="str">
        <f>IF(AND('DAY 5'!M193=""),"",('DAY 5'!M193))</f>
        <v/>
      </c>
      <c r="O193" s="78">
        <f>SUM('DAY 1'!L193,'DAY 2'!L193,'DAY 3'!L193,'DAY 4'!L193,'DAY 5'!L193)</f>
        <v>0</v>
      </c>
      <c r="P193" s="82" t="str">
        <f t="shared" si="16"/>
        <v/>
      </c>
      <c r="Q193" s="83" t="str">
        <f t="shared" si="17"/>
        <v/>
      </c>
      <c r="R193" s="148" t="str">
        <f t="shared" si="18"/>
        <v/>
      </c>
      <c r="S193" s="149" t="str">
        <f t="shared" si="19"/>
        <v/>
      </c>
      <c r="U193" s="66" t="str">
        <f>'DAY 1'!Y193</f>
        <v/>
      </c>
      <c r="V193" s="89" t="str">
        <f>'DAY 2'!Y193</f>
        <v/>
      </c>
      <c r="W193" s="89" t="str">
        <f>'DAY 3'!Y193</f>
        <v/>
      </c>
      <c r="X193" s="89" t="str">
        <f>'DAY 4'!Y193</f>
        <v/>
      </c>
      <c r="Y193" s="67" t="str">
        <f>'DAY 5'!Y193</f>
        <v/>
      </c>
      <c r="Z193" s="142" t="str">
        <f t="shared" si="20"/>
        <v/>
      </c>
      <c r="AA193" s="22" t="str">
        <f t="shared" si="21"/>
        <v/>
      </c>
      <c r="AB193" t="str">
        <f>'DAY 1'!Z193</f>
        <v/>
      </c>
      <c r="AC193" t="str">
        <f>'DAY 2'!Z193</f>
        <v/>
      </c>
      <c r="AD193" t="str">
        <f>'DAY 3'!Z193</f>
        <v/>
      </c>
      <c r="AE193" t="str">
        <f>'DAY 4'!Z193</f>
        <v/>
      </c>
      <c r="AF193" t="str">
        <f>'DAY 5'!Z193</f>
        <v/>
      </c>
      <c r="AG193" s="144" t="str">
        <f t="shared" si="22"/>
        <v/>
      </c>
      <c r="AH193" s="145" t="str">
        <f t="shared" si="23"/>
        <v/>
      </c>
    </row>
    <row r="194" spans="2:34" ht="15.75" thickBot="1" x14ac:dyDescent="0.3">
      <c r="B194" s="66" t="str">
        <f>IF(AND('ENTRY DATA'!C194=""),"",('ENTRY DATA'!C194))</f>
        <v/>
      </c>
      <c r="C194" s="67" t="str">
        <f>IF(AND('ENTRY DATA'!D194=""),"",('ENTRY DATA'!D194))</f>
        <v/>
      </c>
      <c r="E194" s="66" t="str">
        <f>IF(AND('ENTRY DATA'!F194=""),"",('ENTRY DATA'!F194))</f>
        <v/>
      </c>
      <c r="F194" s="67" t="str">
        <f>IF(AND('ENTRY DATA'!G194=""),"",('ENTRY DATA'!G194))</f>
        <v/>
      </c>
      <c r="G194" s="61" t="s">
        <v>40</v>
      </c>
      <c r="I194" s="81" t="str">
        <f>IF(AND('DAY 1'!M194=""),"",('DAY 1'!M194))</f>
        <v/>
      </c>
      <c r="J194" s="79" t="str">
        <f>IF(AND('DAY 2'!M194=""),"",('DAY 2'!M194))</f>
        <v/>
      </c>
      <c r="K194" s="79" t="str">
        <f>IF(AND('DAY 3'!M194=""),"",('DAY 3'!M194))</f>
        <v/>
      </c>
      <c r="L194" s="79" t="str">
        <f>IF(AND('DAY 4'!M194=""),"",('DAY 4'!M194))</f>
        <v/>
      </c>
      <c r="M194" s="80" t="str">
        <f>IF(AND('DAY 5'!M194=""),"",('DAY 5'!M194))</f>
        <v/>
      </c>
      <c r="O194" s="78">
        <f>SUM('DAY 1'!L194,'DAY 2'!L194,'DAY 3'!L194,'DAY 4'!L194,'DAY 5'!L194)</f>
        <v>0</v>
      </c>
      <c r="P194" s="82" t="str">
        <f t="shared" si="16"/>
        <v/>
      </c>
      <c r="Q194" s="83" t="str">
        <f t="shared" si="17"/>
        <v/>
      </c>
      <c r="R194" s="148" t="str">
        <f t="shared" si="18"/>
        <v/>
      </c>
      <c r="S194" s="149" t="str">
        <f t="shared" si="19"/>
        <v/>
      </c>
      <c r="U194" s="66" t="str">
        <f>'DAY 1'!Y194</f>
        <v/>
      </c>
      <c r="V194" s="89" t="str">
        <f>'DAY 2'!Y194</f>
        <v/>
      </c>
      <c r="W194" s="89" t="str">
        <f>'DAY 3'!Y194</f>
        <v/>
      </c>
      <c r="X194" s="89" t="str">
        <f>'DAY 4'!Y194</f>
        <v/>
      </c>
      <c r="Y194" s="67" t="str">
        <f>'DAY 5'!Y194</f>
        <v/>
      </c>
      <c r="Z194" s="142" t="str">
        <f t="shared" si="20"/>
        <v/>
      </c>
      <c r="AA194" s="22" t="str">
        <f t="shared" si="21"/>
        <v/>
      </c>
      <c r="AB194" t="str">
        <f>'DAY 1'!Z194</f>
        <v/>
      </c>
      <c r="AC194" t="str">
        <f>'DAY 2'!Z194</f>
        <v/>
      </c>
      <c r="AD194" t="str">
        <f>'DAY 3'!Z194</f>
        <v/>
      </c>
      <c r="AE194" t="str">
        <f>'DAY 4'!Z194</f>
        <v/>
      </c>
      <c r="AF194" t="str">
        <f>'DAY 5'!Z194</f>
        <v/>
      </c>
      <c r="AG194" s="144" t="str">
        <f t="shared" si="22"/>
        <v/>
      </c>
      <c r="AH194" s="145" t="str">
        <f t="shared" si="23"/>
        <v/>
      </c>
    </row>
    <row r="195" spans="2:34" ht="15.75" thickBot="1" x14ac:dyDescent="0.3">
      <c r="B195" s="66" t="str">
        <f>IF(AND('ENTRY DATA'!C195=""),"",('ENTRY DATA'!C195))</f>
        <v/>
      </c>
      <c r="C195" s="67" t="str">
        <f>IF(AND('ENTRY DATA'!D195=""),"",('ENTRY DATA'!D195))</f>
        <v/>
      </c>
      <c r="E195" s="66" t="str">
        <f>IF(AND('ENTRY DATA'!F195=""),"",('ENTRY DATA'!F195))</f>
        <v/>
      </c>
      <c r="F195" s="67" t="str">
        <f>IF(AND('ENTRY DATA'!G195=""),"",('ENTRY DATA'!G195))</f>
        <v/>
      </c>
      <c r="G195" s="61" t="s">
        <v>40</v>
      </c>
      <c r="I195" s="81" t="str">
        <f>IF(AND('DAY 1'!M195=""),"",('DAY 1'!M195))</f>
        <v/>
      </c>
      <c r="J195" s="79" t="str">
        <f>IF(AND('DAY 2'!M195=""),"",('DAY 2'!M195))</f>
        <v/>
      </c>
      <c r="K195" s="79" t="str">
        <f>IF(AND('DAY 3'!M195=""),"",('DAY 3'!M195))</f>
        <v/>
      </c>
      <c r="L195" s="79" t="str">
        <f>IF(AND('DAY 4'!M195=""),"",('DAY 4'!M195))</f>
        <v/>
      </c>
      <c r="M195" s="80" t="str">
        <f>IF(AND('DAY 5'!M195=""),"",('DAY 5'!M195))</f>
        <v/>
      </c>
      <c r="O195" s="78">
        <f>SUM('DAY 1'!L195,'DAY 2'!L195,'DAY 3'!L195,'DAY 4'!L195,'DAY 5'!L195)</f>
        <v>0</v>
      </c>
      <c r="P195" s="82" t="str">
        <f t="shared" si="16"/>
        <v/>
      </c>
      <c r="Q195" s="83" t="str">
        <f t="shared" si="17"/>
        <v/>
      </c>
      <c r="R195" s="148" t="str">
        <f t="shared" si="18"/>
        <v/>
      </c>
      <c r="S195" s="149" t="str">
        <f t="shared" si="19"/>
        <v/>
      </c>
      <c r="U195" s="66" t="str">
        <f>'DAY 1'!Y195</f>
        <v/>
      </c>
      <c r="V195" s="89" t="str">
        <f>'DAY 2'!Y195</f>
        <v/>
      </c>
      <c r="W195" s="89" t="str">
        <f>'DAY 3'!Y195</f>
        <v/>
      </c>
      <c r="X195" s="89" t="str">
        <f>'DAY 4'!Y195</f>
        <v/>
      </c>
      <c r="Y195" s="67" t="str">
        <f>'DAY 5'!Y195</f>
        <v/>
      </c>
      <c r="Z195" s="142" t="str">
        <f t="shared" si="20"/>
        <v/>
      </c>
      <c r="AA195" s="22" t="str">
        <f t="shared" si="21"/>
        <v/>
      </c>
      <c r="AB195" t="str">
        <f>'DAY 1'!Z195</f>
        <v/>
      </c>
      <c r="AC195" t="str">
        <f>'DAY 2'!Z195</f>
        <v/>
      </c>
      <c r="AD195" t="str">
        <f>'DAY 3'!Z195</f>
        <v/>
      </c>
      <c r="AE195" t="str">
        <f>'DAY 4'!Z195</f>
        <v/>
      </c>
      <c r="AF195" t="str">
        <f>'DAY 5'!Z195</f>
        <v/>
      </c>
      <c r="AG195" s="144" t="str">
        <f t="shared" si="22"/>
        <v/>
      </c>
      <c r="AH195" s="145" t="str">
        <f t="shared" si="23"/>
        <v/>
      </c>
    </row>
    <row r="196" spans="2:34" ht="15.75" thickBot="1" x14ac:dyDescent="0.3">
      <c r="B196" s="66" t="str">
        <f>IF(AND('ENTRY DATA'!C196=""),"",('ENTRY DATA'!C196))</f>
        <v/>
      </c>
      <c r="C196" s="67" t="str">
        <f>IF(AND('ENTRY DATA'!D196=""),"",('ENTRY DATA'!D196))</f>
        <v/>
      </c>
      <c r="E196" s="66" t="str">
        <f>IF(AND('ENTRY DATA'!F196=""),"",('ENTRY DATA'!F196))</f>
        <v/>
      </c>
      <c r="F196" s="67" t="str">
        <f>IF(AND('ENTRY DATA'!G196=""),"",('ENTRY DATA'!G196))</f>
        <v/>
      </c>
      <c r="G196" s="61" t="s">
        <v>40</v>
      </c>
      <c r="I196" s="81" t="str">
        <f>IF(AND('DAY 1'!M196=""),"",('DAY 1'!M196))</f>
        <v/>
      </c>
      <c r="J196" s="79" t="str">
        <f>IF(AND('DAY 2'!M196=""),"",('DAY 2'!M196))</f>
        <v/>
      </c>
      <c r="K196" s="79" t="str">
        <f>IF(AND('DAY 3'!M196=""),"",('DAY 3'!M196))</f>
        <v/>
      </c>
      <c r="L196" s="79" t="str">
        <f>IF(AND('DAY 4'!M196=""),"",('DAY 4'!M196))</f>
        <v/>
      </c>
      <c r="M196" s="80" t="str">
        <f>IF(AND('DAY 5'!M196=""),"",('DAY 5'!M196))</f>
        <v/>
      </c>
      <c r="O196" s="78">
        <f>SUM('DAY 1'!L196,'DAY 2'!L196,'DAY 3'!L196,'DAY 4'!L196,'DAY 5'!L196)</f>
        <v>0</v>
      </c>
      <c r="P196" s="82" t="str">
        <f t="shared" si="16"/>
        <v/>
      </c>
      <c r="Q196" s="83" t="str">
        <f t="shared" si="17"/>
        <v/>
      </c>
      <c r="R196" s="148" t="str">
        <f t="shared" si="18"/>
        <v/>
      </c>
      <c r="S196" s="149" t="str">
        <f t="shared" si="19"/>
        <v/>
      </c>
      <c r="U196" s="66" t="str">
        <f>'DAY 1'!Y196</f>
        <v/>
      </c>
      <c r="V196" s="89" t="str">
        <f>'DAY 2'!Y196</f>
        <v/>
      </c>
      <c r="W196" s="89" t="str">
        <f>'DAY 3'!Y196</f>
        <v/>
      </c>
      <c r="X196" s="89" t="str">
        <f>'DAY 4'!Y196</f>
        <v/>
      </c>
      <c r="Y196" s="67" t="str">
        <f>'DAY 5'!Y196</f>
        <v/>
      </c>
      <c r="Z196" s="142" t="str">
        <f t="shared" si="20"/>
        <v/>
      </c>
      <c r="AA196" s="22" t="str">
        <f t="shared" si="21"/>
        <v/>
      </c>
      <c r="AB196" t="str">
        <f>'DAY 1'!Z196</f>
        <v/>
      </c>
      <c r="AC196" t="str">
        <f>'DAY 2'!Z196</f>
        <v/>
      </c>
      <c r="AD196" t="str">
        <f>'DAY 3'!Z196</f>
        <v/>
      </c>
      <c r="AE196" t="str">
        <f>'DAY 4'!Z196</f>
        <v/>
      </c>
      <c r="AF196" t="str">
        <f>'DAY 5'!Z196</f>
        <v/>
      </c>
      <c r="AG196" s="144" t="str">
        <f t="shared" si="22"/>
        <v/>
      </c>
      <c r="AH196" s="145" t="str">
        <f t="shared" si="23"/>
        <v/>
      </c>
    </row>
    <row r="197" spans="2:34" ht="15.75" thickBot="1" x14ac:dyDescent="0.3">
      <c r="B197" s="66" t="str">
        <f>IF(AND('ENTRY DATA'!C197=""),"",('ENTRY DATA'!C197))</f>
        <v/>
      </c>
      <c r="C197" s="67" t="str">
        <f>IF(AND('ENTRY DATA'!D197=""),"",('ENTRY DATA'!D197))</f>
        <v/>
      </c>
      <c r="E197" s="66" t="str">
        <f>IF(AND('ENTRY DATA'!F197=""),"",('ENTRY DATA'!F197))</f>
        <v/>
      </c>
      <c r="F197" s="67" t="str">
        <f>IF(AND('ENTRY DATA'!G197=""),"",('ENTRY DATA'!G197))</f>
        <v/>
      </c>
      <c r="G197" s="61" t="s">
        <v>40</v>
      </c>
      <c r="I197" s="81" t="str">
        <f>IF(AND('DAY 1'!M197=""),"",('DAY 1'!M197))</f>
        <v/>
      </c>
      <c r="J197" s="79" t="str">
        <f>IF(AND('DAY 2'!M197=""),"",('DAY 2'!M197))</f>
        <v/>
      </c>
      <c r="K197" s="79" t="str">
        <f>IF(AND('DAY 3'!M197=""),"",('DAY 3'!M197))</f>
        <v/>
      </c>
      <c r="L197" s="79" t="str">
        <f>IF(AND('DAY 4'!M197=""),"",('DAY 4'!M197))</f>
        <v/>
      </c>
      <c r="M197" s="80" t="str">
        <f>IF(AND('DAY 5'!M197=""),"",('DAY 5'!M197))</f>
        <v/>
      </c>
      <c r="O197" s="78">
        <f>SUM('DAY 1'!L197,'DAY 2'!L197,'DAY 3'!L197,'DAY 4'!L197,'DAY 5'!L197)</f>
        <v>0</v>
      </c>
      <c r="P197" s="82" t="str">
        <f t="shared" si="16"/>
        <v/>
      </c>
      <c r="Q197" s="83" t="str">
        <f t="shared" si="17"/>
        <v/>
      </c>
      <c r="R197" s="148" t="str">
        <f t="shared" si="18"/>
        <v/>
      </c>
      <c r="S197" s="149" t="str">
        <f t="shared" si="19"/>
        <v/>
      </c>
      <c r="U197" s="66" t="str">
        <f>'DAY 1'!Y197</f>
        <v/>
      </c>
      <c r="V197" s="89" t="str">
        <f>'DAY 2'!Y197</f>
        <v/>
      </c>
      <c r="W197" s="89" t="str">
        <f>'DAY 3'!Y197</f>
        <v/>
      </c>
      <c r="X197" s="89" t="str">
        <f>'DAY 4'!Y197</f>
        <v/>
      </c>
      <c r="Y197" s="67" t="str">
        <f>'DAY 5'!Y197</f>
        <v/>
      </c>
      <c r="Z197" s="142" t="str">
        <f t="shared" si="20"/>
        <v/>
      </c>
      <c r="AA197" s="22" t="str">
        <f t="shared" si="21"/>
        <v/>
      </c>
      <c r="AB197" t="str">
        <f>'DAY 1'!Z197</f>
        <v/>
      </c>
      <c r="AC197" t="str">
        <f>'DAY 2'!Z197</f>
        <v/>
      </c>
      <c r="AD197" t="str">
        <f>'DAY 3'!Z197</f>
        <v/>
      </c>
      <c r="AE197" t="str">
        <f>'DAY 4'!Z197</f>
        <v/>
      </c>
      <c r="AF197" t="str">
        <f>'DAY 5'!Z197</f>
        <v/>
      </c>
      <c r="AG197" s="144" t="str">
        <f t="shared" si="22"/>
        <v/>
      </c>
      <c r="AH197" s="145" t="str">
        <f t="shared" si="23"/>
        <v/>
      </c>
    </row>
    <row r="198" spans="2:34" ht="15.75" thickBot="1" x14ac:dyDescent="0.3">
      <c r="B198" s="66" t="str">
        <f>IF(AND('ENTRY DATA'!C198=""),"",('ENTRY DATA'!C198))</f>
        <v/>
      </c>
      <c r="C198" s="67" t="str">
        <f>IF(AND('ENTRY DATA'!D198=""),"",('ENTRY DATA'!D198))</f>
        <v/>
      </c>
      <c r="E198" s="66" t="str">
        <f>IF(AND('ENTRY DATA'!F198=""),"",('ENTRY DATA'!F198))</f>
        <v/>
      </c>
      <c r="F198" s="67" t="str">
        <f>IF(AND('ENTRY DATA'!G198=""),"",('ENTRY DATA'!G198))</f>
        <v/>
      </c>
      <c r="G198" s="61" t="s">
        <v>40</v>
      </c>
      <c r="I198" s="81" t="str">
        <f>IF(AND('DAY 1'!M198=""),"",('DAY 1'!M198))</f>
        <v/>
      </c>
      <c r="J198" s="79" t="str">
        <f>IF(AND('DAY 2'!M198=""),"",('DAY 2'!M198))</f>
        <v/>
      </c>
      <c r="K198" s="79" t="str">
        <f>IF(AND('DAY 3'!M198=""),"",('DAY 3'!M198))</f>
        <v/>
      </c>
      <c r="L198" s="79" t="str">
        <f>IF(AND('DAY 4'!M198=""),"",('DAY 4'!M198))</f>
        <v/>
      </c>
      <c r="M198" s="80" t="str">
        <f>IF(AND('DAY 5'!M198=""),"",('DAY 5'!M198))</f>
        <v/>
      </c>
      <c r="O198" s="78">
        <f>SUM('DAY 1'!L198,'DAY 2'!L198,'DAY 3'!L198,'DAY 4'!L198,'DAY 5'!L198)</f>
        <v>0</v>
      </c>
      <c r="P198" s="82" t="str">
        <f t="shared" ref="P198:P261" si="24">IF(AND(I198="",J198="",K198="",L198="",M198=""),"",COUNT(I198,J198,K198,L198,M198))</f>
        <v/>
      </c>
      <c r="Q198" s="83" t="str">
        <f t="shared" ref="Q198:Q261" si="25">IF(AND(I198="",J198="",K198="",L198="",M198=""),"",SUM(I198,J198,K198,L198,M198))</f>
        <v/>
      </c>
      <c r="R198" s="148" t="str">
        <f t="shared" ref="R198:R261" si="26">IF(AND(Z198="",AA198=""),"",(Z198/AA198))</f>
        <v/>
      </c>
      <c r="S198" s="149" t="str">
        <f t="shared" ref="S198:S261" si="27">IF(AND(AG198="",AH198=""),"",(AG198/AH198))</f>
        <v/>
      </c>
      <c r="U198" s="66" t="str">
        <f>'DAY 1'!Y198</f>
        <v/>
      </c>
      <c r="V198" s="89" t="str">
        <f>'DAY 2'!Y198</f>
        <v/>
      </c>
      <c r="W198" s="89" t="str">
        <f>'DAY 3'!Y198</f>
        <v/>
      </c>
      <c r="X198" s="89" t="str">
        <f>'DAY 4'!Y198</f>
        <v/>
      </c>
      <c r="Y198" s="67" t="str">
        <f>'DAY 5'!Y198</f>
        <v/>
      </c>
      <c r="Z198" s="142" t="str">
        <f t="shared" ref="Z198:Z261" si="28">IF(AND(U198="",V198="",W198="",X198="",Y198=""),"",SUM(U198,V198,W198,X198,Y198))</f>
        <v/>
      </c>
      <c r="AA198" s="22" t="str">
        <f t="shared" ref="AA198:AA261" si="29">IF(AND(U198="",V198="",W198="",X198="",Y198=""),"",COUNT(U198,V198,W198,X198,Y198))</f>
        <v/>
      </c>
      <c r="AB198" t="str">
        <f>'DAY 1'!Z198</f>
        <v/>
      </c>
      <c r="AC198" t="str">
        <f>'DAY 2'!Z198</f>
        <v/>
      </c>
      <c r="AD198" t="str">
        <f>'DAY 3'!Z198</f>
        <v/>
      </c>
      <c r="AE198" t="str">
        <f>'DAY 4'!Z198</f>
        <v/>
      </c>
      <c r="AF198" t="str">
        <f>'DAY 5'!Z198</f>
        <v/>
      </c>
      <c r="AG198" s="144" t="str">
        <f t="shared" ref="AG198:AG261" si="30">IF(AND(AB198="",AC198="",AD198="",AE198="",AF198=""),"",SUM(AB198,AC198,AD198,AE198,AF198))</f>
        <v/>
      </c>
      <c r="AH198" s="145" t="str">
        <f t="shared" ref="AH198:AH261" si="31">IF(AND(AB198="",AC198="",AD198="",AE198="",AF198=""),"",COUNT(AB198,AC198,AD198,AE198,AF198))</f>
        <v/>
      </c>
    </row>
    <row r="199" spans="2:34" ht="15.75" thickBot="1" x14ac:dyDescent="0.3">
      <c r="B199" s="66" t="str">
        <f>IF(AND('ENTRY DATA'!C199=""),"",('ENTRY DATA'!C199))</f>
        <v/>
      </c>
      <c r="C199" s="67" t="str">
        <f>IF(AND('ENTRY DATA'!D199=""),"",('ENTRY DATA'!D199))</f>
        <v/>
      </c>
      <c r="E199" s="66" t="str">
        <f>IF(AND('ENTRY DATA'!F199=""),"",('ENTRY DATA'!F199))</f>
        <v/>
      </c>
      <c r="F199" s="67" t="str">
        <f>IF(AND('ENTRY DATA'!G199=""),"",('ENTRY DATA'!G199))</f>
        <v/>
      </c>
      <c r="G199" s="61" t="s">
        <v>40</v>
      </c>
      <c r="I199" s="81" t="str">
        <f>IF(AND('DAY 1'!M199=""),"",('DAY 1'!M199))</f>
        <v/>
      </c>
      <c r="J199" s="79" t="str">
        <f>IF(AND('DAY 2'!M199=""),"",('DAY 2'!M199))</f>
        <v/>
      </c>
      <c r="K199" s="79" t="str">
        <f>IF(AND('DAY 3'!M199=""),"",('DAY 3'!M199))</f>
        <v/>
      </c>
      <c r="L199" s="79" t="str">
        <f>IF(AND('DAY 4'!M199=""),"",('DAY 4'!M199))</f>
        <v/>
      </c>
      <c r="M199" s="80" t="str">
        <f>IF(AND('DAY 5'!M199=""),"",('DAY 5'!M199))</f>
        <v/>
      </c>
      <c r="O199" s="78">
        <f>SUM('DAY 1'!L199,'DAY 2'!L199,'DAY 3'!L199,'DAY 4'!L199,'DAY 5'!L199)</f>
        <v>0</v>
      </c>
      <c r="P199" s="82" t="str">
        <f t="shared" si="24"/>
        <v/>
      </c>
      <c r="Q199" s="83" t="str">
        <f t="shared" si="25"/>
        <v/>
      </c>
      <c r="R199" s="148" t="str">
        <f t="shared" si="26"/>
        <v/>
      </c>
      <c r="S199" s="149" t="str">
        <f t="shared" si="27"/>
        <v/>
      </c>
      <c r="U199" s="66" t="str">
        <f>'DAY 1'!Y199</f>
        <v/>
      </c>
      <c r="V199" s="89" t="str">
        <f>'DAY 2'!Y199</f>
        <v/>
      </c>
      <c r="W199" s="89" t="str">
        <f>'DAY 3'!Y199</f>
        <v/>
      </c>
      <c r="X199" s="89" t="str">
        <f>'DAY 4'!Y199</f>
        <v/>
      </c>
      <c r="Y199" s="67" t="str">
        <f>'DAY 5'!Y199</f>
        <v/>
      </c>
      <c r="Z199" s="142" t="str">
        <f t="shared" si="28"/>
        <v/>
      </c>
      <c r="AA199" s="22" t="str">
        <f t="shared" si="29"/>
        <v/>
      </c>
      <c r="AB199" t="str">
        <f>'DAY 1'!Z199</f>
        <v/>
      </c>
      <c r="AC199" t="str">
        <f>'DAY 2'!Z199</f>
        <v/>
      </c>
      <c r="AD199" t="str">
        <f>'DAY 3'!Z199</f>
        <v/>
      </c>
      <c r="AE199" t="str">
        <f>'DAY 4'!Z199</f>
        <v/>
      </c>
      <c r="AF199" t="str">
        <f>'DAY 5'!Z199</f>
        <v/>
      </c>
      <c r="AG199" s="144" t="str">
        <f t="shared" si="30"/>
        <v/>
      </c>
      <c r="AH199" s="145" t="str">
        <f t="shared" si="31"/>
        <v/>
      </c>
    </row>
    <row r="200" spans="2:34" ht="15.75" thickBot="1" x14ac:dyDescent="0.3">
      <c r="B200" s="66" t="str">
        <f>IF(AND('ENTRY DATA'!C200=""),"",('ENTRY DATA'!C200))</f>
        <v/>
      </c>
      <c r="C200" s="67" t="str">
        <f>IF(AND('ENTRY DATA'!D200=""),"",('ENTRY DATA'!D200))</f>
        <v/>
      </c>
      <c r="E200" s="66" t="str">
        <f>IF(AND('ENTRY DATA'!F200=""),"",('ENTRY DATA'!F200))</f>
        <v/>
      </c>
      <c r="F200" s="67" t="str">
        <f>IF(AND('ENTRY DATA'!G200=""),"",('ENTRY DATA'!G200))</f>
        <v/>
      </c>
      <c r="G200" s="61" t="s">
        <v>40</v>
      </c>
      <c r="I200" s="81" t="str">
        <f>IF(AND('DAY 1'!M200=""),"",('DAY 1'!M200))</f>
        <v/>
      </c>
      <c r="J200" s="79" t="str">
        <f>IF(AND('DAY 2'!M200=""),"",('DAY 2'!M200))</f>
        <v/>
      </c>
      <c r="K200" s="79" t="str">
        <f>IF(AND('DAY 3'!M200=""),"",('DAY 3'!M200))</f>
        <v/>
      </c>
      <c r="L200" s="79" t="str">
        <f>IF(AND('DAY 4'!M200=""),"",('DAY 4'!M200))</f>
        <v/>
      </c>
      <c r="M200" s="80" t="str">
        <f>IF(AND('DAY 5'!M200=""),"",('DAY 5'!M200))</f>
        <v/>
      </c>
      <c r="O200" s="78">
        <f>SUM('DAY 1'!L200,'DAY 2'!L200,'DAY 3'!L200,'DAY 4'!L200,'DAY 5'!L200)</f>
        <v>0</v>
      </c>
      <c r="P200" s="82" t="str">
        <f t="shared" si="24"/>
        <v/>
      </c>
      <c r="Q200" s="83" t="str">
        <f t="shared" si="25"/>
        <v/>
      </c>
      <c r="R200" s="148" t="str">
        <f t="shared" si="26"/>
        <v/>
      </c>
      <c r="S200" s="149" t="str">
        <f t="shared" si="27"/>
        <v/>
      </c>
      <c r="U200" s="66" t="str">
        <f>'DAY 1'!Y200</f>
        <v/>
      </c>
      <c r="V200" s="89" t="str">
        <f>'DAY 2'!Y200</f>
        <v/>
      </c>
      <c r="W200" s="89" t="str">
        <f>'DAY 3'!Y200</f>
        <v/>
      </c>
      <c r="X200" s="89" t="str">
        <f>'DAY 4'!Y200</f>
        <v/>
      </c>
      <c r="Y200" s="67" t="str">
        <f>'DAY 5'!Y200</f>
        <v/>
      </c>
      <c r="Z200" s="142" t="str">
        <f t="shared" si="28"/>
        <v/>
      </c>
      <c r="AA200" s="22" t="str">
        <f t="shared" si="29"/>
        <v/>
      </c>
      <c r="AB200" t="str">
        <f>'DAY 1'!Z200</f>
        <v/>
      </c>
      <c r="AC200" t="str">
        <f>'DAY 2'!Z200</f>
        <v/>
      </c>
      <c r="AD200" t="str">
        <f>'DAY 3'!Z200</f>
        <v/>
      </c>
      <c r="AE200" t="str">
        <f>'DAY 4'!Z200</f>
        <v/>
      </c>
      <c r="AF200" t="str">
        <f>'DAY 5'!Z200</f>
        <v/>
      </c>
      <c r="AG200" s="144" t="str">
        <f t="shared" si="30"/>
        <v/>
      </c>
      <c r="AH200" s="145" t="str">
        <f t="shared" si="31"/>
        <v/>
      </c>
    </row>
    <row r="201" spans="2:34" ht="15.75" thickBot="1" x14ac:dyDescent="0.3">
      <c r="B201" s="66" t="str">
        <f>IF(AND('ENTRY DATA'!C201=""),"",('ENTRY DATA'!C201))</f>
        <v/>
      </c>
      <c r="C201" s="67" t="str">
        <f>IF(AND('ENTRY DATA'!D201=""),"",('ENTRY DATA'!D201))</f>
        <v/>
      </c>
      <c r="E201" s="66" t="str">
        <f>IF(AND('ENTRY DATA'!F201=""),"",('ENTRY DATA'!F201))</f>
        <v/>
      </c>
      <c r="F201" s="67" t="str">
        <f>IF(AND('ENTRY DATA'!G201=""),"",('ENTRY DATA'!G201))</f>
        <v/>
      </c>
      <c r="G201" s="61" t="s">
        <v>40</v>
      </c>
      <c r="I201" s="81" t="str">
        <f>IF(AND('DAY 1'!M201=""),"",('DAY 1'!M201))</f>
        <v/>
      </c>
      <c r="J201" s="79" t="str">
        <f>IF(AND('DAY 2'!M201=""),"",('DAY 2'!M201))</f>
        <v/>
      </c>
      <c r="K201" s="79" t="str">
        <f>IF(AND('DAY 3'!M201=""),"",('DAY 3'!M201))</f>
        <v/>
      </c>
      <c r="L201" s="79" t="str">
        <f>IF(AND('DAY 4'!M201=""),"",('DAY 4'!M201))</f>
        <v/>
      </c>
      <c r="M201" s="80" t="str">
        <f>IF(AND('DAY 5'!M201=""),"",('DAY 5'!M201))</f>
        <v/>
      </c>
      <c r="O201" s="78">
        <f>SUM('DAY 1'!L201,'DAY 2'!L201,'DAY 3'!L201,'DAY 4'!L201,'DAY 5'!L201)</f>
        <v>0</v>
      </c>
      <c r="P201" s="82" t="str">
        <f t="shared" si="24"/>
        <v/>
      </c>
      <c r="Q201" s="83" t="str">
        <f t="shared" si="25"/>
        <v/>
      </c>
      <c r="R201" s="148" t="str">
        <f t="shared" si="26"/>
        <v/>
      </c>
      <c r="S201" s="149" t="str">
        <f t="shared" si="27"/>
        <v/>
      </c>
      <c r="U201" s="66" t="str">
        <f>'DAY 1'!Y201</f>
        <v/>
      </c>
      <c r="V201" s="89" t="str">
        <f>'DAY 2'!Y201</f>
        <v/>
      </c>
      <c r="W201" s="89" t="str">
        <f>'DAY 3'!Y201</f>
        <v/>
      </c>
      <c r="X201" s="89" t="str">
        <f>'DAY 4'!Y201</f>
        <v/>
      </c>
      <c r="Y201" s="67" t="str">
        <f>'DAY 5'!Y201</f>
        <v/>
      </c>
      <c r="Z201" s="142" t="str">
        <f t="shared" si="28"/>
        <v/>
      </c>
      <c r="AA201" s="22" t="str">
        <f t="shared" si="29"/>
        <v/>
      </c>
      <c r="AB201" t="str">
        <f>'DAY 1'!Z201</f>
        <v/>
      </c>
      <c r="AC201" t="str">
        <f>'DAY 2'!Z201</f>
        <v/>
      </c>
      <c r="AD201" t="str">
        <f>'DAY 3'!Z201</f>
        <v/>
      </c>
      <c r="AE201" t="str">
        <f>'DAY 4'!Z201</f>
        <v/>
      </c>
      <c r="AF201" t="str">
        <f>'DAY 5'!Z201</f>
        <v/>
      </c>
      <c r="AG201" s="144" t="str">
        <f t="shared" si="30"/>
        <v/>
      </c>
      <c r="AH201" s="145" t="str">
        <f t="shared" si="31"/>
        <v/>
      </c>
    </row>
    <row r="202" spans="2:34" ht="15.75" thickBot="1" x14ac:dyDescent="0.3">
      <c r="B202" s="66" t="str">
        <f>IF(AND('ENTRY DATA'!C202=""),"",('ENTRY DATA'!C202))</f>
        <v/>
      </c>
      <c r="C202" s="67" t="str">
        <f>IF(AND('ENTRY DATA'!D202=""),"",('ENTRY DATA'!D202))</f>
        <v/>
      </c>
      <c r="E202" s="66" t="str">
        <f>IF(AND('ENTRY DATA'!F202=""),"",('ENTRY DATA'!F202))</f>
        <v/>
      </c>
      <c r="F202" s="67" t="str">
        <f>IF(AND('ENTRY DATA'!G202=""),"",('ENTRY DATA'!G202))</f>
        <v/>
      </c>
      <c r="G202" s="61" t="s">
        <v>40</v>
      </c>
      <c r="I202" s="81" t="str">
        <f>IF(AND('DAY 1'!M202=""),"",('DAY 1'!M202))</f>
        <v/>
      </c>
      <c r="J202" s="79" t="str">
        <f>IF(AND('DAY 2'!M202=""),"",('DAY 2'!M202))</f>
        <v/>
      </c>
      <c r="K202" s="79" t="str">
        <f>IF(AND('DAY 3'!M202=""),"",('DAY 3'!M202))</f>
        <v/>
      </c>
      <c r="L202" s="79" t="str">
        <f>IF(AND('DAY 4'!M202=""),"",('DAY 4'!M202))</f>
        <v/>
      </c>
      <c r="M202" s="80" t="str">
        <f>IF(AND('DAY 5'!M202=""),"",('DAY 5'!M202))</f>
        <v/>
      </c>
      <c r="O202" s="78">
        <f>SUM('DAY 1'!L202,'DAY 2'!L202,'DAY 3'!L202,'DAY 4'!L202,'DAY 5'!L202)</f>
        <v>0</v>
      </c>
      <c r="P202" s="82" t="str">
        <f t="shared" si="24"/>
        <v/>
      </c>
      <c r="Q202" s="83" t="str">
        <f t="shared" si="25"/>
        <v/>
      </c>
      <c r="R202" s="148" t="str">
        <f t="shared" si="26"/>
        <v/>
      </c>
      <c r="S202" s="149" t="str">
        <f t="shared" si="27"/>
        <v/>
      </c>
      <c r="U202" s="66" t="str">
        <f>'DAY 1'!Y202</f>
        <v/>
      </c>
      <c r="V202" s="89" t="str">
        <f>'DAY 2'!Y202</f>
        <v/>
      </c>
      <c r="W202" s="89" t="str">
        <f>'DAY 3'!Y202</f>
        <v/>
      </c>
      <c r="X202" s="89" t="str">
        <f>'DAY 4'!Y202</f>
        <v/>
      </c>
      <c r="Y202" s="67" t="str">
        <f>'DAY 5'!Y202</f>
        <v/>
      </c>
      <c r="Z202" s="142" t="str">
        <f t="shared" si="28"/>
        <v/>
      </c>
      <c r="AA202" s="22" t="str">
        <f t="shared" si="29"/>
        <v/>
      </c>
      <c r="AB202" t="str">
        <f>'DAY 1'!Z202</f>
        <v/>
      </c>
      <c r="AC202" t="str">
        <f>'DAY 2'!Z202</f>
        <v/>
      </c>
      <c r="AD202" t="str">
        <f>'DAY 3'!Z202</f>
        <v/>
      </c>
      <c r="AE202" t="str">
        <f>'DAY 4'!Z202</f>
        <v/>
      </c>
      <c r="AF202" t="str">
        <f>'DAY 5'!Z202</f>
        <v/>
      </c>
      <c r="AG202" s="144" t="str">
        <f t="shared" si="30"/>
        <v/>
      </c>
      <c r="AH202" s="145" t="str">
        <f t="shared" si="31"/>
        <v/>
      </c>
    </row>
    <row r="203" spans="2:34" ht="15.75" thickBot="1" x14ac:dyDescent="0.3">
      <c r="B203" s="66" t="str">
        <f>IF(AND('ENTRY DATA'!C203=""),"",('ENTRY DATA'!C203))</f>
        <v/>
      </c>
      <c r="C203" s="67" t="str">
        <f>IF(AND('ENTRY DATA'!D203=""),"",('ENTRY DATA'!D203))</f>
        <v/>
      </c>
      <c r="E203" s="66" t="str">
        <f>IF(AND('ENTRY DATA'!F203=""),"",('ENTRY DATA'!F203))</f>
        <v/>
      </c>
      <c r="F203" s="67" t="str">
        <f>IF(AND('ENTRY DATA'!G203=""),"",('ENTRY DATA'!G203))</f>
        <v/>
      </c>
      <c r="G203" s="61" t="s">
        <v>40</v>
      </c>
      <c r="I203" s="81" t="str">
        <f>IF(AND('DAY 1'!M203=""),"",('DAY 1'!M203))</f>
        <v/>
      </c>
      <c r="J203" s="79" t="str">
        <f>IF(AND('DAY 2'!M203=""),"",('DAY 2'!M203))</f>
        <v/>
      </c>
      <c r="K203" s="79" t="str">
        <f>IF(AND('DAY 3'!M203=""),"",('DAY 3'!M203))</f>
        <v/>
      </c>
      <c r="L203" s="79" t="str">
        <f>IF(AND('DAY 4'!M203=""),"",('DAY 4'!M203))</f>
        <v/>
      </c>
      <c r="M203" s="80" t="str">
        <f>IF(AND('DAY 5'!M203=""),"",('DAY 5'!M203))</f>
        <v/>
      </c>
      <c r="O203" s="78">
        <f>SUM('DAY 1'!L203,'DAY 2'!L203,'DAY 3'!L203,'DAY 4'!L203,'DAY 5'!L203)</f>
        <v>0</v>
      </c>
      <c r="P203" s="82" t="str">
        <f t="shared" si="24"/>
        <v/>
      </c>
      <c r="Q203" s="83" t="str">
        <f t="shared" si="25"/>
        <v/>
      </c>
      <c r="R203" s="148" t="str">
        <f t="shared" si="26"/>
        <v/>
      </c>
      <c r="S203" s="149" t="str">
        <f t="shared" si="27"/>
        <v/>
      </c>
      <c r="U203" s="66" t="str">
        <f>'DAY 1'!Y203</f>
        <v/>
      </c>
      <c r="V203" s="89" t="str">
        <f>'DAY 2'!Y203</f>
        <v/>
      </c>
      <c r="W203" s="89" t="str">
        <f>'DAY 3'!Y203</f>
        <v/>
      </c>
      <c r="X203" s="89" t="str">
        <f>'DAY 4'!Y203</f>
        <v/>
      </c>
      <c r="Y203" s="67" t="str">
        <f>'DAY 5'!Y203</f>
        <v/>
      </c>
      <c r="Z203" s="142" t="str">
        <f t="shared" si="28"/>
        <v/>
      </c>
      <c r="AA203" s="22" t="str">
        <f t="shared" si="29"/>
        <v/>
      </c>
      <c r="AB203" t="str">
        <f>'DAY 1'!Z203</f>
        <v/>
      </c>
      <c r="AC203" t="str">
        <f>'DAY 2'!Z203</f>
        <v/>
      </c>
      <c r="AD203" t="str">
        <f>'DAY 3'!Z203</f>
        <v/>
      </c>
      <c r="AE203" t="str">
        <f>'DAY 4'!Z203</f>
        <v/>
      </c>
      <c r="AF203" t="str">
        <f>'DAY 5'!Z203</f>
        <v/>
      </c>
      <c r="AG203" s="144" t="str">
        <f t="shared" si="30"/>
        <v/>
      </c>
      <c r="AH203" s="145" t="str">
        <f t="shared" si="31"/>
        <v/>
      </c>
    </row>
    <row r="204" spans="2:34" ht="15.75" thickBot="1" x14ac:dyDescent="0.3">
      <c r="B204" s="66" t="str">
        <f>IF(AND('ENTRY DATA'!C204=""),"",('ENTRY DATA'!C204))</f>
        <v/>
      </c>
      <c r="C204" s="67" t="str">
        <f>IF(AND('ENTRY DATA'!D204=""),"",('ENTRY DATA'!D204))</f>
        <v/>
      </c>
      <c r="E204" s="66" t="str">
        <f>IF(AND('ENTRY DATA'!F204=""),"",('ENTRY DATA'!F204))</f>
        <v/>
      </c>
      <c r="F204" s="67" t="str">
        <f>IF(AND('ENTRY DATA'!G204=""),"",('ENTRY DATA'!G204))</f>
        <v/>
      </c>
      <c r="G204" s="61" t="s">
        <v>40</v>
      </c>
      <c r="I204" s="81" t="str">
        <f>IF(AND('DAY 1'!M204=""),"",('DAY 1'!M204))</f>
        <v/>
      </c>
      <c r="J204" s="79" t="str">
        <f>IF(AND('DAY 2'!M204=""),"",('DAY 2'!M204))</f>
        <v/>
      </c>
      <c r="K204" s="79" t="str">
        <f>IF(AND('DAY 3'!M204=""),"",('DAY 3'!M204))</f>
        <v/>
      </c>
      <c r="L204" s="79" t="str">
        <f>IF(AND('DAY 4'!M204=""),"",('DAY 4'!M204))</f>
        <v/>
      </c>
      <c r="M204" s="80" t="str">
        <f>IF(AND('DAY 5'!M204=""),"",('DAY 5'!M204))</f>
        <v/>
      </c>
      <c r="O204" s="78">
        <f>SUM('DAY 1'!L204,'DAY 2'!L204,'DAY 3'!L204,'DAY 4'!L204,'DAY 5'!L204)</f>
        <v>0</v>
      </c>
      <c r="P204" s="82" t="str">
        <f t="shared" si="24"/>
        <v/>
      </c>
      <c r="Q204" s="83" t="str">
        <f t="shared" si="25"/>
        <v/>
      </c>
      <c r="R204" s="148" t="str">
        <f t="shared" si="26"/>
        <v/>
      </c>
      <c r="S204" s="149" t="str">
        <f t="shared" si="27"/>
        <v/>
      </c>
      <c r="U204" s="66" t="str">
        <f>'DAY 1'!Y204</f>
        <v/>
      </c>
      <c r="V204" s="89" t="str">
        <f>'DAY 2'!Y204</f>
        <v/>
      </c>
      <c r="W204" s="89" t="str">
        <f>'DAY 3'!Y204</f>
        <v/>
      </c>
      <c r="X204" s="89" t="str">
        <f>'DAY 4'!Y204</f>
        <v/>
      </c>
      <c r="Y204" s="67" t="str">
        <f>'DAY 5'!Y204</f>
        <v/>
      </c>
      <c r="Z204" s="142" t="str">
        <f t="shared" si="28"/>
        <v/>
      </c>
      <c r="AA204" s="22" t="str">
        <f t="shared" si="29"/>
        <v/>
      </c>
      <c r="AB204" t="str">
        <f>'DAY 1'!Z204</f>
        <v/>
      </c>
      <c r="AC204" t="str">
        <f>'DAY 2'!Z204</f>
        <v/>
      </c>
      <c r="AD204" t="str">
        <f>'DAY 3'!Z204</f>
        <v/>
      </c>
      <c r="AE204" t="str">
        <f>'DAY 4'!Z204</f>
        <v/>
      </c>
      <c r="AF204" t="str">
        <f>'DAY 5'!Z204</f>
        <v/>
      </c>
      <c r="AG204" s="144" t="str">
        <f t="shared" si="30"/>
        <v/>
      </c>
      <c r="AH204" s="145" t="str">
        <f t="shared" si="31"/>
        <v/>
      </c>
    </row>
    <row r="205" spans="2:34" ht="15.75" thickBot="1" x14ac:dyDescent="0.3">
      <c r="B205" s="66" t="str">
        <f>IF(AND('ENTRY DATA'!C205=""),"",('ENTRY DATA'!C205))</f>
        <v/>
      </c>
      <c r="C205" s="67" t="str">
        <f>IF(AND('ENTRY DATA'!D205=""),"",('ENTRY DATA'!D205))</f>
        <v/>
      </c>
      <c r="E205" s="66" t="str">
        <f>IF(AND('ENTRY DATA'!F205=""),"",('ENTRY DATA'!F205))</f>
        <v/>
      </c>
      <c r="F205" s="67" t="str">
        <f>IF(AND('ENTRY DATA'!G205=""),"",('ENTRY DATA'!G205))</f>
        <v/>
      </c>
      <c r="G205" s="61" t="s">
        <v>40</v>
      </c>
      <c r="I205" s="81" t="str">
        <f>IF(AND('DAY 1'!M205=""),"",('DAY 1'!M205))</f>
        <v/>
      </c>
      <c r="J205" s="79" t="str">
        <f>IF(AND('DAY 2'!M205=""),"",('DAY 2'!M205))</f>
        <v/>
      </c>
      <c r="K205" s="79" t="str">
        <f>IF(AND('DAY 3'!M205=""),"",('DAY 3'!M205))</f>
        <v/>
      </c>
      <c r="L205" s="79" t="str">
        <f>IF(AND('DAY 4'!M205=""),"",('DAY 4'!M205))</f>
        <v/>
      </c>
      <c r="M205" s="80" t="str">
        <f>IF(AND('DAY 5'!M205=""),"",('DAY 5'!M205))</f>
        <v/>
      </c>
      <c r="O205" s="78">
        <f>SUM('DAY 1'!L205,'DAY 2'!L205,'DAY 3'!L205,'DAY 4'!L205,'DAY 5'!L205)</f>
        <v>0</v>
      </c>
      <c r="P205" s="82" t="str">
        <f t="shared" si="24"/>
        <v/>
      </c>
      <c r="Q205" s="83" t="str">
        <f t="shared" si="25"/>
        <v/>
      </c>
      <c r="R205" s="148" t="str">
        <f t="shared" si="26"/>
        <v/>
      </c>
      <c r="S205" s="149" t="str">
        <f t="shared" si="27"/>
        <v/>
      </c>
      <c r="U205" s="66" t="str">
        <f>'DAY 1'!Y205</f>
        <v/>
      </c>
      <c r="V205" s="89" t="str">
        <f>'DAY 2'!Y205</f>
        <v/>
      </c>
      <c r="W205" s="89" t="str">
        <f>'DAY 3'!Y205</f>
        <v/>
      </c>
      <c r="X205" s="89" t="str">
        <f>'DAY 4'!Y205</f>
        <v/>
      </c>
      <c r="Y205" s="67" t="str">
        <f>'DAY 5'!Y205</f>
        <v/>
      </c>
      <c r="Z205" s="142" t="str">
        <f t="shared" si="28"/>
        <v/>
      </c>
      <c r="AA205" s="22" t="str">
        <f t="shared" si="29"/>
        <v/>
      </c>
      <c r="AB205" t="str">
        <f>'DAY 1'!Z205</f>
        <v/>
      </c>
      <c r="AC205" t="str">
        <f>'DAY 2'!Z205</f>
        <v/>
      </c>
      <c r="AD205" t="str">
        <f>'DAY 3'!Z205</f>
        <v/>
      </c>
      <c r="AE205" t="str">
        <f>'DAY 4'!Z205</f>
        <v/>
      </c>
      <c r="AF205" t="str">
        <f>'DAY 5'!Z205</f>
        <v/>
      </c>
      <c r="AG205" s="144" t="str">
        <f t="shared" si="30"/>
        <v/>
      </c>
      <c r="AH205" s="145" t="str">
        <f t="shared" si="31"/>
        <v/>
      </c>
    </row>
    <row r="206" spans="2:34" ht="15.75" thickBot="1" x14ac:dyDescent="0.3">
      <c r="B206" s="66" t="str">
        <f>IF(AND('ENTRY DATA'!C206=""),"",('ENTRY DATA'!C206))</f>
        <v/>
      </c>
      <c r="C206" s="67" t="str">
        <f>IF(AND('ENTRY DATA'!D206=""),"",('ENTRY DATA'!D206))</f>
        <v/>
      </c>
      <c r="E206" s="66" t="str">
        <f>IF(AND('ENTRY DATA'!F206=""),"",('ENTRY DATA'!F206))</f>
        <v/>
      </c>
      <c r="F206" s="67" t="str">
        <f>IF(AND('ENTRY DATA'!G206=""),"",('ENTRY DATA'!G206))</f>
        <v/>
      </c>
      <c r="G206" s="61" t="s">
        <v>40</v>
      </c>
      <c r="I206" s="81" t="str">
        <f>IF(AND('DAY 1'!M206=""),"",('DAY 1'!M206))</f>
        <v/>
      </c>
      <c r="J206" s="79" t="str">
        <f>IF(AND('DAY 2'!M206=""),"",('DAY 2'!M206))</f>
        <v/>
      </c>
      <c r="K206" s="79" t="str">
        <f>IF(AND('DAY 3'!M206=""),"",('DAY 3'!M206))</f>
        <v/>
      </c>
      <c r="L206" s="79" t="str">
        <f>IF(AND('DAY 4'!M206=""),"",('DAY 4'!M206))</f>
        <v/>
      </c>
      <c r="M206" s="80" t="str">
        <f>IF(AND('DAY 5'!M206=""),"",('DAY 5'!M206))</f>
        <v/>
      </c>
      <c r="O206" s="78">
        <f>SUM('DAY 1'!L206,'DAY 2'!L206,'DAY 3'!L206,'DAY 4'!L206,'DAY 5'!L206)</f>
        <v>0</v>
      </c>
      <c r="P206" s="82" t="str">
        <f t="shared" si="24"/>
        <v/>
      </c>
      <c r="Q206" s="83" t="str">
        <f t="shared" si="25"/>
        <v/>
      </c>
      <c r="R206" s="148" t="str">
        <f t="shared" si="26"/>
        <v/>
      </c>
      <c r="S206" s="149" t="str">
        <f t="shared" si="27"/>
        <v/>
      </c>
      <c r="U206" s="66" t="str">
        <f>'DAY 1'!Y206</f>
        <v/>
      </c>
      <c r="V206" s="89" t="str">
        <f>'DAY 2'!Y206</f>
        <v/>
      </c>
      <c r="W206" s="89" t="str">
        <f>'DAY 3'!Y206</f>
        <v/>
      </c>
      <c r="X206" s="89" t="str">
        <f>'DAY 4'!Y206</f>
        <v/>
      </c>
      <c r="Y206" s="67" t="str">
        <f>'DAY 5'!Y206</f>
        <v/>
      </c>
      <c r="Z206" s="142" t="str">
        <f t="shared" si="28"/>
        <v/>
      </c>
      <c r="AA206" s="22" t="str">
        <f t="shared" si="29"/>
        <v/>
      </c>
      <c r="AB206" t="str">
        <f>'DAY 1'!Z206</f>
        <v/>
      </c>
      <c r="AC206" t="str">
        <f>'DAY 2'!Z206</f>
        <v/>
      </c>
      <c r="AD206" t="str">
        <f>'DAY 3'!Z206</f>
        <v/>
      </c>
      <c r="AE206" t="str">
        <f>'DAY 4'!Z206</f>
        <v/>
      </c>
      <c r="AF206" t="str">
        <f>'DAY 5'!Z206</f>
        <v/>
      </c>
      <c r="AG206" s="144" t="str">
        <f t="shared" si="30"/>
        <v/>
      </c>
      <c r="AH206" s="145" t="str">
        <f t="shared" si="31"/>
        <v/>
      </c>
    </row>
    <row r="207" spans="2:34" ht="15.75" thickBot="1" x14ac:dyDescent="0.3">
      <c r="B207" s="66" t="str">
        <f>IF(AND('ENTRY DATA'!C207=""),"",('ENTRY DATA'!C207))</f>
        <v/>
      </c>
      <c r="C207" s="67" t="str">
        <f>IF(AND('ENTRY DATA'!D207=""),"",('ENTRY DATA'!D207))</f>
        <v/>
      </c>
      <c r="E207" s="66" t="str">
        <f>IF(AND('ENTRY DATA'!F207=""),"",('ENTRY DATA'!F207))</f>
        <v/>
      </c>
      <c r="F207" s="67" t="str">
        <f>IF(AND('ENTRY DATA'!G207=""),"",('ENTRY DATA'!G207))</f>
        <v/>
      </c>
      <c r="G207" s="61" t="s">
        <v>40</v>
      </c>
      <c r="I207" s="81" t="str">
        <f>IF(AND('DAY 1'!M207=""),"",('DAY 1'!M207))</f>
        <v/>
      </c>
      <c r="J207" s="79" t="str">
        <f>IF(AND('DAY 2'!M207=""),"",('DAY 2'!M207))</f>
        <v/>
      </c>
      <c r="K207" s="79" t="str">
        <f>IF(AND('DAY 3'!M207=""),"",('DAY 3'!M207))</f>
        <v/>
      </c>
      <c r="L207" s="79" t="str">
        <f>IF(AND('DAY 4'!M207=""),"",('DAY 4'!M207))</f>
        <v/>
      </c>
      <c r="M207" s="80" t="str">
        <f>IF(AND('DAY 5'!M207=""),"",('DAY 5'!M207))</f>
        <v/>
      </c>
      <c r="O207" s="78">
        <f>SUM('DAY 1'!L207,'DAY 2'!L207,'DAY 3'!L207,'DAY 4'!L207,'DAY 5'!L207)</f>
        <v>0</v>
      </c>
      <c r="P207" s="82" t="str">
        <f t="shared" si="24"/>
        <v/>
      </c>
      <c r="Q207" s="83" t="str">
        <f t="shared" si="25"/>
        <v/>
      </c>
      <c r="R207" s="148" t="str">
        <f t="shared" si="26"/>
        <v/>
      </c>
      <c r="S207" s="149" t="str">
        <f t="shared" si="27"/>
        <v/>
      </c>
      <c r="U207" s="66" t="str">
        <f>'DAY 1'!Y207</f>
        <v/>
      </c>
      <c r="V207" s="89" t="str">
        <f>'DAY 2'!Y207</f>
        <v/>
      </c>
      <c r="W207" s="89" t="str">
        <f>'DAY 3'!Y207</f>
        <v/>
      </c>
      <c r="X207" s="89" t="str">
        <f>'DAY 4'!Y207</f>
        <v/>
      </c>
      <c r="Y207" s="67" t="str">
        <f>'DAY 5'!Y207</f>
        <v/>
      </c>
      <c r="Z207" s="142" t="str">
        <f t="shared" si="28"/>
        <v/>
      </c>
      <c r="AA207" s="22" t="str">
        <f t="shared" si="29"/>
        <v/>
      </c>
      <c r="AB207" t="str">
        <f>'DAY 1'!Z207</f>
        <v/>
      </c>
      <c r="AC207" t="str">
        <f>'DAY 2'!Z207</f>
        <v/>
      </c>
      <c r="AD207" t="str">
        <f>'DAY 3'!Z207</f>
        <v/>
      </c>
      <c r="AE207" t="str">
        <f>'DAY 4'!Z207</f>
        <v/>
      </c>
      <c r="AF207" t="str">
        <f>'DAY 5'!Z207</f>
        <v/>
      </c>
      <c r="AG207" s="144" t="str">
        <f t="shared" si="30"/>
        <v/>
      </c>
      <c r="AH207" s="145" t="str">
        <f t="shared" si="31"/>
        <v/>
      </c>
    </row>
    <row r="208" spans="2:34" ht="15.75" thickBot="1" x14ac:dyDescent="0.3">
      <c r="B208" s="66" t="str">
        <f>IF(AND('ENTRY DATA'!C208=""),"",('ENTRY DATA'!C208))</f>
        <v/>
      </c>
      <c r="C208" s="67" t="str">
        <f>IF(AND('ENTRY DATA'!D208=""),"",('ENTRY DATA'!D208))</f>
        <v/>
      </c>
      <c r="E208" s="66" t="str">
        <f>IF(AND('ENTRY DATA'!F208=""),"",('ENTRY DATA'!F208))</f>
        <v/>
      </c>
      <c r="F208" s="67" t="str">
        <f>IF(AND('ENTRY DATA'!G208=""),"",('ENTRY DATA'!G208))</f>
        <v/>
      </c>
      <c r="G208" s="61" t="s">
        <v>40</v>
      </c>
      <c r="I208" s="81" t="str">
        <f>IF(AND('DAY 1'!M208=""),"",('DAY 1'!M208))</f>
        <v/>
      </c>
      <c r="J208" s="79" t="str">
        <f>IF(AND('DAY 2'!M208=""),"",('DAY 2'!M208))</f>
        <v/>
      </c>
      <c r="K208" s="79" t="str">
        <f>IF(AND('DAY 3'!M208=""),"",('DAY 3'!M208))</f>
        <v/>
      </c>
      <c r="L208" s="79" t="str">
        <f>IF(AND('DAY 4'!M208=""),"",('DAY 4'!M208))</f>
        <v/>
      </c>
      <c r="M208" s="80" t="str">
        <f>IF(AND('DAY 5'!M208=""),"",('DAY 5'!M208))</f>
        <v/>
      </c>
      <c r="O208" s="78">
        <f>SUM('DAY 1'!L208,'DAY 2'!L208,'DAY 3'!L208,'DAY 4'!L208,'DAY 5'!L208)</f>
        <v>0</v>
      </c>
      <c r="P208" s="82" t="str">
        <f t="shared" si="24"/>
        <v/>
      </c>
      <c r="Q208" s="83" t="str">
        <f t="shared" si="25"/>
        <v/>
      </c>
      <c r="R208" s="148" t="str">
        <f t="shared" si="26"/>
        <v/>
      </c>
      <c r="S208" s="149" t="str">
        <f t="shared" si="27"/>
        <v/>
      </c>
      <c r="U208" s="66" t="str">
        <f>'DAY 1'!Y208</f>
        <v/>
      </c>
      <c r="V208" s="89" t="str">
        <f>'DAY 2'!Y208</f>
        <v/>
      </c>
      <c r="W208" s="89" t="str">
        <f>'DAY 3'!Y208</f>
        <v/>
      </c>
      <c r="X208" s="89" t="str">
        <f>'DAY 4'!Y208</f>
        <v/>
      </c>
      <c r="Y208" s="67" t="str">
        <f>'DAY 5'!Y208</f>
        <v/>
      </c>
      <c r="Z208" s="142" t="str">
        <f t="shared" si="28"/>
        <v/>
      </c>
      <c r="AA208" s="22" t="str">
        <f t="shared" si="29"/>
        <v/>
      </c>
      <c r="AB208" t="str">
        <f>'DAY 1'!Z208</f>
        <v/>
      </c>
      <c r="AC208" t="str">
        <f>'DAY 2'!Z208</f>
        <v/>
      </c>
      <c r="AD208" t="str">
        <f>'DAY 3'!Z208</f>
        <v/>
      </c>
      <c r="AE208" t="str">
        <f>'DAY 4'!Z208</f>
        <v/>
      </c>
      <c r="AF208" t="str">
        <f>'DAY 5'!Z208</f>
        <v/>
      </c>
      <c r="AG208" s="144" t="str">
        <f t="shared" si="30"/>
        <v/>
      </c>
      <c r="AH208" s="145" t="str">
        <f t="shared" si="31"/>
        <v/>
      </c>
    </row>
    <row r="209" spans="2:34" ht="15.75" thickBot="1" x14ac:dyDescent="0.3">
      <c r="B209" s="66" t="str">
        <f>IF(AND('ENTRY DATA'!C209=""),"",('ENTRY DATA'!C209))</f>
        <v/>
      </c>
      <c r="C209" s="67" t="str">
        <f>IF(AND('ENTRY DATA'!D209=""),"",('ENTRY DATA'!D209))</f>
        <v/>
      </c>
      <c r="E209" s="66" t="str">
        <f>IF(AND('ENTRY DATA'!F209=""),"",('ENTRY DATA'!F209))</f>
        <v/>
      </c>
      <c r="F209" s="67" t="str">
        <f>IF(AND('ENTRY DATA'!G209=""),"",('ENTRY DATA'!G209))</f>
        <v/>
      </c>
      <c r="G209" s="61" t="s">
        <v>40</v>
      </c>
      <c r="I209" s="81" t="str">
        <f>IF(AND('DAY 1'!M209=""),"",('DAY 1'!M209))</f>
        <v/>
      </c>
      <c r="J209" s="79" t="str">
        <f>IF(AND('DAY 2'!M209=""),"",('DAY 2'!M209))</f>
        <v/>
      </c>
      <c r="K209" s="79" t="str">
        <f>IF(AND('DAY 3'!M209=""),"",('DAY 3'!M209))</f>
        <v/>
      </c>
      <c r="L209" s="79" t="str">
        <f>IF(AND('DAY 4'!M209=""),"",('DAY 4'!M209))</f>
        <v/>
      </c>
      <c r="M209" s="80" t="str">
        <f>IF(AND('DAY 5'!M209=""),"",('DAY 5'!M209))</f>
        <v/>
      </c>
      <c r="O209" s="78">
        <f>SUM('DAY 1'!L209,'DAY 2'!L209,'DAY 3'!L209,'DAY 4'!L209,'DAY 5'!L209)</f>
        <v>0</v>
      </c>
      <c r="P209" s="82" t="str">
        <f t="shared" si="24"/>
        <v/>
      </c>
      <c r="Q209" s="83" t="str">
        <f t="shared" si="25"/>
        <v/>
      </c>
      <c r="R209" s="148" t="str">
        <f t="shared" si="26"/>
        <v/>
      </c>
      <c r="S209" s="149" t="str">
        <f t="shared" si="27"/>
        <v/>
      </c>
      <c r="U209" s="66" t="str">
        <f>'DAY 1'!Y209</f>
        <v/>
      </c>
      <c r="V209" s="89" t="str">
        <f>'DAY 2'!Y209</f>
        <v/>
      </c>
      <c r="W209" s="89" t="str">
        <f>'DAY 3'!Y209</f>
        <v/>
      </c>
      <c r="X209" s="89" t="str">
        <f>'DAY 4'!Y209</f>
        <v/>
      </c>
      <c r="Y209" s="67" t="str">
        <f>'DAY 5'!Y209</f>
        <v/>
      </c>
      <c r="Z209" s="142" t="str">
        <f t="shared" si="28"/>
        <v/>
      </c>
      <c r="AA209" s="22" t="str">
        <f t="shared" si="29"/>
        <v/>
      </c>
      <c r="AB209" t="str">
        <f>'DAY 1'!Z209</f>
        <v/>
      </c>
      <c r="AC209" t="str">
        <f>'DAY 2'!Z209</f>
        <v/>
      </c>
      <c r="AD209" t="str">
        <f>'DAY 3'!Z209</f>
        <v/>
      </c>
      <c r="AE209" t="str">
        <f>'DAY 4'!Z209</f>
        <v/>
      </c>
      <c r="AF209" t="str">
        <f>'DAY 5'!Z209</f>
        <v/>
      </c>
      <c r="AG209" s="144" t="str">
        <f t="shared" si="30"/>
        <v/>
      </c>
      <c r="AH209" s="145" t="str">
        <f t="shared" si="31"/>
        <v/>
      </c>
    </row>
    <row r="210" spans="2:34" ht="15.75" thickBot="1" x14ac:dyDescent="0.3">
      <c r="B210" s="66" t="str">
        <f>IF(AND('ENTRY DATA'!C210=""),"",('ENTRY DATA'!C210))</f>
        <v/>
      </c>
      <c r="C210" s="67" t="str">
        <f>IF(AND('ENTRY DATA'!D210=""),"",('ENTRY DATA'!D210))</f>
        <v/>
      </c>
      <c r="E210" s="66" t="str">
        <f>IF(AND('ENTRY DATA'!F210=""),"",('ENTRY DATA'!F210))</f>
        <v/>
      </c>
      <c r="F210" s="67" t="str">
        <f>IF(AND('ENTRY DATA'!G210=""),"",('ENTRY DATA'!G210))</f>
        <v/>
      </c>
      <c r="G210" s="61" t="s">
        <v>40</v>
      </c>
      <c r="I210" s="81" t="str">
        <f>IF(AND('DAY 1'!M210=""),"",('DAY 1'!M210))</f>
        <v/>
      </c>
      <c r="J210" s="79" t="str">
        <f>IF(AND('DAY 2'!M210=""),"",('DAY 2'!M210))</f>
        <v/>
      </c>
      <c r="K210" s="79" t="str">
        <f>IF(AND('DAY 3'!M210=""),"",('DAY 3'!M210))</f>
        <v/>
      </c>
      <c r="L210" s="79" t="str">
        <f>IF(AND('DAY 4'!M210=""),"",('DAY 4'!M210))</f>
        <v/>
      </c>
      <c r="M210" s="80" t="str">
        <f>IF(AND('DAY 5'!M210=""),"",('DAY 5'!M210))</f>
        <v/>
      </c>
      <c r="O210" s="78">
        <f>SUM('DAY 1'!L210,'DAY 2'!L210,'DAY 3'!L210,'DAY 4'!L210,'DAY 5'!L210)</f>
        <v>0</v>
      </c>
      <c r="P210" s="82" t="str">
        <f t="shared" si="24"/>
        <v/>
      </c>
      <c r="Q210" s="83" t="str">
        <f t="shared" si="25"/>
        <v/>
      </c>
      <c r="R210" s="148" t="str">
        <f t="shared" si="26"/>
        <v/>
      </c>
      <c r="S210" s="149" t="str">
        <f t="shared" si="27"/>
        <v/>
      </c>
      <c r="U210" s="66" t="str">
        <f>'DAY 1'!Y210</f>
        <v/>
      </c>
      <c r="V210" s="89" t="str">
        <f>'DAY 2'!Y210</f>
        <v/>
      </c>
      <c r="W210" s="89" t="str">
        <f>'DAY 3'!Y210</f>
        <v/>
      </c>
      <c r="X210" s="89" t="str">
        <f>'DAY 4'!Y210</f>
        <v/>
      </c>
      <c r="Y210" s="67" t="str">
        <f>'DAY 5'!Y210</f>
        <v/>
      </c>
      <c r="Z210" s="142" t="str">
        <f t="shared" si="28"/>
        <v/>
      </c>
      <c r="AA210" s="22" t="str">
        <f t="shared" si="29"/>
        <v/>
      </c>
      <c r="AB210" t="str">
        <f>'DAY 1'!Z210</f>
        <v/>
      </c>
      <c r="AC210" t="str">
        <f>'DAY 2'!Z210</f>
        <v/>
      </c>
      <c r="AD210" t="str">
        <f>'DAY 3'!Z210</f>
        <v/>
      </c>
      <c r="AE210" t="str">
        <f>'DAY 4'!Z210</f>
        <v/>
      </c>
      <c r="AF210" t="str">
        <f>'DAY 5'!Z210</f>
        <v/>
      </c>
      <c r="AG210" s="144" t="str">
        <f t="shared" si="30"/>
        <v/>
      </c>
      <c r="AH210" s="145" t="str">
        <f t="shared" si="31"/>
        <v/>
      </c>
    </row>
    <row r="211" spans="2:34" ht="15.75" thickBot="1" x14ac:dyDescent="0.3">
      <c r="B211" s="66" t="str">
        <f>IF(AND('ENTRY DATA'!C211=""),"",('ENTRY DATA'!C211))</f>
        <v/>
      </c>
      <c r="C211" s="67" t="str">
        <f>IF(AND('ENTRY DATA'!D211=""),"",('ENTRY DATA'!D211))</f>
        <v/>
      </c>
      <c r="E211" s="66" t="str">
        <f>IF(AND('ENTRY DATA'!F211=""),"",('ENTRY DATA'!F211))</f>
        <v/>
      </c>
      <c r="F211" s="67" t="str">
        <f>IF(AND('ENTRY DATA'!G211=""),"",('ENTRY DATA'!G211))</f>
        <v/>
      </c>
      <c r="G211" s="61" t="s">
        <v>40</v>
      </c>
      <c r="I211" s="81" t="str">
        <f>IF(AND('DAY 1'!M211=""),"",('DAY 1'!M211))</f>
        <v/>
      </c>
      <c r="J211" s="79" t="str">
        <f>IF(AND('DAY 2'!M211=""),"",('DAY 2'!M211))</f>
        <v/>
      </c>
      <c r="K211" s="79" t="str">
        <f>IF(AND('DAY 3'!M211=""),"",('DAY 3'!M211))</f>
        <v/>
      </c>
      <c r="L211" s="79" t="str">
        <f>IF(AND('DAY 4'!M211=""),"",('DAY 4'!M211))</f>
        <v/>
      </c>
      <c r="M211" s="80" t="str">
        <f>IF(AND('DAY 5'!M211=""),"",('DAY 5'!M211))</f>
        <v/>
      </c>
      <c r="O211" s="78">
        <f>SUM('DAY 1'!L211,'DAY 2'!L211,'DAY 3'!L211,'DAY 4'!L211,'DAY 5'!L211)</f>
        <v>0</v>
      </c>
      <c r="P211" s="82" t="str">
        <f t="shared" si="24"/>
        <v/>
      </c>
      <c r="Q211" s="83" t="str">
        <f t="shared" si="25"/>
        <v/>
      </c>
      <c r="R211" s="148" t="str">
        <f t="shared" si="26"/>
        <v/>
      </c>
      <c r="S211" s="149" t="str">
        <f t="shared" si="27"/>
        <v/>
      </c>
      <c r="U211" s="66" t="str">
        <f>'DAY 1'!Y211</f>
        <v/>
      </c>
      <c r="V211" s="89" t="str">
        <f>'DAY 2'!Y211</f>
        <v/>
      </c>
      <c r="W211" s="89" t="str">
        <f>'DAY 3'!Y211</f>
        <v/>
      </c>
      <c r="X211" s="89" t="str">
        <f>'DAY 4'!Y211</f>
        <v/>
      </c>
      <c r="Y211" s="67" t="str">
        <f>'DAY 5'!Y211</f>
        <v/>
      </c>
      <c r="Z211" s="142" t="str">
        <f t="shared" si="28"/>
        <v/>
      </c>
      <c r="AA211" s="22" t="str">
        <f t="shared" si="29"/>
        <v/>
      </c>
      <c r="AB211" t="str">
        <f>'DAY 1'!Z211</f>
        <v/>
      </c>
      <c r="AC211" t="str">
        <f>'DAY 2'!Z211</f>
        <v/>
      </c>
      <c r="AD211" t="str">
        <f>'DAY 3'!Z211</f>
        <v/>
      </c>
      <c r="AE211" t="str">
        <f>'DAY 4'!Z211</f>
        <v/>
      </c>
      <c r="AF211" t="str">
        <f>'DAY 5'!Z211</f>
        <v/>
      </c>
      <c r="AG211" s="144" t="str">
        <f t="shared" si="30"/>
        <v/>
      </c>
      <c r="AH211" s="145" t="str">
        <f t="shared" si="31"/>
        <v/>
      </c>
    </row>
    <row r="212" spans="2:34" ht="15.75" thickBot="1" x14ac:dyDescent="0.3">
      <c r="B212" s="66" t="str">
        <f>IF(AND('ENTRY DATA'!C212=""),"",('ENTRY DATA'!C212))</f>
        <v/>
      </c>
      <c r="C212" s="67" t="str">
        <f>IF(AND('ENTRY DATA'!D212=""),"",('ENTRY DATA'!D212))</f>
        <v/>
      </c>
      <c r="E212" s="66" t="str">
        <f>IF(AND('ENTRY DATA'!F212=""),"",('ENTRY DATA'!F212))</f>
        <v/>
      </c>
      <c r="F212" s="67" t="str">
        <f>IF(AND('ENTRY DATA'!G212=""),"",('ENTRY DATA'!G212))</f>
        <v/>
      </c>
      <c r="G212" s="61" t="s">
        <v>40</v>
      </c>
      <c r="I212" s="81" t="str">
        <f>IF(AND('DAY 1'!M212=""),"",('DAY 1'!M212))</f>
        <v/>
      </c>
      <c r="J212" s="79" t="str">
        <f>IF(AND('DAY 2'!M212=""),"",('DAY 2'!M212))</f>
        <v/>
      </c>
      <c r="K212" s="79" t="str">
        <f>IF(AND('DAY 3'!M212=""),"",('DAY 3'!M212))</f>
        <v/>
      </c>
      <c r="L212" s="79" t="str">
        <f>IF(AND('DAY 4'!M212=""),"",('DAY 4'!M212))</f>
        <v/>
      </c>
      <c r="M212" s="80" t="str">
        <f>IF(AND('DAY 5'!M212=""),"",('DAY 5'!M212))</f>
        <v/>
      </c>
      <c r="O212" s="78">
        <f>SUM('DAY 1'!L212,'DAY 2'!L212,'DAY 3'!L212,'DAY 4'!L212,'DAY 5'!L212)</f>
        <v>0</v>
      </c>
      <c r="P212" s="82" t="str">
        <f t="shared" si="24"/>
        <v/>
      </c>
      <c r="Q212" s="83" t="str">
        <f t="shared" si="25"/>
        <v/>
      </c>
      <c r="R212" s="148" t="str">
        <f t="shared" si="26"/>
        <v/>
      </c>
      <c r="S212" s="149" t="str">
        <f t="shared" si="27"/>
        <v/>
      </c>
      <c r="U212" s="66" t="str">
        <f>'DAY 1'!Y212</f>
        <v/>
      </c>
      <c r="V212" s="89" t="str">
        <f>'DAY 2'!Y212</f>
        <v/>
      </c>
      <c r="W212" s="89" t="str">
        <f>'DAY 3'!Y212</f>
        <v/>
      </c>
      <c r="X212" s="89" t="str">
        <f>'DAY 4'!Y212</f>
        <v/>
      </c>
      <c r="Y212" s="67" t="str">
        <f>'DAY 5'!Y212</f>
        <v/>
      </c>
      <c r="Z212" s="142" t="str">
        <f t="shared" si="28"/>
        <v/>
      </c>
      <c r="AA212" s="22" t="str">
        <f t="shared" si="29"/>
        <v/>
      </c>
      <c r="AB212" t="str">
        <f>'DAY 1'!Z212</f>
        <v/>
      </c>
      <c r="AC212" t="str">
        <f>'DAY 2'!Z212</f>
        <v/>
      </c>
      <c r="AD212" t="str">
        <f>'DAY 3'!Z212</f>
        <v/>
      </c>
      <c r="AE212" t="str">
        <f>'DAY 4'!Z212</f>
        <v/>
      </c>
      <c r="AF212" t="str">
        <f>'DAY 5'!Z212</f>
        <v/>
      </c>
      <c r="AG212" s="144" t="str">
        <f t="shared" si="30"/>
        <v/>
      </c>
      <c r="AH212" s="145" t="str">
        <f t="shared" si="31"/>
        <v/>
      </c>
    </row>
    <row r="213" spans="2:34" ht="15.75" thickBot="1" x14ac:dyDescent="0.3">
      <c r="B213" s="66" t="str">
        <f>IF(AND('ENTRY DATA'!C213=""),"",('ENTRY DATA'!C213))</f>
        <v/>
      </c>
      <c r="C213" s="67" t="str">
        <f>IF(AND('ENTRY DATA'!D213=""),"",('ENTRY DATA'!D213))</f>
        <v/>
      </c>
      <c r="E213" s="66" t="str">
        <f>IF(AND('ENTRY DATA'!F213=""),"",('ENTRY DATA'!F213))</f>
        <v/>
      </c>
      <c r="F213" s="67" t="str">
        <f>IF(AND('ENTRY DATA'!G213=""),"",('ENTRY DATA'!G213))</f>
        <v/>
      </c>
      <c r="G213" s="61" t="s">
        <v>40</v>
      </c>
      <c r="I213" s="81" t="str">
        <f>IF(AND('DAY 1'!M213=""),"",('DAY 1'!M213))</f>
        <v/>
      </c>
      <c r="J213" s="79" t="str">
        <f>IF(AND('DAY 2'!M213=""),"",('DAY 2'!M213))</f>
        <v/>
      </c>
      <c r="K213" s="79" t="str">
        <f>IF(AND('DAY 3'!M213=""),"",('DAY 3'!M213))</f>
        <v/>
      </c>
      <c r="L213" s="79" t="str">
        <f>IF(AND('DAY 4'!M213=""),"",('DAY 4'!M213))</f>
        <v/>
      </c>
      <c r="M213" s="80" t="str">
        <f>IF(AND('DAY 5'!M213=""),"",('DAY 5'!M213))</f>
        <v/>
      </c>
      <c r="O213" s="78">
        <f>SUM('DAY 1'!L213,'DAY 2'!L213,'DAY 3'!L213,'DAY 4'!L213,'DAY 5'!L213)</f>
        <v>0</v>
      </c>
      <c r="P213" s="82" t="str">
        <f t="shared" si="24"/>
        <v/>
      </c>
      <c r="Q213" s="83" t="str">
        <f t="shared" si="25"/>
        <v/>
      </c>
      <c r="R213" s="148" t="str">
        <f t="shared" si="26"/>
        <v/>
      </c>
      <c r="S213" s="149" t="str">
        <f t="shared" si="27"/>
        <v/>
      </c>
      <c r="U213" s="66" t="str">
        <f>'DAY 1'!Y213</f>
        <v/>
      </c>
      <c r="V213" s="89" t="str">
        <f>'DAY 2'!Y213</f>
        <v/>
      </c>
      <c r="W213" s="89" t="str">
        <f>'DAY 3'!Y213</f>
        <v/>
      </c>
      <c r="X213" s="89" t="str">
        <f>'DAY 4'!Y213</f>
        <v/>
      </c>
      <c r="Y213" s="67" t="str">
        <f>'DAY 5'!Y213</f>
        <v/>
      </c>
      <c r="Z213" s="142" t="str">
        <f t="shared" si="28"/>
        <v/>
      </c>
      <c r="AA213" s="22" t="str">
        <f t="shared" si="29"/>
        <v/>
      </c>
      <c r="AB213" t="str">
        <f>'DAY 1'!Z213</f>
        <v/>
      </c>
      <c r="AC213" t="str">
        <f>'DAY 2'!Z213</f>
        <v/>
      </c>
      <c r="AD213" t="str">
        <f>'DAY 3'!Z213</f>
        <v/>
      </c>
      <c r="AE213" t="str">
        <f>'DAY 4'!Z213</f>
        <v/>
      </c>
      <c r="AF213" t="str">
        <f>'DAY 5'!Z213</f>
        <v/>
      </c>
      <c r="AG213" s="144" t="str">
        <f t="shared" si="30"/>
        <v/>
      </c>
      <c r="AH213" s="145" t="str">
        <f t="shared" si="31"/>
        <v/>
      </c>
    </row>
    <row r="214" spans="2:34" ht="15.75" thickBot="1" x14ac:dyDescent="0.3">
      <c r="B214" s="66" t="str">
        <f>IF(AND('ENTRY DATA'!C214=""),"",('ENTRY DATA'!C214))</f>
        <v/>
      </c>
      <c r="C214" s="67" t="str">
        <f>IF(AND('ENTRY DATA'!D214=""),"",('ENTRY DATA'!D214))</f>
        <v/>
      </c>
      <c r="E214" s="66" t="str">
        <f>IF(AND('ENTRY DATA'!F214=""),"",('ENTRY DATA'!F214))</f>
        <v/>
      </c>
      <c r="F214" s="67" t="str">
        <f>IF(AND('ENTRY DATA'!G214=""),"",('ENTRY DATA'!G214))</f>
        <v/>
      </c>
      <c r="G214" s="61" t="s">
        <v>40</v>
      </c>
      <c r="I214" s="81" t="str">
        <f>IF(AND('DAY 1'!M214=""),"",('DAY 1'!M214))</f>
        <v/>
      </c>
      <c r="J214" s="79" t="str">
        <f>IF(AND('DAY 2'!M214=""),"",('DAY 2'!M214))</f>
        <v/>
      </c>
      <c r="K214" s="79" t="str">
        <f>IF(AND('DAY 3'!M214=""),"",('DAY 3'!M214))</f>
        <v/>
      </c>
      <c r="L214" s="79" t="str">
        <f>IF(AND('DAY 4'!M214=""),"",('DAY 4'!M214))</f>
        <v/>
      </c>
      <c r="M214" s="80" t="str">
        <f>IF(AND('DAY 5'!M214=""),"",('DAY 5'!M214))</f>
        <v/>
      </c>
      <c r="O214" s="78">
        <f>SUM('DAY 1'!L214,'DAY 2'!L214,'DAY 3'!L214,'DAY 4'!L214,'DAY 5'!L214)</f>
        <v>0</v>
      </c>
      <c r="P214" s="82" t="str">
        <f t="shared" si="24"/>
        <v/>
      </c>
      <c r="Q214" s="83" t="str">
        <f t="shared" si="25"/>
        <v/>
      </c>
      <c r="R214" s="148" t="str">
        <f t="shared" si="26"/>
        <v/>
      </c>
      <c r="S214" s="149" t="str">
        <f t="shared" si="27"/>
        <v/>
      </c>
      <c r="U214" s="66" t="str">
        <f>'DAY 1'!Y214</f>
        <v/>
      </c>
      <c r="V214" s="89" t="str">
        <f>'DAY 2'!Y214</f>
        <v/>
      </c>
      <c r="W214" s="89" t="str">
        <f>'DAY 3'!Y214</f>
        <v/>
      </c>
      <c r="X214" s="89" t="str">
        <f>'DAY 4'!Y214</f>
        <v/>
      </c>
      <c r="Y214" s="67" t="str">
        <f>'DAY 5'!Y214</f>
        <v/>
      </c>
      <c r="Z214" s="142" t="str">
        <f t="shared" si="28"/>
        <v/>
      </c>
      <c r="AA214" s="22" t="str">
        <f t="shared" si="29"/>
        <v/>
      </c>
      <c r="AB214" t="str">
        <f>'DAY 1'!Z214</f>
        <v/>
      </c>
      <c r="AC214" t="str">
        <f>'DAY 2'!Z214</f>
        <v/>
      </c>
      <c r="AD214" t="str">
        <f>'DAY 3'!Z214</f>
        <v/>
      </c>
      <c r="AE214" t="str">
        <f>'DAY 4'!Z214</f>
        <v/>
      </c>
      <c r="AF214" t="str">
        <f>'DAY 5'!Z214</f>
        <v/>
      </c>
      <c r="AG214" s="144" t="str">
        <f t="shared" si="30"/>
        <v/>
      </c>
      <c r="AH214" s="145" t="str">
        <f t="shared" si="31"/>
        <v/>
      </c>
    </row>
    <row r="215" spans="2:34" ht="15.75" thickBot="1" x14ac:dyDescent="0.3">
      <c r="B215" s="66" t="str">
        <f>IF(AND('ENTRY DATA'!C215=""),"",('ENTRY DATA'!C215))</f>
        <v/>
      </c>
      <c r="C215" s="67" t="str">
        <f>IF(AND('ENTRY DATA'!D215=""),"",('ENTRY DATA'!D215))</f>
        <v/>
      </c>
      <c r="E215" s="66" t="str">
        <f>IF(AND('ENTRY DATA'!F215=""),"",('ENTRY DATA'!F215))</f>
        <v/>
      </c>
      <c r="F215" s="67" t="str">
        <f>IF(AND('ENTRY DATA'!G215=""),"",('ENTRY DATA'!G215))</f>
        <v/>
      </c>
      <c r="G215" s="61" t="s">
        <v>40</v>
      </c>
      <c r="I215" s="81" t="str">
        <f>IF(AND('DAY 1'!M215=""),"",('DAY 1'!M215))</f>
        <v/>
      </c>
      <c r="J215" s="79" t="str">
        <f>IF(AND('DAY 2'!M215=""),"",('DAY 2'!M215))</f>
        <v/>
      </c>
      <c r="K215" s="79" t="str">
        <f>IF(AND('DAY 3'!M215=""),"",('DAY 3'!M215))</f>
        <v/>
      </c>
      <c r="L215" s="79" t="str">
        <f>IF(AND('DAY 4'!M215=""),"",('DAY 4'!M215))</f>
        <v/>
      </c>
      <c r="M215" s="80" t="str">
        <f>IF(AND('DAY 5'!M215=""),"",('DAY 5'!M215))</f>
        <v/>
      </c>
      <c r="O215" s="78">
        <f>SUM('DAY 1'!L215,'DAY 2'!L215,'DAY 3'!L215,'DAY 4'!L215,'DAY 5'!L215)</f>
        <v>0</v>
      </c>
      <c r="P215" s="82" t="str">
        <f t="shared" si="24"/>
        <v/>
      </c>
      <c r="Q215" s="83" t="str">
        <f t="shared" si="25"/>
        <v/>
      </c>
      <c r="R215" s="148" t="str">
        <f t="shared" si="26"/>
        <v/>
      </c>
      <c r="S215" s="149" t="str">
        <f t="shared" si="27"/>
        <v/>
      </c>
      <c r="U215" s="66" t="str">
        <f>'DAY 1'!Y215</f>
        <v/>
      </c>
      <c r="V215" s="89" t="str">
        <f>'DAY 2'!Y215</f>
        <v/>
      </c>
      <c r="W215" s="89" t="str">
        <f>'DAY 3'!Y215</f>
        <v/>
      </c>
      <c r="X215" s="89" t="str">
        <f>'DAY 4'!Y215</f>
        <v/>
      </c>
      <c r="Y215" s="67" t="str">
        <f>'DAY 5'!Y215</f>
        <v/>
      </c>
      <c r="Z215" s="142" t="str">
        <f t="shared" si="28"/>
        <v/>
      </c>
      <c r="AA215" s="22" t="str">
        <f t="shared" si="29"/>
        <v/>
      </c>
      <c r="AB215" t="str">
        <f>'DAY 1'!Z215</f>
        <v/>
      </c>
      <c r="AC215" t="str">
        <f>'DAY 2'!Z215</f>
        <v/>
      </c>
      <c r="AD215" t="str">
        <f>'DAY 3'!Z215</f>
        <v/>
      </c>
      <c r="AE215" t="str">
        <f>'DAY 4'!Z215</f>
        <v/>
      </c>
      <c r="AF215" t="str">
        <f>'DAY 5'!Z215</f>
        <v/>
      </c>
      <c r="AG215" s="144" t="str">
        <f t="shared" si="30"/>
        <v/>
      </c>
      <c r="AH215" s="145" t="str">
        <f t="shared" si="31"/>
        <v/>
      </c>
    </row>
    <row r="216" spans="2:34" ht="15.75" thickBot="1" x14ac:dyDescent="0.3">
      <c r="B216" s="66" t="str">
        <f>IF(AND('ENTRY DATA'!C216=""),"",('ENTRY DATA'!C216))</f>
        <v/>
      </c>
      <c r="C216" s="67" t="str">
        <f>IF(AND('ENTRY DATA'!D216=""),"",('ENTRY DATA'!D216))</f>
        <v/>
      </c>
      <c r="E216" s="66" t="str">
        <f>IF(AND('ENTRY DATA'!F216=""),"",('ENTRY DATA'!F216))</f>
        <v/>
      </c>
      <c r="F216" s="67" t="str">
        <f>IF(AND('ENTRY DATA'!G216=""),"",('ENTRY DATA'!G216))</f>
        <v/>
      </c>
      <c r="G216" s="61" t="s">
        <v>40</v>
      </c>
      <c r="I216" s="81" t="str">
        <f>IF(AND('DAY 1'!M216=""),"",('DAY 1'!M216))</f>
        <v/>
      </c>
      <c r="J216" s="79" t="str">
        <f>IF(AND('DAY 2'!M216=""),"",('DAY 2'!M216))</f>
        <v/>
      </c>
      <c r="K216" s="79" t="str">
        <f>IF(AND('DAY 3'!M216=""),"",('DAY 3'!M216))</f>
        <v/>
      </c>
      <c r="L216" s="79" t="str">
        <f>IF(AND('DAY 4'!M216=""),"",('DAY 4'!M216))</f>
        <v/>
      </c>
      <c r="M216" s="80" t="str">
        <f>IF(AND('DAY 5'!M216=""),"",('DAY 5'!M216))</f>
        <v/>
      </c>
      <c r="O216" s="78">
        <f>SUM('DAY 1'!L216,'DAY 2'!L216,'DAY 3'!L216,'DAY 4'!L216,'DAY 5'!L216)</f>
        <v>0</v>
      </c>
      <c r="P216" s="82" t="str">
        <f t="shared" si="24"/>
        <v/>
      </c>
      <c r="Q216" s="83" t="str">
        <f t="shared" si="25"/>
        <v/>
      </c>
      <c r="R216" s="148" t="str">
        <f t="shared" si="26"/>
        <v/>
      </c>
      <c r="S216" s="149" t="str">
        <f t="shared" si="27"/>
        <v/>
      </c>
      <c r="U216" s="66" t="str">
        <f>'DAY 1'!Y216</f>
        <v/>
      </c>
      <c r="V216" s="89" t="str">
        <f>'DAY 2'!Y216</f>
        <v/>
      </c>
      <c r="W216" s="89" t="str">
        <f>'DAY 3'!Y216</f>
        <v/>
      </c>
      <c r="X216" s="89" t="str">
        <f>'DAY 4'!Y216</f>
        <v/>
      </c>
      <c r="Y216" s="67" t="str">
        <f>'DAY 5'!Y216</f>
        <v/>
      </c>
      <c r="Z216" s="142" t="str">
        <f t="shared" si="28"/>
        <v/>
      </c>
      <c r="AA216" s="22" t="str">
        <f t="shared" si="29"/>
        <v/>
      </c>
      <c r="AB216" t="str">
        <f>'DAY 1'!Z216</f>
        <v/>
      </c>
      <c r="AC216" t="str">
        <f>'DAY 2'!Z216</f>
        <v/>
      </c>
      <c r="AD216" t="str">
        <f>'DAY 3'!Z216</f>
        <v/>
      </c>
      <c r="AE216" t="str">
        <f>'DAY 4'!Z216</f>
        <v/>
      </c>
      <c r="AF216" t="str">
        <f>'DAY 5'!Z216</f>
        <v/>
      </c>
      <c r="AG216" s="144" t="str">
        <f t="shared" si="30"/>
        <v/>
      </c>
      <c r="AH216" s="145" t="str">
        <f t="shared" si="31"/>
        <v/>
      </c>
    </row>
    <row r="217" spans="2:34" ht="15.75" thickBot="1" x14ac:dyDescent="0.3">
      <c r="B217" s="66" t="str">
        <f>IF(AND('ENTRY DATA'!C217=""),"",('ENTRY DATA'!C217))</f>
        <v/>
      </c>
      <c r="C217" s="67" t="str">
        <f>IF(AND('ENTRY DATA'!D217=""),"",('ENTRY DATA'!D217))</f>
        <v/>
      </c>
      <c r="E217" s="66" t="str">
        <f>IF(AND('ENTRY DATA'!F217=""),"",('ENTRY DATA'!F217))</f>
        <v/>
      </c>
      <c r="F217" s="67" t="str">
        <f>IF(AND('ENTRY DATA'!G217=""),"",('ENTRY DATA'!G217))</f>
        <v/>
      </c>
      <c r="G217" s="61" t="s">
        <v>40</v>
      </c>
      <c r="I217" s="81" t="str">
        <f>IF(AND('DAY 1'!M217=""),"",('DAY 1'!M217))</f>
        <v/>
      </c>
      <c r="J217" s="79" t="str">
        <f>IF(AND('DAY 2'!M217=""),"",('DAY 2'!M217))</f>
        <v/>
      </c>
      <c r="K217" s="79" t="str">
        <f>IF(AND('DAY 3'!M217=""),"",('DAY 3'!M217))</f>
        <v/>
      </c>
      <c r="L217" s="79" t="str">
        <f>IF(AND('DAY 4'!M217=""),"",('DAY 4'!M217))</f>
        <v/>
      </c>
      <c r="M217" s="80" t="str">
        <f>IF(AND('DAY 5'!M217=""),"",('DAY 5'!M217))</f>
        <v/>
      </c>
      <c r="O217" s="78">
        <f>SUM('DAY 1'!L217,'DAY 2'!L217,'DAY 3'!L217,'DAY 4'!L217,'DAY 5'!L217)</f>
        <v>0</v>
      </c>
      <c r="P217" s="82" t="str">
        <f t="shared" si="24"/>
        <v/>
      </c>
      <c r="Q217" s="83" t="str">
        <f t="shared" si="25"/>
        <v/>
      </c>
      <c r="R217" s="148" t="str">
        <f t="shared" si="26"/>
        <v/>
      </c>
      <c r="S217" s="149" t="str">
        <f t="shared" si="27"/>
        <v/>
      </c>
      <c r="U217" s="66" t="str">
        <f>'DAY 1'!Y217</f>
        <v/>
      </c>
      <c r="V217" s="89" t="str">
        <f>'DAY 2'!Y217</f>
        <v/>
      </c>
      <c r="W217" s="89" t="str">
        <f>'DAY 3'!Y217</f>
        <v/>
      </c>
      <c r="X217" s="89" t="str">
        <f>'DAY 4'!Y217</f>
        <v/>
      </c>
      <c r="Y217" s="67" t="str">
        <f>'DAY 5'!Y217</f>
        <v/>
      </c>
      <c r="Z217" s="142" t="str">
        <f t="shared" si="28"/>
        <v/>
      </c>
      <c r="AA217" s="22" t="str">
        <f t="shared" si="29"/>
        <v/>
      </c>
      <c r="AB217" t="str">
        <f>'DAY 1'!Z217</f>
        <v/>
      </c>
      <c r="AC217" t="str">
        <f>'DAY 2'!Z217</f>
        <v/>
      </c>
      <c r="AD217" t="str">
        <f>'DAY 3'!Z217</f>
        <v/>
      </c>
      <c r="AE217" t="str">
        <f>'DAY 4'!Z217</f>
        <v/>
      </c>
      <c r="AF217" t="str">
        <f>'DAY 5'!Z217</f>
        <v/>
      </c>
      <c r="AG217" s="144" t="str">
        <f t="shared" si="30"/>
        <v/>
      </c>
      <c r="AH217" s="145" t="str">
        <f t="shared" si="31"/>
        <v/>
      </c>
    </row>
    <row r="218" spans="2:34" ht="15.75" thickBot="1" x14ac:dyDescent="0.3">
      <c r="B218" s="66" t="str">
        <f>IF(AND('ENTRY DATA'!C218=""),"",('ENTRY DATA'!C218))</f>
        <v/>
      </c>
      <c r="C218" s="67" t="str">
        <f>IF(AND('ENTRY DATA'!D218=""),"",('ENTRY DATA'!D218))</f>
        <v/>
      </c>
      <c r="E218" s="66" t="str">
        <f>IF(AND('ENTRY DATA'!F218=""),"",('ENTRY DATA'!F218))</f>
        <v/>
      </c>
      <c r="F218" s="67" t="str">
        <f>IF(AND('ENTRY DATA'!G218=""),"",('ENTRY DATA'!G218))</f>
        <v/>
      </c>
      <c r="G218" s="61" t="s">
        <v>40</v>
      </c>
      <c r="I218" s="81" t="str">
        <f>IF(AND('DAY 1'!M218=""),"",('DAY 1'!M218))</f>
        <v/>
      </c>
      <c r="J218" s="79" t="str">
        <f>IF(AND('DAY 2'!M218=""),"",('DAY 2'!M218))</f>
        <v/>
      </c>
      <c r="K218" s="79" t="str">
        <f>IF(AND('DAY 3'!M218=""),"",('DAY 3'!M218))</f>
        <v/>
      </c>
      <c r="L218" s="79" t="str">
        <f>IF(AND('DAY 4'!M218=""),"",('DAY 4'!M218))</f>
        <v/>
      </c>
      <c r="M218" s="80" t="str">
        <f>IF(AND('DAY 5'!M218=""),"",('DAY 5'!M218))</f>
        <v/>
      </c>
      <c r="O218" s="78">
        <f>SUM('DAY 1'!L218,'DAY 2'!L218,'DAY 3'!L218,'DAY 4'!L218,'DAY 5'!L218)</f>
        <v>0</v>
      </c>
      <c r="P218" s="82" t="str">
        <f t="shared" si="24"/>
        <v/>
      </c>
      <c r="Q218" s="83" t="str">
        <f t="shared" si="25"/>
        <v/>
      </c>
      <c r="R218" s="148" t="str">
        <f t="shared" si="26"/>
        <v/>
      </c>
      <c r="S218" s="149" t="str">
        <f t="shared" si="27"/>
        <v/>
      </c>
      <c r="U218" s="66" t="str">
        <f>'DAY 1'!Y218</f>
        <v/>
      </c>
      <c r="V218" s="89" t="str">
        <f>'DAY 2'!Y218</f>
        <v/>
      </c>
      <c r="W218" s="89" t="str">
        <f>'DAY 3'!Y218</f>
        <v/>
      </c>
      <c r="X218" s="89" t="str">
        <f>'DAY 4'!Y218</f>
        <v/>
      </c>
      <c r="Y218" s="67" t="str">
        <f>'DAY 5'!Y218</f>
        <v/>
      </c>
      <c r="Z218" s="142" t="str">
        <f t="shared" si="28"/>
        <v/>
      </c>
      <c r="AA218" s="22" t="str">
        <f t="shared" si="29"/>
        <v/>
      </c>
      <c r="AB218" t="str">
        <f>'DAY 1'!Z218</f>
        <v/>
      </c>
      <c r="AC218" t="str">
        <f>'DAY 2'!Z218</f>
        <v/>
      </c>
      <c r="AD218" t="str">
        <f>'DAY 3'!Z218</f>
        <v/>
      </c>
      <c r="AE218" t="str">
        <f>'DAY 4'!Z218</f>
        <v/>
      </c>
      <c r="AF218" t="str">
        <f>'DAY 5'!Z218</f>
        <v/>
      </c>
      <c r="AG218" s="144" t="str">
        <f t="shared" si="30"/>
        <v/>
      </c>
      <c r="AH218" s="145" t="str">
        <f t="shared" si="31"/>
        <v/>
      </c>
    </row>
    <row r="219" spans="2:34" ht="15.75" thickBot="1" x14ac:dyDescent="0.3">
      <c r="B219" s="66" t="str">
        <f>IF(AND('ENTRY DATA'!C219=""),"",('ENTRY DATA'!C219))</f>
        <v/>
      </c>
      <c r="C219" s="67" t="str">
        <f>IF(AND('ENTRY DATA'!D219=""),"",('ENTRY DATA'!D219))</f>
        <v/>
      </c>
      <c r="E219" s="66" t="str">
        <f>IF(AND('ENTRY DATA'!F219=""),"",('ENTRY DATA'!F219))</f>
        <v/>
      </c>
      <c r="F219" s="67" t="str">
        <f>IF(AND('ENTRY DATA'!G219=""),"",('ENTRY DATA'!G219))</f>
        <v/>
      </c>
      <c r="G219" s="61" t="s">
        <v>40</v>
      </c>
      <c r="I219" s="81" t="str">
        <f>IF(AND('DAY 1'!M219=""),"",('DAY 1'!M219))</f>
        <v/>
      </c>
      <c r="J219" s="79" t="str">
        <f>IF(AND('DAY 2'!M219=""),"",('DAY 2'!M219))</f>
        <v/>
      </c>
      <c r="K219" s="79" t="str">
        <f>IF(AND('DAY 3'!M219=""),"",('DAY 3'!M219))</f>
        <v/>
      </c>
      <c r="L219" s="79" t="str">
        <f>IF(AND('DAY 4'!M219=""),"",('DAY 4'!M219))</f>
        <v/>
      </c>
      <c r="M219" s="80" t="str">
        <f>IF(AND('DAY 5'!M219=""),"",('DAY 5'!M219))</f>
        <v/>
      </c>
      <c r="O219" s="78">
        <f>SUM('DAY 1'!L219,'DAY 2'!L219,'DAY 3'!L219,'DAY 4'!L219,'DAY 5'!L219)</f>
        <v>0</v>
      </c>
      <c r="P219" s="82" t="str">
        <f t="shared" si="24"/>
        <v/>
      </c>
      <c r="Q219" s="83" t="str">
        <f t="shared" si="25"/>
        <v/>
      </c>
      <c r="R219" s="148" t="str">
        <f t="shared" si="26"/>
        <v/>
      </c>
      <c r="S219" s="149" t="str">
        <f t="shared" si="27"/>
        <v/>
      </c>
      <c r="U219" s="66" t="str">
        <f>'DAY 1'!Y219</f>
        <v/>
      </c>
      <c r="V219" s="89" t="str">
        <f>'DAY 2'!Y219</f>
        <v/>
      </c>
      <c r="W219" s="89" t="str">
        <f>'DAY 3'!Y219</f>
        <v/>
      </c>
      <c r="X219" s="89" t="str">
        <f>'DAY 4'!Y219</f>
        <v/>
      </c>
      <c r="Y219" s="67" t="str">
        <f>'DAY 5'!Y219</f>
        <v/>
      </c>
      <c r="Z219" s="142" t="str">
        <f t="shared" si="28"/>
        <v/>
      </c>
      <c r="AA219" s="22" t="str">
        <f t="shared" si="29"/>
        <v/>
      </c>
      <c r="AB219" t="str">
        <f>'DAY 1'!Z219</f>
        <v/>
      </c>
      <c r="AC219" t="str">
        <f>'DAY 2'!Z219</f>
        <v/>
      </c>
      <c r="AD219" t="str">
        <f>'DAY 3'!Z219</f>
        <v/>
      </c>
      <c r="AE219" t="str">
        <f>'DAY 4'!Z219</f>
        <v/>
      </c>
      <c r="AF219" t="str">
        <f>'DAY 5'!Z219</f>
        <v/>
      </c>
      <c r="AG219" s="144" t="str">
        <f t="shared" si="30"/>
        <v/>
      </c>
      <c r="AH219" s="145" t="str">
        <f t="shared" si="31"/>
        <v/>
      </c>
    </row>
    <row r="220" spans="2:34" ht="15.75" thickBot="1" x14ac:dyDescent="0.3">
      <c r="B220" s="66" t="str">
        <f>IF(AND('ENTRY DATA'!C220=""),"",('ENTRY DATA'!C220))</f>
        <v/>
      </c>
      <c r="C220" s="67" t="str">
        <f>IF(AND('ENTRY DATA'!D220=""),"",('ENTRY DATA'!D220))</f>
        <v/>
      </c>
      <c r="E220" s="66" t="str">
        <f>IF(AND('ENTRY DATA'!F220=""),"",('ENTRY DATA'!F220))</f>
        <v/>
      </c>
      <c r="F220" s="67" t="str">
        <f>IF(AND('ENTRY DATA'!G220=""),"",('ENTRY DATA'!G220))</f>
        <v/>
      </c>
      <c r="G220" s="61" t="s">
        <v>40</v>
      </c>
      <c r="I220" s="81" t="str">
        <f>IF(AND('DAY 1'!M220=""),"",('DAY 1'!M220))</f>
        <v/>
      </c>
      <c r="J220" s="79" t="str">
        <f>IF(AND('DAY 2'!M220=""),"",('DAY 2'!M220))</f>
        <v/>
      </c>
      <c r="K220" s="79" t="str">
        <f>IF(AND('DAY 3'!M220=""),"",('DAY 3'!M220))</f>
        <v/>
      </c>
      <c r="L220" s="79" t="str">
        <f>IF(AND('DAY 4'!M220=""),"",('DAY 4'!M220))</f>
        <v/>
      </c>
      <c r="M220" s="80" t="str">
        <f>IF(AND('DAY 5'!M220=""),"",('DAY 5'!M220))</f>
        <v/>
      </c>
      <c r="O220" s="78">
        <f>SUM('DAY 1'!L220,'DAY 2'!L220,'DAY 3'!L220,'DAY 4'!L220,'DAY 5'!L220)</f>
        <v>0</v>
      </c>
      <c r="P220" s="82" t="str">
        <f t="shared" si="24"/>
        <v/>
      </c>
      <c r="Q220" s="83" t="str">
        <f t="shared" si="25"/>
        <v/>
      </c>
      <c r="R220" s="148" t="str">
        <f t="shared" si="26"/>
        <v/>
      </c>
      <c r="S220" s="149" t="str">
        <f t="shared" si="27"/>
        <v/>
      </c>
      <c r="U220" s="66" t="str">
        <f>'DAY 1'!Y220</f>
        <v/>
      </c>
      <c r="V220" s="89" t="str">
        <f>'DAY 2'!Y220</f>
        <v/>
      </c>
      <c r="W220" s="89" t="str">
        <f>'DAY 3'!Y220</f>
        <v/>
      </c>
      <c r="X220" s="89" t="str">
        <f>'DAY 4'!Y220</f>
        <v/>
      </c>
      <c r="Y220" s="67" t="str">
        <f>'DAY 5'!Y220</f>
        <v/>
      </c>
      <c r="Z220" s="142" t="str">
        <f t="shared" si="28"/>
        <v/>
      </c>
      <c r="AA220" s="22" t="str">
        <f t="shared" si="29"/>
        <v/>
      </c>
      <c r="AB220" t="str">
        <f>'DAY 1'!Z220</f>
        <v/>
      </c>
      <c r="AC220" t="str">
        <f>'DAY 2'!Z220</f>
        <v/>
      </c>
      <c r="AD220" t="str">
        <f>'DAY 3'!Z220</f>
        <v/>
      </c>
      <c r="AE220" t="str">
        <f>'DAY 4'!Z220</f>
        <v/>
      </c>
      <c r="AF220" t="str">
        <f>'DAY 5'!Z220</f>
        <v/>
      </c>
      <c r="AG220" s="144" t="str">
        <f t="shared" si="30"/>
        <v/>
      </c>
      <c r="AH220" s="145" t="str">
        <f t="shared" si="31"/>
        <v/>
      </c>
    </row>
    <row r="221" spans="2:34" ht="15.75" thickBot="1" x14ac:dyDescent="0.3">
      <c r="B221" s="66" t="str">
        <f>IF(AND('ENTRY DATA'!C221=""),"",('ENTRY DATA'!C221))</f>
        <v/>
      </c>
      <c r="C221" s="67" t="str">
        <f>IF(AND('ENTRY DATA'!D221=""),"",('ENTRY DATA'!D221))</f>
        <v/>
      </c>
      <c r="E221" s="66" t="str">
        <f>IF(AND('ENTRY DATA'!F221=""),"",('ENTRY DATA'!F221))</f>
        <v/>
      </c>
      <c r="F221" s="67" t="str">
        <f>IF(AND('ENTRY DATA'!G221=""),"",('ENTRY DATA'!G221))</f>
        <v/>
      </c>
      <c r="G221" s="61" t="s">
        <v>40</v>
      </c>
      <c r="I221" s="81" t="str">
        <f>IF(AND('DAY 1'!M221=""),"",('DAY 1'!M221))</f>
        <v/>
      </c>
      <c r="J221" s="79" t="str">
        <f>IF(AND('DAY 2'!M221=""),"",('DAY 2'!M221))</f>
        <v/>
      </c>
      <c r="K221" s="79" t="str">
        <f>IF(AND('DAY 3'!M221=""),"",('DAY 3'!M221))</f>
        <v/>
      </c>
      <c r="L221" s="79" t="str">
        <f>IF(AND('DAY 4'!M221=""),"",('DAY 4'!M221))</f>
        <v/>
      </c>
      <c r="M221" s="80" t="str">
        <f>IF(AND('DAY 5'!M221=""),"",('DAY 5'!M221))</f>
        <v/>
      </c>
      <c r="O221" s="78">
        <f>SUM('DAY 1'!L221,'DAY 2'!L221,'DAY 3'!L221,'DAY 4'!L221,'DAY 5'!L221)</f>
        <v>0</v>
      </c>
      <c r="P221" s="82" t="str">
        <f t="shared" si="24"/>
        <v/>
      </c>
      <c r="Q221" s="83" t="str">
        <f t="shared" si="25"/>
        <v/>
      </c>
      <c r="R221" s="148" t="str">
        <f t="shared" si="26"/>
        <v/>
      </c>
      <c r="S221" s="149" t="str">
        <f t="shared" si="27"/>
        <v/>
      </c>
      <c r="U221" s="66" t="str">
        <f>'DAY 1'!Y221</f>
        <v/>
      </c>
      <c r="V221" s="89" t="str">
        <f>'DAY 2'!Y221</f>
        <v/>
      </c>
      <c r="W221" s="89" t="str">
        <f>'DAY 3'!Y221</f>
        <v/>
      </c>
      <c r="X221" s="89" t="str">
        <f>'DAY 4'!Y221</f>
        <v/>
      </c>
      <c r="Y221" s="67" t="str">
        <f>'DAY 5'!Y221</f>
        <v/>
      </c>
      <c r="Z221" s="142" t="str">
        <f t="shared" si="28"/>
        <v/>
      </c>
      <c r="AA221" s="22" t="str">
        <f t="shared" si="29"/>
        <v/>
      </c>
      <c r="AB221" t="str">
        <f>'DAY 1'!Z221</f>
        <v/>
      </c>
      <c r="AC221" t="str">
        <f>'DAY 2'!Z221</f>
        <v/>
      </c>
      <c r="AD221" t="str">
        <f>'DAY 3'!Z221</f>
        <v/>
      </c>
      <c r="AE221" t="str">
        <f>'DAY 4'!Z221</f>
        <v/>
      </c>
      <c r="AF221" t="str">
        <f>'DAY 5'!Z221</f>
        <v/>
      </c>
      <c r="AG221" s="144" t="str">
        <f t="shared" si="30"/>
        <v/>
      </c>
      <c r="AH221" s="145" t="str">
        <f t="shared" si="31"/>
        <v/>
      </c>
    </row>
    <row r="222" spans="2:34" ht="15.75" thickBot="1" x14ac:dyDescent="0.3">
      <c r="B222" s="66" t="str">
        <f>IF(AND('ENTRY DATA'!C222=""),"",('ENTRY DATA'!C222))</f>
        <v/>
      </c>
      <c r="C222" s="67" t="str">
        <f>IF(AND('ENTRY DATA'!D222=""),"",('ENTRY DATA'!D222))</f>
        <v/>
      </c>
      <c r="E222" s="66" t="str">
        <f>IF(AND('ENTRY DATA'!F222=""),"",('ENTRY DATA'!F222))</f>
        <v/>
      </c>
      <c r="F222" s="67" t="str">
        <f>IF(AND('ENTRY DATA'!G222=""),"",('ENTRY DATA'!G222))</f>
        <v/>
      </c>
      <c r="G222" s="61" t="s">
        <v>40</v>
      </c>
      <c r="I222" s="81" t="str">
        <f>IF(AND('DAY 1'!M222=""),"",('DAY 1'!M222))</f>
        <v/>
      </c>
      <c r="J222" s="79" t="str">
        <f>IF(AND('DAY 2'!M222=""),"",('DAY 2'!M222))</f>
        <v/>
      </c>
      <c r="K222" s="79" t="str">
        <f>IF(AND('DAY 3'!M222=""),"",('DAY 3'!M222))</f>
        <v/>
      </c>
      <c r="L222" s="79" t="str">
        <f>IF(AND('DAY 4'!M222=""),"",('DAY 4'!M222))</f>
        <v/>
      </c>
      <c r="M222" s="80" t="str">
        <f>IF(AND('DAY 5'!M222=""),"",('DAY 5'!M222))</f>
        <v/>
      </c>
      <c r="O222" s="78">
        <f>SUM('DAY 1'!L222,'DAY 2'!L222,'DAY 3'!L222,'DAY 4'!L222,'DAY 5'!L222)</f>
        <v>0</v>
      </c>
      <c r="P222" s="82" t="str">
        <f t="shared" si="24"/>
        <v/>
      </c>
      <c r="Q222" s="83" t="str">
        <f t="shared" si="25"/>
        <v/>
      </c>
      <c r="R222" s="148" t="str">
        <f t="shared" si="26"/>
        <v/>
      </c>
      <c r="S222" s="149" t="str">
        <f t="shared" si="27"/>
        <v/>
      </c>
      <c r="U222" s="66" t="str">
        <f>'DAY 1'!Y222</f>
        <v/>
      </c>
      <c r="V222" s="89" t="str">
        <f>'DAY 2'!Y222</f>
        <v/>
      </c>
      <c r="W222" s="89" t="str">
        <f>'DAY 3'!Y222</f>
        <v/>
      </c>
      <c r="X222" s="89" t="str">
        <f>'DAY 4'!Y222</f>
        <v/>
      </c>
      <c r="Y222" s="67" t="str">
        <f>'DAY 5'!Y222</f>
        <v/>
      </c>
      <c r="Z222" s="142" t="str">
        <f t="shared" si="28"/>
        <v/>
      </c>
      <c r="AA222" s="22" t="str">
        <f t="shared" si="29"/>
        <v/>
      </c>
      <c r="AB222" t="str">
        <f>'DAY 1'!Z222</f>
        <v/>
      </c>
      <c r="AC222" t="str">
        <f>'DAY 2'!Z222</f>
        <v/>
      </c>
      <c r="AD222" t="str">
        <f>'DAY 3'!Z222</f>
        <v/>
      </c>
      <c r="AE222" t="str">
        <f>'DAY 4'!Z222</f>
        <v/>
      </c>
      <c r="AF222" t="str">
        <f>'DAY 5'!Z222</f>
        <v/>
      </c>
      <c r="AG222" s="144" t="str">
        <f t="shared" si="30"/>
        <v/>
      </c>
      <c r="AH222" s="145" t="str">
        <f t="shared" si="31"/>
        <v/>
      </c>
    </row>
    <row r="223" spans="2:34" ht="15.75" thickBot="1" x14ac:dyDescent="0.3">
      <c r="B223" s="66" t="str">
        <f>IF(AND('ENTRY DATA'!C223=""),"",('ENTRY DATA'!C223))</f>
        <v/>
      </c>
      <c r="C223" s="67" t="str">
        <f>IF(AND('ENTRY DATA'!D223=""),"",('ENTRY DATA'!D223))</f>
        <v/>
      </c>
      <c r="E223" s="66" t="str">
        <f>IF(AND('ENTRY DATA'!F223=""),"",('ENTRY DATA'!F223))</f>
        <v/>
      </c>
      <c r="F223" s="67" t="str">
        <f>IF(AND('ENTRY DATA'!G223=""),"",('ENTRY DATA'!G223))</f>
        <v/>
      </c>
      <c r="G223" s="61" t="s">
        <v>40</v>
      </c>
      <c r="I223" s="81" t="str">
        <f>IF(AND('DAY 1'!M223=""),"",('DAY 1'!M223))</f>
        <v/>
      </c>
      <c r="J223" s="79" t="str">
        <f>IF(AND('DAY 2'!M223=""),"",('DAY 2'!M223))</f>
        <v/>
      </c>
      <c r="K223" s="79" t="str">
        <f>IF(AND('DAY 3'!M223=""),"",('DAY 3'!M223))</f>
        <v/>
      </c>
      <c r="L223" s="79" t="str">
        <f>IF(AND('DAY 4'!M223=""),"",('DAY 4'!M223))</f>
        <v/>
      </c>
      <c r="M223" s="80" t="str">
        <f>IF(AND('DAY 5'!M223=""),"",('DAY 5'!M223))</f>
        <v/>
      </c>
      <c r="O223" s="78">
        <f>SUM('DAY 1'!L223,'DAY 2'!L223,'DAY 3'!L223,'DAY 4'!L223,'DAY 5'!L223)</f>
        <v>0</v>
      </c>
      <c r="P223" s="82" t="str">
        <f t="shared" si="24"/>
        <v/>
      </c>
      <c r="Q223" s="83" t="str">
        <f t="shared" si="25"/>
        <v/>
      </c>
      <c r="R223" s="148" t="str">
        <f t="shared" si="26"/>
        <v/>
      </c>
      <c r="S223" s="149" t="str">
        <f t="shared" si="27"/>
        <v/>
      </c>
      <c r="U223" s="66" t="str">
        <f>'DAY 1'!Y223</f>
        <v/>
      </c>
      <c r="V223" s="89" t="str">
        <f>'DAY 2'!Y223</f>
        <v/>
      </c>
      <c r="W223" s="89" t="str">
        <f>'DAY 3'!Y223</f>
        <v/>
      </c>
      <c r="X223" s="89" t="str">
        <f>'DAY 4'!Y223</f>
        <v/>
      </c>
      <c r="Y223" s="67" t="str">
        <f>'DAY 5'!Y223</f>
        <v/>
      </c>
      <c r="Z223" s="142" t="str">
        <f t="shared" si="28"/>
        <v/>
      </c>
      <c r="AA223" s="22" t="str">
        <f t="shared" si="29"/>
        <v/>
      </c>
      <c r="AB223" t="str">
        <f>'DAY 1'!Z223</f>
        <v/>
      </c>
      <c r="AC223" t="str">
        <f>'DAY 2'!Z223</f>
        <v/>
      </c>
      <c r="AD223" t="str">
        <f>'DAY 3'!Z223</f>
        <v/>
      </c>
      <c r="AE223" t="str">
        <f>'DAY 4'!Z223</f>
        <v/>
      </c>
      <c r="AF223" t="str">
        <f>'DAY 5'!Z223</f>
        <v/>
      </c>
      <c r="AG223" s="144" t="str">
        <f t="shared" si="30"/>
        <v/>
      </c>
      <c r="AH223" s="145" t="str">
        <f t="shared" si="31"/>
        <v/>
      </c>
    </row>
    <row r="224" spans="2:34" ht="15.75" thickBot="1" x14ac:dyDescent="0.3">
      <c r="B224" s="66" t="str">
        <f>IF(AND('ENTRY DATA'!C224=""),"",('ENTRY DATA'!C224))</f>
        <v/>
      </c>
      <c r="C224" s="67" t="str">
        <f>IF(AND('ENTRY DATA'!D224=""),"",('ENTRY DATA'!D224))</f>
        <v/>
      </c>
      <c r="E224" s="66" t="str">
        <f>IF(AND('ENTRY DATA'!F224=""),"",('ENTRY DATA'!F224))</f>
        <v/>
      </c>
      <c r="F224" s="67" t="str">
        <f>IF(AND('ENTRY DATA'!G224=""),"",('ENTRY DATA'!G224))</f>
        <v/>
      </c>
      <c r="G224" s="61" t="s">
        <v>40</v>
      </c>
      <c r="I224" s="81" t="str">
        <f>IF(AND('DAY 1'!M224=""),"",('DAY 1'!M224))</f>
        <v/>
      </c>
      <c r="J224" s="79" t="str">
        <f>IF(AND('DAY 2'!M224=""),"",('DAY 2'!M224))</f>
        <v/>
      </c>
      <c r="K224" s="79" t="str">
        <f>IF(AND('DAY 3'!M224=""),"",('DAY 3'!M224))</f>
        <v/>
      </c>
      <c r="L224" s="79" t="str">
        <f>IF(AND('DAY 4'!M224=""),"",('DAY 4'!M224))</f>
        <v/>
      </c>
      <c r="M224" s="80" t="str">
        <f>IF(AND('DAY 5'!M224=""),"",('DAY 5'!M224))</f>
        <v/>
      </c>
      <c r="O224" s="78">
        <f>SUM('DAY 1'!L224,'DAY 2'!L224,'DAY 3'!L224,'DAY 4'!L224,'DAY 5'!L224)</f>
        <v>0</v>
      </c>
      <c r="P224" s="82" t="str">
        <f t="shared" si="24"/>
        <v/>
      </c>
      <c r="Q224" s="83" t="str">
        <f t="shared" si="25"/>
        <v/>
      </c>
      <c r="R224" s="148" t="str">
        <f t="shared" si="26"/>
        <v/>
      </c>
      <c r="S224" s="149" t="str">
        <f t="shared" si="27"/>
        <v/>
      </c>
      <c r="U224" s="66" t="str">
        <f>'DAY 1'!Y224</f>
        <v/>
      </c>
      <c r="V224" s="89" t="str">
        <f>'DAY 2'!Y224</f>
        <v/>
      </c>
      <c r="W224" s="89" t="str">
        <f>'DAY 3'!Y224</f>
        <v/>
      </c>
      <c r="X224" s="89" t="str">
        <f>'DAY 4'!Y224</f>
        <v/>
      </c>
      <c r="Y224" s="67" t="str">
        <f>'DAY 5'!Y224</f>
        <v/>
      </c>
      <c r="Z224" s="142" t="str">
        <f t="shared" si="28"/>
        <v/>
      </c>
      <c r="AA224" s="22" t="str">
        <f t="shared" si="29"/>
        <v/>
      </c>
      <c r="AB224" t="str">
        <f>'DAY 1'!Z224</f>
        <v/>
      </c>
      <c r="AC224" t="str">
        <f>'DAY 2'!Z224</f>
        <v/>
      </c>
      <c r="AD224" t="str">
        <f>'DAY 3'!Z224</f>
        <v/>
      </c>
      <c r="AE224" t="str">
        <f>'DAY 4'!Z224</f>
        <v/>
      </c>
      <c r="AF224" t="str">
        <f>'DAY 5'!Z224</f>
        <v/>
      </c>
      <c r="AG224" s="144" t="str">
        <f t="shared" si="30"/>
        <v/>
      </c>
      <c r="AH224" s="145" t="str">
        <f t="shared" si="31"/>
        <v/>
      </c>
    </row>
    <row r="225" spans="2:34" ht="15.75" thickBot="1" x14ac:dyDescent="0.3">
      <c r="B225" s="66" t="str">
        <f>IF(AND('ENTRY DATA'!C225=""),"",('ENTRY DATA'!C225))</f>
        <v/>
      </c>
      <c r="C225" s="67" t="str">
        <f>IF(AND('ENTRY DATA'!D225=""),"",('ENTRY DATA'!D225))</f>
        <v/>
      </c>
      <c r="E225" s="66" t="str">
        <f>IF(AND('ENTRY DATA'!F225=""),"",('ENTRY DATA'!F225))</f>
        <v/>
      </c>
      <c r="F225" s="67" t="str">
        <f>IF(AND('ENTRY DATA'!G225=""),"",('ENTRY DATA'!G225))</f>
        <v/>
      </c>
      <c r="G225" s="61" t="s">
        <v>40</v>
      </c>
      <c r="I225" s="81" t="str">
        <f>IF(AND('DAY 1'!M225=""),"",('DAY 1'!M225))</f>
        <v/>
      </c>
      <c r="J225" s="79" t="str">
        <f>IF(AND('DAY 2'!M225=""),"",('DAY 2'!M225))</f>
        <v/>
      </c>
      <c r="K225" s="79" t="str">
        <f>IF(AND('DAY 3'!M225=""),"",('DAY 3'!M225))</f>
        <v/>
      </c>
      <c r="L225" s="79" t="str">
        <f>IF(AND('DAY 4'!M225=""),"",('DAY 4'!M225))</f>
        <v/>
      </c>
      <c r="M225" s="80" t="str">
        <f>IF(AND('DAY 5'!M225=""),"",('DAY 5'!M225))</f>
        <v/>
      </c>
      <c r="O225" s="78">
        <f>SUM('DAY 1'!L225,'DAY 2'!L225,'DAY 3'!L225,'DAY 4'!L225,'DAY 5'!L225)</f>
        <v>0</v>
      </c>
      <c r="P225" s="82" t="str">
        <f t="shared" si="24"/>
        <v/>
      </c>
      <c r="Q225" s="83" t="str">
        <f t="shared" si="25"/>
        <v/>
      </c>
      <c r="R225" s="148" t="str">
        <f t="shared" si="26"/>
        <v/>
      </c>
      <c r="S225" s="149" t="str">
        <f t="shared" si="27"/>
        <v/>
      </c>
      <c r="U225" s="66" t="str">
        <f>'DAY 1'!Y225</f>
        <v/>
      </c>
      <c r="V225" s="89" t="str">
        <f>'DAY 2'!Y225</f>
        <v/>
      </c>
      <c r="W225" s="89" t="str">
        <f>'DAY 3'!Y225</f>
        <v/>
      </c>
      <c r="X225" s="89" t="str">
        <f>'DAY 4'!Y225</f>
        <v/>
      </c>
      <c r="Y225" s="67" t="str">
        <f>'DAY 5'!Y225</f>
        <v/>
      </c>
      <c r="Z225" s="142" t="str">
        <f t="shared" si="28"/>
        <v/>
      </c>
      <c r="AA225" s="22" t="str">
        <f t="shared" si="29"/>
        <v/>
      </c>
      <c r="AB225" t="str">
        <f>'DAY 1'!Z225</f>
        <v/>
      </c>
      <c r="AC225" t="str">
        <f>'DAY 2'!Z225</f>
        <v/>
      </c>
      <c r="AD225" t="str">
        <f>'DAY 3'!Z225</f>
        <v/>
      </c>
      <c r="AE225" t="str">
        <f>'DAY 4'!Z225</f>
        <v/>
      </c>
      <c r="AF225" t="str">
        <f>'DAY 5'!Z225</f>
        <v/>
      </c>
      <c r="AG225" s="144" t="str">
        <f t="shared" si="30"/>
        <v/>
      </c>
      <c r="AH225" s="145" t="str">
        <f t="shared" si="31"/>
        <v/>
      </c>
    </row>
    <row r="226" spans="2:34" ht="15.75" thickBot="1" x14ac:dyDescent="0.3">
      <c r="B226" s="66" t="str">
        <f>IF(AND('ENTRY DATA'!C226=""),"",('ENTRY DATA'!C226))</f>
        <v/>
      </c>
      <c r="C226" s="67" t="str">
        <f>IF(AND('ENTRY DATA'!D226=""),"",('ENTRY DATA'!D226))</f>
        <v/>
      </c>
      <c r="E226" s="66" t="str">
        <f>IF(AND('ENTRY DATA'!F226=""),"",('ENTRY DATA'!F226))</f>
        <v/>
      </c>
      <c r="F226" s="67" t="str">
        <f>IF(AND('ENTRY DATA'!G226=""),"",('ENTRY DATA'!G226))</f>
        <v/>
      </c>
      <c r="G226" s="61" t="s">
        <v>40</v>
      </c>
      <c r="I226" s="81" t="str">
        <f>IF(AND('DAY 1'!M226=""),"",('DAY 1'!M226))</f>
        <v/>
      </c>
      <c r="J226" s="79" t="str">
        <f>IF(AND('DAY 2'!M226=""),"",('DAY 2'!M226))</f>
        <v/>
      </c>
      <c r="K226" s="79" t="str">
        <f>IF(AND('DAY 3'!M226=""),"",('DAY 3'!M226))</f>
        <v/>
      </c>
      <c r="L226" s="79" t="str">
        <f>IF(AND('DAY 4'!M226=""),"",('DAY 4'!M226))</f>
        <v/>
      </c>
      <c r="M226" s="80" t="str">
        <f>IF(AND('DAY 5'!M226=""),"",('DAY 5'!M226))</f>
        <v/>
      </c>
      <c r="O226" s="78">
        <f>SUM('DAY 1'!L226,'DAY 2'!L226,'DAY 3'!L226,'DAY 4'!L226,'DAY 5'!L226)</f>
        <v>0</v>
      </c>
      <c r="P226" s="82" t="str">
        <f t="shared" si="24"/>
        <v/>
      </c>
      <c r="Q226" s="83" t="str">
        <f t="shared" si="25"/>
        <v/>
      </c>
      <c r="R226" s="148" t="str">
        <f t="shared" si="26"/>
        <v/>
      </c>
      <c r="S226" s="149" t="str">
        <f t="shared" si="27"/>
        <v/>
      </c>
      <c r="U226" s="66" t="str">
        <f>'DAY 1'!Y226</f>
        <v/>
      </c>
      <c r="V226" s="89" t="str">
        <f>'DAY 2'!Y226</f>
        <v/>
      </c>
      <c r="W226" s="89" t="str">
        <f>'DAY 3'!Y226</f>
        <v/>
      </c>
      <c r="X226" s="89" t="str">
        <f>'DAY 4'!Y226</f>
        <v/>
      </c>
      <c r="Y226" s="67" t="str">
        <f>'DAY 5'!Y226</f>
        <v/>
      </c>
      <c r="Z226" s="142" t="str">
        <f t="shared" si="28"/>
        <v/>
      </c>
      <c r="AA226" s="22" t="str">
        <f t="shared" si="29"/>
        <v/>
      </c>
      <c r="AB226" t="str">
        <f>'DAY 1'!Z226</f>
        <v/>
      </c>
      <c r="AC226" t="str">
        <f>'DAY 2'!Z226</f>
        <v/>
      </c>
      <c r="AD226" t="str">
        <f>'DAY 3'!Z226</f>
        <v/>
      </c>
      <c r="AE226" t="str">
        <f>'DAY 4'!Z226</f>
        <v/>
      </c>
      <c r="AF226" t="str">
        <f>'DAY 5'!Z226</f>
        <v/>
      </c>
      <c r="AG226" s="144" t="str">
        <f t="shared" si="30"/>
        <v/>
      </c>
      <c r="AH226" s="145" t="str">
        <f t="shared" si="31"/>
        <v/>
      </c>
    </row>
    <row r="227" spans="2:34" ht="15.75" thickBot="1" x14ac:dyDescent="0.3">
      <c r="B227" s="66" t="str">
        <f>IF(AND('ENTRY DATA'!C227=""),"",('ENTRY DATA'!C227))</f>
        <v/>
      </c>
      <c r="C227" s="67" t="str">
        <f>IF(AND('ENTRY DATA'!D227=""),"",('ENTRY DATA'!D227))</f>
        <v/>
      </c>
      <c r="E227" s="66" t="str">
        <f>IF(AND('ENTRY DATA'!F227=""),"",('ENTRY DATA'!F227))</f>
        <v/>
      </c>
      <c r="F227" s="67" t="str">
        <f>IF(AND('ENTRY DATA'!G227=""),"",('ENTRY DATA'!G227))</f>
        <v/>
      </c>
      <c r="G227" s="61" t="s">
        <v>40</v>
      </c>
      <c r="I227" s="81" t="str">
        <f>IF(AND('DAY 1'!M227=""),"",('DAY 1'!M227))</f>
        <v/>
      </c>
      <c r="J227" s="79" t="str">
        <f>IF(AND('DAY 2'!M227=""),"",('DAY 2'!M227))</f>
        <v/>
      </c>
      <c r="K227" s="79" t="str">
        <f>IF(AND('DAY 3'!M227=""),"",('DAY 3'!M227))</f>
        <v/>
      </c>
      <c r="L227" s="79" t="str">
        <f>IF(AND('DAY 4'!M227=""),"",('DAY 4'!M227))</f>
        <v/>
      </c>
      <c r="M227" s="80" t="str">
        <f>IF(AND('DAY 5'!M227=""),"",('DAY 5'!M227))</f>
        <v/>
      </c>
      <c r="O227" s="78">
        <f>SUM('DAY 1'!L227,'DAY 2'!L227,'DAY 3'!L227,'DAY 4'!L227,'DAY 5'!L227)</f>
        <v>0</v>
      </c>
      <c r="P227" s="82" t="str">
        <f t="shared" si="24"/>
        <v/>
      </c>
      <c r="Q227" s="83" t="str">
        <f t="shared" si="25"/>
        <v/>
      </c>
      <c r="R227" s="148" t="str">
        <f t="shared" si="26"/>
        <v/>
      </c>
      <c r="S227" s="149" t="str">
        <f t="shared" si="27"/>
        <v/>
      </c>
      <c r="U227" s="66" t="str">
        <f>'DAY 1'!Y227</f>
        <v/>
      </c>
      <c r="V227" s="89" t="str">
        <f>'DAY 2'!Y227</f>
        <v/>
      </c>
      <c r="W227" s="89" t="str">
        <f>'DAY 3'!Y227</f>
        <v/>
      </c>
      <c r="X227" s="89" t="str">
        <f>'DAY 4'!Y227</f>
        <v/>
      </c>
      <c r="Y227" s="67" t="str">
        <f>'DAY 5'!Y227</f>
        <v/>
      </c>
      <c r="Z227" s="142" t="str">
        <f t="shared" si="28"/>
        <v/>
      </c>
      <c r="AA227" s="22" t="str">
        <f t="shared" si="29"/>
        <v/>
      </c>
      <c r="AB227" t="str">
        <f>'DAY 1'!Z227</f>
        <v/>
      </c>
      <c r="AC227" t="str">
        <f>'DAY 2'!Z227</f>
        <v/>
      </c>
      <c r="AD227" t="str">
        <f>'DAY 3'!Z227</f>
        <v/>
      </c>
      <c r="AE227" t="str">
        <f>'DAY 4'!Z227</f>
        <v/>
      </c>
      <c r="AF227" t="str">
        <f>'DAY 5'!Z227</f>
        <v/>
      </c>
      <c r="AG227" s="144" t="str">
        <f t="shared" si="30"/>
        <v/>
      </c>
      <c r="AH227" s="145" t="str">
        <f t="shared" si="31"/>
        <v/>
      </c>
    </row>
    <row r="228" spans="2:34" ht="15.75" thickBot="1" x14ac:dyDescent="0.3">
      <c r="B228" s="66" t="str">
        <f>IF(AND('ENTRY DATA'!C228=""),"",('ENTRY DATA'!C228))</f>
        <v/>
      </c>
      <c r="C228" s="67" t="str">
        <f>IF(AND('ENTRY DATA'!D228=""),"",('ENTRY DATA'!D228))</f>
        <v/>
      </c>
      <c r="E228" s="66" t="str">
        <f>IF(AND('ENTRY DATA'!F228=""),"",('ENTRY DATA'!F228))</f>
        <v/>
      </c>
      <c r="F228" s="67" t="str">
        <f>IF(AND('ENTRY DATA'!G228=""),"",('ENTRY DATA'!G228))</f>
        <v/>
      </c>
      <c r="G228" s="61" t="s">
        <v>40</v>
      </c>
      <c r="I228" s="81" t="str">
        <f>IF(AND('DAY 1'!M228=""),"",('DAY 1'!M228))</f>
        <v/>
      </c>
      <c r="J228" s="79" t="str">
        <f>IF(AND('DAY 2'!M228=""),"",('DAY 2'!M228))</f>
        <v/>
      </c>
      <c r="K228" s="79" t="str">
        <f>IF(AND('DAY 3'!M228=""),"",('DAY 3'!M228))</f>
        <v/>
      </c>
      <c r="L228" s="79" t="str">
        <f>IF(AND('DAY 4'!M228=""),"",('DAY 4'!M228))</f>
        <v/>
      </c>
      <c r="M228" s="80" t="str">
        <f>IF(AND('DAY 5'!M228=""),"",('DAY 5'!M228))</f>
        <v/>
      </c>
      <c r="O228" s="78">
        <f>SUM('DAY 1'!L228,'DAY 2'!L228,'DAY 3'!L228,'DAY 4'!L228,'DAY 5'!L228)</f>
        <v>0</v>
      </c>
      <c r="P228" s="82" t="str">
        <f t="shared" si="24"/>
        <v/>
      </c>
      <c r="Q228" s="83" t="str">
        <f t="shared" si="25"/>
        <v/>
      </c>
      <c r="R228" s="148" t="str">
        <f t="shared" si="26"/>
        <v/>
      </c>
      <c r="S228" s="149" t="str">
        <f t="shared" si="27"/>
        <v/>
      </c>
      <c r="U228" s="66" t="str">
        <f>'DAY 1'!Y228</f>
        <v/>
      </c>
      <c r="V228" s="89" t="str">
        <f>'DAY 2'!Y228</f>
        <v/>
      </c>
      <c r="W228" s="89" t="str">
        <f>'DAY 3'!Y228</f>
        <v/>
      </c>
      <c r="X228" s="89" t="str">
        <f>'DAY 4'!Y228</f>
        <v/>
      </c>
      <c r="Y228" s="67" t="str">
        <f>'DAY 5'!Y228</f>
        <v/>
      </c>
      <c r="Z228" s="142" t="str">
        <f t="shared" si="28"/>
        <v/>
      </c>
      <c r="AA228" s="22" t="str">
        <f t="shared" si="29"/>
        <v/>
      </c>
      <c r="AB228" t="str">
        <f>'DAY 1'!Z228</f>
        <v/>
      </c>
      <c r="AC228" t="str">
        <f>'DAY 2'!Z228</f>
        <v/>
      </c>
      <c r="AD228" t="str">
        <f>'DAY 3'!Z228</f>
        <v/>
      </c>
      <c r="AE228" t="str">
        <f>'DAY 4'!Z228</f>
        <v/>
      </c>
      <c r="AF228" t="str">
        <f>'DAY 5'!Z228</f>
        <v/>
      </c>
      <c r="AG228" s="144" t="str">
        <f t="shared" si="30"/>
        <v/>
      </c>
      <c r="AH228" s="145" t="str">
        <f t="shared" si="31"/>
        <v/>
      </c>
    </row>
    <row r="229" spans="2:34" ht="15.75" thickBot="1" x14ac:dyDescent="0.3">
      <c r="B229" s="66" t="str">
        <f>IF(AND('ENTRY DATA'!C229=""),"",('ENTRY DATA'!C229))</f>
        <v/>
      </c>
      <c r="C229" s="67" t="str">
        <f>IF(AND('ENTRY DATA'!D229=""),"",('ENTRY DATA'!D229))</f>
        <v/>
      </c>
      <c r="E229" s="66" t="str">
        <f>IF(AND('ENTRY DATA'!F229=""),"",('ENTRY DATA'!F229))</f>
        <v/>
      </c>
      <c r="F229" s="67" t="str">
        <f>IF(AND('ENTRY DATA'!G229=""),"",('ENTRY DATA'!G229))</f>
        <v/>
      </c>
      <c r="G229" s="61" t="s">
        <v>40</v>
      </c>
      <c r="I229" s="81" t="str">
        <f>IF(AND('DAY 1'!M229=""),"",('DAY 1'!M229))</f>
        <v/>
      </c>
      <c r="J229" s="79" t="str">
        <f>IF(AND('DAY 2'!M229=""),"",('DAY 2'!M229))</f>
        <v/>
      </c>
      <c r="K229" s="79" t="str">
        <f>IF(AND('DAY 3'!M229=""),"",('DAY 3'!M229))</f>
        <v/>
      </c>
      <c r="L229" s="79" t="str">
        <f>IF(AND('DAY 4'!M229=""),"",('DAY 4'!M229))</f>
        <v/>
      </c>
      <c r="M229" s="80" t="str">
        <f>IF(AND('DAY 5'!M229=""),"",('DAY 5'!M229))</f>
        <v/>
      </c>
      <c r="O229" s="78">
        <f>SUM('DAY 1'!L229,'DAY 2'!L229,'DAY 3'!L229,'DAY 4'!L229,'DAY 5'!L229)</f>
        <v>0</v>
      </c>
      <c r="P229" s="82" t="str">
        <f t="shared" si="24"/>
        <v/>
      </c>
      <c r="Q229" s="83" t="str">
        <f t="shared" si="25"/>
        <v/>
      </c>
      <c r="R229" s="148" t="str">
        <f t="shared" si="26"/>
        <v/>
      </c>
      <c r="S229" s="149" t="str">
        <f t="shared" si="27"/>
        <v/>
      </c>
      <c r="U229" s="66" t="str">
        <f>'DAY 1'!Y229</f>
        <v/>
      </c>
      <c r="V229" s="89" t="str">
        <f>'DAY 2'!Y229</f>
        <v/>
      </c>
      <c r="W229" s="89" t="str">
        <f>'DAY 3'!Y229</f>
        <v/>
      </c>
      <c r="X229" s="89" t="str">
        <f>'DAY 4'!Y229</f>
        <v/>
      </c>
      <c r="Y229" s="67" t="str">
        <f>'DAY 5'!Y229</f>
        <v/>
      </c>
      <c r="Z229" s="142" t="str">
        <f t="shared" si="28"/>
        <v/>
      </c>
      <c r="AA229" s="22" t="str">
        <f t="shared" si="29"/>
        <v/>
      </c>
      <c r="AB229" t="str">
        <f>'DAY 1'!Z229</f>
        <v/>
      </c>
      <c r="AC229" t="str">
        <f>'DAY 2'!Z229</f>
        <v/>
      </c>
      <c r="AD229" t="str">
        <f>'DAY 3'!Z229</f>
        <v/>
      </c>
      <c r="AE229" t="str">
        <f>'DAY 4'!Z229</f>
        <v/>
      </c>
      <c r="AF229" t="str">
        <f>'DAY 5'!Z229</f>
        <v/>
      </c>
      <c r="AG229" s="144" t="str">
        <f t="shared" si="30"/>
        <v/>
      </c>
      <c r="AH229" s="145" t="str">
        <f t="shared" si="31"/>
        <v/>
      </c>
    </row>
    <row r="230" spans="2:34" ht="15.75" thickBot="1" x14ac:dyDescent="0.3">
      <c r="B230" s="66" t="str">
        <f>IF(AND('ENTRY DATA'!C230=""),"",('ENTRY DATA'!C230))</f>
        <v/>
      </c>
      <c r="C230" s="67" t="str">
        <f>IF(AND('ENTRY DATA'!D230=""),"",('ENTRY DATA'!D230))</f>
        <v/>
      </c>
      <c r="E230" s="66" t="str">
        <f>IF(AND('ENTRY DATA'!F230=""),"",('ENTRY DATA'!F230))</f>
        <v/>
      </c>
      <c r="F230" s="67" t="str">
        <f>IF(AND('ENTRY DATA'!G230=""),"",('ENTRY DATA'!G230))</f>
        <v/>
      </c>
      <c r="G230" s="61" t="s">
        <v>40</v>
      </c>
      <c r="I230" s="81" t="str">
        <f>IF(AND('DAY 1'!M230=""),"",('DAY 1'!M230))</f>
        <v/>
      </c>
      <c r="J230" s="79" t="str">
        <f>IF(AND('DAY 2'!M230=""),"",('DAY 2'!M230))</f>
        <v/>
      </c>
      <c r="K230" s="79" t="str">
        <f>IF(AND('DAY 3'!M230=""),"",('DAY 3'!M230))</f>
        <v/>
      </c>
      <c r="L230" s="79" t="str">
        <f>IF(AND('DAY 4'!M230=""),"",('DAY 4'!M230))</f>
        <v/>
      </c>
      <c r="M230" s="80" t="str">
        <f>IF(AND('DAY 5'!M230=""),"",('DAY 5'!M230))</f>
        <v/>
      </c>
      <c r="O230" s="78">
        <f>SUM('DAY 1'!L230,'DAY 2'!L230,'DAY 3'!L230,'DAY 4'!L230,'DAY 5'!L230)</f>
        <v>0</v>
      </c>
      <c r="P230" s="82" t="str">
        <f t="shared" si="24"/>
        <v/>
      </c>
      <c r="Q230" s="83" t="str">
        <f t="shared" si="25"/>
        <v/>
      </c>
      <c r="R230" s="148" t="str">
        <f t="shared" si="26"/>
        <v/>
      </c>
      <c r="S230" s="149" t="str">
        <f t="shared" si="27"/>
        <v/>
      </c>
      <c r="U230" s="66" t="str">
        <f>'DAY 1'!Y230</f>
        <v/>
      </c>
      <c r="V230" s="89" t="str">
        <f>'DAY 2'!Y230</f>
        <v/>
      </c>
      <c r="W230" s="89" t="str">
        <f>'DAY 3'!Y230</f>
        <v/>
      </c>
      <c r="X230" s="89" t="str">
        <f>'DAY 4'!Y230</f>
        <v/>
      </c>
      <c r="Y230" s="67" t="str">
        <f>'DAY 5'!Y230</f>
        <v/>
      </c>
      <c r="Z230" s="142" t="str">
        <f t="shared" si="28"/>
        <v/>
      </c>
      <c r="AA230" s="22" t="str">
        <f t="shared" si="29"/>
        <v/>
      </c>
      <c r="AB230" t="str">
        <f>'DAY 1'!Z230</f>
        <v/>
      </c>
      <c r="AC230" t="str">
        <f>'DAY 2'!Z230</f>
        <v/>
      </c>
      <c r="AD230" t="str">
        <f>'DAY 3'!Z230</f>
        <v/>
      </c>
      <c r="AE230" t="str">
        <f>'DAY 4'!Z230</f>
        <v/>
      </c>
      <c r="AF230" t="str">
        <f>'DAY 5'!Z230</f>
        <v/>
      </c>
      <c r="AG230" s="144" t="str">
        <f t="shared" si="30"/>
        <v/>
      </c>
      <c r="AH230" s="145" t="str">
        <f t="shared" si="31"/>
        <v/>
      </c>
    </row>
    <row r="231" spans="2:34" ht="15.75" thickBot="1" x14ac:dyDescent="0.3">
      <c r="B231" s="66" t="str">
        <f>IF(AND('ENTRY DATA'!C231=""),"",('ENTRY DATA'!C231))</f>
        <v/>
      </c>
      <c r="C231" s="67" t="str">
        <f>IF(AND('ENTRY DATA'!D231=""),"",('ENTRY DATA'!D231))</f>
        <v/>
      </c>
      <c r="E231" s="66" t="str">
        <f>IF(AND('ENTRY DATA'!F231=""),"",('ENTRY DATA'!F231))</f>
        <v/>
      </c>
      <c r="F231" s="67" t="str">
        <f>IF(AND('ENTRY DATA'!G231=""),"",('ENTRY DATA'!G231))</f>
        <v/>
      </c>
      <c r="G231" s="61" t="s">
        <v>40</v>
      </c>
      <c r="I231" s="81" t="str">
        <f>IF(AND('DAY 1'!M231=""),"",('DAY 1'!M231))</f>
        <v/>
      </c>
      <c r="J231" s="79" t="str">
        <f>IF(AND('DAY 2'!M231=""),"",('DAY 2'!M231))</f>
        <v/>
      </c>
      <c r="K231" s="79" t="str">
        <f>IF(AND('DAY 3'!M231=""),"",('DAY 3'!M231))</f>
        <v/>
      </c>
      <c r="L231" s="79" t="str">
        <f>IF(AND('DAY 4'!M231=""),"",('DAY 4'!M231))</f>
        <v/>
      </c>
      <c r="M231" s="80" t="str">
        <f>IF(AND('DAY 5'!M231=""),"",('DAY 5'!M231))</f>
        <v/>
      </c>
      <c r="O231" s="78">
        <f>SUM('DAY 1'!L231,'DAY 2'!L231,'DAY 3'!L231,'DAY 4'!L231,'DAY 5'!L231)</f>
        <v>0</v>
      </c>
      <c r="P231" s="82" t="str">
        <f t="shared" si="24"/>
        <v/>
      </c>
      <c r="Q231" s="83" t="str">
        <f t="shared" si="25"/>
        <v/>
      </c>
      <c r="R231" s="148" t="str">
        <f t="shared" si="26"/>
        <v/>
      </c>
      <c r="S231" s="149" t="str">
        <f t="shared" si="27"/>
        <v/>
      </c>
      <c r="U231" s="66" t="str">
        <f>'DAY 1'!Y231</f>
        <v/>
      </c>
      <c r="V231" s="89" t="str">
        <f>'DAY 2'!Y231</f>
        <v/>
      </c>
      <c r="W231" s="89" t="str">
        <f>'DAY 3'!Y231</f>
        <v/>
      </c>
      <c r="X231" s="89" t="str">
        <f>'DAY 4'!Y231</f>
        <v/>
      </c>
      <c r="Y231" s="67" t="str">
        <f>'DAY 5'!Y231</f>
        <v/>
      </c>
      <c r="Z231" s="142" t="str">
        <f t="shared" si="28"/>
        <v/>
      </c>
      <c r="AA231" s="22" t="str">
        <f t="shared" si="29"/>
        <v/>
      </c>
      <c r="AB231" t="str">
        <f>'DAY 1'!Z231</f>
        <v/>
      </c>
      <c r="AC231" t="str">
        <f>'DAY 2'!Z231</f>
        <v/>
      </c>
      <c r="AD231" t="str">
        <f>'DAY 3'!Z231</f>
        <v/>
      </c>
      <c r="AE231" t="str">
        <f>'DAY 4'!Z231</f>
        <v/>
      </c>
      <c r="AF231" t="str">
        <f>'DAY 5'!Z231</f>
        <v/>
      </c>
      <c r="AG231" s="144" t="str">
        <f t="shared" si="30"/>
        <v/>
      </c>
      <c r="AH231" s="145" t="str">
        <f t="shared" si="31"/>
        <v/>
      </c>
    </row>
    <row r="232" spans="2:34" ht="15.75" thickBot="1" x14ac:dyDescent="0.3">
      <c r="B232" s="66" t="str">
        <f>IF(AND('ENTRY DATA'!C232=""),"",('ENTRY DATA'!C232))</f>
        <v/>
      </c>
      <c r="C232" s="67" t="str">
        <f>IF(AND('ENTRY DATA'!D232=""),"",('ENTRY DATA'!D232))</f>
        <v/>
      </c>
      <c r="E232" s="66" t="str">
        <f>IF(AND('ENTRY DATA'!F232=""),"",('ENTRY DATA'!F232))</f>
        <v/>
      </c>
      <c r="F232" s="67" t="str">
        <f>IF(AND('ENTRY DATA'!G232=""),"",('ENTRY DATA'!G232))</f>
        <v/>
      </c>
      <c r="G232" s="61" t="s">
        <v>40</v>
      </c>
      <c r="I232" s="81" t="str">
        <f>IF(AND('DAY 1'!M232=""),"",('DAY 1'!M232))</f>
        <v/>
      </c>
      <c r="J232" s="79" t="str">
        <f>IF(AND('DAY 2'!M232=""),"",('DAY 2'!M232))</f>
        <v/>
      </c>
      <c r="K232" s="79" t="str">
        <f>IF(AND('DAY 3'!M232=""),"",('DAY 3'!M232))</f>
        <v/>
      </c>
      <c r="L232" s="79" t="str">
        <f>IF(AND('DAY 4'!M232=""),"",('DAY 4'!M232))</f>
        <v/>
      </c>
      <c r="M232" s="80" t="str">
        <f>IF(AND('DAY 5'!M232=""),"",('DAY 5'!M232))</f>
        <v/>
      </c>
      <c r="O232" s="78">
        <f>SUM('DAY 1'!L232,'DAY 2'!L232,'DAY 3'!L232,'DAY 4'!L232,'DAY 5'!L232)</f>
        <v>0</v>
      </c>
      <c r="P232" s="82" t="str">
        <f t="shared" si="24"/>
        <v/>
      </c>
      <c r="Q232" s="83" t="str">
        <f t="shared" si="25"/>
        <v/>
      </c>
      <c r="R232" s="148" t="str">
        <f t="shared" si="26"/>
        <v/>
      </c>
      <c r="S232" s="149" t="str">
        <f t="shared" si="27"/>
        <v/>
      </c>
      <c r="U232" s="66" t="str">
        <f>'DAY 1'!Y232</f>
        <v/>
      </c>
      <c r="V232" s="89" t="str">
        <f>'DAY 2'!Y232</f>
        <v/>
      </c>
      <c r="W232" s="89" t="str">
        <f>'DAY 3'!Y232</f>
        <v/>
      </c>
      <c r="X232" s="89" t="str">
        <f>'DAY 4'!Y232</f>
        <v/>
      </c>
      <c r="Y232" s="67" t="str">
        <f>'DAY 5'!Y232</f>
        <v/>
      </c>
      <c r="Z232" s="142" t="str">
        <f t="shared" si="28"/>
        <v/>
      </c>
      <c r="AA232" s="22" t="str">
        <f t="shared" si="29"/>
        <v/>
      </c>
      <c r="AB232" t="str">
        <f>'DAY 1'!Z232</f>
        <v/>
      </c>
      <c r="AC232" t="str">
        <f>'DAY 2'!Z232</f>
        <v/>
      </c>
      <c r="AD232" t="str">
        <f>'DAY 3'!Z232</f>
        <v/>
      </c>
      <c r="AE232" t="str">
        <f>'DAY 4'!Z232</f>
        <v/>
      </c>
      <c r="AF232" t="str">
        <f>'DAY 5'!Z232</f>
        <v/>
      </c>
      <c r="AG232" s="144" t="str">
        <f t="shared" si="30"/>
        <v/>
      </c>
      <c r="AH232" s="145" t="str">
        <f t="shared" si="31"/>
        <v/>
      </c>
    </row>
    <row r="233" spans="2:34" ht="15.75" thickBot="1" x14ac:dyDescent="0.3">
      <c r="B233" s="66" t="str">
        <f>IF(AND('ENTRY DATA'!C233=""),"",('ENTRY DATA'!C233))</f>
        <v/>
      </c>
      <c r="C233" s="67" t="str">
        <f>IF(AND('ENTRY DATA'!D233=""),"",('ENTRY DATA'!D233))</f>
        <v/>
      </c>
      <c r="E233" s="66" t="str">
        <f>IF(AND('ENTRY DATA'!F233=""),"",('ENTRY DATA'!F233))</f>
        <v/>
      </c>
      <c r="F233" s="67" t="str">
        <f>IF(AND('ENTRY DATA'!G233=""),"",('ENTRY DATA'!G233))</f>
        <v/>
      </c>
      <c r="G233" s="61" t="s">
        <v>40</v>
      </c>
      <c r="I233" s="81" t="str">
        <f>IF(AND('DAY 1'!M233=""),"",('DAY 1'!M233))</f>
        <v/>
      </c>
      <c r="J233" s="79" t="str">
        <f>IF(AND('DAY 2'!M233=""),"",('DAY 2'!M233))</f>
        <v/>
      </c>
      <c r="K233" s="79" t="str">
        <f>IF(AND('DAY 3'!M233=""),"",('DAY 3'!M233))</f>
        <v/>
      </c>
      <c r="L233" s="79" t="str">
        <f>IF(AND('DAY 4'!M233=""),"",('DAY 4'!M233))</f>
        <v/>
      </c>
      <c r="M233" s="80" t="str">
        <f>IF(AND('DAY 5'!M233=""),"",('DAY 5'!M233))</f>
        <v/>
      </c>
      <c r="O233" s="78">
        <f>SUM('DAY 1'!L233,'DAY 2'!L233,'DAY 3'!L233,'DAY 4'!L233,'DAY 5'!L233)</f>
        <v>0</v>
      </c>
      <c r="P233" s="82" t="str">
        <f t="shared" si="24"/>
        <v/>
      </c>
      <c r="Q233" s="83" t="str">
        <f t="shared" si="25"/>
        <v/>
      </c>
      <c r="R233" s="148" t="str">
        <f t="shared" si="26"/>
        <v/>
      </c>
      <c r="S233" s="149" t="str">
        <f t="shared" si="27"/>
        <v/>
      </c>
      <c r="U233" s="66" t="str">
        <f>'DAY 1'!Y233</f>
        <v/>
      </c>
      <c r="V233" s="89" t="str">
        <f>'DAY 2'!Y233</f>
        <v/>
      </c>
      <c r="W233" s="89" t="str">
        <f>'DAY 3'!Y233</f>
        <v/>
      </c>
      <c r="X233" s="89" t="str">
        <f>'DAY 4'!Y233</f>
        <v/>
      </c>
      <c r="Y233" s="67" t="str">
        <f>'DAY 5'!Y233</f>
        <v/>
      </c>
      <c r="Z233" s="142" t="str">
        <f t="shared" si="28"/>
        <v/>
      </c>
      <c r="AA233" s="22" t="str">
        <f t="shared" si="29"/>
        <v/>
      </c>
      <c r="AB233" t="str">
        <f>'DAY 1'!Z233</f>
        <v/>
      </c>
      <c r="AC233" t="str">
        <f>'DAY 2'!Z233</f>
        <v/>
      </c>
      <c r="AD233" t="str">
        <f>'DAY 3'!Z233</f>
        <v/>
      </c>
      <c r="AE233" t="str">
        <f>'DAY 4'!Z233</f>
        <v/>
      </c>
      <c r="AF233" t="str">
        <f>'DAY 5'!Z233</f>
        <v/>
      </c>
      <c r="AG233" s="144" t="str">
        <f t="shared" si="30"/>
        <v/>
      </c>
      <c r="AH233" s="145" t="str">
        <f t="shared" si="31"/>
        <v/>
      </c>
    </row>
    <row r="234" spans="2:34" ht="15.75" thickBot="1" x14ac:dyDescent="0.3">
      <c r="B234" s="66" t="str">
        <f>IF(AND('ENTRY DATA'!C234=""),"",('ENTRY DATA'!C234))</f>
        <v/>
      </c>
      <c r="C234" s="67" t="str">
        <f>IF(AND('ENTRY DATA'!D234=""),"",('ENTRY DATA'!D234))</f>
        <v/>
      </c>
      <c r="E234" s="66" t="str">
        <f>IF(AND('ENTRY DATA'!F234=""),"",('ENTRY DATA'!F234))</f>
        <v/>
      </c>
      <c r="F234" s="67" t="str">
        <f>IF(AND('ENTRY DATA'!G234=""),"",('ENTRY DATA'!G234))</f>
        <v/>
      </c>
      <c r="G234" s="61" t="s">
        <v>40</v>
      </c>
      <c r="I234" s="81" t="str">
        <f>IF(AND('DAY 1'!M234=""),"",('DAY 1'!M234))</f>
        <v/>
      </c>
      <c r="J234" s="79" t="str">
        <f>IF(AND('DAY 2'!M234=""),"",('DAY 2'!M234))</f>
        <v/>
      </c>
      <c r="K234" s="79" t="str">
        <f>IF(AND('DAY 3'!M234=""),"",('DAY 3'!M234))</f>
        <v/>
      </c>
      <c r="L234" s="79" t="str">
        <f>IF(AND('DAY 4'!M234=""),"",('DAY 4'!M234))</f>
        <v/>
      </c>
      <c r="M234" s="80" t="str">
        <f>IF(AND('DAY 5'!M234=""),"",('DAY 5'!M234))</f>
        <v/>
      </c>
      <c r="O234" s="78">
        <f>SUM('DAY 1'!L234,'DAY 2'!L234,'DAY 3'!L234,'DAY 4'!L234,'DAY 5'!L234)</f>
        <v>0</v>
      </c>
      <c r="P234" s="82" t="str">
        <f t="shared" si="24"/>
        <v/>
      </c>
      <c r="Q234" s="83" t="str">
        <f t="shared" si="25"/>
        <v/>
      </c>
      <c r="R234" s="148" t="str">
        <f t="shared" si="26"/>
        <v/>
      </c>
      <c r="S234" s="149" t="str">
        <f t="shared" si="27"/>
        <v/>
      </c>
      <c r="U234" s="66" t="str">
        <f>'DAY 1'!Y234</f>
        <v/>
      </c>
      <c r="V234" s="89" t="str">
        <f>'DAY 2'!Y234</f>
        <v/>
      </c>
      <c r="W234" s="89" t="str">
        <f>'DAY 3'!Y234</f>
        <v/>
      </c>
      <c r="X234" s="89" t="str">
        <f>'DAY 4'!Y234</f>
        <v/>
      </c>
      <c r="Y234" s="67" t="str">
        <f>'DAY 5'!Y234</f>
        <v/>
      </c>
      <c r="Z234" s="142" t="str">
        <f t="shared" si="28"/>
        <v/>
      </c>
      <c r="AA234" s="22" t="str">
        <f t="shared" si="29"/>
        <v/>
      </c>
      <c r="AB234" t="str">
        <f>'DAY 1'!Z234</f>
        <v/>
      </c>
      <c r="AC234" t="str">
        <f>'DAY 2'!Z234</f>
        <v/>
      </c>
      <c r="AD234" t="str">
        <f>'DAY 3'!Z234</f>
        <v/>
      </c>
      <c r="AE234" t="str">
        <f>'DAY 4'!Z234</f>
        <v/>
      </c>
      <c r="AF234" t="str">
        <f>'DAY 5'!Z234</f>
        <v/>
      </c>
      <c r="AG234" s="144" t="str">
        <f t="shared" si="30"/>
        <v/>
      </c>
      <c r="AH234" s="145" t="str">
        <f t="shared" si="31"/>
        <v/>
      </c>
    </row>
    <row r="235" spans="2:34" ht="15.75" thickBot="1" x14ac:dyDescent="0.3">
      <c r="B235" s="66" t="str">
        <f>IF(AND('ENTRY DATA'!C235=""),"",('ENTRY DATA'!C235))</f>
        <v/>
      </c>
      <c r="C235" s="67" t="str">
        <f>IF(AND('ENTRY DATA'!D235=""),"",('ENTRY DATA'!D235))</f>
        <v/>
      </c>
      <c r="E235" s="66" t="str">
        <f>IF(AND('ENTRY DATA'!F235=""),"",('ENTRY DATA'!F235))</f>
        <v/>
      </c>
      <c r="F235" s="67" t="str">
        <f>IF(AND('ENTRY DATA'!G235=""),"",('ENTRY DATA'!G235))</f>
        <v/>
      </c>
      <c r="G235" s="61" t="s">
        <v>40</v>
      </c>
      <c r="I235" s="81" t="str">
        <f>IF(AND('DAY 1'!M235=""),"",('DAY 1'!M235))</f>
        <v/>
      </c>
      <c r="J235" s="79" t="str">
        <f>IF(AND('DAY 2'!M235=""),"",('DAY 2'!M235))</f>
        <v/>
      </c>
      <c r="K235" s="79" t="str">
        <f>IF(AND('DAY 3'!M235=""),"",('DAY 3'!M235))</f>
        <v/>
      </c>
      <c r="L235" s="79" t="str">
        <f>IF(AND('DAY 4'!M235=""),"",('DAY 4'!M235))</f>
        <v/>
      </c>
      <c r="M235" s="80" t="str">
        <f>IF(AND('DAY 5'!M235=""),"",('DAY 5'!M235))</f>
        <v/>
      </c>
      <c r="O235" s="78">
        <f>SUM('DAY 1'!L235,'DAY 2'!L235,'DAY 3'!L235,'DAY 4'!L235,'DAY 5'!L235)</f>
        <v>0</v>
      </c>
      <c r="P235" s="82" t="str">
        <f t="shared" si="24"/>
        <v/>
      </c>
      <c r="Q235" s="83" t="str">
        <f t="shared" si="25"/>
        <v/>
      </c>
      <c r="R235" s="148" t="str">
        <f t="shared" si="26"/>
        <v/>
      </c>
      <c r="S235" s="149" t="str">
        <f t="shared" si="27"/>
        <v/>
      </c>
      <c r="U235" s="66" t="str">
        <f>'DAY 1'!Y235</f>
        <v/>
      </c>
      <c r="V235" s="89" t="str">
        <f>'DAY 2'!Y235</f>
        <v/>
      </c>
      <c r="W235" s="89" t="str">
        <f>'DAY 3'!Y235</f>
        <v/>
      </c>
      <c r="X235" s="89" t="str">
        <f>'DAY 4'!Y235</f>
        <v/>
      </c>
      <c r="Y235" s="67" t="str">
        <f>'DAY 5'!Y235</f>
        <v/>
      </c>
      <c r="Z235" s="142" t="str">
        <f t="shared" si="28"/>
        <v/>
      </c>
      <c r="AA235" s="22" t="str">
        <f t="shared" si="29"/>
        <v/>
      </c>
      <c r="AB235" t="str">
        <f>'DAY 1'!Z235</f>
        <v/>
      </c>
      <c r="AC235" t="str">
        <f>'DAY 2'!Z235</f>
        <v/>
      </c>
      <c r="AD235" t="str">
        <f>'DAY 3'!Z235</f>
        <v/>
      </c>
      <c r="AE235" t="str">
        <f>'DAY 4'!Z235</f>
        <v/>
      </c>
      <c r="AF235" t="str">
        <f>'DAY 5'!Z235</f>
        <v/>
      </c>
      <c r="AG235" s="144" t="str">
        <f t="shared" si="30"/>
        <v/>
      </c>
      <c r="AH235" s="145" t="str">
        <f t="shared" si="31"/>
        <v/>
      </c>
    </row>
    <row r="236" spans="2:34" ht="15.75" thickBot="1" x14ac:dyDescent="0.3">
      <c r="B236" s="66" t="str">
        <f>IF(AND('ENTRY DATA'!C236=""),"",('ENTRY DATA'!C236))</f>
        <v/>
      </c>
      <c r="C236" s="67" t="str">
        <f>IF(AND('ENTRY DATA'!D236=""),"",('ENTRY DATA'!D236))</f>
        <v/>
      </c>
      <c r="E236" s="66" t="str">
        <f>IF(AND('ENTRY DATA'!F236=""),"",('ENTRY DATA'!F236))</f>
        <v/>
      </c>
      <c r="F236" s="67" t="str">
        <f>IF(AND('ENTRY DATA'!G236=""),"",('ENTRY DATA'!G236))</f>
        <v/>
      </c>
      <c r="G236" s="61" t="s">
        <v>40</v>
      </c>
      <c r="I236" s="81" t="str">
        <f>IF(AND('DAY 1'!M236=""),"",('DAY 1'!M236))</f>
        <v/>
      </c>
      <c r="J236" s="79" t="str">
        <f>IF(AND('DAY 2'!M236=""),"",('DAY 2'!M236))</f>
        <v/>
      </c>
      <c r="K236" s="79" t="str">
        <f>IF(AND('DAY 3'!M236=""),"",('DAY 3'!M236))</f>
        <v/>
      </c>
      <c r="L236" s="79" t="str">
        <f>IF(AND('DAY 4'!M236=""),"",('DAY 4'!M236))</f>
        <v/>
      </c>
      <c r="M236" s="80" t="str">
        <f>IF(AND('DAY 5'!M236=""),"",('DAY 5'!M236))</f>
        <v/>
      </c>
      <c r="O236" s="78">
        <f>SUM('DAY 1'!L236,'DAY 2'!L236,'DAY 3'!L236,'DAY 4'!L236,'DAY 5'!L236)</f>
        <v>0</v>
      </c>
      <c r="P236" s="82" t="str">
        <f t="shared" si="24"/>
        <v/>
      </c>
      <c r="Q236" s="83" t="str">
        <f t="shared" si="25"/>
        <v/>
      </c>
      <c r="R236" s="148" t="str">
        <f t="shared" si="26"/>
        <v/>
      </c>
      <c r="S236" s="149" t="str">
        <f t="shared" si="27"/>
        <v/>
      </c>
      <c r="U236" s="66" t="str">
        <f>'DAY 1'!Y236</f>
        <v/>
      </c>
      <c r="V236" s="89" t="str">
        <f>'DAY 2'!Y236</f>
        <v/>
      </c>
      <c r="W236" s="89" t="str">
        <f>'DAY 3'!Y236</f>
        <v/>
      </c>
      <c r="X236" s="89" t="str">
        <f>'DAY 4'!Y236</f>
        <v/>
      </c>
      <c r="Y236" s="67" t="str">
        <f>'DAY 5'!Y236</f>
        <v/>
      </c>
      <c r="Z236" s="142" t="str">
        <f t="shared" si="28"/>
        <v/>
      </c>
      <c r="AA236" s="22" t="str">
        <f t="shared" si="29"/>
        <v/>
      </c>
      <c r="AB236" t="str">
        <f>'DAY 1'!Z236</f>
        <v/>
      </c>
      <c r="AC236" t="str">
        <f>'DAY 2'!Z236</f>
        <v/>
      </c>
      <c r="AD236" t="str">
        <f>'DAY 3'!Z236</f>
        <v/>
      </c>
      <c r="AE236" t="str">
        <f>'DAY 4'!Z236</f>
        <v/>
      </c>
      <c r="AF236" t="str">
        <f>'DAY 5'!Z236</f>
        <v/>
      </c>
      <c r="AG236" s="144" t="str">
        <f t="shared" si="30"/>
        <v/>
      </c>
      <c r="AH236" s="145" t="str">
        <f t="shared" si="31"/>
        <v/>
      </c>
    </row>
    <row r="237" spans="2:34" ht="15.75" thickBot="1" x14ac:dyDescent="0.3">
      <c r="B237" s="66" t="str">
        <f>IF(AND('ENTRY DATA'!C237=""),"",('ENTRY DATA'!C237))</f>
        <v/>
      </c>
      <c r="C237" s="67" t="str">
        <f>IF(AND('ENTRY DATA'!D237=""),"",('ENTRY DATA'!D237))</f>
        <v/>
      </c>
      <c r="E237" s="66" t="str">
        <f>IF(AND('ENTRY DATA'!F237=""),"",('ENTRY DATA'!F237))</f>
        <v/>
      </c>
      <c r="F237" s="67" t="str">
        <f>IF(AND('ENTRY DATA'!G237=""),"",('ENTRY DATA'!G237))</f>
        <v/>
      </c>
      <c r="G237" s="61" t="s">
        <v>40</v>
      </c>
      <c r="I237" s="81" t="str">
        <f>IF(AND('DAY 1'!M237=""),"",('DAY 1'!M237))</f>
        <v/>
      </c>
      <c r="J237" s="79" t="str">
        <f>IF(AND('DAY 2'!M237=""),"",('DAY 2'!M237))</f>
        <v/>
      </c>
      <c r="K237" s="79" t="str">
        <f>IF(AND('DAY 3'!M237=""),"",('DAY 3'!M237))</f>
        <v/>
      </c>
      <c r="L237" s="79" t="str">
        <f>IF(AND('DAY 4'!M237=""),"",('DAY 4'!M237))</f>
        <v/>
      </c>
      <c r="M237" s="80" t="str">
        <f>IF(AND('DAY 5'!M237=""),"",('DAY 5'!M237))</f>
        <v/>
      </c>
      <c r="O237" s="78">
        <f>SUM('DAY 1'!L237,'DAY 2'!L237,'DAY 3'!L237,'DAY 4'!L237,'DAY 5'!L237)</f>
        <v>0</v>
      </c>
      <c r="P237" s="82" t="str">
        <f t="shared" si="24"/>
        <v/>
      </c>
      <c r="Q237" s="83" t="str">
        <f t="shared" si="25"/>
        <v/>
      </c>
      <c r="R237" s="148" t="str">
        <f t="shared" si="26"/>
        <v/>
      </c>
      <c r="S237" s="149" t="str">
        <f t="shared" si="27"/>
        <v/>
      </c>
      <c r="U237" s="66" t="str">
        <f>'DAY 1'!Y237</f>
        <v/>
      </c>
      <c r="V237" s="89" t="str">
        <f>'DAY 2'!Y237</f>
        <v/>
      </c>
      <c r="W237" s="89" t="str">
        <f>'DAY 3'!Y237</f>
        <v/>
      </c>
      <c r="X237" s="89" t="str">
        <f>'DAY 4'!Y237</f>
        <v/>
      </c>
      <c r="Y237" s="67" t="str">
        <f>'DAY 5'!Y237</f>
        <v/>
      </c>
      <c r="Z237" s="142" t="str">
        <f t="shared" si="28"/>
        <v/>
      </c>
      <c r="AA237" s="22" t="str">
        <f t="shared" si="29"/>
        <v/>
      </c>
      <c r="AB237" t="str">
        <f>'DAY 1'!Z237</f>
        <v/>
      </c>
      <c r="AC237" t="str">
        <f>'DAY 2'!Z237</f>
        <v/>
      </c>
      <c r="AD237" t="str">
        <f>'DAY 3'!Z237</f>
        <v/>
      </c>
      <c r="AE237" t="str">
        <f>'DAY 4'!Z237</f>
        <v/>
      </c>
      <c r="AF237" t="str">
        <f>'DAY 5'!Z237</f>
        <v/>
      </c>
      <c r="AG237" s="144" t="str">
        <f t="shared" si="30"/>
        <v/>
      </c>
      <c r="AH237" s="145" t="str">
        <f t="shared" si="31"/>
        <v/>
      </c>
    </row>
    <row r="238" spans="2:34" ht="15.75" thickBot="1" x14ac:dyDescent="0.3">
      <c r="B238" s="66" t="str">
        <f>IF(AND('ENTRY DATA'!C238=""),"",('ENTRY DATA'!C238))</f>
        <v/>
      </c>
      <c r="C238" s="67" t="str">
        <f>IF(AND('ENTRY DATA'!D238=""),"",('ENTRY DATA'!D238))</f>
        <v/>
      </c>
      <c r="E238" s="66" t="str">
        <f>IF(AND('ENTRY DATA'!F238=""),"",('ENTRY DATA'!F238))</f>
        <v/>
      </c>
      <c r="F238" s="67" t="str">
        <f>IF(AND('ENTRY DATA'!G238=""),"",('ENTRY DATA'!G238))</f>
        <v/>
      </c>
      <c r="G238" s="61" t="s">
        <v>40</v>
      </c>
      <c r="I238" s="81" t="str">
        <f>IF(AND('DAY 1'!M238=""),"",('DAY 1'!M238))</f>
        <v/>
      </c>
      <c r="J238" s="79" t="str">
        <f>IF(AND('DAY 2'!M238=""),"",('DAY 2'!M238))</f>
        <v/>
      </c>
      <c r="K238" s="79" t="str">
        <f>IF(AND('DAY 3'!M238=""),"",('DAY 3'!M238))</f>
        <v/>
      </c>
      <c r="L238" s="79" t="str">
        <f>IF(AND('DAY 4'!M238=""),"",('DAY 4'!M238))</f>
        <v/>
      </c>
      <c r="M238" s="80" t="str">
        <f>IF(AND('DAY 5'!M238=""),"",('DAY 5'!M238))</f>
        <v/>
      </c>
      <c r="O238" s="78">
        <f>SUM('DAY 1'!L238,'DAY 2'!L238,'DAY 3'!L238,'DAY 4'!L238,'DAY 5'!L238)</f>
        <v>0</v>
      </c>
      <c r="P238" s="82" t="str">
        <f t="shared" si="24"/>
        <v/>
      </c>
      <c r="Q238" s="83" t="str">
        <f t="shared" si="25"/>
        <v/>
      </c>
      <c r="R238" s="148" t="str">
        <f t="shared" si="26"/>
        <v/>
      </c>
      <c r="S238" s="149" t="str">
        <f t="shared" si="27"/>
        <v/>
      </c>
      <c r="U238" s="66" t="str">
        <f>'DAY 1'!Y238</f>
        <v/>
      </c>
      <c r="V238" s="89" t="str">
        <f>'DAY 2'!Y238</f>
        <v/>
      </c>
      <c r="W238" s="89" t="str">
        <f>'DAY 3'!Y238</f>
        <v/>
      </c>
      <c r="X238" s="89" t="str">
        <f>'DAY 4'!Y238</f>
        <v/>
      </c>
      <c r="Y238" s="67" t="str">
        <f>'DAY 5'!Y238</f>
        <v/>
      </c>
      <c r="Z238" s="142" t="str">
        <f t="shared" si="28"/>
        <v/>
      </c>
      <c r="AA238" s="22" t="str">
        <f t="shared" si="29"/>
        <v/>
      </c>
      <c r="AB238" t="str">
        <f>'DAY 1'!Z238</f>
        <v/>
      </c>
      <c r="AC238" t="str">
        <f>'DAY 2'!Z238</f>
        <v/>
      </c>
      <c r="AD238" t="str">
        <f>'DAY 3'!Z238</f>
        <v/>
      </c>
      <c r="AE238" t="str">
        <f>'DAY 4'!Z238</f>
        <v/>
      </c>
      <c r="AF238" t="str">
        <f>'DAY 5'!Z238</f>
        <v/>
      </c>
      <c r="AG238" s="144" t="str">
        <f t="shared" si="30"/>
        <v/>
      </c>
      <c r="AH238" s="145" t="str">
        <f t="shared" si="31"/>
        <v/>
      </c>
    </row>
    <row r="239" spans="2:34" ht="15.75" thickBot="1" x14ac:dyDescent="0.3">
      <c r="B239" s="66" t="str">
        <f>IF(AND('ENTRY DATA'!C239=""),"",('ENTRY DATA'!C239))</f>
        <v/>
      </c>
      <c r="C239" s="67" t="str">
        <f>IF(AND('ENTRY DATA'!D239=""),"",('ENTRY DATA'!D239))</f>
        <v/>
      </c>
      <c r="E239" s="66" t="str">
        <f>IF(AND('ENTRY DATA'!F239=""),"",('ENTRY DATA'!F239))</f>
        <v/>
      </c>
      <c r="F239" s="67" t="str">
        <f>IF(AND('ENTRY DATA'!G239=""),"",('ENTRY DATA'!G239))</f>
        <v/>
      </c>
      <c r="G239" s="61" t="s">
        <v>40</v>
      </c>
      <c r="I239" s="81" t="str">
        <f>IF(AND('DAY 1'!M239=""),"",('DAY 1'!M239))</f>
        <v/>
      </c>
      <c r="J239" s="79" t="str">
        <f>IF(AND('DAY 2'!M239=""),"",('DAY 2'!M239))</f>
        <v/>
      </c>
      <c r="K239" s="79" t="str">
        <f>IF(AND('DAY 3'!M239=""),"",('DAY 3'!M239))</f>
        <v/>
      </c>
      <c r="L239" s="79" t="str">
        <f>IF(AND('DAY 4'!M239=""),"",('DAY 4'!M239))</f>
        <v/>
      </c>
      <c r="M239" s="80" t="str">
        <f>IF(AND('DAY 5'!M239=""),"",('DAY 5'!M239))</f>
        <v/>
      </c>
      <c r="O239" s="78">
        <f>SUM('DAY 1'!L239,'DAY 2'!L239,'DAY 3'!L239,'DAY 4'!L239,'DAY 5'!L239)</f>
        <v>0</v>
      </c>
      <c r="P239" s="82" t="str">
        <f t="shared" si="24"/>
        <v/>
      </c>
      <c r="Q239" s="83" t="str">
        <f t="shared" si="25"/>
        <v/>
      </c>
      <c r="R239" s="148" t="str">
        <f t="shared" si="26"/>
        <v/>
      </c>
      <c r="S239" s="149" t="str">
        <f t="shared" si="27"/>
        <v/>
      </c>
      <c r="U239" s="66" t="str">
        <f>'DAY 1'!Y239</f>
        <v/>
      </c>
      <c r="V239" s="89" t="str">
        <f>'DAY 2'!Y239</f>
        <v/>
      </c>
      <c r="W239" s="89" t="str">
        <f>'DAY 3'!Y239</f>
        <v/>
      </c>
      <c r="X239" s="89" t="str">
        <f>'DAY 4'!Y239</f>
        <v/>
      </c>
      <c r="Y239" s="67" t="str">
        <f>'DAY 5'!Y239</f>
        <v/>
      </c>
      <c r="Z239" s="142" t="str">
        <f t="shared" si="28"/>
        <v/>
      </c>
      <c r="AA239" s="22" t="str">
        <f t="shared" si="29"/>
        <v/>
      </c>
      <c r="AB239" t="str">
        <f>'DAY 1'!Z239</f>
        <v/>
      </c>
      <c r="AC239" t="str">
        <f>'DAY 2'!Z239</f>
        <v/>
      </c>
      <c r="AD239" t="str">
        <f>'DAY 3'!Z239</f>
        <v/>
      </c>
      <c r="AE239" t="str">
        <f>'DAY 4'!Z239</f>
        <v/>
      </c>
      <c r="AF239" t="str">
        <f>'DAY 5'!Z239</f>
        <v/>
      </c>
      <c r="AG239" s="144" t="str">
        <f t="shared" si="30"/>
        <v/>
      </c>
      <c r="AH239" s="145" t="str">
        <f t="shared" si="31"/>
        <v/>
      </c>
    </row>
    <row r="240" spans="2:34" ht="15.75" thickBot="1" x14ac:dyDescent="0.3">
      <c r="B240" s="66" t="str">
        <f>IF(AND('ENTRY DATA'!C240=""),"",('ENTRY DATA'!C240))</f>
        <v/>
      </c>
      <c r="C240" s="67" t="str">
        <f>IF(AND('ENTRY DATA'!D240=""),"",('ENTRY DATA'!D240))</f>
        <v/>
      </c>
      <c r="E240" s="66" t="str">
        <f>IF(AND('ENTRY DATA'!F240=""),"",('ENTRY DATA'!F240))</f>
        <v/>
      </c>
      <c r="F240" s="67" t="str">
        <f>IF(AND('ENTRY DATA'!G240=""),"",('ENTRY DATA'!G240))</f>
        <v/>
      </c>
      <c r="G240" s="61" t="s">
        <v>40</v>
      </c>
      <c r="I240" s="81" t="str">
        <f>IF(AND('DAY 1'!M240=""),"",('DAY 1'!M240))</f>
        <v/>
      </c>
      <c r="J240" s="79" t="str">
        <f>IF(AND('DAY 2'!M240=""),"",('DAY 2'!M240))</f>
        <v/>
      </c>
      <c r="K240" s="79" t="str">
        <f>IF(AND('DAY 3'!M240=""),"",('DAY 3'!M240))</f>
        <v/>
      </c>
      <c r="L240" s="79" t="str">
        <f>IF(AND('DAY 4'!M240=""),"",('DAY 4'!M240))</f>
        <v/>
      </c>
      <c r="M240" s="80" t="str">
        <f>IF(AND('DAY 5'!M240=""),"",('DAY 5'!M240))</f>
        <v/>
      </c>
      <c r="O240" s="78">
        <f>SUM('DAY 1'!L240,'DAY 2'!L240,'DAY 3'!L240,'DAY 4'!L240,'DAY 5'!L240)</f>
        <v>0</v>
      </c>
      <c r="P240" s="82" t="str">
        <f t="shared" si="24"/>
        <v/>
      </c>
      <c r="Q240" s="83" t="str">
        <f t="shared" si="25"/>
        <v/>
      </c>
      <c r="R240" s="148" t="str">
        <f t="shared" si="26"/>
        <v/>
      </c>
      <c r="S240" s="149" t="str">
        <f t="shared" si="27"/>
        <v/>
      </c>
      <c r="U240" s="66" t="str">
        <f>'DAY 1'!Y240</f>
        <v/>
      </c>
      <c r="V240" s="89" t="str">
        <f>'DAY 2'!Y240</f>
        <v/>
      </c>
      <c r="W240" s="89" t="str">
        <f>'DAY 3'!Y240</f>
        <v/>
      </c>
      <c r="X240" s="89" t="str">
        <f>'DAY 4'!Y240</f>
        <v/>
      </c>
      <c r="Y240" s="67" t="str">
        <f>'DAY 5'!Y240</f>
        <v/>
      </c>
      <c r="Z240" s="142" t="str">
        <f t="shared" si="28"/>
        <v/>
      </c>
      <c r="AA240" s="22" t="str">
        <f t="shared" si="29"/>
        <v/>
      </c>
      <c r="AB240" t="str">
        <f>'DAY 1'!Z240</f>
        <v/>
      </c>
      <c r="AC240" t="str">
        <f>'DAY 2'!Z240</f>
        <v/>
      </c>
      <c r="AD240" t="str">
        <f>'DAY 3'!Z240</f>
        <v/>
      </c>
      <c r="AE240" t="str">
        <f>'DAY 4'!Z240</f>
        <v/>
      </c>
      <c r="AF240" t="str">
        <f>'DAY 5'!Z240</f>
        <v/>
      </c>
      <c r="AG240" s="144" t="str">
        <f t="shared" si="30"/>
        <v/>
      </c>
      <c r="AH240" s="145" t="str">
        <f t="shared" si="31"/>
        <v/>
      </c>
    </row>
    <row r="241" spans="2:34" ht="15.75" thickBot="1" x14ac:dyDescent="0.3">
      <c r="B241" s="66" t="str">
        <f>IF(AND('ENTRY DATA'!C241=""),"",('ENTRY DATA'!C241))</f>
        <v/>
      </c>
      <c r="C241" s="67" t="str">
        <f>IF(AND('ENTRY DATA'!D241=""),"",('ENTRY DATA'!D241))</f>
        <v/>
      </c>
      <c r="E241" s="66" t="str">
        <f>IF(AND('ENTRY DATA'!F241=""),"",('ENTRY DATA'!F241))</f>
        <v/>
      </c>
      <c r="F241" s="67" t="str">
        <f>IF(AND('ENTRY DATA'!G241=""),"",('ENTRY DATA'!G241))</f>
        <v/>
      </c>
      <c r="G241" s="61" t="s">
        <v>40</v>
      </c>
      <c r="I241" s="81" t="str">
        <f>IF(AND('DAY 1'!M241=""),"",('DAY 1'!M241))</f>
        <v/>
      </c>
      <c r="J241" s="79" t="str">
        <f>IF(AND('DAY 2'!M241=""),"",('DAY 2'!M241))</f>
        <v/>
      </c>
      <c r="K241" s="79" t="str">
        <f>IF(AND('DAY 3'!M241=""),"",('DAY 3'!M241))</f>
        <v/>
      </c>
      <c r="L241" s="79" t="str">
        <f>IF(AND('DAY 4'!M241=""),"",('DAY 4'!M241))</f>
        <v/>
      </c>
      <c r="M241" s="80" t="str">
        <f>IF(AND('DAY 5'!M241=""),"",('DAY 5'!M241))</f>
        <v/>
      </c>
      <c r="O241" s="78">
        <f>SUM('DAY 1'!L241,'DAY 2'!L241,'DAY 3'!L241,'DAY 4'!L241,'DAY 5'!L241)</f>
        <v>0</v>
      </c>
      <c r="P241" s="82" t="str">
        <f t="shared" si="24"/>
        <v/>
      </c>
      <c r="Q241" s="83" t="str">
        <f t="shared" si="25"/>
        <v/>
      </c>
      <c r="R241" s="148" t="str">
        <f t="shared" si="26"/>
        <v/>
      </c>
      <c r="S241" s="149" t="str">
        <f t="shared" si="27"/>
        <v/>
      </c>
      <c r="U241" s="66" t="str">
        <f>'DAY 1'!Y241</f>
        <v/>
      </c>
      <c r="V241" s="89" t="str">
        <f>'DAY 2'!Y241</f>
        <v/>
      </c>
      <c r="W241" s="89" t="str">
        <f>'DAY 3'!Y241</f>
        <v/>
      </c>
      <c r="X241" s="89" t="str">
        <f>'DAY 4'!Y241</f>
        <v/>
      </c>
      <c r="Y241" s="67" t="str">
        <f>'DAY 5'!Y241</f>
        <v/>
      </c>
      <c r="Z241" s="142" t="str">
        <f t="shared" si="28"/>
        <v/>
      </c>
      <c r="AA241" s="22" t="str">
        <f t="shared" si="29"/>
        <v/>
      </c>
      <c r="AB241" t="str">
        <f>'DAY 1'!Z241</f>
        <v/>
      </c>
      <c r="AC241" t="str">
        <f>'DAY 2'!Z241</f>
        <v/>
      </c>
      <c r="AD241" t="str">
        <f>'DAY 3'!Z241</f>
        <v/>
      </c>
      <c r="AE241" t="str">
        <f>'DAY 4'!Z241</f>
        <v/>
      </c>
      <c r="AF241" t="str">
        <f>'DAY 5'!Z241</f>
        <v/>
      </c>
      <c r="AG241" s="144" t="str">
        <f t="shared" si="30"/>
        <v/>
      </c>
      <c r="AH241" s="145" t="str">
        <f t="shared" si="31"/>
        <v/>
      </c>
    </row>
    <row r="242" spans="2:34" ht="15.75" thickBot="1" x14ac:dyDescent="0.3">
      <c r="B242" s="66" t="str">
        <f>IF(AND('ENTRY DATA'!C242=""),"",('ENTRY DATA'!C242))</f>
        <v/>
      </c>
      <c r="C242" s="67" t="str">
        <f>IF(AND('ENTRY DATA'!D242=""),"",('ENTRY DATA'!D242))</f>
        <v/>
      </c>
      <c r="E242" s="66" t="str">
        <f>IF(AND('ENTRY DATA'!F242=""),"",('ENTRY DATA'!F242))</f>
        <v/>
      </c>
      <c r="F242" s="67" t="str">
        <f>IF(AND('ENTRY DATA'!G242=""),"",('ENTRY DATA'!G242))</f>
        <v/>
      </c>
      <c r="G242" s="61" t="s">
        <v>40</v>
      </c>
      <c r="I242" s="81" t="str">
        <f>IF(AND('DAY 1'!M242=""),"",('DAY 1'!M242))</f>
        <v/>
      </c>
      <c r="J242" s="79" t="str">
        <f>IF(AND('DAY 2'!M242=""),"",('DAY 2'!M242))</f>
        <v/>
      </c>
      <c r="K242" s="79" t="str">
        <f>IF(AND('DAY 3'!M242=""),"",('DAY 3'!M242))</f>
        <v/>
      </c>
      <c r="L242" s="79" t="str">
        <f>IF(AND('DAY 4'!M242=""),"",('DAY 4'!M242))</f>
        <v/>
      </c>
      <c r="M242" s="80" t="str">
        <f>IF(AND('DAY 5'!M242=""),"",('DAY 5'!M242))</f>
        <v/>
      </c>
      <c r="O242" s="78">
        <f>SUM('DAY 1'!L242,'DAY 2'!L242,'DAY 3'!L242,'DAY 4'!L242,'DAY 5'!L242)</f>
        <v>0</v>
      </c>
      <c r="P242" s="82" t="str">
        <f t="shared" si="24"/>
        <v/>
      </c>
      <c r="Q242" s="83" t="str">
        <f t="shared" si="25"/>
        <v/>
      </c>
      <c r="R242" s="148" t="str">
        <f t="shared" si="26"/>
        <v/>
      </c>
      <c r="S242" s="149" t="str">
        <f t="shared" si="27"/>
        <v/>
      </c>
      <c r="U242" s="66" t="str">
        <f>'DAY 1'!Y242</f>
        <v/>
      </c>
      <c r="V242" s="89" t="str">
        <f>'DAY 2'!Y242</f>
        <v/>
      </c>
      <c r="W242" s="89" t="str">
        <f>'DAY 3'!Y242</f>
        <v/>
      </c>
      <c r="X242" s="89" t="str">
        <f>'DAY 4'!Y242</f>
        <v/>
      </c>
      <c r="Y242" s="67" t="str">
        <f>'DAY 5'!Y242</f>
        <v/>
      </c>
      <c r="Z242" s="142" t="str">
        <f t="shared" si="28"/>
        <v/>
      </c>
      <c r="AA242" s="22" t="str">
        <f t="shared" si="29"/>
        <v/>
      </c>
      <c r="AB242" t="str">
        <f>'DAY 1'!Z242</f>
        <v/>
      </c>
      <c r="AC242" t="str">
        <f>'DAY 2'!Z242</f>
        <v/>
      </c>
      <c r="AD242" t="str">
        <f>'DAY 3'!Z242</f>
        <v/>
      </c>
      <c r="AE242" t="str">
        <f>'DAY 4'!Z242</f>
        <v/>
      </c>
      <c r="AF242" t="str">
        <f>'DAY 5'!Z242</f>
        <v/>
      </c>
      <c r="AG242" s="144" t="str">
        <f t="shared" si="30"/>
        <v/>
      </c>
      <c r="AH242" s="145" t="str">
        <f t="shared" si="31"/>
        <v/>
      </c>
    </row>
    <row r="243" spans="2:34" ht="15.75" thickBot="1" x14ac:dyDescent="0.3">
      <c r="B243" s="66" t="str">
        <f>IF(AND('ENTRY DATA'!C243=""),"",('ENTRY DATA'!C243))</f>
        <v/>
      </c>
      <c r="C243" s="67" t="str">
        <f>IF(AND('ENTRY DATA'!D243=""),"",('ENTRY DATA'!D243))</f>
        <v/>
      </c>
      <c r="E243" s="66" t="str">
        <f>IF(AND('ENTRY DATA'!F243=""),"",('ENTRY DATA'!F243))</f>
        <v/>
      </c>
      <c r="F243" s="67" t="str">
        <f>IF(AND('ENTRY DATA'!G243=""),"",('ENTRY DATA'!G243))</f>
        <v/>
      </c>
      <c r="G243" s="61" t="s">
        <v>40</v>
      </c>
      <c r="I243" s="81" t="str">
        <f>IF(AND('DAY 1'!M243=""),"",('DAY 1'!M243))</f>
        <v/>
      </c>
      <c r="J243" s="79" t="str">
        <f>IF(AND('DAY 2'!M243=""),"",('DAY 2'!M243))</f>
        <v/>
      </c>
      <c r="K243" s="79" t="str">
        <f>IF(AND('DAY 3'!M243=""),"",('DAY 3'!M243))</f>
        <v/>
      </c>
      <c r="L243" s="79" t="str">
        <f>IF(AND('DAY 4'!M243=""),"",('DAY 4'!M243))</f>
        <v/>
      </c>
      <c r="M243" s="80" t="str">
        <f>IF(AND('DAY 5'!M243=""),"",('DAY 5'!M243))</f>
        <v/>
      </c>
      <c r="O243" s="78">
        <f>SUM('DAY 1'!L243,'DAY 2'!L243,'DAY 3'!L243,'DAY 4'!L243,'DAY 5'!L243)</f>
        <v>0</v>
      </c>
      <c r="P243" s="82" t="str">
        <f t="shared" si="24"/>
        <v/>
      </c>
      <c r="Q243" s="83" t="str">
        <f t="shared" si="25"/>
        <v/>
      </c>
      <c r="R243" s="148" t="str">
        <f t="shared" si="26"/>
        <v/>
      </c>
      <c r="S243" s="149" t="str">
        <f t="shared" si="27"/>
        <v/>
      </c>
      <c r="U243" s="66" t="str">
        <f>'DAY 1'!Y243</f>
        <v/>
      </c>
      <c r="V243" s="89" t="str">
        <f>'DAY 2'!Y243</f>
        <v/>
      </c>
      <c r="W243" s="89" t="str">
        <f>'DAY 3'!Y243</f>
        <v/>
      </c>
      <c r="X243" s="89" t="str">
        <f>'DAY 4'!Y243</f>
        <v/>
      </c>
      <c r="Y243" s="67" t="str">
        <f>'DAY 5'!Y243</f>
        <v/>
      </c>
      <c r="Z243" s="142" t="str">
        <f t="shared" si="28"/>
        <v/>
      </c>
      <c r="AA243" s="22" t="str">
        <f t="shared" si="29"/>
        <v/>
      </c>
      <c r="AB243" t="str">
        <f>'DAY 1'!Z243</f>
        <v/>
      </c>
      <c r="AC243" t="str">
        <f>'DAY 2'!Z243</f>
        <v/>
      </c>
      <c r="AD243" t="str">
        <f>'DAY 3'!Z243</f>
        <v/>
      </c>
      <c r="AE243" t="str">
        <f>'DAY 4'!Z243</f>
        <v/>
      </c>
      <c r="AF243" t="str">
        <f>'DAY 5'!Z243</f>
        <v/>
      </c>
      <c r="AG243" s="144" t="str">
        <f t="shared" si="30"/>
        <v/>
      </c>
      <c r="AH243" s="145" t="str">
        <f t="shared" si="31"/>
        <v/>
      </c>
    </row>
    <row r="244" spans="2:34" ht="15.75" thickBot="1" x14ac:dyDescent="0.3">
      <c r="B244" s="66" t="str">
        <f>IF(AND('ENTRY DATA'!C244=""),"",('ENTRY DATA'!C244))</f>
        <v/>
      </c>
      <c r="C244" s="67" t="str">
        <f>IF(AND('ENTRY DATA'!D244=""),"",('ENTRY DATA'!D244))</f>
        <v/>
      </c>
      <c r="E244" s="66" t="str">
        <f>IF(AND('ENTRY DATA'!F244=""),"",('ENTRY DATA'!F244))</f>
        <v/>
      </c>
      <c r="F244" s="67" t="str">
        <f>IF(AND('ENTRY DATA'!G244=""),"",('ENTRY DATA'!G244))</f>
        <v/>
      </c>
      <c r="G244" s="61" t="s">
        <v>40</v>
      </c>
      <c r="I244" s="81" t="str">
        <f>IF(AND('DAY 1'!M244=""),"",('DAY 1'!M244))</f>
        <v/>
      </c>
      <c r="J244" s="79" t="str">
        <f>IF(AND('DAY 2'!M244=""),"",('DAY 2'!M244))</f>
        <v/>
      </c>
      <c r="K244" s="79" t="str">
        <f>IF(AND('DAY 3'!M244=""),"",('DAY 3'!M244))</f>
        <v/>
      </c>
      <c r="L244" s="79" t="str">
        <f>IF(AND('DAY 4'!M244=""),"",('DAY 4'!M244))</f>
        <v/>
      </c>
      <c r="M244" s="80" t="str">
        <f>IF(AND('DAY 5'!M244=""),"",('DAY 5'!M244))</f>
        <v/>
      </c>
      <c r="O244" s="78">
        <f>SUM('DAY 1'!L244,'DAY 2'!L244,'DAY 3'!L244,'DAY 4'!L244,'DAY 5'!L244)</f>
        <v>0</v>
      </c>
      <c r="P244" s="82" t="str">
        <f t="shared" si="24"/>
        <v/>
      </c>
      <c r="Q244" s="83" t="str">
        <f t="shared" si="25"/>
        <v/>
      </c>
      <c r="R244" s="148" t="str">
        <f t="shared" si="26"/>
        <v/>
      </c>
      <c r="S244" s="149" t="str">
        <f t="shared" si="27"/>
        <v/>
      </c>
      <c r="U244" s="66" t="str">
        <f>'DAY 1'!Y244</f>
        <v/>
      </c>
      <c r="V244" s="89" t="str">
        <f>'DAY 2'!Y244</f>
        <v/>
      </c>
      <c r="W244" s="89" t="str">
        <f>'DAY 3'!Y244</f>
        <v/>
      </c>
      <c r="X244" s="89" t="str">
        <f>'DAY 4'!Y244</f>
        <v/>
      </c>
      <c r="Y244" s="67" t="str">
        <f>'DAY 5'!Y244</f>
        <v/>
      </c>
      <c r="Z244" s="142" t="str">
        <f t="shared" si="28"/>
        <v/>
      </c>
      <c r="AA244" s="22" t="str">
        <f t="shared" si="29"/>
        <v/>
      </c>
      <c r="AB244" t="str">
        <f>'DAY 1'!Z244</f>
        <v/>
      </c>
      <c r="AC244" t="str">
        <f>'DAY 2'!Z244</f>
        <v/>
      </c>
      <c r="AD244" t="str">
        <f>'DAY 3'!Z244</f>
        <v/>
      </c>
      <c r="AE244" t="str">
        <f>'DAY 4'!Z244</f>
        <v/>
      </c>
      <c r="AF244" t="str">
        <f>'DAY 5'!Z244</f>
        <v/>
      </c>
      <c r="AG244" s="144" t="str">
        <f t="shared" si="30"/>
        <v/>
      </c>
      <c r="AH244" s="145" t="str">
        <f t="shared" si="31"/>
        <v/>
      </c>
    </row>
    <row r="245" spans="2:34" ht="15.75" thickBot="1" x14ac:dyDescent="0.3">
      <c r="B245" s="66" t="str">
        <f>IF(AND('ENTRY DATA'!C245=""),"",('ENTRY DATA'!C245))</f>
        <v/>
      </c>
      <c r="C245" s="67" t="str">
        <f>IF(AND('ENTRY DATA'!D245=""),"",('ENTRY DATA'!D245))</f>
        <v/>
      </c>
      <c r="E245" s="66" t="str">
        <f>IF(AND('ENTRY DATA'!F245=""),"",('ENTRY DATA'!F245))</f>
        <v/>
      </c>
      <c r="F245" s="67" t="str">
        <f>IF(AND('ENTRY DATA'!G245=""),"",('ENTRY DATA'!G245))</f>
        <v/>
      </c>
      <c r="G245" s="61" t="s">
        <v>40</v>
      </c>
      <c r="I245" s="81" t="str">
        <f>IF(AND('DAY 1'!M245=""),"",('DAY 1'!M245))</f>
        <v/>
      </c>
      <c r="J245" s="79" t="str">
        <f>IF(AND('DAY 2'!M245=""),"",('DAY 2'!M245))</f>
        <v/>
      </c>
      <c r="K245" s="79" t="str">
        <f>IF(AND('DAY 3'!M245=""),"",('DAY 3'!M245))</f>
        <v/>
      </c>
      <c r="L245" s="79" t="str">
        <f>IF(AND('DAY 4'!M245=""),"",('DAY 4'!M245))</f>
        <v/>
      </c>
      <c r="M245" s="80" t="str">
        <f>IF(AND('DAY 5'!M245=""),"",('DAY 5'!M245))</f>
        <v/>
      </c>
      <c r="O245" s="78">
        <f>SUM('DAY 1'!L245,'DAY 2'!L245,'DAY 3'!L245,'DAY 4'!L245,'DAY 5'!L245)</f>
        <v>0</v>
      </c>
      <c r="P245" s="82" t="str">
        <f t="shared" si="24"/>
        <v/>
      </c>
      <c r="Q245" s="83" t="str">
        <f t="shared" si="25"/>
        <v/>
      </c>
      <c r="R245" s="148" t="str">
        <f t="shared" si="26"/>
        <v/>
      </c>
      <c r="S245" s="149" t="str">
        <f t="shared" si="27"/>
        <v/>
      </c>
      <c r="U245" s="66" t="str">
        <f>'DAY 1'!Y245</f>
        <v/>
      </c>
      <c r="V245" s="89" t="str">
        <f>'DAY 2'!Y245</f>
        <v/>
      </c>
      <c r="W245" s="89" t="str">
        <f>'DAY 3'!Y245</f>
        <v/>
      </c>
      <c r="X245" s="89" t="str">
        <f>'DAY 4'!Y245</f>
        <v/>
      </c>
      <c r="Y245" s="67" t="str">
        <f>'DAY 5'!Y245</f>
        <v/>
      </c>
      <c r="Z245" s="142" t="str">
        <f t="shared" si="28"/>
        <v/>
      </c>
      <c r="AA245" s="22" t="str">
        <f t="shared" si="29"/>
        <v/>
      </c>
      <c r="AB245" t="str">
        <f>'DAY 1'!Z245</f>
        <v/>
      </c>
      <c r="AC245" t="str">
        <f>'DAY 2'!Z245</f>
        <v/>
      </c>
      <c r="AD245" t="str">
        <f>'DAY 3'!Z245</f>
        <v/>
      </c>
      <c r="AE245" t="str">
        <f>'DAY 4'!Z245</f>
        <v/>
      </c>
      <c r="AF245" t="str">
        <f>'DAY 5'!Z245</f>
        <v/>
      </c>
      <c r="AG245" s="144" t="str">
        <f t="shared" si="30"/>
        <v/>
      </c>
      <c r="AH245" s="145" t="str">
        <f t="shared" si="31"/>
        <v/>
      </c>
    </row>
    <row r="246" spans="2:34" ht="15.75" thickBot="1" x14ac:dyDescent="0.3">
      <c r="B246" s="66" t="str">
        <f>IF(AND('ENTRY DATA'!C246=""),"",('ENTRY DATA'!C246))</f>
        <v/>
      </c>
      <c r="C246" s="67" t="str">
        <f>IF(AND('ENTRY DATA'!D246=""),"",('ENTRY DATA'!D246))</f>
        <v/>
      </c>
      <c r="E246" s="66" t="str">
        <f>IF(AND('ENTRY DATA'!F246=""),"",('ENTRY DATA'!F246))</f>
        <v/>
      </c>
      <c r="F246" s="67" t="str">
        <f>IF(AND('ENTRY DATA'!G246=""),"",('ENTRY DATA'!G246))</f>
        <v/>
      </c>
      <c r="G246" s="61" t="s">
        <v>40</v>
      </c>
      <c r="I246" s="81" t="str">
        <f>IF(AND('DAY 1'!M246=""),"",('DAY 1'!M246))</f>
        <v/>
      </c>
      <c r="J246" s="79" t="str">
        <f>IF(AND('DAY 2'!M246=""),"",('DAY 2'!M246))</f>
        <v/>
      </c>
      <c r="K246" s="79" t="str">
        <f>IF(AND('DAY 3'!M246=""),"",('DAY 3'!M246))</f>
        <v/>
      </c>
      <c r="L246" s="79" t="str">
        <f>IF(AND('DAY 4'!M246=""),"",('DAY 4'!M246))</f>
        <v/>
      </c>
      <c r="M246" s="80" t="str">
        <f>IF(AND('DAY 5'!M246=""),"",('DAY 5'!M246))</f>
        <v/>
      </c>
      <c r="O246" s="78">
        <f>SUM('DAY 1'!L246,'DAY 2'!L246,'DAY 3'!L246,'DAY 4'!L246,'DAY 5'!L246)</f>
        <v>0</v>
      </c>
      <c r="P246" s="82" t="str">
        <f t="shared" si="24"/>
        <v/>
      </c>
      <c r="Q246" s="83" t="str">
        <f t="shared" si="25"/>
        <v/>
      </c>
      <c r="R246" s="148" t="str">
        <f t="shared" si="26"/>
        <v/>
      </c>
      <c r="S246" s="149" t="str">
        <f t="shared" si="27"/>
        <v/>
      </c>
      <c r="U246" s="66" t="str">
        <f>'DAY 1'!Y246</f>
        <v/>
      </c>
      <c r="V246" s="89" t="str">
        <f>'DAY 2'!Y246</f>
        <v/>
      </c>
      <c r="W246" s="89" t="str">
        <f>'DAY 3'!Y246</f>
        <v/>
      </c>
      <c r="X246" s="89" t="str">
        <f>'DAY 4'!Y246</f>
        <v/>
      </c>
      <c r="Y246" s="67" t="str">
        <f>'DAY 5'!Y246</f>
        <v/>
      </c>
      <c r="Z246" s="142" t="str">
        <f t="shared" si="28"/>
        <v/>
      </c>
      <c r="AA246" s="22" t="str">
        <f t="shared" si="29"/>
        <v/>
      </c>
      <c r="AB246" t="str">
        <f>'DAY 1'!Z246</f>
        <v/>
      </c>
      <c r="AC246" t="str">
        <f>'DAY 2'!Z246</f>
        <v/>
      </c>
      <c r="AD246" t="str">
        <f>'DAY 3'!Z246</f>
        <v/>
      </c>
      <c r="AE246" t="str">
        <f>'DAY 4'!Z246</f>
        <v/>
      </c>
      <c r="AF246" t="str">
        <f>'DAY 5'!Z246</f>
        <v/>
      </c>
      <c r="AG246" s="144" t="str">
        <f t="shared" si="30"/>
        <v/>
      </c>
      <c r="AH246" s="145" t="str">
        <f t="shared" si="31"/>
        <v/>
      </c>
    </row>
    <row r="247" spans="2:34" ht="15.75" thickBot="1" x14ac:dyDescent="0.3">
      <c r="B247" s="66" t="str">
        <f>IF(AND('ENTRY DATA'!C247=""),"",('ENTRY DATA'!C247))</f>
        <v/>
      </c>
      <c r="C247" s="67" t="str">
        <f>IF(AND('ENTRY DATA'!D247=""),"",('ENTRY DATA'!D247))</f>
        <v/>
      </c>
      <c r="E247" s="66" t="str">
        <f>IF(AND('ENTRY DATA'!F247=""),"",('ENTRY DATA'!F247))</f>
        <v/>
      </c>
      <c r="F247" s="67" t="str">
        <f>IF(AND('ENTRY DATA'!G247=""),"",('ENTRY DATA'!G247))</f>
        <v/>
      </c>
      <c r="G247" s="61" t="s">
        <v>40</v>
      </c>
      <c r="I247" s="81" t="str">
        <f>IF(AND('DAY 1'!M247=""),"",('DAY 1'!M247))</f>
        <v/>
      </c>
      <c r="J247" s="79" t="str">
        <f>IF(AND('DAY 2'!M247=""),"",('DAY 2'!M247))</f>
        <v/>
      </c>
      <c r="K247" s="79" t="str">
        <f>IF(AND('DAY 3'!M247=""),"",('DAY 3'!M247))</f>
        <v/>
      </c>
      <c r="L247" s="79" t="str">
        <f>IF(AND('DAY 4'!M247=""),"",('DAY 4'!M247))</f>
        <v/>
      </c>
      <c r="M247" s="80" t="str">
        <f>IF(AND('DAY 5'!M247=""),"",('DAY 5'!M247))</f>
        <v/>
      </c>
      <c r="O247" s="78">
        <f>SUM('DAY 1'!L247,'DAY 2'!L247,'DAY 3'!L247,'DAY 4'!L247,'DAY 5'!L247)</f>
        <v>0</v>
      </c>
      <c r="P247" s="82" t="str">
        <f t="shared" si="24"/>
        <v/>
      </c>
      <c r="Q247" s="83" t="str">
        <f t="shared" si="25"/>
        <v/>
      </c>
      <c r="R247" s="148" t="str">
        <f t="shared" si="26"/>
        <v/>
      </c>
      <c r="S247" s="149" t="str">
        <f t="shared" si="27"/>
        <v/>
      </c>
      <c r="U247" s="66" t="str">
        <f>'DAY 1'!Y247</f>
        <v/>
      </c>
      <c r="V247" s="89" t="str">
        <f>'DAY 2'!Y247</f>
        <v/>
      </c>
      <c r="W247" s="89" t="str">
        <f>'DAY 3'!Y247</f>
        <v/>
      </c>
      <c r="X247" s="89" t="str">
        <f>'DAY 4'!Y247</f>
        <v/>
      </c>
      <c r="Y247" s="67" t="str">
        <f>'DAY 5'!Y247</f>
        <v/>
      </c>
      <c r="Z247" s="142" t="str">
        <f t="shared" si="28"/>
        <v/>
      </c>
      <c r="AA247" s="22" t="str">
        <f t="shared" si="29"/>
        <v/>
      </c>
      <c r="AB247" t="str">
        <f>'DAY 1'!Z247</f>
        <v/>
      </c>
      <c r="AC247" t="str">
        <f>'DAY 2'!Z247</f>
        <v/>
      </c>
      <c r="AD247" t="str">
        <f>'DAY 3'!Z247</f>
        <v/>
      </c>
      <c r="AE247" t="str">
        <f>'DAY 4'!Z247</f>
        <v/>
      </c>
      <c r="AF247" t="str">
        <f>'DAY 5'!Z247</f>
        <v/>
      </c>
      <c r="AG247" s="144" t="str">
        <f t="shared" si="30"/>
        <v/>
      </c>
      <c r="AH247" s="145" t="str">
        <f t="shared" si="31"/>
        <v/>
      </c>
    </row>
    <row r="248" spans="2:34" ht="15.75" thickBot="1" x14ac:dyDescent="0.3">
      <c r="B248" s="66" t="str">
        <f>IF(AND('ENTRY DATA'!C248=""),"",('ENTRY DATA'!C248))</f>
        <v/>
      </c>
      <c r="C248" s="67" t="str">
        <f>IF(AND('ENTRY DATA'!D248=""),"",('ENTRY DATA'!D248))</f>
        <v/>
      </c>
      <c r="E248" s="66" t="str">
        <f>IF(AND('ENTRY DATA'!F248=""),"",('ENTRY DATA'!F248))</f>
        <v/>
      </c>
      <c r="F248" s="67" t="str">
        <f>IF(AND('ENTRY DATA'!G248=""),"",('ENTRY DATA'!G248))</f>
        <v/>
      </c>
      <c r="G248" s="61" t="s">
        <v>40</v>
      </c>
      <c r="I248" s="81" t="str">
        <f>IF(AND('DAY 1'!M248=""),"",('DAY 1'!M248))</f>
        <v/>
      </c>
      <c r="J248" s="79" t="str">
        <f>IF(AND('DAY 2'!M248=""),"",('DAY 2'!M248))</f>
        <v/>
      </c>
      <c r="K248" s="79" t="str">
        <f>IF(AND('DAY 3'!M248=""),"",('DAY 3'!M248))</f>
        <v/>
      </c>
      <c r="L248" s="79" t="str">
        <f>IF(AND('DAY 4'!M248=""),"",('DAY 4'!M248))</f>
        <v/>
      </c>
      <c r="M248" s="80" t="str">
        <f>IF(AND('DAY 5'!M248=""),"",('DAY 5'!M248))</f>
        <v/>
      </c>
      <c r="O248" s="78">
        <f>SUM('DAY 1'!L248,'DAY 2'!L248,'DAY 3'!L248,'DAY 4'!L248,'DAY 5'!L248)</f>
        <v>0</v>
      </c>
      <c r="P248" s="82" t="str">
        <f t="shared" si="24"/>
        <v/>
      </c>
      <c r="Q248" s="83" t="str">
        <f t="shared" si="25"/>
        <v/>
      </c>
      <c r="R248" s="148" t="str">
        <f t="shared" si="26"/>
        <v/>
      </c>
      <c r="S248" s="149" t="str">
        <f t="shared" si="27"/>
        <v/>
      </c>
      <c r="U248" s="66" t="str">
        <f>'DAY 1'!Y248</f>
        <v/>
      </c>
      <c r="V248" s="89" t="str">
        <f>'DAY 2'!Y248</f>
        <v/>
      </c>
      <c r="W248" s="89" t="str">
        <f>'DAY 3'!Y248</f>
        <v/>
      </c>
      <c r="X248" s="89" t="str">
        <f>'DAY 4'!Y248</f>
        <v/>
      </c>
      <c r="Y248" s="67" t="str">
        <f>'DAY 5'!Y248</f>
        <v/>
      </c>
      <c r="Z248" s="142" t="str">
        <f t="shared" si="28"/>
        <v/>
      </c>
      <c r="AA248" s="22" t="str">
        <f t="shared" si="29"/>
        <v/>
      </c>
      <c r="AB248" t="str">
        <f>'DAY 1'!Z248</f>
        <v/>
      </c>
      <c r="AC248" t="str">
        <f>'DAY 2'!Z248</f>
        <v/>
      </c>
      <c r="AD248" t="str">
        <f>'DAY 3'!Z248</f>
        <v/>
      </c>
      <c r="AE248" t="str">
        <f>'DAY 4'!Z248</f>
        <v/>
      </c>
      <c r="AF248" t="str">
        <f>'DAY 5'!Z248</f>
        <v/>
      </c>
      <c r="AG248" s="144" t="str">
        <f t="shared" si="30"/>
        <v/>
      </c>
      <c r="AH248" s="145" t="str">
        <f t="shared" si="31"/>
        <v/>
      </c>
    </row>
    <row r="249" spans="2:34" ht="15.75" thickBot="1" x14ac:dyDescent="0.3">
      <c r="B249" s="66" t="str">
        <f>IF(AND('ENTRY DATA'!C249=""),"",('ENTRY DATA'!C249))</f>
        <v/>
      </c>
      <c r="C249" s="67" t="str">
        <f>IF(AND('ENTRY DATA'!D249=""),"",('ENTRY DATA'!D249))</f>
        <v/>
      </c>
      <c r="E249" s="66" t="str">
        <f>IF(AND('ENTRY DATA'!F249=""),"",('ENTRY DATA'!F249))</f>
        <v/>
      </c>
      <c r="F249" s="67" t="str">
        <f>IF(AND('ENTRY DATA'!G249=""),"",('ENTRY DATA'!G249))</f>
        <v/>
      </c>
      <c r="G249" s="61" t="s">
        <v>40</v>
      </c>
      <c r="I249" s="81" t="str">
        <f>IF(AND('DAY 1'!M249=""),"",('DAY 1'!M249))</f>
        <v/>
      </c>
      <c r="J249" s="79" t="str">
        <f>IF(AND('DAY 2'!M249=""),"",('DAY 2'!M249))</f>
        <v/>
      </c>
      <c r="K249" s="79" t="str">
        <f>IF(AND('DAY 3'!M249=""),"",('DAY 3'!M249))</f>
        <v/>
      </c>
      <c r="L249" s="79" t="str">
        <f>IF(AND('DAY 4'!M249=""),"",('DAY 4'!M249))</f>
        <v/>
      </c>
      <c r="M249" s="80" t="str">
        <f>IF(AND('DAY 5'!M249=""),"",('DAY 5'!M249))</f>
        <v/>
      </c>
      <c r="O249" s="78">
        <f>SUM('DAY 1'!L249,'DAY 2'!L249,'DAY 3'!L249,'DAY 4'!L249,'DAY 5'!L249)</f>
        <v>0</v>
      </c>
      <c r="P249" s="82" t="str">
        <f t="shared" si="24"/>
        <v/>
      </c>
      <c r="Q249" s="83" t="str">
        <f t="shared" si="25"/>
        <v/>
      </c>
      <c r="R249" s="148" t="str">
        <f t="shared" si="26"/>
        <v/>
      </c>
      <c r="S249" s="149" t="str">
        <f t="shared" si="27"/>
        <v/>
      </c>
      <c r="U249" s="66" t="str">
        <f>'DAY 1'!Y249</f>
        <v/>
      </c>
      <c r="V249" s="89" t="str">
        <f>'DAY 2'!Y249</f>
        <v/>
      </c>
      <c r="W249" s="89" t="str">
        <f>'DAY 3'!Y249</f>
        <v/>
      </c>
      <c r="X249" s="89" t="str">
        <f>'DAY 4'!Y249</f>
        <v/>
      </c>
      <c r="Y249" s="67" t="str">
        <f>'DAY 5'!Y249</f>
        <v/>
      </c>
      <c r="Z249" s="142" t="str">
        <f t="shared" si="28"/>
        <v/>
      </c>
      <c r="AA249" s="22" t="str">
        <f t="shared" si="29"/>
        <v/>
      </c>
      <c r="AB249" t="str">
        <f>'DAY 1'!Z249</f>
        <v/>
      </c>
      <c r="AC249" t="str">
        <f>'DAY 2'!Z249</f>
        <v/>
      </c>
      <c r="AD249" t="str">
        <f>'DAY 3'!Z249</f>
        <v/>
      </c>
      <c r="AE249" t="str">
        <f>'DAY 4'!Z249</f>
        <v/>
      </c>
      <c r="AF249" t="str">
        <f>'DAY 5'!Z249</f>
        <v/>
      </c>
      <c r="AG249" s="144" t="str">
        <f t="shared" si="30"/>
        <v/>
      </c>
      <c r="AH249" s="145" t="str">
        <f t="shared" si="31"/>
        <v/>
      </c>
    </row>
    <row r="250" spans="2:34" ht="15.75" thickBot="1" x14ac:dyDescent="0.3">
      <c r="B250" s="66" t="str">
        <f>IF(AND('ENTRY DATA'!C250=""),"",('ENTRY DATA'!C250))</f>
        <v/>
      </c>
      <c r="C250" s="67" t="str">
        <f>IF(AND('ENTRY DATA'!D250=""),"",('ENTRY DATA'!D250))</f>
        <v/>
      </c>
      <c r="E250" s="66" t="str">
        <f>IF(AND('ENTRY DATA'!F250=""),"",('ENTRY DATA'!F250))</f>
        <v/>
      </c>
      <c r="F250" s="67" t="str">
        <f>IF(AND('ENTRY DATA'!G250=""),"",('ENTRY DATA'!G250))</f>
        <v/>
      </c>
      <c r="G250" s="61" t="s">
        <v>40</v>
      </c>
      <c r="I250" s="81" t="str">
        <f>IF(AND('DAY 1'!M250=""),"",('DAY 1'!M250))</f>
        <v/>
      </c>
      <c r="J250" s="79" t="str">
        <f>IF(AND('DAY 2'!M250=""),"",('DAY 2'!M250))</f>
        <v/>
      </c>
      <c r="K250" s="79" t="str">
        <f>IF(AND('DAY 3'!M250=""),"",('DAY 3'!M250))</f>
        <v/>
      </c>
      <c r="L250" s="79" t="str">
        <f>IF(AND('DAY 4'!M250=""),"",('DAY 4'!M250))</f>
        <v/>
      </c>
      <c r="M250" s="80" t="str">
        <f>IF(AND('DAY 5'!M250=""),"",('DAY 5'!M250))</f>
        <v/>
      </c>
      <c r="O250" s="78">
        <f>SUM('DAY 1'!L250,'DAY 2'!L250,'DAY 3'!L250,'DAY 4'!L250,'DAY 5'!L250)</f>
        <v>0</v>
      </c>
      <c r="P250" s="82" t="str">
        <f t="shared" si="24"/>
        <v/>
      </c>
      <c r="Q250" s="83" t="str">
        <f t="shared" si="25"/>
        <v/>
      </c>
      <c r="R250" s="148" t="str">
        <f t="shared" si="26"/>
        <v/>
      </c>
      <c r="S250" s="149" t="str">
        <f t="shared" si="27"/>
        <v/>
      </c>
      <c r="U250" s="66" t="str">
        <f>'DAY 1'!Y250</f>
        <v/>
      </c>
      <c r="V250" s="89" t="str">
        <f>'DAY 2'!Y250</f>
        <v/>
      </c>
      <c r="W250" s="89" t="str">
        <f>'DAY 3'!Y250</f>
        <v/>
      </c>
      <c r="X250" s="89" t="str">
        <f>'DAY 4'!Y250</f>
        <v/>
      </c>
      <c r="Y250" s="67" t="str">
        <f>'DAY 5'!Y250</f>
        <v/>
      </c>
      <c r="Z250" s="142" t="str">
        <f t="shared" si="28"/>
        <v/>
      </c>
      <c r="AA250" s="22" t="str">
        <f t="shared" si="29"/>
        <v/>
      </c>
      <c r="AB250" t="str">
        <f>'DAY 1'!Z250</f>
        <v/>
      </c>
      <c r="AC250" t="str">
        <f>'DAY 2'!Z250</f>
        <v/>
      </c>
      <c r="AD250" t="str">
        <f>'DAY 3'!Z250</f>
        <v/>
      </c>
      <c r="AE250" t="str">
        <f>'DAY 4'!Z250</f>
        <v/>
      </c>
      <c r="AF250" t="str">
        <f>'DAY 5'!Z250</f>
        <v/>
      </c>
      <c r="AG250" s="144" t="str">
        <f t="shared" si="30"/>
        <v/>
      </c>
      <c r="AH250" s="145" t="str">
        <f t="shared" si="31"/>
        <v/>
      </c>
    </row>
    <row r="251" spans="2:34" ht="15.75" thickBot="1" x14ac:dyDescent="0.3">
      <c r="B251" s="66" t="str">
        <f>IF(AND('ENTRY DATA'!C251=""),"",('ENTRY DATA'!C251))</f>
        <v/>
      </c>
      <c r="C251" s="67" t="str">
        <f>IF(AND('ENTRY DATA'!D251=""),"",('ENTRY DATA'!D251))</f>
        <v/>
      </c>
      <c r="E251" s="66" t="str">
        <f>IF(AND('ENTRY DATA'!F251=""),"",('ENTRY DATA'!F251))</f>
        <v/>
      </c>
      <c r="F251" s="67" t="str">
        <f>IF(AND('ENTRY DATA'!G251=""),"",('ENTRY DATA'!G251))</f>
        <v/>
      </c>
      <c r="G251" s="61" t="s">
        <v>40</v>
      </c>
      <c r="I251" s="81" t="str">
        <f>IF(AND('DAY 1'!M251=""),"",('DAY 1'!M251))</f>
        <v/>
      </c>
      <c r="J251" s="79" t="str">
        <f>IF(AND('DAY 2'!M251=""),"",('DAY 2'!M251))</f>
        <v/>
      </c>
      <c r="K251" s="79" t="str">
        <f>IF(AND('DAY 3'!M251=""),"",('DAY 3'!M251))</f>
        <v/>
      </c>
      <c r="L251" s="79" t="str">
        <f>IF(AND('DAY 4'!M251=""),"",('DAY 4'!M251))</f>
        <v/>
      </c>
      <c r="M251" s="80" t="str">
        <f>IF(AND('DAY 5'!M251=""),"",('DAY 5'!M251))</f>
        <v/>
      </c>
      <c r="O251" s="78">
        <f>SUM('DAY 1'!L251,'DAY 2'!L251,'DAY 3'!L251,'DAY 4'!L251,'DAY 5'!L251)</f>
        <v>0</v>
      </c>
      <c r="P251" s="82" t="str">
        <f t="shared" si="24"/>
        <v/>
      </c>
      <c r="Q251" s="83" t="str">
        <f t="shared" si="25"/>
        <v/>
      </c>
      <c r="R251" s="148" t="str">
        <f t="shared" si="26"/>
        <v/>
      </c>
      <c r="S251" s="149" t="str">
        <f t="shared" si="27"/>
        <v/>
      </c>
      <c r="U251" s="66" t="str">
        <f>'DAY 1'!Y251</f>
        <v/>
      </c>
      <c r="V251" s="89" t="str">
        <f>'DAY 2'!Y251</f>
        <v/>
      </c>
      <c r="W251" s="89" t="str">
        <f>'DAY 3'!Y251</f>
        <v/>
      </c>
      <c r="X251" s="89" t="str">
        <f>'DAY 4'!Y251</f>
        <v/>
      </c>
      <c r="Y251" s="67" t="str">
        <f>'DAY 5'!Y251</f>
        <v/>
      </c>
      <c r="Z251" s="142" t="str">
        <f t="shared" si="28"/>
        <v/>
      </c>
      <c r="AA251" s="22" t="str">
        <f t="shared" si="29"/>
        <v/>
      </c>
      <c r="AB251" t="str">
        <f>'DAY 1'!Z251</f>
        <v/>
      </c>
      <c r="AC251" t="str">
        <f>'DAY 2'!Z251</f>
        <v/>
      </c>
      <c r="AD251" t="str">
        <f>'DAY 3'!Z251</f>
        <v/>
      </c>
      <c r="AE251" t="str">
        <f>'DAY 4'!Z251</f>
        <v/>
      </c>
      <c r="AF251" t="str">
        <f>'DAY 5'!Z251</f>
        <v/>
      </c>
      <c r="AG251" s="144" t="str">
        <f t="shared" si="30"/>
        <v/>
      </c>
      <c r="AH251" s="145" t="str">
        <f t="shared" si="31"/>
        <v/>
      </c>
    </row>
    <row r="252" spans="2:34" ht="15.75" thickBot="1" x14ac:dyDescent="0.3">
      <c r="B252" s="66" t="str">
        <f>IF(AND('ENTRY DATA'!C252=""),"",('ENTRY DATA'!C252))</f>
        <v/>
      </c>
      <c r="C252" s="67" t="str">
        <f>IF(AND('ENTRY DATA'!D252=""),"",('ENTRY DATA'!D252))</f>
        <v/>
      </c>
      <c r="E252" s="66" t="str">
        <f>IF(AND('ENTRY DATA'!F252=""),"",('ENTRY DATA'!F252))</f>
        <v/>
      </c>
      <c r="F252" s="67" t="str">
        <f>IF(AND('ENTRY DATA'!G252=""),"",('ENTRY DATA'!G252))</f>
        <v/>
      </c>
      <c r="G252" s="61" t="s">
        <v>40</v>
      </c>
      <c r="I252" s="81" t="str">
        <f>IF(AND('DAY 1'!M252=""),"",('DAY 1'!M252))</f>
        <v/>
      </c>
      <c r="J252" s="79" t="str">
        <f>IF(AND('DAY 2'!M252=""),"",('DAY 2'!M252))</f>
        <v/>
      </c>
      <c r="K252" s="79" t="str">
        <f>IF(AND('DAY 3'!M252=""),"",('DAY 3'!M252))</f>
        <v/>
      </c>
      <c r="L252" s="79" t="str">
        <f>IF(AND('DAY 4'!M252=""),"",('DAY 4'!M252))</f>
        <v/>
      </c>
      <c r="M252" s="80" t="str">
        <f>IF(AND('DAY 5'!M252=""),"",('DAY 5'!M252))</f>
        <v/>
      </c>
      <c r="O252" s="78">
        <f>SUM('DAY 1'!L252,'DAY 2'!L252,'DAY 3'!L252,'DAY 4'!L252,'DAY 5'!L252)</f>
        <v>0</v>
      </c>
      <c r="P252" s="82" t="str">
        <f t="shared" si="24"/>
        <v/>
      </c>
      <c r="Q252" s="83" t="str">
        <f t="shared" si="25"/>
        <v/>
      </c>
      <c r="R252" s="148" t="str">
        <f t="shared" si="26"/>
        <v/>
      </c>
      <c r="S252" s="149" t="str">
        <f t="shared" si="27"/>
        <v/>
      </c>
      <c r="U252" s="66" t="str">
        <f>'DAY 1'!Y252</f>
        <v/>
      </c>
      <c r="V252" s="89" t="str">
        <f>'DAY 2'!Y252</f>
        <v/>
      </c>
      <c r="W252" s="89" t="str">
        <f>'DAY 3'!Y252</f>
        <v/>
      </c>
      <c r="X252" s="89" t="str">
        <f>'DAY 4'!Y252</f>
        <v/>
      </c>
      <c r="Y252" s="67" t="str">
        <f>'DAY 5'!Y252</f>
        <v/>
      </c>
      <c r="Z252" s="142" t="str">
        <f t="shared" si="28"/>
        <v/>
      </c>
      <c r="AA252" s="22" t="str">
        <f t="shared" si="29"/>
        <v/>
      </c>
      <c r="AB252" t="str">
        <f>'DAY 1'!Z252</f>
        <v/>
      </c>
      <c r="AC252" t="str">
        <f>'DAY 2'!Z252</f>
        <v/>
      </c>
      <c r="AD252" t="str">
        <f>'DAY 3'!Z252</f>
        <v/>
      </c>
      <c r="AE252" t="str">
        <f>'DAY 4'!Z252</f>
        <v/>
      </c>
      <c r="AF252" t="str">
        <f>'DAY 5'!Z252</f>
        <v/>
      </c>
      <c r="AG252" s="144" t="str">
        <f t="shared" si="30"/>
        <v/>
      </c>
      <c r="AH252" s="145" t="str">
        <f t="shared" si="31"/>
        <v/>
      </c>
    </row>
    <row r="253" spans="2:34" ht="15.75" thickBot="1" x14ac:dyDescent="0.3">
      <c r="B253" s="66" t="str">
        <f>IF(AND('ENTRY DATA'!C253=""),"",('ENTRY DATA'!C253))</f>
        <v/>
      </c>
      <c r="C253" s="67" t="str">
        <f>IF(AND('ENTRY DATA'!D253=""),"",('ENTRY DATA'!D253))</f>
        <v/>
      </c>
      <c r="E253" s="66" t="str">
        <f>IF(AND('ENTRY DATA'!F253=""),"",('ENTRY DATA'!F253))</f>
        <v/>
      </c>
      <c r="F253" s="67" t="str">
        <f>IF(AND('ENTRY DATA'!G253=""),"",('ENTRY DATA'!G253))</f>
        <v/>
      </c>
      <c r="G253" s="61" t="s">
        <v>40</v>
      </c>
      <c r="I253" s="81" t="str">
        <f>IF(AND('DAY 1'!M253=""),"",('DAY 1'!M253))</f>
        <v/>
      </c>
      <c r="J253" s="79" t="str">
        <f>IF(AND('DAY 2'!M253=""),"",('DAY 2'!M253))</f>
        <v/>
      </c>
      <c r="K253" s="79" t="str">
        <f>IF(AND('DAY 3'!M253=""),"",('DAY 3'!M253))</f>
        <v/>
      </c>
      <c r="L253" s="79" t="str">
        <f>IF(AND('DAY 4'!M253=""),"",('DAY 4'!M253))</f>
        <v/>
      </c>
      <c r="M253" s="80" t="str">
        <f>IF(AND('DAY 5'!M253=""),"",('DAY 5'!M253))</f>
        <v/>
      </c>
      <c r="O253" s="78">
        <f>SUM('DAY 1'!L253,'DAY 2'!L253,'DAY 3'!L253,'DAY 4'!L253,'DAY 5'!L253)</f>
        <v>0</v>
      </c>
      <c r="P253" s="82" t="str">
        <f t="shared" si="24"/>
        <v/>
      </c>
      <c r="Q253" s="83" t="str">
        <f t="shared" si="25"/>
        <v/>
      </c>
      <c r="R253" s="148" t="str">
        <f t="shared" si="26"/>
        <v/>
      </c>
      <c r="S253" s="149" t="str">
        <f t="shared" si="27"/>
        <v/>
      </c>
      <c r="U253" s="66" t="str">
        <f>'DAY 1'!Y253</f>
        <v/>
      </c>
      <c r="V253" s="89" t="str">
        <f>'DAY 2'!Y253</f>
        <v/>
      </c>
      <c r="W253" s="89" t="str">
        <f>'DAY 3'!Y253</f>
        <v/>
      </c>
      <c r="X253" s="89" t="str">
        <f>'DAY 4'!Y253</f>
        <v/>
      </c>
      <c r="Y253" s="67" t="str">
        <f>'DAY 5'!Y253</f>
        <v/>
      </c>
      <c r="Z253" s="142" t="str">
        <f t="shared" si="28"/>
        <v/>
      </c>
      <c r="AA253" s="22" t="str">
        <f t="shared" si="29"/>
        <v/>
      </c>
      <c r="AB253" t="str">
        <f>'DAY 1'!Z253</f>
        <v/>
      </c>
      <c r="AC253" t="str">
        <f>'DAY 2'!Z253</f>
        <v/>
      </c>
      <c r="AD253" t="str">
        <f>'DAY 3'!Z253</f>
        <v/>
      </c>
      <c r="AE253" t="str">
        <f>'DAY 4'!Z253</f>
        <v/>
      </c>
      <c r="AF253" t="str">
        <f>'DAY 5'!Z253</f>
        <v/>
      </c>
      <c r="AG253" s="144" t="str">
        <f t="shared" si="30"/>
        <v/>
      </c>
      <c r="AH253" s="145" t="str">
        <f t="shared" si="31"/>
        <v/>
      </c>
    </row>
    <row r="254" spans="2:34" ht="15.75" thickBot="1" x14ac:dyDescent="0.3">
      <c r="B254" s="66" t="str">
        <f>IF(AND('ENTRY DATA'!C254=""),"",('ENTRY DATA'!C254))</f>
        <v/>
      </c>
      <c r="C254" s="67" t="str">
        <f>IF(AND('ENTRY DATA'!D254=""),"",('ENTRY DATA'!D254))</f>
        <v/>
      </c>
      <c r="E254" s="66" t="str">
        <f>IF(AND('ENTRY DATA'!F254=""),"",('ENTRY DATA'!F254))</f>
        <v/>
      </c>
      <c r="F254" s="67" t="str">
        <f>IF(AND('ENTRY DATA'!G254=""),"",('ENTRY DATA'!G254))</f>
        <v/>
      </c>
      <c r="G254" s="61" t="s">
        <v>40</v>
      </c>
      <c r="I254" s="81" t="str">
        <f>IF(AND('DAY 1'!M254=""),"",('DAY 1'!M254))</f>
        <v/>
      </c>
      <c r="J254" s="79" t="str">
        <f>IF(AND('DAY 2'!M254=""),"",('DAY 2'!M254))</f>
        <v/>
      </c>
      <c r="K254" s="79" t="str">
        <f>IF(AND('DAY 3'!M254=""),"",('DAY 3'!M254))</f>
        <v/>
      </c>
      <c r="L254" s="79" t="str">
        <f>IF(AND('DAY 4'!M254=""),"",('DAY 4'!M254))</f>
        <v/>
      </c>
      <c r="M254" s="80" t="str">
        <f>IF(AND('DAY 5'!M254=""),"",('DAY 5'!M254))</f>
        <v/>
      </c>
      <c r="O254" s="78">
        <f>SUM('DAY 1'!L254,'DAY 2'!L254,'DAY 3'!L254,'DAY 4'!L254,'DAY 5'!L254)</f>
        <v>0</v>
      </c>
      <c r="P254" s="82" t="str">
        <f t="shared" si="24"/>
        <v/>
      </c>
      <c r="Q254" s="83" t="str">
        <f t="shared" si="25"/>
        <v/>
      </c>
      <c r="R254" s="148" t="str">
        <f t="shared" si="26"/>
        <v/>
      </c>
      <c r="S254" s="149" t="str">
        <f t="shared" si="27"/>
        <v/>
      </c>
      <c r="U254" s="66" t="str">
        <f>'DAY 1'!Y254</f>
        <v/>
      </c>
      <c r="V254" s="89" t="str">
        <f>'DAY 2'!Y254</f>
        <v/>
      </c>
      <c r="W254" s="89" t="str">
        <f>'DAY 3'!Y254</f>
        <v/>
      </c>
      <c r="X254" s="89" t="str">
        <f>'DAY 4'!Y254</f>
        <v/>
      </c>
      <c r="Y254" s="67" t="str">
        <f>'DAY 5'!Y254</f>
        <v/>
      </c>
      <c r="Z254" s="142" t="str">
        <f t="shared" si="28"/>
        <v/>
      </c>
      <c r="AA254" s="22" t="str">
        <f t="shared" si="29"/>
        <v/>
      </c>
      <c r="AB254" t="str">
        <f>'DAY 1'!Z254</f>
        <v/>
      </c>
      <c r="AC254" t="str">
        <f>'DAY 2'!Z254</f>
        <v/>
      </c>
      <c r="AD254" t="str">
        <f>'DAY 3'!Z254</f>
        <v/>
      </c>
      <c r="AE254" t="str">
        <f>'DAY 4'!Z254</f>
        <v/>
      </c>
      <c r="AF254" t="str">
        <f>'DAY 5'!Z254</f>
        <v/>
      </c>
      <c r="AG254" s="144" t="str">
        <f t="shared" si="30"/>
        <v/>
      </c>
      <c r="AH254" s="145" t="str">
        <f t="shared" si="31"/>
        <v/>
      </c>
    </row>
    <row r="255" spans="2:34" ht="15.75" thickBot="1" x14ac:dyDescent="0.3">
      <c r="B255" s="66" t="str">
        <f>IF(AND('ENTRY DATA'!C255=""),"",('ENTRY DATA'!C255))</f>
        <v/>
      </c>
      <c r="C255" s="67" t="str">
        <f>IF(AND('ENTRY DATA'!D255=""),"",('ENTRY DATA'!D255))</f>
        <v/>
      </c>
      <c r="E255" s="66" t="str">
        <f>IF(AND('ENTRY DATA'!F255=""),"",('ENTRY DATA'!F255))</f>
        <v/>
      </c>
      <c r="F255" s="67" t="str">
        <f>IF(AND('ENTRY DATA'!G255=""),"",('ENTRY DATA'!G255))</f>
        <v/>
      </c>
      <c r="G255" s="61" t="s">
        <v>40</v>
      </c>
      <c r="I255" s="81" t="str">
        <f>IF(AND('DAY 1'!M255=""),"",('DAY 1'!M255))</f>
        <v/>
      </c>
      <c r="J255" s="79" t="str">
        <f>IF(AND('DAY 2'!M255=""),"",('DAY 2'!M255))</f>
        <v/>
      </c>
      <c r="K255" s="79" t="str">
        <f>IF(AND('DAY 3'!M255=""),"",('DAY 3'!M255))</f>
        <v/>
      </c>
      <c r="L255" s="79" t="str">
        <f>IF(AND('DAY 4'!M255=""),"",('DAY 4'!M255))</f>
        <v/>
      </c>
      <c r="M255" s="80" t="str">
        <f>IF(AND('DAY 5'!M255=""),"",('DAY 5'!M255))</f>
        <v/>
      </c>
      <c r="O255" s="78">
        <f>SUM('DAY 1'!L255,'DAY 2'!L255,'DAY 3'!L255,'DAY 4'!L255,'DAY 5'!L255)</f>
        <v>0</v>
      </c>
      <c r="P255" s="82" t="str">
        <f t="shared" si="24"/>
        <v/>
      </c>
      <c r="Q255" s="83" t="str">
        <f t="shared" si="25"/>
        <v/>
      </c>
      <c r="R255" s="148" t="str">
        <f t="shared" si="26"/>
        <v/>
      </c>
      <c r="S255" s="149" t="str">
        <f t="shared" si="27"/>
        <v/>
      </c>
      <c r="U255" s="66" t="str">
        <f>'DAY 1'!Y255</f>
        <v/>
      </c>
      <c r="V255" s="89" t="str">
        <f>'DAY 2'!Y255</f>
        <v/>
      </c>
      <c r="W255" s="89" t="str">
        <f>'DAY 3'!Y255</f>
        <v/>
      </c>
      <c r="X255" s="89" t="str">
        <f>'DAY 4'!Y255</f>
        <v/>
      </c>
      <c r="Y255" s="67" t="str">
        <f>'DAY 5'!Y255</f>
        <v/>
      </c>
      <c r="Z255" s="142" t="str">
        <f t="shared" si="28"/>
        <v/>
      </c>
      <c r="AA255" s="22" t="str">
        <f t="shared" si="29"/>
        <v/>
      </c>
      <c r="AB255" t="str">
        <f>'DAY 1'!Z255</f>
        <v/>
      </c>
      <c r="AC255" t="str">
        <f>'DAY 2'!Z255</f>
        <v/>
      </c>
      <c r="AD255" t="str">
        <f>'DAY 3'!Z255</f>
        <v/>
      </c>
      <c r="AE255" t="str">
        <f>'DAY 4'!Z255</f>
        <v/>
      </c>
      <c r="AF255" t="str">
        <f>'DAY 5'!Z255</f>
        <v/>
      </c>
      <c r="AG255" s="144" t="str">
        <f t="shared" si="30"/>
        <v/>
      </c>
      <c r="AH255" s="145" t="str">
        <f t="shared" si="31"/>
        <v/>
      </c>
    </row>
    <row r="256" spans="2:34" ht="15.75" thickBot="1" x14ac:dyDescent="0.3">
      <c r="B256" s="66" t="str">
        <f>IF(AND('ENTRY DATA'!C256=""),"",('ENTRY DATA'!C256))</f>
        <v/>
      </c>
      <c r="C256" s="67" t="str">
        <f>IF(AND('ENTRY DATA'!D256=""),"",('ENTRY DATA'!D256))</f>
        <v/>
      </c>
      <c r="E256" s="66" t="str">
        <f>IF(AND('ENTRY DATA'!F256=""),"",('ENTRY DATA'!F256))</f>
        <v/>
      </c>
      <c r="F256" s="67" t="str">
        <f>IF(AND('ENTRY DATA'!G256=""),"",('ENTRY DATA'!G256))</f>
        <v/>
      </c>
      <c r="G256" s="61" t="s">
        <v>40</v>
      </c>
      <c r="I256" s="81" t="str">
        <f>IF(AND('DAY 1'!M256=""),"",('DAY 1'!M256))</f>
        <v/>
      </c>
      <c r="J256" s="79" t="str">
        <f>IF(AND('DAY 2'!M256=""),"",('DAY 2'!M256))</f>
        <v/>
      </c>
      <c r="K256" s="79" t="str">
        <f>IF(AND('DAY 3'!M256=""),"",('DAY 3'!M256))</f>
        <v/>
      </c>
      <c r="L256" s="79" t="str">
        <f>IF(AND('DAY 4'!M256=""),"",('DAY 4'!M256))</f>
        <v/>
      </c>
      <c r="M256" s="80" t="str">
        <f>IF(AND('DAY 5'!M256=""),"",('DAY 5'!M256))</f>
        <v/>
      </c>
      <c r="O256" s="78">
        <f>SUM('DAY 1'!L256,'DAY 2'!L256,'DAY 3'!L256,'DAY 4'!L256,'DAY 5'!L256)</f>
        <v>0</v>
      </c>
      <c r="P256" s="82" t="str">
        <f t="shared" si="24"/>
        <v/>
      </c>
      <c r="Q256" s="83" t="str">
        <f t="shared" si="25"/>
        <v/>
      </c>
      <c r="R256" s="148" t="str">
        <f t="shared" si="26"/>
        <v/>
      </c>
      <c r="S256" s="149" t="str">
        <f t="shared" si="27"/>
        <v/>
      </c>
      <c r="U256" s="66" t="str">
        <f>'DAY 1'!Y256</f>
        <v/>
      </c>
      <c r="V256" s="89" t="str">
        <f>'DAY 2'!Y256</f>
        <v/>
      </c>
      <c r="W256" s="89" t="str">
        <f>'DAY 3'!Y256</f>
        <v/>
      </c>
      <c r="X256" s="89" t="str">
        <f>'DAY 4'!Y256</f>
        <v/>
      </c>
      <c r="Y256" s="67" t="str">
        <f>'DAY 5'!Y256</f>
        <v/>
      </c>
      <c r="Z256" s="142" t="str">
        <f t="shared" si="28"/>
        <v/>
      </c>
      <c r="AA256" s="22" t="str">
        <f t="shared" si="29"/>
        <v/>
      </c>
      <c r="AB256" t="str">
        <f>'DAY 1'!Z256</f>
        <v/>
      </c>
      <c r="AC256" t="str">
        <f>'DAY 2'!Z256</f>
        <v/>
      </c>
      <c r="AD256" t="str">
        <f>'DAY 3'!Z256</f>
        <v/>
      </c>
      <c r="AE256" t="str">
        <f>'DAY 4'!Z256</f>
        <v/>
      </c>
      <c r="AF256" t="str">
        <f>'DAY 5'!Z256</f>
        <v/>
      </c>
      <c r="AG256" s="144" t="str">
        <f t="shared" si="30"/>
        <v/>
      </c>
      <c r="AH256" s="145" t="str">
        <f t="shared" si="31"/>
        <v/>
      </c>
    </row>
    <row r="257" spans="2:34" ht="15.75" thickBot="1" x14ac:dyDescent="0.3">
      <c r="B257" s="66" t="str">
        <f>IF(AND('ENTRY DATA'!C257=""),"",('ENTRY DATA'!C257))</f>
        <v/>
      </c>
      <c r="C257" s="67" t="str">
        <f>IF(AND('ENTRY DATA'!D257=""),"",('ENTRY DATA'!D257))</f>
        <v/>
      </c>
      <c r="E257" s="66" t="str">
        <f>IF(AND('ENTRY DATA'!F257=""),"",('ENTRY DATA'!F257))</f>
        <v/>
      </c>
      <c r="F257" s="67" t="str">
        <f>IF(AND('ENTRY DATA'!G257=""),"",('ENTRY DATA'!G257))</f>
        <v/>
      </c>
      <c r="G257" s="61" t="s">
        <v>40</v>
      </c>
      <c r="I257" s="81" t="str">
        <f>IF(AND('DAY 1'!M257=""),"",('DAY 1'!M257))</f>
        <v/>
      </c>
      <c r="J257" s="79" t="str">
        <f>IF(AND('DAY 2'!M257=""),"",('DAY 2'!M257))</f>
        <v/>
      </c>
      <c r="K257" s="79" t="str">
        <f>IF(AND('DAY 3'!M257=""),"",('DAY 3'!M257))</f>
        <v/>
      </c>
      <c r="L257" s="79" t="str">
        <f>IF(AND('DAY 4'!M257=""),"",('DAY 4'!M257))</f>
        <v/>
      </c>
      <c r="M257" s="80" t="str">
        <f>IF(AND('DAY 5'!M257=""),"",('DAY 5'!M257))</f>
        <v/>
      </c>
      <c r="O257" s="78">
        <f>SUM('DAY 1'!L257,'DAY 2'!L257,'DAY 3'!L257,'DAY 4'!L257,'DAY 5'!L257)</f>
        <v>0</v>
      </c>
      <c r="P257" s="82" t="str">
        <f t="shared" si="24"/>
        <v/>
      </c>
      <c r="Q257" s="83" t="str">
        <f t="shared" si="25"/>
        <v/>
      </c>
      <c r="R257" s="148" t="str">
        <f t="shared" si="26"/>
        <v/>
      </c>
      <c r="S257" s="149" t="str">
        <f t="shared" si="27"/>
        <v/>
      </c>
      <c r="U257" s="66" t="str">
        <f>'DAY 1'!Y257</f>
        <v/>
      </c>
      <c r="V257" s="89" t="str">
        <f>'DAY 2'!Y257</f>
        <v/>
      </c>
      <c r="W257" s="89" t="str">
        <f>'DAY 3'!Y257</f>
        <v/>
      </c>
      <c r="X257" s="89" t="str">
        <f>'DAY 4'!Y257</f>
        <v/>
      </c>
      <c r="Y257" s="67" t="str">
        <f>'DAY 5'!Y257</f>
        <v/>
      </c>
      <c r="Z257" s="142" t="str">
        <f t="shared" si="28"/>
        <v/>
      </c>
      <c r="AA257" s="22" t="str">
        <f t="shared" si="29"/>
        <v/>
      </c>
      <c r="AB257" t="str">
        <f>'DAY 1'!Z257</f>
        <v/>
      </c>
      <c r="AC257" t="str">
        <f>'DAY 2'!Z257</f>
        <v/>
      </c>
      <c r="AD257" t="str">
        <f>'DAY 3'!Z257</f>
        <v/>
      </c>
      <c r="AE257" t="str">
        <f>'DAY 4'!Z257</f>
        <v/>
      </c>
      <c r="AF257" t="str">
        <f>'DAY 5'!Z257</f>
        <v/>
      </c>
      <c r="AG257" s="144" t="str">
        <f t="shared" si="30"/>
        <v/>
      </c>
      <c r="AH257" s="145" t="str">
        <f t="shared" si="31"/>
        <v/>
      </c>
    </row>
    <row r="258" spans="2:34" ht="15.75" thickBot="1" x14ac:dyDescent="0.3">
      <c r="B258" s="66" t="str">
        <f>IF(AND('ENTRY DATA'!C258=""),"",('ENTRY DATA'!C258))</f>
        <v/>
      </c>
      <c r="C258" s="67" t="str">
        <f>IF(AND('ENTRY DATA'!D258=""),"",('ENTRY DATA'!D258))</f>
        <v/>
      </c>
      <c r="E258" s="66" t="str">
        <f>IF(AND('ENTRY DATA'!F258=""),"",('ENTRY DATA'!F258))</f>
        <v/>
      </c>
      <c r="F258" s="67" t="str">
        <f>IF(AND('ENTRY DATA'!G258=""),"",('ENTRY DATA'!G258))</f>
        <v/>
      </c>
      <c r="G258" s="61" t="s">
        <v>40</v>
      </c>
      <c r="I258" s="81" t="str">
        <f>IF(AND('DAY 1'!M258=""),"",('DAY 1'!M258))</f>
        <v/>
      </c>
      <c r="J258" s="79" t="str">
        <f>IF(AND('DAY 2'!M258=""),"",('DAY 2'!M258))</f>
        <v/>
      </c>
      <c r="K258" s="79" t="str">
        <f>IF(AND('DAY 3'!M258=""),"",('DAY 3'!M258))</f>
        <v/>
      </c>
      <c r="L258" s="79" t="str">
        <f>IF(AND('DAY 4'!M258=""),"",('DAY 4'!M258))</f>
        <v/>
      </c>
      <c r="M258" s="80" t="str">
        <f>IF(AND('DAY 5'!M258=""),"",('DAY 5'!M258))</f>
        <v/>
      </c>
      <c r="O258" s="78">
        <f>SUM('DAY 1'!L258,'DAY 2'!L258,'DAY 3'!L258,'DAY 4'!L258,'DAY 5'!L258)</f>
        <v>0</v>
      </c>
      <c r="P258" s="82" t="str">
        <f t="shared" si="24"/>
        <v/>
      </c>
      <c r="Q258" s="83" t="str">
        <f t="shared" si="25"/>
        <v/>
      </c>
      <c r="R258" s="148" t="str">
        <f t="shared" si="26"/>
        <v/>
      </c>
      <c r="S258" s="149" t="str">
        <f t="shared" si="27"/>
        <v/>
      </c>
      <c r="U258" s="66" t="str">
        <f>'DAY 1'!Y258</f>
        <v/>
      </c>
      <c r="V258" s="89" t="str">
        <f>'DAY 2'!Y258</f>
        <v/>
      </c>
      <c r="W258" s="89" t="str">
        <f>'DAY 3'!Y258</f>
        <v/>
      </c>
      <c r="X258" s="89" t="str">
        <f>'DAY 4'!Y258</f>
        <v/>
      </c>
      <c r="Y258" s="67" t="str">
        <f>'DAY 5'!Y258</f>
        <v/>
      </c>
      <c r="Z258" s="142" t="str">
        <f t="shared" si="28"/>
        <v/>
      </c>
      <c r="AA258" s="22" t="str">
        <f t="shared" si="29"/>
        <v/>
      </c>
      <c r="AB258" t="str">
        <f>'DAY 1'!Z258</f>
        <v/>
      </c>
      <c r="AC258" t="str">
        <f>'DAY 2'!Z258</f>
        <v/>
      </c>
      <c r="AD258" t="str">
        <f>'DAY 3'!Z258</f>
        <v/>
      </c>
      <c r="AE258" t="str">
        <f>'DAY 4'!Z258</f>
        <v/>
      </c>
      <c r="AF258" t="str">
        <f>'DAY 5'!Z258</f>
        <v/>
      </c>
      <c r="AG258" s="144" t="str">
        <f t="shared" si="30"/>
        <v/>
      </c>
      <c r="AH258" s="145" t="str">
        <f t="shared" si="31"/>
        <v/>
      </c>
    </row>
    <row r="259" spans="2:34" ht="15.75" thickBot="1" x14ac:dyDescent="0.3">
      <c r="B259" s="66" t="str">
        <f>IF(AND('ENTRY DATA'!C259=""),"",('ENTRY DATA'!C259))</f>
        <v/>
      </c>
      <c r="C259" s="67" t="str">
        <f>IF(AND('ENTRY DATA'!D259=""),"",('ENTRY DATA'!D259))</f>
        <v/>
      </c>
      <c r="E259" s="66" t="str">
        <f>IF(AND('ENTRY DATA'!F259=""),"",('ENTRY DATA'!F259))</f>
        <v/>
      </c>
      <c r="F259" s="67" t="str">
        <f>IF(AND('ENTRY DATA'!G259=""),"",('ENTRY DATA'!G259))</f>
        <v/>
      </c>
      <c r="G259" s="61" t="s">
        <v>40</v>
      </c>
      <c r="I259" s="81" t="str">
        <f>IF(AND('DAY 1'!M259=""),"",('DAY 1'!M259))</f>
        <v/>
      </c>
      <c r="J259" s="79" t="str">
        <f>IF(AND('DAY 2'!M259=""),"",('DAY 2'!M259))</f>
        <v/>
      </c>
      <c r="K259" s="79" t="str">
        <f>IF(AND('DAY 3'!M259=""),"",('DAY 3'!M259))</f>
        <v/>
      </c>
      <c r="L259" s="79" t="str">
        <f>IF(AND('DAY 4'!M259=""),"",('DAY 4'!M259))</f>
        <v/>
      </c>
      <c r="M259" s="80" t="str">
        <f>IF(AND('DAY 5'!M259=""),"",('DAY 5'!M259))</f>
        <v/>
      </c>
      <c r="O259" s="78">
        <f>SUM('DAY 1'!L259,'DAY 2'!L259,'DAY 3'!L259,'DAY 4'!L259,'DAY 5'!L259)</f>
        <v>0</v>
      </c>
      <c r="P259" s="82" t="str">
        <f t="shared" si="24"/>
        <v/>
      </c>
      <c r="Q259" s="83" t="str">
        <f t="shared" si="25"/>
        <v/>
      </c>
      <c r="R259" s="148" t="str">
        <f t="shared" si="26"/>
        <v/>
      </c>
      <c r="S259" s="149" t="str">
        <f t="shared" si="27"/>
        <v/>
      </c>
      <c r="U259" s="66" t="str">
        <f>'DAY 1'!Y259</f>
        <v/>
      </c>
      <c r="V259" s="89" t="str">
        <f>'DAY 2'!Y259</f>
        <v/>
      </c>
      <c r="W259" s="89" t="str">
        <f>'DAY 3'!Y259</f>
        <v/>
      </c>
      <c r="X259" s="89" t="str">
        <f>'DAY 4'!Y259</f>
        <v/>
      </c>
      <c r="Y259" s="67" t="str">
        <f>'DAY 5'!Y259</f>
        <v/>
      </c>
      <c r="Z259" s="142" t="str">
        <f t="shared" si="28"/>
        <v/>
      </c>
      <c r="AA259" s="22" t="str">
        <f t="shared" si="29"/>
        <v/>
      </c>
      <c r="AB259" t="str">
        <f>'DAY 1'!Z259</f>
        <v/>
      </c>
      <c r="AC259" t="str">
        <f>'DAY 2'!Z259</f>
        <v/>
      </c>
      <c r="AD259" t="str">
        <f>'DAY 3'!Z259</f>
        <v/>
      </c>
      <c r="AE259" t="str">
        <f>'DAY 4'!Z259</f>
        <v/>
      </c>
      <c r="AF259" t="str">
        <f>'DAY 5'!Z259</f>
        <v/>
      </c>
      <c r="AG259" s="144" t="str">
        <f t="shared" si="30"/>
        <v/>
      </c>
      <c r="AH259" s="145" t="str">
        <f t="shared" si="31"/>
        <v/>
      </c>
    </row>
    <row r="260" spans="2:34" ht="15.75" thickBot="1" x14ac:dyDescent="0.3">
      <c r="B260" s="66" t="str">
        <f>IF(AND('ENTRY DATA'!C260=""),"",('ENTRY DATA'!C260))</f>
        <v/>
      </c>
      <c r="C260" s="67" t="str">
        <f>IF(AND('ENTRY DATA'!D260=""),"",('ENTRY DATA'!D260))</f>
        <v/>
      </c>
      <c r="E260" s="66" t="str">
        <f>IF(AND('ENTRY DATA'!F260=""),"",('ENTRY DATA'!F260))</f>
        <v/>
      </c>
      <c r="F260" s="67" t="str">
        <f>IF(AND('ENTRY DATA'!G260=""),"",('ENTRY DATA'!G260))</f>
        <v/>
      </c>
      <c r="G260" s="61" t="s">
        <v>40</v>
      </c>
      <c r="I260" s="81" t="str">
        <f>IF(AND('DAY 1'!M260=""),"",('DAY 1'!M260))</f>
        <v/>
      </c>
      <c r="J260" s="79" t="str">
        <f>IF(AND('DAY 2'!M260=""),"",('DAY 2'!M260))</f>
        <v/>
      </c>
      <c r="K260" s="79" t="str">
        <f>IF(AND('DAY 3'!M260=""),"",('DAY 3'!M260))</f>
        <v/>
      </c>
      <c r="L260" s="79" t="str">
        <f>IF(AND('DAY 4'!M260=""),"",('DAY 4'!M260))</f>
        <v/>
      </c>
      <c r="M260" s="80" t="str">
        <f>IF(AND('DAY 5'!M260=""),"",('DAY 5'!M260))</f>
        <v/>
      </c>
      <c r="O260" s="78">
        <f>SUM('DAY 1'!L260,'DAY 2'!L260,'DAY 3'!L260,'DAY 4'!L260,'DAY 5'!L260)</f>
        <v>0</v>
      </c>
      <c r="P260" s="82" t="str">
        <f t="shared" si="24"/>
        <v/>
      </c>
      <c r="Q260" s="83" t="str">
        <f t="shared" si="25"/>
        <v/>
      </c>
      <c r="R260" s="148" t="str">
        <f t="shared" si="26"/>
        <v/>
      </c>
      <c r="S260" s="149" t="str">
        <f t="shared" si="27"/>
        <v/>
      </c>
      <c r="U260" s="66" t="str">
        <f>'DAY 1'!Y260</f>
        <v/>
      </c>
      <c r="V260" s="89" t="str">
        <f>'DAY 2'!Y260</f>
        <v/>
      </c>
      <c r="W260" s="89" t="str">
        <f>'DAY 3'!Y260</f>
        <v/>
      </c>
      <c r="X260" s="89" t="str">
        <f>'DAY 4'!Y260</f>
        <v/>
      </c>
      <c r="Y260" s="67" t="str">
        <f>'DAY 5'!Y260</f>
        <v/>
      </c>
      <c r="Z260" s="142" t="str">
        <f t="shared" si="28"/>
        <v/>
      </c>
      <c r="AA260" s="22" t="str">
        <f t="shared" si="29"/>
        <v/>
      </c>
      <c r="AB260" t="str">
        <f>'DAY 1'!Z260</f>
        <v/>
      </c>
      <c r="AC260" t="str">
        <f>'DAY 2'!Z260</f>
        <v/>
      </c>
      <c r="AD260" t="str">
        <f>'DAY 3'!Z260</f>
        <v/>
      </c>
      <c r="AE260" t="str">
        <f>'DAY 4'!Z260</f>
        <v/>
      </c>
      <c r="AF260" t="str">
        <f>'DAY 5'!Z260</f>
        <v/>
      </c>
      <c r="AG260" s="144" t="str">
        <f t="shared" si="30"/>
        <v/>
      </c>
      <c r="AH260" s="145" t="str">
        <f t="shared" si="31"/>
        <v/>
      </c>
    </row>
    <row r="261" spans="2:34" ht="15.75" thickBot="1" x14ac:dyDescent="0.3">
      <c r="B261" s="66" t="str">
        <f>IF(AND('ENTRY DATA'!C261=""),"",('ENTRY DATA'!C261))</f>
        <v/>
      </c>
      <c r="C261" s="67" t="str">
        <f>IF(AND('ENTRY DATA'!D261=""),"",('ENTRY DATA'!D261))</f>
        <v/>
      </c>
      <c r="E261" s="66" t="str">
        <f>IF(AND('ENTRY DATA'!F261=""),"",('ENTRY DATA'!F261))</f>
        <v/>
      </c>
      <c r="F261" s="67" t="str">
        <f>IF(AND('ENTRY DATA'!G261=""),"",('ENTRY DATA'!G261))</f>
        <v/>
      </c>
      <c r="G261" s="61" t="s">
        <v>40</v>
      </c>
      <c r="I261" s="81" t="str">
        <f>IF(AND('DAY 1'!M261=""),"",('DAY 1'!M261))</f>
        <v/>
      </c>
      <c r="J261" s="79" t="str">
        <f>IF(AND('DAY 2'!M261=""),"",('DAY 2'!M261))</f>
        <v/>
      </c>
      <c r="K261" s="79" t="str">
        <f>IF(AND('DAY 3'!M261=""),"",('DAY 3'!M261))</f>
        <v/>
      </c>
      <c r="L261" s="79" t="str">
        <f>IF(AND('DAY 4'!M261=""),"",('DAY 4'!M261))</f>
        <v/>
      </c>
      <c r="M261" s="80" t="str">
        <f>IF(AND('DAY 5'!M261=""),"",('DAY 5'!M261))</f>
        <v/>
      </c>
      <c r="O261" s="78">
        <f>SUM('DAY 1'!L261,'DAY 2'!L261,'DAY 3'!L261,'DAY 4'!L261,'DAY 5'!L261)</f>
        <v>0</v>
      </c>
      <c r="P261" s="82" t="str">
        <f t="shared" si="24"/>
        <v/>
      </c>
      <c r="Q261" s="83" t="str">
        <f t="shared" si="25"/>
        <v/>
      </c>
      <c r="R261" s="148" t="str">
        <f t="shared" si="26"/>
        <v/>
      </c>
      <c r="S261" s="149" t="str">
        <f t="shared" si="27"/>
        <v/>
      </c>
      <c r="U261" s="66" t="str">
        <f>'DAY 1'!Y261</f>
        <v/>
      </c>
      <c r="V261" s="89" t="str">
        <f>'DAY 2'!Y261</f>
        <v/>
      </c>
      <c r="W261" s="89" t="str">
        <f>'DAY 3'!Y261</f>
        <v/>
      </c>
      <c r="X261" s="89" t="str">
        <f>'DAY 4'!Y261</f>
        <v/>
      </c>
      <c r="Y261" s="67" t="str">
        <f>'DAY 5'!Y261</f>
        <v/>
      </c>
      <c r="Z261" s="142" t="str">
        <f t="shared" si="28"/>
        <v/>
      </c>
      <c r="AA261" s="22" t="str">
        <f t="shared" si="29"/>
        <v/>
      </c>
      <c r="AB261" t="str">
        <f>'DAY 1'!Z261</f>
        <v/>
      </c>
      <c r="AC261" t="str">
        <f>'DAY 2'!Z261</f>
        <v/>
      </c>
      <c r="AD261" t="str">
        <f>'DAY 3'!Z261</f>
        <v/>
      </c>
      <c r="AE261" t="str">
        <f>'DAY 4'!Z261</f>
        <v/>
      </c>
      <c r="AF261" t="str">
        <f>'DAY 5'!Z261</f>
        <v/>
      </c>
      <c r="AG261" s="144" t="str">
        <f t="shared" si="30"/>
        <v/>
      </c>
      <c r="AH261" s="145" t="str">
        <f t="shared" si="31"/>
        <v/>
      </c>
    </row>
    <row r="262" spans="2:34" ht="15.75" thickBot="1" x14ac:dyDescent="0.3">
      <c r="B262" s="66" t="str">
        <f>IF(AND('ENTRY DATA'!C262=""),"",('ENTRY DATA'!C262))</f>
        <v/>
      </c>
      <c r="C262" s="67" t="str">
        <f>IF(AND('ENTRY DATA'!D262=""),"",('ENTRY DATA'!D262))</f>
        <v/>
      </c>
      <c r="E262" s="66" t="str">
        <f>IF(AND('ENTRY DATA'!F262=""),"",('ENTRY DATA'!F262))</f>
        <v/>
      </c>
      <c r="F262" s="67" t="str">
        <f>IF(AND('ENTRY DATA'!G262=""),"",('ENTRY DATA'!G262))</f>
        <v/>
      </c>
      <c r="G262" s="61" t="s">
        <v>40</v>
      </c>
      <c r="I262" s="81" t="str">
        <f>IF(AND('DAY 1'!M262=""),"",('DAY 1'!M262))</f>
        <v/>
      </c>
      <c r="J262" s="79" t="str">
        <f>IF(AND('DAY 2'!M262=""),"",('DAY 2'!M262))</f>
        <v/>
      </c>
      <c r="K262" s="79" t="str">
        <f>IF(AND('DAY 3'!M262=""),"",('DAY 3'!M262))</f>
        <v/>
      </c>
      <c r="L262" s="79" t="str">
        <f>IF(AND('DAY 4'!M262=""),"",('DAY 4'!M262))</f>
        <v/>
      </c>
      <c r="M262" s="80" t="str">
        <f>IF(AND('DAY 5'!M262=""),"",('DAY 5'!M262))</f>
        <v/>
      </c>
      <c r="O262" s="78">
        <f>SUM('DAY 1'!L262,'DAY 2'!L262,'DAY 3'!L262,'DAY 4'!L262,'DAY 5'!L262)</f>
        <v>0</v>
      </c>
      <c r="P262" s="82" t="str">
        <f t="shared" ref="P262:P300" si="32">IF(AND(I262="",J262="",K262="",L262="",M262=""),"",COUNT(I262,J262,K262,L262,M262))</f>
        <v/>
      </c>
      <c r="Q262" s="83" t="str">
        <f t="shared" ref="Q262:Q300" si="33">IF(AND(I262="",J262="",K262="",L262="",M262=""),"",SUM(I262,J262,K262,L262,M262))</f>
        <v/>
      </c>
      <c r="R262" s="148" t="str">
        <f t="shared" ref="R262:R300" si="34">IF(AND(Z262="",AA262=""),"",(Z262/AA262))</f>
        <v/>
      </c>
      <c r="S262" s="149" t="str">
        <f t="shared" ref="S262:S300" si="35">IF(AND(AG262="",AH262=""),"",(AG262/AH262))</f>
        <v/>
      </c>
      <c r="U262" s="66" t="str">
        <f>'DAY 1'!Y262</f>
        <v/>
      </c>
      <c r="V262" s="89" t="str">
        <f>'DAY 2'!Y262</f>
        <v/>
      </c>
      <c r="W262" s="89" t="str">
        <f>'DAY 3'!Y262</f>
        <v/>
      </c>
      <c r="X262" s="89" t="str">
        <f>'DAY 4'!Y262</f>
        <v/>
      </c>
      <c r="Y262" s="67" t="str">
        <f>'DAY 5'!Y262</f>
        <v/>
      </c>
      <c r="Z262" s="142" t="str">
        <f t="shared" ref="Z262:Z300" si="36">IF(AND(U262="",V262="",W262="",X262="",Y262=""),"",SUM(U262,V262,W262,X262,Y262))</f>
        <v/>
      </c>
      <c r="AA262" s="22" t="str">
        <f t="shared" ref="AA262:AA300" si="37">IF(AND(U262="",V262="",W262="",X262="",Y262=""),"",COUNT(U262,V262,W262,X262,Y262))</f>
        <v/>
      </c>
      <c r="AB262" t="str">
        <f>'DAY 1'!Z262</f>
        <v/>
      </c>
      <c r="AC262" t="str">
        <f>'DAY 2'!Z262</f>
        <v/>
      </c>
      <c r="AD262" t="str">
        <f>'DAY 3'!Z262</f>
        <v/>
      </c>
      <c r="AE262" t="str">
        <f>'DAY 4'!Z262</f>
        <v/>
      </c>
      <c r="AF262" t="str">
        <f>'DAY 5'!Z262</f>
        <v/>
      </c>
      <c r="AG262" s="144" t="str">
        <f t="shared" ref="AG262:AG300" si="38">IF(AND(AB262="",AC262="",AD262="",AE262="",AF262=""),"",SUM(AB262,AC262,AD262,AE262,AF262))</f>
        <v/>
      </c>
      <c r="AH262" s="145" t="str">
        <f t="shared" ref="AH262:AH300" si="39">IF(AND(AB262="",AC262="",AD262="",AE262="",AF262=""),"",COUNT(AB262,AC262,AD262,AE262,AF262))</f>
        <v/>
      </c>
    </row>
    <row r="263" spans="2:34" ht="15.75" thickBot="1" x14ac:dyDescent="0.3">
      <c r="B263" s="66" t="str">
        <f>IF(AND('ENTRY DATA'!C263=""),"",('ENTRY DATA'!C263))</f>
        <v/>
      </c>
      <c r="C263" s="67" t="str">
        <f>IF(AND('ENTRY DATA'!D263=""),"",('ENTRY DATA'!D263))</f>
        <v/>
      </c>
      <c r="E263" s="66" t="str">
        <f>IF(AND('ENTRY DATA'!F263=""),"",('ENTRY DATA'!F263))</f>
        <v/>
      </c>
      <c r="F263" s="67" t="str">
        <f>IF(AND('ENTRY DATA'!G263=""),"",('ENTRY DATA'!G263))</f>
        <v/>
      </c>
      <c r="G263" s="61" t="s">
        <v>40</v>
      </c>
      <c r="I263" s="81" t="str">
        <f>IF(AND('DAY 1'!M263=""),"",('DAY 1'!M263))</f>
        <v/>
      </c>
      <c r="J263" s="79" t="str">
        <f>IF(AND('DAY 2'!M263=""),"",('DAY 2'!M263))</f>
        <v/>
      </c>
      <c r="K263" s="79" t="str">
        <f>IF(AND('DAY 3'!M263=""),"",('DAY 3'!M263))</f>
        <v/>
      </c>
      <c r="L263" s="79" t="str">
        <f>IF(AND('DAY 4'!M263=""),"",('DAY 4'!M263))</f>
        <v/>
      </c>
      <c r="M263" s="80" t="str">
        <f>IF(AND('DAY 5'!M263=""),"",('DAY 5'!M263))</f>
        <v/>
      </c>
      <c r="O263" s="78">
        <f>SUM('DAY 1'!L263,'DAY 2'!L263,'DAY 3'!L263,'DAY 4'!L263,'DAY 5'!L263)</f>
        <v>0</v>
      </c>
      <c r="P263" s="82" t="str">
        <f t="shared" si="32"/>
        <v/>
      </c>
      <c r="Q263" s="83" t="str">
        <f t="shared" si="33"/>
        <v/>
      </c>
      <c r="R263" s="148" t="str">
        <f t="shared" si="34"/>
        <v/>
      </c>
      <c r="S263" s="149" t="str">
        <f t="shared" si="35"/>
        <v/>
      </c>
      <c r="U263" s="66" t="str">
        <f>'DAY 1'!Y263</f>
        <v/>
      </c>
      <c r="V263" s="89" t="str">
        <f>'DAY 2'!Y263</f>
        <v/>
      </c>
      <c r="W263" s="89" t="str">
        <f>'DAY 3'!Y263</f>
        <v/>
      </c>
      <c r="X263" s="89" t="str">
        <f>'DAY 4'!Y263</f>
        <v/>
      </c>
      <c r="Y263" s="67" t="str">
        <f>'DAY 5'!Y263</f>
        <v/>
      </c>
      <c r="Z263" s="142" t="str">
        <f t="shared" si="36"/>
        <v/>
      </c>
      <c r="AA263" s="22" t="str">
        <f t="shared" si="37"/>
        <v/>
      </c>
      <c r="AB263" t="str">
        <f>'DAY 1'!Z263</f>
        <v/>
      </c>
      <c r="AC263" t="str">
        <f>'DAY 2'!Z263</f>
        <v/>
      </c>
      <c r="AD263" t="str">
        <f>'DAY 3'!Z263</f>
        <v/>
      </c>
      <c r="AE263" t="str">
        <f>'DAY 4'!Z263</f>
        <v/>
      </c>
      <c r="AF263" t="str">
        <f>'DAY 5'!Z263</f>
        <v/>
      </c>
      <c r="AG263" s="144" t="str">
        <f t="shared" si="38"/>
        <v/>
      </c>
      <c r="AH263" s="145" t="str">
        <f t="shared" si="39"/>
        <v/>
      </c>
    </row>
    <row r="264" spans="2:34" ht="15.75" thickBot="1" x14ac:dyDescent="0.3">
      <c r="B264" s="66" t="str">
        <f>IF(AND('ENTRY DATA'!C264=""),"",('ENTRY DATA'!C264))</f>
        <v/>
      </c>
      <c r="C264" s="67" t="str">
        <f>IF(AND('ENTRY DATA'!D264=""),"",('ENTRY DATA'!D264))</f>
        <v/>
      </c>
      <c r="E264" s="66" t="str">
        <f>IF(AND('ENTRY DATA'!F264=""),"",('ENTRY DATA'!F264))</f>
        <v/>
      </c>
      <c r="F264" s="67" t="str">
        <f>IF(AND('ENTRY DATA'!G264=""),"",('ENTRY DATA'!G264))</f>
        <v/>
      </c>
      <c r="G264" s="61" t="s">
        <v>40</v>
      </c>
      <c r="I264" s="81" t="str">
        <f>IF(AND('DAY 1'!M264=""),"",('DAY 1'!M264))</f>
        <v/>
      </c>
      <c r="J264" s="79" t="str">
        <f>IF(AND('DAY 2'!M264=""),"",('DAY 2'!M264))</f>
        <v/>
      </c>
      <c r="K264" s="79" t="str">
        <f>IF(AND('DAY 3'!M264=""),"",('DAY 3'!M264))</f>
        <v/>
      </c>
      <c r="L264" s="79" t="str">
        <f>IF(AND('DAY 4'!M264=""),"",('DAY 4'!M264))</f>
        <v/>
      </c>
      <c r="M264" s="80" t="str">
        <f>IF(AND('DAY 5'!M264=""),"",('DAY 5'!M264))</f>
        <v/>
      </c>
      <c r="O264" s="78">
        <f>SUM('DAY 1'!L264,'DAY 2'!L264,'DAY 3'!L264,'DAY 4'!L264,'DAY 5'!L264)</f>
        <v>0</v>
      </c>
      <c r="P264" s="82" t="str">
        <f t="shared" si="32"/>
        <v/>
      </c>
      <c r="Q264" s="83" t="str">
        <f t="shared" si="33"/>
        <v/>
      </c>
      <c r="R264" s="148" t="str">
        <f t="shared" si="34"/>
        <v/>
      </c>
      <c r="S264" s="149" t="str">
        <f t="shared" si="35"/>
        <v/>
      </c>
      <c r="U264" s="66" t="str">
        <f>'DAY 1'!Y264</f>
        <v/>
      </c>
      <c r="V264" s="89" t="str">
        <f>'DAY 2'!Y264</f>
        <v/>
      </c>
      <c r="W264" s="89" t="str">
        <f>'DAY 3'!Y264</f>
        <v/>
      </c>
      <c r="X264" s="89" t="str">
        <f>'DAY 4'!Y264</f>
        <v/>
      </c>
      <c r="Y264" s="67" t="str">
        <f>'DAY 5'!Y264</f>
        <v/>
      </c>
      <c r="Z264" s="142" t="str">
        <f t="shared" si="36"/>
        <v/>
      </c>
      <c r="AA264" s="22" t="str">
        <f t="shared" si="37"/>
        <v/>
      </c>
      <c r="AB264" t="str">
        <f>'DAY 1'!Z264</f>
        <v/>
      </c>
      <c r="AC264" t="str">
        <f>'DAY 2'!Z264</f>
        <v/>
      </c>
      <c r="AD264" t="str">
        <f>'DAY 3'!Z264</f>
        <v/>
      </c>
      <c r="AE264" t="str">
        <f>'DAY 4'!Z264</f>
        <v/>
      </c>
      <c r="AF264" t="str">
        <f>'DAY 5'!Z264</f>
        <v/>
      </c>
      <c r="AG264" s="144" t="str">
        <f t="shared" si="38"/>
        <v/>
      </c>
      <c r="AH264" s="145" t="str">
        <f t="shared" si="39"/>
        <v/>
      </c>
    </row>
    <row r="265" spans="2:34" ht="15.75" thickBot="1" x14ac:dyDescent="0.3">
      <c r="B265" s="66" t="str">
        <f>IF(AND('ENTRY DATA'!C265=""),"",('ENTRY DATA'!C265))</f>
        <v/>
      </c>
      <c r="C265" s="67" t="str">
        <f>IF(AND('ENTRY DATA'!D265=""),"",('ENTRY DATA'!D265))</f>
        <v/>
      </c>
      <c r="E265" s="66" t="str">
        <f>IF(AND('ENTRY DATA'!F265=""),"",('ENTRY DATA'!F265))</f>
        <v/>
      </c>
      <c r="F265" s="67" t="str">
        <f>IF(AND('ENTRY DATA'!G265=""),"",('ENTRY DATA'!G265))</f>
        <v/>
      </c>
      <c r="G265" s="61" t="s">
        <v>40</v>
      </c>
      <c r="I265" s="81" t="str">
        <f>IF(AND('DAY 1'!M265=""),"",('DAY 1'!M265))</f>
        <v/>
      </c>
      <c r="J265" s="79" t="str">
        <f>IF(AND('DAY 2'!M265=""),"",('DAY 2'!M265))</f>
        <v/>
      </c>
      <c r="K265" s="79" t="str">
        <f>IF(AND('DAY 3'!M265=""),"",('DAY 3'!M265))</f>
        <v/>
      </c>
      <c r="L265" s="79" t="str">
        <f>IF(AND('DAY 4'!M265=""),"",('DAY 4'!M265))</f>
        <v/>
      </c>
      <c r="M265" s="80" t="str">
        <f>IF(AND('DAY 5'!M265=""),"",('DAY 5'!M265))</f>
        <v/>
      </c>
      <c r="O265" s="78">
        <f>SUM('DAY 1'!L265,'DAY 2'!L265,'DAY 3'!L265,'DAY 4'!L265,'DAY 5'!L265)</f>
        <v>0</v>
      </c>
      <c r="P265" s="82" t="str">
        <f t="shared" si="32"/>
        <v/>
      </c>
      <c r="Q265" s="83" t="str">
        <f t="shared" si="33"/>
        <v/>
      </c>
      <c r="R265" s="148" t="str">
        <f t="shared" si="34"/>
        <v/>
      </c>
      <c r="S265" s="149" t="str">
        <f t="shared" si="35"/>
        <v/>
      </c>
      <c r="U265" s="66" t="str">
        <f>'DAY 1'!Y265</f>
        <v/>
      </c>
      <c r="V265" s="89" t="str">
        <f>'DAY 2'!Y265</f>
        <v/>
      </c>
      <c r="W265" s="89" t="str">
        <f>'DAY 3'!Y265</f>
        <v/>
      </c>
      <c r="X265" s="89" t="str">
        <f>'DAY 4'!Y265</f>
        <v/>
      </c>
      <c r="Y265" s="67" t="str">
        <f>'DAY 5'!Y265</f>
        <v/>
      </c>
      <c r="Z265" s="142" t="str">
        <f t="shared" si="36"/>
        <v/>
      </c>
      <c r="AA265" s="22" t="str">
        <f t="shared" si="37"/>
        <v/>
      </c>
      <c r="AB265" t="str">
        <f>'DAY 1'!Z265</f>
        <v/>
      </c>
      <c r="AC265" t="str">
        <f>'DAY 2'!Z265</f>
        <v/>
      </c>
      <c r="AD265" t="str">
        <f>'DAY 3'!Z265</f>
        <v/>
      </c>
      <c r="AE265" t="str">
        <f>'DAY 4'!Z265</f>
        <v/>
      </c>
      <c r="AF265" t="str">
        <f>'DAY 5'!Z265</f>
        <v/>
      </c>
      <c r="AG265" s="144" t="str">
        <f t="shared" si="38"/>
        <v/>
      </c>
      <c r="AH265" s="145" t="str">
        <f t="shared" si="39"/>
        <v/>
      </c>
    </row>
    <row r="266" spans="2:34" ht="15.75" thickBot="1" x14ac:dyDescent="0.3">
      <c r="B266" s="66" t="str">
        <f>IF(AND('ENTRY DATA'!C266=""),"",('ENTRY DATA'!C266))</f>
        <v/>
      </c>
      <c r="C266" s="67" t="str">
        <f>IF(AND('ENTRY DATA'!D266=""),"",('ENTRY DATA'!D266))</f>
        <v/>
      </c>
      <c r="E266" s="66" t="str">
        <f>IF(AND('ENTRY DATA'!F266=""),"",('ENTRY DATA'!F266))</f>
        <v/>
      </c>
      <c r="F266" s="67" t="str">
        <f>IF(AND('ENTRY DATA'!G266=""),"",('ENTRY DATA'!G266))</f>
        <v/>
      </c>
      <c r="G266" s="61" t="s">
        <v>40</v>
      </c>
      <c r="I266" s="81" t="str">
        <f>IF(AND('DAY 1'!M266=""),"",('DAY 1'!M266))</f>
        <v/>
      </c>
      <c r="J266" s="79" t="str">
        <f>IF(AND('DAY 2'!M266=""),"",('DAY 2'!M266))</f>
        <v/>
      </c>
      <c r="K266" s="79" t="str">
        <f>IF(AND('DAY 3'!M266=""),"",('DAY 3'!M266))</f>
        <v/>
      </c>
      <c r="L266" s="79" t="str">
        <f>IF(AND('DAY 4'!M266=""),"",('DAY 4'!M266))</f>
        <v/>
      </c>
      <c r="M266" s="80" t="str">
        <f>IF(AND('DAY 5'!M266=""),"",('DAY 5'!M266))</f>
        <v/>
      </c>
      <c r="O266" s="78">
        <f>SUM('DAY 1'!L266,'DAY 2'!L266,'DAY 3'!L266,'DAY 4'!L266,'DAY 5'!L266)</f>
        <v>0</v>
      </c>
      <c r="P266" s="82" t="str">
        <f t="shared" si="32"/>
        <v/>
      </c>
      <c r="Q266" s="83" t="str">
        <f t="shared" si="33"/>
        <v/>
      </c>
      <c r="R266" s="148" t="str">
        <f t="shared" si="34"/>
        <v/>
      </c>
      <c r="S266" s="149" t="str">
        <f t="shared" si="35"/>
        <v/>
      </c>
      <c r="U266" s="66" t="str">
        <f>'DAY 1'!Y266</f>
        <v/>
      </c>
      <c r="V266" s="89" t="str">
        <f>'DAY 2'!Y266</f>
        <v/>
      </c>
      <c r="W266" s="89" t="str">
        <f>'DAY 3'!Y266</f>
        <v/>
      </c>
      <c r="X266" s="89" t="str">
        <f>'DAY 4'!Y266</f>
        <v/>
      </c>
      <c r="Y266" s="67" t="str">
        <f>'DAY 5'!Y266</f>
        <v/>
      </c>
      <c r="Z266" s="142" t="str">
        <f t="shared" si="36"/>
        <v/>
      </c>
      <c r="AA266" s="22" t="str">
        <f t="shared" si="37"/>
        <v/>
      </c>
      <c r="AB266" t="str">
        <f>'DAY 1'!Z266</f>
        <v/>
      </c>
      <c r="AC266" t="str">
        <f>'DAY 2'!Z266</f>
        <v/>
      </c>
      <c r="AD266" t="str">
        <f>'DAY 3'!Z266</f>
        <v/>
      </c>
      <c r="AE266" t="str">
        <f>'DAY 4'!Z266</f>
        <v/>
      </c>
      <c r="AF266" t="str">
        <f>'DAY 5'!Z266</f>
        <v/>
      </c>
      <c r="AG266" s="144" t="str">
        <f t="shared" si="38"/>
        <v/>
      </c>
      <c r="AH266" s="145" t="str">
        <f t="shared" si="39"/>
        <v/>
      </c>
    </row>
    <row r="267" spans="2:34" ht="15.75" thickBot="1" x14ac:dyDescent="0.3">
      <c r="B267" s="66" t="str">
        <f>IF(AND('ENTRY DATA'!C267=""),"",('ENTRY DATA'!C267))</f>
        <v/>
      </c>
      <c r="C267" s="67" t="str">
        <f>IF(AND('ENTRY DATA'!D267=""),"",('ENTRY DATA'!D267))</f>
        <v/>
      </c>
      <c r="E267" s="66" t="str">
        <f>IF(AND('ENTRY DATA'!F267=""),"",('ENTRY DATA'!F267))</f>
        <v/>
      </c>
      <c r="F267" s="67" t="str">
        <f>IF(AND('ENTRY DATA'!G267=""),"",('ENTRY DATA'!G267))</f>
        <v/>
      </c>
      <c r="G267" s="61" t="s">
        <v>40</v>
      </c>
      <c r="I267" s="81" t="str">
        <f>IF(AND('DAY 1'!M267=""),"",('DAY 1'!M267))</f>
        <v/>
      </c>
      <c r="J267" s="79" t="str">
        <f>IF(AND('DAY 2'!M267=""),"",('DAY 2'!M267))</f>
        <v/>
      </c>
      <c r="K267" s="79" t="str">
        <f>IF(AND('DAY 3'!M267=""),"",('DAY 3'!M267))</f>
        <v/>
      </c>
      <c r="L267" s="79" t="str">
        <f>IF(AND('DAY 4'!M267=""),"",('DAY 4'!M267))</f>
        <v/>
      </c>
      <c r="M267" s="80" t="str">
        <f>IF(AND('DAY 5'!M267=""),"",('DAY 5'!M267))</f>
        <v/>
      </c>
      <c r="O267" s="78">
        <f>SUM('DAY 1'!L267,'DAY 2'!L267,'DAY 3'!L267,'DAY 4'!L267,'DAY 5'!L267)</f>
        <v>0</v>
      </c>
      <c r="P267" s="82" t="str">
        <f t="shared" si="32"/>
        <v/>
      </c>
      <c r="Q267" s="83" t="str">
        <f t="shared" si="33"/>
        <v/>
      </c>
      <c r="R267" s="148" t="str">
        <f t="shared" si="34"/>
        <v/>
      </c>
      <c r="S267" s="149" t="str">
        <f t="shared" si="35"/>
        <v/>
      </c>
      <c r="U267" s="66" t="str">
        <f>'DAY 1'!Y267</f>
        <v/>
      </c>
      <c r="V267" s="89" t="str">
        <f>'DAY 2'!Y267</f>
        <v/>
      </c>
      <c r="W267" s="89" t="str">
        <f>'DAY 3'!Y267</f>
        <v/>
      </c>
      <c r="X267" s="89" t="str">
        <f>'DAY 4'!Y267</f>
        <v/>
      </c>
      <c r="Y267" s="67" t="str">
        <f>'DAY 5'!Y267</f>
        <v/>
      </c>
      <c r="Z267" s="142" t="str">
        <f t="shared" si="36"/>
        <v/>
      </c>
      <c r="AA267" s="22" t="str">
        <f t="shared" si="37"/>
        <v/>
      </c>
      <c r="AB267" t="str">
        <f>'DAY 1'!Z267</f>
        <v/>
      </c>
      <c r="AC267" t="str">
        <f>'DAY 2'!Z267</f>
        <v/>
      </c>
      <c r="AD267" t="str">
        <f>'DAY 3'!Z267</f>
        <v/>
      </c>
      <c r="AE267" t="str">
        <f>'DAY 4'!Z267</f>
        <v/>
      </c>
      <c r="AF267" t="str">
        <f>'DAY 5'!Z267</f>
        <v/>
      </c>
      <c r="AG267" s="144" t="str">
        <f t="shared" si="38"/>
        <v/>
      </c>
      <c r="AH267" s="145" t="str">
        <f t="shared" si="39"/>
        <v/>
      </c>
    </row>
    <row r="268" spans="2:34" ht="15.75" thickBot="1" x14ac:dyDescent="0.3">
      <c r="B268" s="66" t="str">
        <f>IF(AND('ENTRY DATA'!C268=""),"",('ENTRY DATA'!C268))</f>
        <v/>
      </c>
      <c r="C268" s="67" t="str">
        <f>IF(AND('ENTRY DATA'!D268=""),"",('ENTRY DATA'!D268))</f>
        <v/>
      </c>
      <c r="E268" s="66" t="str">
        <f>IF(AND('ENTRY DATA'!F268=""),"",('ENTRY DATA'!F268))</f>
        <v/>
      </c>
      <c r="F268" s="67" t="str">
        <f>IF(AND('ENTRY DATA'!G268=""),"",('ENTRY DATA'!G268))</f>
        <v/>
      </c>
      <c r="G268" s="61" t="s">
        <v>40</v>
      </c>
      <c r="I268" s="81" t="str">
        <f>IF(AND('DAY 1'!M268=""),"",('DAY 1'!M268))</f>
        <v/>
      </c>
      <c r="J268" s="79" t="str">
        <f>IF(AND('DAY 2'!M268=""),"",('DAY 2'!M268))</f>
        <v/>
      </c>
      <c r="K268" s="79" t="str">
        <f>IF(AND('DAY 3'!M268=""),"",('DAY 3'!M268))</f>
        <v/>
      </c>
      <c r="L268" s="79" t="str">
        <f>IF(AND('DAY 4'!M268=""),"",('DAY 4'!M268))</f>
        <v/>
      </c>
      <c r="M268" s="80" t="str">
        <f>IF(AND('DAY 5'!M268=""),"",('DAY 5'!M268))</f>
        <v/>
      </c>
      <c r="O268" s="78">
        <f>SUM('DAY 1'!L268,'DAY 2'!L268,'DAY 3'!L268,'DAY 4'!L268,'DAY 5'!L268)</f>
        <v>0</v>
      </c>
      <c r="P268" s="82" t="str">
        <f t="shared" si="32"/>
        <v/>
      </c>
      <c r="Q268" s="83" t="str">
        <f t="shared" si="33"/>
        <v/>
      </c>
      <c r="R268" s="148" t="str">
        <f t="shared" si="34"/>
        <v/>
      </c>
      <c r="S268" s="149" t="str">
        <f t="shared" si="35"/>
        <v/>
      </c>
      <c r="U268" s="66" t="str">
        <f>'DAY 1'!Y268</f>
        <v/>
      </c>
      <c r="V268" s="89" t="str">
        <f>'DAY 2'!Y268</f>
        <v/>
      </c>
      <c r="W268" s="89" t="str">
        <f>'DAY 3'!Y268</f>
        <v/>
      </c>
      <c r="X268" s="89" t="str">
        <f>'DAY 4'!Y268</f>
        <v/>
      </c>
      <c r="Y268" s="67" t="str">
        <f>'DAY 5'!Y268</f>
        <v/>
      </c>
      <c r="Z268" s="142" t="str">
        <f t="shared" si="36"/>
        <v/>
      </c>
      <c r="AA268" s="22" t="str">
        <f t="shared" si="37"/>
        <v/>
      </c>
      <c r="AB268" t="str">
        <f>'DAY 1'!Z268</f>
        <v/>
      </c>
      <c r="AC268" t="str">
        <f>'DAY 2'!Z268</f>
        <v/>
      </c>
      <c r="AD268" t="str">
        <f>'DAY 3'!Z268</f>
        <v/>
      </c>
      <c r="AE268" t="str">
        <f>'DAY 4'!Z268</f>
        <v/>
      </c>
      <c r="AF268" t="str">
        <f>'DAY 5'!Z268</f>
        <v/>
      </c>
      <c r="AG268" s="144" t="str">
        <f t="shared" si="38"/>
        <v/>
      </c>
      <c r="AH268" s="145" t="str">
        <f t="shared" si="39"/>
        <v/>
      </c>
    </row>
    <row r="269" spans="2:34" ht="15.75" thickBot="1" x14ac:dyDescent="0.3">
      <c r="B269" s="66" t="str">
        <f>IF(AND('ENTRY DATA'!C269=""),"",('ENTRY DATA'!C269))</f>
        <v/>
      </c>
      <c r="C269" s="67" t="str">
        <f>IF(AND('ENTRY DATA'!D269=""),"",('ENTRY DATA'!D269))</f>
        <v/>
      </c>
      <c r="E269" s="66" t="str">
        <f>IF(AND('ENTRY DATA'!F269=""),"",('ENTRY DATA'!F269))</f>
        <v/>
      </c>
      <c r="F269" s="67" t="str">
        <f>IF(AND('ENTRY DATA'!G269=""),"",('ENTRY DATA'!G269))</f>
        <v/>
      </c>
      <c r="G269" s="61" t="s">
        <v>40</v>
      </c>
      <c r="I269" s="81" t="str">
        <f>IF(AND('DAY 1'!M269=""),"",('DAY 1'!M269))</f>
        <v/>
      </c>
      <c r="J269" s="79" t="str">
        <f>IF(AND('DAY 2'!M269=""),"",('DAY 2'!M269))</f>
        <v/>
      </c>
      <c r="K269" s="79" t="str">
        <f>IF(AND('DAY 3'!M269=""),"",('DAY 3'!M269))</f>
        <v/>
      </c>
      <c r="L269" s="79" t="str">
        <f>IF(AND('DAY 4'!M269=""),"",('DAY 4'!M269))</f>
        <v/>
      </c>
      <c r="M269" s="80" t="str">
        <f>IF(AND('DAY 5'!M269=""),"",('DAY 5'!M269))</f>
        <v/>
      </c>
      <c r="O269" s="78">
        <f>SUM('DAY 1'!L269,'DAY 2'!L269,'DAY 3'!L269,'DAY 4'!L269,'DAY 5'!L269)</f>
        <v>0</v>
      </c>
      <c r="P269" s="82" t="str">
        <f t="shared" si="32"/>
        <v/>
      </c>
      <c r="Q269" s="83" t="str">
        <f t="shared" si="33"/>
        <v/>
      </c>
      <c r="R269" s="148" t="str">
        <f t="shared" si="34"/>
        <v/>
      </c>
      <c r="S269" s="149" t="str">
        <f t="shared" si="35"/>
        <v/>
      </c>
      <c r="U269" s="66" t="str">
        <f>'DAY 1'!Y269</f>
        <v/>
      </c>
      <c r="V269" s="89" t="str">
        <f>'DAY 2'!Y269</f>
        <v/>
      </c>
      <c r="W269" s="89" t="str">
        <f>'DAY 3'!Y269</f>
        <v/>
      </c>
      <c r="X269" s="89" t="str">
        <f>'DAY 4'!Y269</f>
        <v/>
      </c>
      <c r="Y269" s="67" t="str">
        <f>'DAY 5'!Y269</f>
        <v/>
      </c>
      <c r="Z269" s="142" t="str">
        <f t="shared" si="36"/>
        <v/>
      </c>
      <c r="AA269" s="22" t="str">
        <f t="shared" si="37"/>
        <v/>
      </c>
      <c r="AB269" t="str">
        <f>'DAY 1'!Z269</f>
        <v/>
      </c>
      <c r="AC269" t="str">
        <f>'DAY 2'!Z269</f>
        <v/>
      </c>
      <c r="AD269" t="str">
        <f>'DAY 3'!Z269</f>
        <v/>
      </c>
      <c r="AE269" t="str">
        <f>'DAY 4'!Z269</f>
        <v/>
      </c>
      <c r="AF269" t="str">
        <f>'DAY 5'!Z269</f>
        <v/>
      </c>
      <c r="AG269" s="144" t="str">
        <f t="shared" si="38"/>
        <v/>
      </c>
      <c r="AH269" s="145" t="str">
        <f t="shared" si="39"/>
        <v/>
      </c>
    </row>
    <row r="270" spans="2:34" ht="15.75" thickBot="1" x14ac:dyDescent="0.3">
      <c r="B270" s="66" t="str">
        <f>IF(AND('ENTRY DATA'!C270=""),"",('ENTRY DATA'!C270))</f>
        <v/>
      </c>
      <c r="C270" s="67" t="str">
        <f>IF(AND('ENTRY DATA'!D270=""),"",('ENTRY DATA'!D270))</f>
        <v/>
      </c>
      <c r="E270" s="66" t="str">
        <f>IF(AND('ENTRY DATA'!F270=""),"",('ENTRY DATA'!F270))</f>
        <v/>
      </c>
      <c r="F270" s="67" t="str">
        <f>IF(AND('ENTRY DATA'!G270=""),"",('ENTRY DATA'!G270))</f>
        <v/>
      </c>
      <c r="G270" s="61" t="s">
        <v>40</v>
      </c>
      <c r="I270" s="81" t="str">
        <f>IF(AND('DAY 1'!M270=""),"",('DAY 1'!M270))</f>
        <v/>
      </c>
      <c r="J270" s="79" t="str">
        <f>IF(AND('DAY 2'!M270=""),"",('DAY 2'!M270))</f>
        <v/>
      </c>
      <c r="K270" s="79" t="str">
        <f>IF(AND('DAY 3'!M270=""),"",('DAY 3'!M270))</f>
        <v/>
      </c>
      <c r="L270" s="79" t="str">
        <f>IF(AND('DAY 4'!M270=""),"",('DAY 4'!M270))</f>
        <v/>
      </c>
      <c r="M270" s="80" t="str">
        <f>IF(AND('DAY 5'!M270=""),"",('DAY 5'!M270))</f>
        <v/>
      </c>
      <c r="O270" s="78">
        <f>SUM('DAY 1'!L270,'DAY 2'!L270,'DAY 3'!L270,'DAY 4'!L270,'DAY 5'!L270)</f>
        <v>0</v>
      </c>
      <c r="P270" s="82" t="str">
        <f t="shared" si="32"/>
        <v/>
      </c>
      <c r="Q270" s="83" t="str">
        <f t="shared" si="33"/>
        <v/>
      </c>
      <c r="R270" s="148" t="str">
        <f t="shared" si="34"/>
        <v/>
      </c>
      <c r="S270" s="149" t="str">
        <f t="shared" si="35"/>
        <v/>
      </c>
      <c r="U270" s="66" t="str">
        <f>'DAY 1'!Y270</f>
        <v/>
      </c>
      <c r="V270" s="89" t="str">
        <f>'DAY 2'!Y270</f>
        <v/>
      </c>
      <c r="W270" s="89" t="str">
        <f>'DAY 3'!Y270</f>
        <v/>
      </c>
      <c r="X270" s="89" t="str">
        <f>'DAY 4'!Y270</f>
        <v/>
      </c>
      <c r="Y270" s="67" t="str">
        <f>'DAY 5'!Y270</f>
        <v/>
      </c>
      <c r="Z270" s="142" t="str">
        <f t="shared" si="36"/>
        <v/>
      </c>
      <c r="AA270" s="22" t="str">
        <f t="shared" si="37"/>
        <v/>
      </c>
      <c r="AB270" t="str">
        <f>'DAY 1'!Z270</f>
        <v/>
      </c>
      <c r="AC270" t="str">
        <f>'DAY 2'!Z270</f>
        <v/>
      </c>
      <c r="AD270" t="str">
        <f>'DAY 3'!Z270</f>
        <v/>
      </c>
      <c r="AE270" t="str">
        <f>'DAY 4'!Z270</f>
        <v/>
      </c>
      <c r="AF270" t="str">
        <f>'DAY 5'!Z270</f>
        <v/>
      </c>
      <c r="AG270" s="144" t="str">
        <f t="shared" si="38"/>
        <v/>
      </c>
      <c r="AH270" s="145" t="str">
        <f t="shared" si="39"/>
        <v/>
      </c>
    </row>
    <row r="271" spans="2:34" ht="15.75" thickBot="1" x14ac:dyDescent="0.3">
      <c r="B271" s="66" t="str">
        <f>IF(AND('ENTRY DATA'!C271=""),"",('ENTRY DATA'!C271))</f>
        <v/>
      </c>
      <c r="C271" s="67" t="str">
        <f>IF(AND('ENTRY DATA'!D271=""),"",('ENTRY DATA'!D271))</f>
        <v/>
      </c>
      <c r="E271" s="66" t="str">
        <f>IF(AND('ENTRY DATA'!F271=""),"",('ENTRY DATA'!F271))</f>
        <v/>
      </c>
      <c r="F271" s="67" t="str">
        <f>IF(AND('ENTRY DATA'!G271=""),"",('ENTRY DATA'!G271))</f>
        <v/>
      </c>
      <c r="G271" s="61" t="s">
        <v>40</v>
      </c>
      <c r="I271" s="81" t="str">
        <f>IF(AND('DAY 1'!M271=""),"",('DAY 1'!M271))</f>
        <v/>
      </c>
      <c r="J271" s="79" t="str">
        <f>IF(AND('DAY 2'!M271=""),"",('DAY 2'!M271))</f>
        <v/>
      </c>
      <c r="K271" s="79" t="str">
        <f>IF(AND('DAY 3'!M271=""),"",('DAY 3'!M271))</f>
        <v/>
      </c>
      <c r="L271" s="79" t="str">
        <f>IF(AND('DAY 4'!M271=""),"",('DAY 4'!M271))</f>
        <v/>
      </c>
      <c r="M271" s="80" t="str">
        <f>IF(AND('DAY 5'!M271=""),"",('DAY 5'!M271))</f>
        <v/>
      </c>
      <c r="O271" s="78">
        <f>SUM('DAY 1'!L271,'DAY 2'!L271,'DAY 3'!L271,'DAY 4'!L271,'DAY 5'!L271)</f>
        <v>0</v>
      </c>
      <c r="P271" s="82" t="str">
        <f t="shared" si="32"/>
        <v/>
      </c>
      <c r="Q271" s="83" t="str">
        <f t="shared" si="33"/>
        <v/>
      </c>
      <c r="R271" s="148" t="str">
        <f t="shared" si="34"/>
        <v/>
      </c>
      <c r="S271" s="149" t="str">
        <f t="shared" si="35"/>
        <v/>
      </c>
      <c r="U271" s="66" t="str">
        <f>'DAY 1'!Y271</f>
        <v/>
      </c>
      <c r="V271" s="89" t="str">
        <f>'DAY 2'!Y271</f>
        <v/>
      </c>
      <c r="W271" s="89" t="str">
        <f>'DAY 3'!Y271</f>
        <v/>
      </c>
      <c r="X271" s="89" t="str">
        <f>'DAY 4'!Y271</f>
        <v/>
      </c>
      <c r="Y271" s="67" t="str">
        <f>'DAY 5'!Y271</f>
        <v/>
      </c>
      <c r="Z271" s="142" t="str">
        <f t="shared" si="36"/>
        <v/>
      </c>
      <c r="AA271" s="22" t="str">
        <f t="shared" si="37"/>
        <v/>
      </c>
      <c r="AB271" t="str">
        <f>'DAY 1'!Z271</f>
        <v/>
      </c>
      <c r="AC271" t="str">
        <f>'DAY 2'!Z271</f>
        <v/>
      </c>
      <c r="AD271" t="str">
        <f>'DAY 3'!Z271</f>
        <v/>
      </c>
      <c r="AE271" t="str">
        <f>'DAY 4'!Z271</f>
        <v/>
      </c>
      <c r="AF271" t="str">
        <f>'DAY 5'!Z271</f>
        <v/>
      </c>
      <c r="AG271" s="144" t="str">
        <f t="shared" si="38"/>
        <v/>
      </c>
      <c r="AH271" s="145" t="str">
        <f t="shared" si="39"/>
        <v/>
      </c>
    </row>
    <row r="272" spans="2:34" ht="15.75" thickBot="1" x14ac:dyDescent="0.3">
      <c r="B272" s="66" t="str">
        <f>IF(AND('ENTRY DATA'!C272=""),"",('ENTRY DATA'!C272))</f>
        <v/>
      </c>
      <c r="C272" s="67" t="str">
        <f>IF(AND('ENTRY DATA'!D272=""),"",('ENTRY DATA'!D272))</f>
        <v/>
      </c>
      <c r="E272" s="66" t="str">
        <f>IF(AND('ENTRY DATA'!F272=""),"",('ENTRY DATA'!F272))</f>
        <v/>
      </c>
      <c r="F272" s="67" t="str">
        <f>IF(AND('ENTRY DATA'!G272=""),"",('ENTRY DATA'!G272))</f>
        <v/>
      </c>
      <c r="G272" s="61" t="s">
        <v>40</v>
      </c>
      <c r="I272" s="81" t="str">
        <f>IF(AND('DAY 1'!M272=""),"",('DAY 1'!M272))</f>
        <v/>
      </c>
      <c r="J272" s="79" t="str">
        <f>IF(AND('DAY 2'!M272=""),"",('DAY 2'!M272))</f>
        <v/>
      </c>
      <c r="K272" s="79" t="str">
        <f>IF(AND('DAY 3'!M272=""),"",('DAY 3'!M272))</f>
        <v/>
      </c>
      <c r="L272" s="79" t="str">
        <f>IF(AND('DAY 4'!M272=""),"",('DAY 4'!M272))</f>
        <v/>
      </c>
      <c r="M272" s="80" t="str">
        <f>IF(AND('DAY 5'!M272=""),"",('DAY 5'!M272))</f>
        <v/>
      </c>
      <c r="O272" s="78">
        <f>SUM('DAY 1'!L272,'DAY 2'!L272,'DAY 3'!L272,'DAY 4'!L272,'DAY 5'!L272)</f>
        <v>0</v>
      </c>
      <c r="P272" s="82" t="str">
        <f t="shared" si="32"/>
        <v/>
      </c>
      <c r="Q272" s="83" t="str">
        <f t="shared" si="33"/>
        <v/>
      </c>
      <c r="R272" s="148" t="str">
        <f t="shared" si="34"/>
        <v/>
      </c>
      <c r="S272" s="149" t="str">
        <f t="shared" si="35"/>
        <v/>
      </c>
      <c r="U272" s="66" t="str">
        <f>'DAY 1'!Y272</f>
        <v/>
      </c>
      <c r="V272" s="89" t="str">
        <f>'DAY 2'!Y272</f>
        <v/>
      </c>
      <c r="W272" s="89" t="str">
        <f>'DAY 3'!Y272</f>
        <v/>
      </c>
      <c r="X272" s="89" t="str">
        <f>'DAY 4'!Y272</f>
        <v/>
      </c>
      <c r="Y272" s="67" t="str">
        <f>'DAY 5'!Y272</f>
        <v/>
      </c>
      <c r="Z272" s="142" t="str">
        <f t="shared" si="36"/>
        <v/>
      </c>
      <c r="AA272" s="22" t="str">
        <f t="shared" si="37"/>
        <v/>
      </c>
      <c r="AB272" t="str">
        <f>'DAY 1'!Z272</f>
        <v/>
      </c>
      <c r="AC272" t="str">
        <f>'DAY 2'!Z272</f>
        <v/>
      </c>
      <c r="AD272" t="str">
        <f>'DAY 3'!Z272</f>
        <v/>
      </c>
      <c r="AE272" t="str">
        <f>'DAY 4'!Z272</f>
        <v/>
      </c>
      <c r="AF272" t="str">
        <f>'DAY 5'!Z272</f>
        <v/>
      </c>
      <c r="AG272" s="144" t="str">
        <f t="shared" si="38"/>
        <v/>
      </c>
      <c r="AH272" s="145" t="str">
        <f t="shared" si="39"/>
        <v/>
      </c>
    </row>
    <row r="273" spans="2:34" ht="15.75" thickBot="1" x14ac:dyDescent="0.3">
      <c r="B273" s="66" t="str">
        <f>IF(AND('ENTRY DATA'!C273=""),"",('ENTRY DATA'!C273))</f>
        <v/>
      </c>
      <c r="C273" s="67" t="str">
        <f>IF(AND('ENTRY DATA'!D273=""),"",('ENTRY DATA'!D273))</f>
        <v/>
      </c>
      <c r="E273" s="66" t="str">
        <f>IF(AND('ENTRY DATA'!F273=""),"",('ENTRY DATA'!F273))</f>
        <v/>
      </c>
      <c r="F273" s="67" t="str">
        <f>IF(AND('ENTRY DATA'!G273=""),"",('ENTRY DATA'!G273))</f>
        <v/>
      </c>
      <c r="G273" s="61" t="s">
        <v>40</v>
      </c>
      <c r="I273" s="81" t="str">
        <f>IF(AND('DAY 1'!M273=""),"",('DAY 1'!M273))</f>
        <v/>
      </c>
      <c r="J273" s="79" t="str">
        <f>IF(AND('DAY 2'!M273=""),"",('DAY 2'!M273))</f>
        <v/>
      </c>
      <c r="K273" s="79" t="str">
        <f>IF(AND('DAY 3'!M273=""),"",('DAY 3'!M273))</f>
        <v/>
      </c>
      <c r="L273" s="79" t="str">
        <f>IF(AND('DAY 4'!M273=""),"",('DAY 4'!M273))</f>
        <v/>
      </c>
      <c r="M273" s="80" t="str">
        <f>IF(AND('DAY 5'!M273=""),"",('DAY 5'!M273))</f>
        <v/>
      </c>
      <c r="O273" s="78">
        <f>SUM('DAY 1'!L273,'DAY 2'!L273,'DAY 3'!L273,'DAY 4'!L273,'DAY 5'!L273)</f>
        <v>0</v>
      </c>
      <c r="P273" s="82" t="str">
        <f t="shared" si="32"/>
        <v/>
      </c>
      <c r="Q273" s="83" t="str">
        <f t="shared" si="33"/>
        <v/>
      </c>
      <c r="R273" s="148" t="str">
        <f t="shared" si="34"/>
        <v/>
      </c>
      <c r="S273" s="149" t="str">
        <f t="shared" si="35"/>
        <v/>
      </c>
      <c r="U273" s="66" t="str">
        <f>'DAY 1'!Y273</f>
        <v/>
      </c>
      <c r="V273" s="89" t="str">
        <f>'DAY 2'!Y273</f>
        <v/>
      </c>
      <c r="W273" s="89" t="str">
        <f>'DAY 3'!Y273</f>
        <v/>
      </c>
      <c r="X273" s="89" t="str">
        <f>'DAY 4'!Y273</f>
        <v/>
      </c>
      <c r="Y273" s="67" t="str">
        <f>'DAY 5'!Y273</f>
        <v/>
      </c>
      <c r="Z273" s="142" t="str">
        <f t="shared" si="36"/>
        <v/>
      </c>
      <c r="AA273" s="22" t="str">
        <f t="shared" si="37"/>
        <v/>
      </c>
      <c r="AB273" t="str">
        <f>'DAY 1'!Z273</f>
        <v/>
      </c>
      <c r="AC273" t="str">
        <f>'DAY 2'!Z273</f>
        <v/>
      </c>
      <c r="AD273" t="str">
        <f>'DAY 3'!Z273</f>
        <v/>
      </c>
      <c r="AE273" t="str">
        <f>'DAY 4'!Z273</f>
        <v/>
      </c>
      <c r="AF273" t="str">
        <f>'DAY 5'!Z273</f>
        <v/>
      </c>
      <c r="AG273" s="144" t="str">
        <f t="shared" si="38"/>
        <v/>
      </c>
      <c r="AH273" s="145" t="str">
        <f t="shared" si="39"/>
        <v/>
      </c>
    </row>
    <row r="274" spans="2:34" ht="15.75" thickBot="1" x14ac:dyDescent="0.3">
      <c r="B274" s="66" t="str">
        <f>IF(AND('ENTRY DATA'!C274=""),"",('ENTRY DATA'!C274))</f>
        <v/>
      </c>
      <c r="C274" s="67" t="str">
        <f>IF(AND('ENTRY DATA'!D274=""),"",('ENTRY DATA'!D274))</f>
        <v/>
      </c>
      <c r="E274" s="66" t="str">
        <f>IF(AND('ENTRY DATA'!F274=""),"",('ENTRY DATA'!F274))</f>
        <v/>
      </c>
      <c r="F274" s="67" t="str">
        <f>IF(AND('ENTRY DATA'!G274=""),"",('ENTRY DATA'!G274))</f>
        <v/>
      </c>
      <c r="G274" s="61" t="s">
        <v>40</v>
      </c>
      <c r="I274" s="81" t="str">
        <f>IF(AND('DAY 1'!M274=""),"",('DAY 1'!M274))</f>
        <v/>
      </c>
      <c r="J274" s="79" t="str">
        <f>IF(AND('DAY 2'!M274=""),"",('DAY 2'!M274))</f>
        <v/>
      </c>
      <c r="K274" s="79" t="str">
        <f>IF(AND('DAY 3'!M274=""),"",('DAY 3'!M274))</f>
        <v/>
      </c>
      <c r="L274" s="79" t="str">
        <f>IF(AND('DAY 4'!M274=""),"",('DAY 4'!M274))</f>
        <v/>
      </c>
      <c r="M274" s="80" t="str">
        <f>IF(AND('DAY 5'!M274=""),"",('DAY 5'!M274))</f>
        <v/>
      </c>
      <c r="O274" s="78">
        <f>SUM('DAY 1'!L274,'DAY 2'!L274,'DAY 3'!L274,'DAY 4'!L274,'DAY 5'!L274)</f>
        <v>0</v>
      </c>
      <c r="P274" s="82" t="str">
        <f t="shared" si="32"/>
        <v/>
      </c>
      <c r="Q274" s="83" t="str">
        <f t="shared" si="33"/>
        <v/>
      </c>
      <c r="R274" s="148" t="str">
        <f t="shared" si="34"/>
        <v/>
      </c>
      <c r="S274" s="149" t="str">
        <f t="shared" si="35"/>
        <v/>
      </c>
      <c r="U274" s="66" t="str">
        <f>'DAY 1'!Y274</f>
        <v/>
      </c>
      <c r="V274" s="89" t="str">
        <f>'DAY 2'!Y274</f>
        <v/>
      </c>
      <c r="W274" s="89" t="str">
        <f>'DAY 3'!Y274</f>
        <v/>
      </c>
      <c r="X274" s="89" t="str">
        <f>'DAY 4'!Y274</f>
        <v/>
      </c>
      <c r="Y274" s="67" t="str">
        <f>'DAY 5'!Y274</f>
        <v/>
      </c>
      <c r="Z274" s="142" t="str">
        <f t="shared" si="36"/>
        <v/>
      </c>
      <c r="AA274" s="22" t="str">
        <f t="shared" si="37"/>
        <v/>
      </c>
      <c r="AB274" t="str">
        <f>'DAY 1'!Z274</f>
        <v/>
      </c>
      <c r="AC274" t="str">
        <f>'DAY 2'!Z274</f>
        <v/>
      </c>
      <c r="AD274" t="str">
        <f>'DAY 3'!Z274</f>
        <v/>
      </c>
      <c r="AE274" t="str">
        <f>'DAY 4'!Z274</f>
        <v/>
      </c>
      <c r="AF274" t="str">
        <f>'DAY 5'!Z274</f>
        <v/>
      </c>
      <c r="AG274" s="144" t="str">
        <f t="shared" si="38"/>
        <v/>
      </c>
      <c r="AH274" s="145" t="str">
        <f t="shared" si="39"/>
        <v/>
      </c>
    </row>
    <row r="275" spans="2:34" ht="15.75" thickBot="1" x14ac:dyDescent="0.3">
      <c r="B275" s="66" t="str">
        <f>IF(AND('ENTRY DATA'!C275=""),"",('ENTRY DATA'!C275))</f>
        <v/>
      </c>
      <c r="C275" s="67" t="str">
        <f>IF(AND('ENTRY DATA'!D275=""),"",('ENTRY DATA'!D275))</f>
        <v/>
      </c>
      <c r="E275" s="66" t="str">
        <f>IF(AND('ENTRY DATA'!F275=""),"",('ENTRY DATA'!F275))</f>
        <v/>
      </c>
      <c r="F275" s="67" t="str">
        <f>IF(AND('ENTRY DATA'!G275=""),"",('ENTRY DATA'!G275))</f>
        <v/>
      </c>
      <c r="G275" s="61" t="s">
        <v>40</v>
      </c>
      <c r="I275" s="81" t="str">
        <f>IF(AND('DAY 1'!M275=""),"",('DAY 1'!M275))</f>
        <v/>
      </c>
      <c r="J275" s="79" t="str">
        <f>IF(AND('DAY 2'!M275=""),"",('DAY 2'!M275))</f>
        <v/>
      </c>
      <c r="K275" s="79" t="str">
        <f>IF(AND('DAY 3'!M275=""),"",('DAY 3'!M275))</f>
        <v/>
      </c>
      <c r="L275" s="79" t="str">
        <f>IF(AND('DAY 4'!M275=""),"",('DAY 4'!M275))</f>
        <v/>
      </c>
      <c r="M275" s="80" t="str">
        <f>IF(AND('DAY 5'!M275=""),"",('DAY 5'!M275))</f>
        <v/>
      </c>
      <c r="O275" s="78">
        <f>SUM('DAY 1'!L275,'DAY 2'!L275,'DAY 3'!L275,'DAY 4'!L275,'DAY 5'!L275)</f>
        <v>0</v>
      </c>
      <c r="P275" s="82" t="str">
        <f t="shared" si="32"/>
        <v/>
      </c>
      <c r="Q275" s="83" t="str">
        <f t="shared" si="33"/>
        <v/>
      </c>
      <c r="R275" s="148" t="str">
        <f t="shared" si="34"/>
        <v/>
      </c>
      <c r="S275" s="149" t="str">
        <f t="shared" si="35"/>
        <v/>
      </c>
      <c r="U275" s="66" t="str">
        <f>'DAY 1'!Y275</f>
        <v/>
      </c>
      <c r="V275" s="89" t="str">
        <f>'DAY 2'!Y275</f>
        <v/>
      </c>
      <c r="W275" s="89" t="str">
        <f>'DAY 3'!Y275</f>
        <v/>
      </c>
      <c r="X275" s="89" t="str">
        <f>'DAY 4'!Y275</f>
        <v/>
      </c>
      <c r="Y275" s="67" t="str">
        <f>'DAY 5'!Y275</f>
        <v/>
      </c>
      <c r="Z275" s="142" t="str">
        <f t="shared" si="36"/>
        <v/>
      </c>
      <c r="AA275" s="22" t="str">
        <f t="shared" si="37"/>
        <v/>
      </c>
      <c r="AB275" t="str">
        <f>'DAY 1'!Z275</f>
        <v/>
      </c>
      <c r="AC275" t="str">
        <f>'DAY 2'!Z275</f>
        <v/>
      </c>
      <c r="AD275" t="str">
        <f>'DAY 3'!Z275</f>
        <v/>
      </c>
      <c r="AE275" t="str">
        <f>'DAY 4'!Z275</f>
        <v/>
      </c>
      <c r="AF275" t="str">
        <f>'DAY 5'!Z275</f>
        <v/>
      </c>
      <c r="AG275" s="144" t="str">
        <f t="shared" si="38"/>
        <v/>
      </c>
      <c r="AH275" s="145" t="str">
        <f t="shared" si="39"/>
        <v/>
      </c>
    </row>
    <row r="276" spans="2:34" ht="15.75" thickBot="1" x14ac:dyDescent="0.3">
      <c r="B276" s="66" t="str">
        <f>IF(AND('ENTRY DATA'!C276=""),"",('ENTRY DATA'!C276))</f>
        <v/>
      </c>
      <c r="C276" s="67" t="str">
        <f>IF(AND('ENTRY DATA'!D276=""),"",('ENTRY DATA'!D276))</f>
        <v/>
      </c>
      <c r="E276" s="66" t="str">
        <f>IF(AND('ENTRY DATA'!F276=""),"",('ENTRY DATA'!F276))</f>
        <v/>
      </c>
      <c r="F276" s="67" t="str">
        <f>IF(AND('ENTRY DATA'!G276=""),"",('ENTRY DATA'!G276))</f>
        <v/>
      </c>
      <c r="G276" s="61" t="s">
        <v>40</v>
      </c>
      <c r="I276" s="81" t="str">
        <f>IF(AND('DAY 1'!M276=""),"",('DAY 1'!M276))</f>
        <v/>
      </c>
      <c r="J276" s="79" t="str">
        <f>IF(AND('DAY 2'!M276=""),"",('DAY 2'!M276))</f>
        <v/>
      </c>
      <c r="K276" s="79" t="str">
        <f>IF(AND('DAY 3'!M276=""),"",('DAY 3'!M276))</f>
        <v/>
      </c>
      <c r="L276" s="79" t="str">
        <f>IF(AND('DAY 4'!M276=""),"",('DAY 4'!M276))</f>
        <v/>
      </c>
      <c r="M276" s="80" t="str">
        <f>IF(AND('DAY 5'!M276=""),"",('DAY 5'!M276))</f>
        <v/>
      </c>
      <c r="O276" s="78">
        <f>SUM('DAY 1'!L276,'DAY 2'!L276,'DAY 3'!L276,'DAY 4'!L276,'DAY 5'!L276)</f>
        <v>0</v>
      </c>
      <c r="P276" s="82" t="str">
        <f t="shared" si="32"/>
        <v/>
      </c>
      <c r="Q276" s="83" t="str">
        <f t="shared" si="33"/>
        <v/>
      </c>
      <c r="R276" s="148" t="str">
        <f t="shared" si="34"/>
        <v/>
      </c>
      <c r="S276" s="149" t="str">
        <f t="shared" si="35"/>
        <v/>
      </c>
      <c r="U276" s="66" t="str">
        <f>'DAY 1'!Y276</f>
        <v/>
      </c>
      <c r="V276" s="89" t="str">
        <f>'DAY 2'!Y276</f>
        <v/>
      </c>
      <c r="W276" s="89" t="str">
        <f>'DAY 3'!Y276</f>
        <v/>
      </c>
      <c r="X276" s="89" t="str">
        <f>'DAY 4'!Y276</f>
        <v/>
      </c>
      <c r="Y276" s="67" t="str">
        <f>'DAY 5'!Y276</f>
        <v/>
      </c>
      <c r="Z276" s="142" t="str">
        <f t="shared" si="36"/>
        <v/>
      </c>
      <c r="AA276" s="22" t="str">
        <f t="shared" si="37"/>
        <v/>
      </c>
      <c r="AB276" t="str">
        <f>'DAY 1'!Z276</f>
        <v/>
      </c>
      <c r="AC276" t="str">
        <f>'DAY 2'!Z276</f>
        <v/>
      </c>
      <c r="AD276" t="str">
        <f>'DAY 3'!Z276</f>
        <v/>
      </c>
      <c r="AE276" t="str">
        <f>'DAY 4'!Z276</f>
        <v/>
      </c>
      <c r="AF276" t="str">
        <f>'DAY 5'!Z276</f>
        <v/>
      </c>
      <c r="AG276" s="144" t="str">
        <f t="shared" si="38"/>
        <v/>
      </c>
      <c r="AH276" s="145" t="str">
        <f t="shared" si="39"/>
        <v/>
      </c>
    </row>
    <row r="277" spans="2:34" ht="15.75" thickBot="1" x14ac:dyDescent="0.3">
      <c r="B277" s="66" t="str">
        <f>IF(AND('ENTRY DATA'!C277=""),"",('ENTRY DATA'!C277))</f>
        <v/>
      </c>
      <c r="C277" s="67" t="str">
        <f>IF(AND('ENTRY DATA'!D277=""),"",('ENTRY DATA'!D277))</f>
        <v/>
      </c>
      <c r="E277" s="66" t="str">
        <f>IF(AND('ENTRY DATA'!F277=""),"",('ENTRY DATA'!F277))</f>
        <v/>
      </c>
      <c r="F277" s="67" t="str">
        <f>IF(AND('ENTRY DATA'!G277=""),"",('ENTRY DATA'!G277))</f>
        <v/>
      </c>
      <c r="G277" s="61" t="s">
        <v>40</v>
      </c>
      <c r="I277" s="81" t="str">
        <f>IF(AND('DAY 1'!M277=""),"",('DAY 1'!M277))</f>
        <v/>
      </c>
      <c r="J277" s="79" t="str">
        <f>IF(AND('DAY 2'!M277=""),"",('DAY 2'!M277))</f>
        <v/>
      </c>
      <c r="K277" s="79" t="str">
        <f>IF(AND('DAY 3'!M277=""),"",('DAY 3'!M277))</f>
        <v/>
      </c>
      <c r="L277" s="79" t="str">
        <f>IF(AND('DAY 4'!M277=""),"",('DAY 4'!M277))</f>
        <v/>
      </c>
      <c r="M277" s="80" t="str">
        <f>IF(AND('DAY 5'!M277=""),"",('DAY 5'!M277))</f>
        <v/>
      </c>
      <c r="O277" s="78">
        <f>SUM('DAY 1'!L277,'DAY 2'!L277,'DAY 3'!L277,'DAY 4'!L277,'DAY 5'!L277)</f>
        <v>0</v>
      </c>
      <c r="P277" s="82" t="str">
        <f t="shared" si="32"/>
        <v/>
      </c>
      <c r="Q277" s="83" t="str">
        <f t="shared" si="33"/>
        <v/>
      </c>
      <c r="R277" s="148" t="str">
        <f t="shared" si="34"/>
        <v/>
      </c>
      <c r="S277" s="149" t="str">
        <f t="shared" si="35"/>
        <v/>
      </c>
      <c r="U277" s="66" t="str">
        <f>'DAY 1'!Y277</f>
        <v/>
      </c>
      <c r="V277" s="89" t="str">
        <f>'DAY 2'!Y277</f>
        <v/>
      </c>
      <c r="W277" s="89" t="str">
        <f>'DAY 3'!Y277</f>
        <v/>
      </c>
      <c r="X277" s="89" t="str">
        <f>'DAY 4'!Y277</f>
        <v/>
      </c>
      <c r="Y277" s="67" t="str">
        <f>'DAY 5'!Y277</f>
        <v/>
      </c>
      <c r="Z277" s="142" t="str">
        <f t="shared" si="36"/>
        <v/>
      </c>
      <c r="AA277" s="22" t="str">
        <f t="shared" si="37"/>
        <v/>
      </c>
      <c r="AB277" t="str">
        <f>'DAY 1'!Z277</f>
        <v/>
      </c>
      <c r="AC277" t="str">
        <f>'DAY 2'!Z277</f>
        <v/>
      </c>
      <c r="AD277" t="str">
        <f>'DAY 3'!Z277</f>
        <v/>
      </c>
      <c r="AE277" t="str">
        <f>'DAY 4'!Z277</f>
        <v/>
      </c>
      <c r="AF277" t="str">
        <f>'DAY 5'!Z277</f>
        <v/>
      </c>
      <c r="AG277" s="144" t="str">
        <f t="shared" si="38"/>
        <v/>
      </c>
      <c r="AH277" s="145" t="str">
        <f t="shared" si="39"/>
        <v/>
      </c>
    </row>
    <row r="278" spans="2:34" ht="15.75" thickBot="1" x14ac:dyDescent="0.3">
      <c r="B278" s="66" t="str">
        <f>IF(AND('ENTRY DATA'!C278=""),"",('ENTRY DATA'!C278))</f>
        <v/>
      </c>
      <c r="C278" s="67" t="str">
        <f>IF(AND('ENTRY DATA'!D278=""),"",('ENTRY DATA'!D278))</f>
        <v/>
      </c>
      <c r="E278" s="66" t="str">
        <f>IF(AND('ENTRY DATA'!F278=""),"",('ENTRY DATA'!F278))</f>
        <v/>
      </c>
      <c r="F278" s="67" t="str">
        <f>IF(AND('ENTRY DATA'!G278=""),"",('ENTRY DATA'!G278))</f>
        <v/>
      </c>
      <c r="G278" s="61" t="s">
        <v>40</v>
      </c>
      <c r="I278" s="81" t="str">
        <f>IF(AND('DAY 1'!M278=""),"",('DAY 1'!M278))</f>
        <v/>
      </c>
      <c r="J278" s="79" t="str">
        <f>IF(AND('DAY 2'!M278=""),"",('DAY 2'!M278))</f>
        <v/>
      </c>
      <c r="K278" s="79" t="str">
        <f>IF(AND('DAY 3'!M278=""),"",('DAY 3'!M278))</f>
        <v/>
      </c>
      <c r="L278" s="79" t="str">
        <f>IF(AND('DAY 4'!M278=""),"",('DAY 4'!M278))</f>
        <v/>
      </c>
      <c r="M278" s="80" t="str">
        <f>IF(AND('DAY 5'!M278=""),"",('DAY 5'!M278))</f>
        <v/>
      </c>
      <c r="O278" s="78">
        <f>SUM('DAY 1'!L278,'DAY 2'!L278,'DAY 3'!L278,'DAY 4'!L278,'DAY 5'!L278)</f>
        <v>0</v>
      </c>
      <c r="P278" s="82" t="str">
        <f t="shared" si="32"/>
        <v/>
      </c>
      <c r="Q278" s="83" t="str">
        <f t="shared" si="33"/>
        <v/>
      </c>
      <c r="R278" s="148" t="str">
        <f t="shared" si="34"/>
        <v/>
      </c>
      <c r="S278" s="149" t="str">
        <f t="shared" si="35"/>
        <v/>
      </c>
      <c r="U278" s="66" t="str">
        <f>'DAY 1'!Y278</f>
        <v/>
      </c>
      <c r="V278" s="89" t="str">
        <f>'DAY 2'!Y278</f>
        <v/>
      </c>
      <c r="W278" s="89" t="str">
        <f>'DAY 3'!Y278</f>
        <v/>
      </c>
      <c r="X278" s="89" t="str">
        <f>'DAY 4'!Y278</f>
        <v/>
      </c>
      <c r="Y278" s="67" t="str">
        <f>'DAY 5'!Y278</f>
        <v/>
      </c>
      <c r="Z278" s="142" t="str">
        <f t="shared" si="36"/>
        <v/>
      </c>
      <c r="AA278" s="22" t="str">
        <f t="shared" si="37"/>
        <v/>
      </c>
      <c r="AB278" t="str">
        <f>'DAY 1'!Z278</f>
        <v/>
      </c>
      <c r="AC278" t="str">
        <f>'DAY 2'!Z278</f>
        <v/>
      </c>
      <c r="AD278" t="str">
        <f>'DAY 3'!Z278</f>
        <v/>
      </c>
      <c r="AE278" t="str">
        <f>'DAY 4'!Z278</f>
        <v/>
      </c>
      <c r="AF278" t="str">
        <f>'DAY 5'!Z278</f>
        <v/>
      </c>
      <c r="AG278" s="144" t="str">
        <f t="shared" si="38"/>
        <v/>
      </c>
      <c r="AH278" s="145" t="str">
        <f t="shared" si="39"/>
        <v/>
      </c>
    </row>
    <row r="279" spans="2:34" ht="15.75" thickBot="1" x14ac:dyDescent="0.3">
      <c r="B279" s="66" t="str">
        <f>IF(AND('ENTRY DATA'!C279=""),"",('ENTRY DATA'!C279))</f>
        <v/>
      </c>
      <c r="C279" s="67" t="str">
        <f>IF(AND('ENTRY DATA'!D279=""),"",('ENTRY DATA'!D279))</f>
        <v/>
      </c>
      <c r="E279" s="66" t="str">
        <f>IF(AND('ENTRY DATA'!F279=""),"",('ENTRY DATA'!F279))</f>
        <v/>
      </c>
      <c r="F279" s="67" t="str">
        <f>IF(AND('ENTRY DATA'!G279=""),"",('ENTRY DATA'!G279))</f>
        <v/>
      </c>
      <c r="G279" s="61" t="s">
        <v>40</v>
      </c>
      <c r="I279" s="81" t="str">
        <f>IF(AND('DAY 1'!M279=""),"",('DAY 1'!M279))</f>
        <v/>
      </c>
      <c r="J279" s="79" t="str">
        <f>IF(AND('DAY 2'!M279=""),"",('DAY 2'!M279))</f>
        <v/>
      </c>
      <c r="K279" s="79" t="str">
        <f>IF(AND('DAY 3'!M279=""),"",('DAY 3'!M279))</f>
        <v/>
      </c>
      <c r="L279" s="79" t="str">
        <f>IF(AND('DAY 4'!M279=""),"",('DAY 4'!M279))</f>
        <v/>
      </c>
      <c r="M279" s="80" t="str">
        <f>IF(AND('DAY 5'!M279=""),"",('DAY 5'!M279))</f>
        <v/>
      </c>
      <c r="O279" s="78">
        <f>SUM('DAY 1'!L279,'DAY 2'!L279,'DAY 3'!L279,'DAY 4'!L279,'DAY 5'!L279)</f>
        <v>0</v>
      </c>
      <c r="P279" s="82" t="str">
        <f t="shared" si="32"/>
        <v/>
      </c>
      <c r="Q279" s="83" t="str">
        <f t="shared" si="33"/>
        <v/>
      </c>
      <c r="R279" s="148" t="str">
        <f t="shared" si="34"/>
        <v/>
      </c>
      <c r="S279" s="149" t="str">
        <f t="shared" si="35"/>
        <v/>
      </c>
      <c r="U279" s="66" t="str">
        <f>'DAY 1'!Y279</f>
        <v/>
      </c>
      <c r="V279" s="89" t="str">
        <f>'DAY 2'!Y279</f>
        <v/>
      </c>
      <c r="W279" s="89" t="str">
        <f>'DAY 3'!Y279</f>
        <v/>
      </c>
      <c r="X279" s="89" t="str">
        <f>'DAY 4'!Y279</f>
        <v/>
      </c>
      <c r="Y279" s="67" t="str">
        <f>'DAY 5'!Y279</f>
        <v/>
      </c>
      <c r="Z279" s="142" t="str">
        <f t="shared" si="36"/>
        <v/>
      </c>
      <c r="AA279" s="22" t="str">
        <f t="shared" si="37"/>
        <v/>
      </c>
      <c r="AB279" t="str">
        <f>'DAY 1'!Z279</f>
        <v/>
      </c>
      <c r="AC279" t="str">
        <f>'DAY 2'!Z279</f>
        <v/>
      </c>
      <c r="AD279" t="str">
        <f>'DAY 3'!Z279</f>
        <v/>
      </c>
      <c r="AE279" t="str">
        <f>'DAY 4'!Z279</f>
        <v/>
      </c>
      <c r="AF279" t="str">
        <f>'DAY 5'!Z279</f>
        <v/>
      </c>
      <c r="AG279" s="144" t="str">
        <f t="shared" si="38"/>
        <v/>
      </c>
      <c r="AH279" s="145" t="str">
        <f t="shared" si="39"/>
        <v/>
      </c>
    </row>
    <row r="280" spans="2:34" ht="15.75" thickBot="1" x14ac:dyDescent="0.3">
      <c r="B280" s="66" t="str">
        <f>IF(AND('ENTRY DATA'!C280=""),"",('ENTRY DATA'!C280))</f>
        <v/>
      </c>
      <c r="C280" s="67" t="str">
        <f>IF(AND('ENTRY DATA'!D280=""),"",('ENTRY DATA'!D280))</f>
        <v/>
      </c>
      <c r="E280" s="66" t="str">
        <f>IF(AND('ENTRY DATA'!F280=""),"",('ENTRY DATA'!F280))</f>
        <v/>
      </c>
      <c r="F280" s="67" t="str">
        <f>IF(AND('ENTRY DATA'!G280=""),"",('ENTRY DATA'!G280))</f>
        <v/>
      </c>
      <c r="G280" s="61" t="s">
        <v>40</v>
      </c>
      <c r="I280" s="81" t="str">
        <f>IF(AND('DAY 1'!M280=""),"",('DAY 1'!M280))</f>
        <v/>
      </c>
      <c r="J280" s="79" t="str">
        <f>IF(AND('DAY 2'!M280=""),"",('DAY 2'!M280))</f>
        <v/>
      </c>
      <c r="K280" s="79" t="str">
        <f>IF(AND('DAY 3'!M280=""),"",('DAY 3'!M280))</f>
        <v/>
      </c>
      <c r="L280" s="79" t="str">
        <f>IF(AND('DAY 4'!M280=""),"",('DAY 4'!M280))</f>
        <v/>
      </c>
      <c r="M280" s="80" t="str">
        <f>IF(AND('DAY 5'!M280=""),"",('DAY 5'!M280))</f>
        <v/>
      </c>
      <c r="O280" s="78">
        <f>SUM('DAY 1'!L280,'DAY 2'!L280,'DAY 3'!L280,'DAY 4'!L280,'DAY 5'!L280)</f>
        <v>0</v>
      </c>
      <c r="P280" s="82" t="str">
        <f t="shared" si="32"/>
        <v/>
      </c>
      <c r="Q280" s="83" t="str">
        <f t="shared" si="33"/>
        <v/>
      </c>
      <c r="R280" s="148" t="str">
        <f t="shared" si="34"/>
        <v/>
      </c>
      <c r="S280" s="149" t="str">
        <f t="shared" si="35"/>
        <v/>
      </c>
      <c r="U280" s="66" t="str">
        <f>'DAY 1'!Y280</f>
        <v/>
      </c>
      <c r="V280" s="89" t="str">
        <f>'DAY 2'!Y280</f>
        <v/>
      </c>
      <c r="W280" s="89" t="str">
        <f>'DAY 3'!Y280</f>
        <v/>
      </c>
      <c r="X280" s="89" t="str">
        <f>'DAY 4'!Y280</f>
        <v/>
      </c>
      <c r="Y280" s="67" t="str">
        <f>'DAY 5'!Y280</f>
        <v/>
      </c>
      <c r="Z280" s="142" t="str">
        <f t="shared" si="36"/>
        <v/>
      </c>
      <c r="AA280" s="22" t="str">
        <f t="shared" si="37"/>
        <v/>
      </c>
      <c r="AB280" t="str">
        <f>'DAY 1'!Z280</f>
        <v/>
      </c>
      <c r="AC280" t="str">
        <f>'DAY 2'!Z280</f>
        <v/>
      </c>
      <c r="AD280" t="str">
        <f>'DAY 3'!Z280</f>
        <v/>
      </c>
      <c r="AE280" t="str">
        <f>'DAY 4'!Z280</f>
        <v/>
      </c>
      <c r="AF280" t="str">
        <f>'DAY 5'!Z280</f>
        <v/>
      </c>
      <c r="AG280" s="144" t="str">
        <f t="shared" si="38"/>
        <v/>
      </c>
      <c r="AH280" s="145" t="str">
        <f t="shared" si="39"/>
        <v/>
      </c>
    </row>
    <row r="281" spans="2:34" ht="15.75" thickBot="1" x14ac:dyDescent="0.3">
      <c r="B281" s="66" t="str">
        <f>IF(AND('ENTRY DATA'!C281=""),"",('ENTRY DATA'!C281))</f>
        <v/>
      </c>
      <c r="C281" s="67" t="str">
        <f>IF(AND('ENTRY DATA'!D281=""),"",('ENTRY DATA'!D281))</f>
        <v/>
      </c>
      <c r="E281" s="66" t="str">
        <f>IF(AND('ENTRY DATA'!F281=""),"",('ENTRY DATA'!F281))</f>
        <v/>
      </c>
      <c r="F281" s="67" t="str">
        <f>IF(AND('ENTRY DATA'!G281=""),"",('ENTRY DATA'!G281))</f>
        <v/>
      </c>
      <c r="G281" s="61" t="s">
        <v>40</v>
      </c>
      <c r="I281" s="81" t="str">
        <f>IF(AND('DAY 1'!M281=""),"",('DAY 1'!M281))</f>
        <v/>
      </c>
      <c r="J281" s="79" t="str">
        <f>IF(AND('DAY 2'!M281=""),"",('DAY 2'!M281))</f>
        <v/>
      </c>
      <c r="K281" s="79" t="str">
        <f>IF(AND('DAY 3'!M281=""),"",('DAY 3'!M281))</f>
        <v/>
      </c>
      <c r="L281" s="79" t="str">
        <f>IF(AND('DAY 4'!M281=""),"",('DAY 4'!M281))</f>
        <v/>
      </c>
      <c r="M281" s="80" t="str">
        <f>IF(AND('DAY 5'!M281=""),"",('DAY 5'!M281))</f>
        <v/>
      </c>
      <c r="O281" s="78">
        <f>SUM('DAY 1'!L281,'DAY 2'!L281,'DAY 3'!L281,'DAY 4'!L281,'DAY 5'!L281)</f>
        <v>0</v>
      </c>
      <c r="P281" s="82" t="str">
        <f t="shared" si="32"/>
        <v/>
      </c>
      <c r="Q281" s="83" t="str">
        <f t="shared" si="33"/>
        <v/>
      </c>
      <c r="R281" s="148" t="str">
        <f t="shared" si="34"/>
        <v/>
      </c>
      <c r="S281" s="149" t="str">
        <f t="shared" si="35"/>
        <v/>
      </c>
      <c r="U281" s="66" t="str">
        <f>'DAY 1'!Y281</f>
        <v/>
      </c>
      <c r="V281" s="89" t="str">
        <f>'DAY 2'!Y281</f>
        <v/>
      </c>
      <c r="W281" s="89" t="str">
        <f>'DAY 3'!Y281</f>
        <v/>
      </c>
      <c r="X281" s="89" t="str">
        <f>'DAY 4'!Y281</f>
        <v/>
      </c>
      <c r="Y281" s="67" t="str">
        <f>'DAY 5'!Y281</f>
        <v/>
      </c>
      <c r="Z281" s="142" t="str">
        <f t="shared" si="36"/>
        <v/>
      </c>
      <c r="AA281" s="22" t="str">
        <f t="shared" si="37"/>
        <v/>
      </c>
      <c r="AB281" t="str">
        <f>'DAY 1'!Z281</f>
        <v/>
      </c>
      <c r="AC281" t="str">
        <f>'DAY 2'!Z281</f>
        <v/>
      </c>
      <c r="AD281" t="str">
        <f>'DAY 3'!Z281</f>
        <v/>
      </c>
      <c r="AE281" t="str">
        <f>'DAY 4'!Z281</f>
        <v/>
      </c>
      <c r="AF281" t="str">
        <f>'DAY 5'!Z281</f>
        <v/>
      </c>
      <c r="AG281" s="144" t="str">
        <f t="shared" si="38"/>
        <v/>
      </c>
      <c r="AH281" s="145" t="str">
        <f t="shared" si="39"/>
        <v/>
      </c>
    </row>
    <row r="282" spans="2:34" ht="15.75" thickBot="1" x14ac:dyDescent="0.3">
      <c r="B282" s="66" t="str">
        <f>IF(AND('ENTRY DATA'!C282=""),"",('ENTRY DATA'!C282))</f>
        <v/>
      </c>
      <c r="C282" s="67" t="str">
        <f>IF(AND('ENTRY DATA'!D282=""),"",('ENTRY DATA'!D282))</f>
        <v/>
      </c>
      <c r="E282" s="66" t="str">
        <f>IF(AND('ENTRY DATA'!F282=""),"",('ENTRY DATA'!F282))</f>
        <v/>
      </c>
      <c r="F282" s="67" t="str">
        <f>IF(AND('ENTRY DATA'!G282=""),"",('ENTRY DATA'!G282))</f>
        <v/>
      </c>
      <c r="G282" s="61" t="s">
        <v>40</v>
      </c>
      <c r="I282" s="81" t="str">
        <f>IF(AND('DAY 1'!M282=""),"",('DAY 1'!M282))</f>
        <v/>
      </c>
      <c r="J282" s="79" t="str">
        <f>IF(AND('DAY 2'!M282=""),"",('DAY 2'!M282))</f>
        <v/>
      </c>
      <c r="K282" s="79" t="str">
        <f>IF(AND('DAY 3'!M282=""),"",('DAY 3'!M282))</f>
        <v/>
      </c>
      <c r="L282" s="79" t="str">
        <f>IF(AND('DAY 4'!M282=""),"",('DAY 4'!M282))</f>
        <v/>
      </c>
      <c r="M282" s="80" t="str">
        <f>IF(AND('DAY 5'!M282=""),"",('DAY 5'!M282))</f>
        <v/>
      </c>
      <c r="O282" s="78">
        <f>SUM('DAY 1'!L282,'DAY 2'!L282,'DAY 3'!L282,'DAY 4'!L282,'DAY 5'!L282)</f>
        <v>0</v>
      </c>
      <c r="P282" s="82" t="str">
        <f t="shared" si="32"/>
        <v/>
      </c>
      <c r="Q282" s="83" t="str">
        <f t="shared" si="33"/>
        <v/>
      </c>
      <c r="R282" s="148" t="str">
        <f t="shared" si="34"/>
        <v/>
      </c>
      <c r="S282" s="149" t="str">
        <f t="shared" si="35"/>
        <v/>
      </c>
      <c r="U282" s="66" t="str">
        <f>'DAY 1'!Y282</f>
        <v/>
      </c>
      <c r="V282" s="89" t="str">
        <f>'DAY 2'!Y282</f>
        <v/>
      </c>
      <c r="W282" s="89" t="str">
        <f>'DAY 3'!Y282</f>
        <v/>
      </c>
      <c r="X282" s="89" t="str">
        <f>'DAY 4'!Y282</f>
        <v/>
      </c>
      <c r="Y282" s="67" t="str">
        <f>'DAY 5'!Y282</f>
        <v/>
      </c>
      <c r="Z282" s="142" t="str">
        <f t="shared" si="36"/>
        <v/>
      </c>
      <c r="AA282" s="22" t="str">
        <f t="shared" si="37"/>
        <v/>
      </c>
      <c r="AB282" t="str">
        <f>'DAY 1'!Z282</f>
        <v/>
      </c>
      <c r="AC282" t="str">
        <f>'DAY 2'!Z282</f>
        <v/>
      </c>
      <c r="AD282" t="str">
        <f>'DAY 3'!Z282</f>
        <v/>
      </c>
      <c r="AE282" t="str">
        <f>'DAY 4'!Z282</f>
        <v/>
      </c>
      <c r="AF282" t="str">
        <f>'DAY 5'!Z282</f>
        <v/>
      </c>
      <c r="AG282" s="144" t="str">
        <f t="shared" si="38"/>
        <v/>
      </c>
      <c r="AH282" s="145" t="str">
        <f t="shared" si="39"/>
        <v/>
      </c>
    </row>
    <row r="283" spans="2:34" ht="15.75" thickBot="1" x14ac:dyDescent="0.3">
      <c r="B283" s="66" t="str">
        <f>IF(AND('ENTRY DATA'!C283=""),"",('ENTRY DATA'!C283))</f>
        <v/>
      </c>
      <c r="C283" s="67" t="str">
        <f>IF(AND('ENTRY DATA'!D283=""),"",('ENTRY DATA'!D283))</f>
        <v/>
      </c>
      <c r="E283" s="66" t="str">
        <f>IF(AND('ENTRY DATA'!F283=""),"",('ENTRY DATA'!F283))</f>
        <v/>
      </c>
      <c r="F283" s="67" t="str">
        <f>IF(AND('ENTRY DATA'!G283=""),"",('ENTRY DATA'!G283))</f>
        <v/>
      </c>
      <c r="G283" s="61" t="s">
        <v>40</v>
      </c>
      <c r="I283" s="81" t="str">
        <f>IF(AND('DAY 1'!M283=""),"",('DAY 1'!M283))</f>
        <v/>
      </c>
      <c r="J283" s="79" t="str">
        <f>IF(AND('DAY 2'!M283=""),"",('DAY 2'!M283))</f>
        <v/>
      </c>
      <c r="K283" s="79" t="str">
        <f>IF(AND('DAY 3'!M283=""),"",('DAY 3'!M283))</f>
        <v/>
      </c>
      <c r="L283" s="79" t="str">
        <f>IF(AND('DAY 4'!M283=""),"",('DAY 4'!M283))</f>
        <v/>
      </c>
      <c r="M283" s="80" t="str">
        <f>IF(AND('DAY 5'!M283=""),"",('DAY 5'!M283))</f>
        <v/>
      </c>
      <c r="O283" s="78">
        <f>SUM('DAY 1'!L283,'DAY 2'!L283,'DAY 3'!L283,'DAY 4'!L283,'DAY 5'!L283)</f>
        <v>0</v>
      </c>
      <c r="P283" s="82" t="str">
        <f t="shared" si="32"/>
        <v/>
      </c>
      <c r="Q283" s="83" t="str">
        <f t="shared" si="33"/>
        <v/>
      </c>
      <c r="R283" s="148" t="str">
        <f t="shared" si="34"/>
        <v/>
      </c>
      <c r="S283" s="149" t="str">
        <f t="shared" si="35"/>
        <v/>
      </c>
      <c r="U283" s="66" t="str">
        <f>'DAY 1'!Y283</f>
        <v/>
      </c>
      <c r="V283" s="89" t="str">
        <f>'DAY 2'!Y283</f>
        <v/>
      </c>
      <c r="W283" s="89" t="str">
        <f>'DAY 3'!Y283</f>
        <v/>
      </c>
      <c r="X283" s="89" t="str">
        <f>'DAY 4'!Y283</f>
        <v/>
      </c>
      <c r="Y283" s="67" t="str">
        <f>'DAY 5'!Y283</f>
        <v/>
      </c>
      <c r="Z283" s="142" t="str">
        <f t="shared" si="36"/>
        <v/>
      </c>
      <c r="AA283" s="22" t="str">
        <f t="shared" si="37"/>
        <v/>
      </c>
      <c r="AB283" t="str">
        <f>'DAY 1'!Z283</f>
        <v/>
      </c>
      <c r="AC283" t="str">
        <f>'DAY 2'!Z283</f>
        <v/>
      </c>
      <c r="AD283" t="str">
        <f>'DAY 3'!Z283</f>
        <v/>
      </c>
      <c r="AE283" t="str">
        <f>'DAY 4'!Z283</f>
        <v/>
      </c>
      <c r="AF283" t="str">
        <f>'DAY 5'!Z283</f>
        <v/>
      </c>
      <c r="AG283" s="144" t="str">
        <f t="shared" si="38"/>
        <v/>
      </c>
      <c r="AH283" s="145" t="str">
        <f t="shared" si="39"/>
        <v/>
      </c>
    </row>
    <row r="284" spans="2:34" ht="15.75" thickBot="1" x14ac:dyDescent="0.3">
      <c r="B284" s="66" t="str">
        <f>IF(AND('ENTRY DATA'!C284=""),"",('ENTRY DATA'!C284))</f>
        <v/>
      </c>
      <c r="C284" s="67" t="str">
        <f>IF(AND('ENTRY DATA'!D284=""),"",('ENTRY DATA'!D284))</f>
        <v/>
      </c>
      <c r="E284" s="66" t="str">
        <f>IF(AND('ENTRY DATA'!F284=""),"",('ENTRY DATA'!F284))</f>
        <v/>
      </c>
      <c r="F284" s="67" t="str">
        <f>IF(AND('ENTRY DATA'!G284=""),"",('ENTRY DATA'!G284))</f>
        <v/>
      </c>
      <c r="G284" s="61" t="s">
        <v>40</v>
      </c>
      <c r="I284" s="81" t="str">
        <f>IF(AND('DAY 1'!M284=""),"",('DAY 1'!M284))</f>
        <v/>
      </c>
      <c r="J284" s="79" t="str">
        <f>IF(AND('DAY 2'!M284=""),"",('DAY 2'!M284))</f>
        <v/>
      </c>
      <c r="K284" s="79" t="str">
        <f>IF(AND('DAY 3'!M284=""),"",('DAY 3'!M284))</f>
        <v/>
      </c>
      <c r="L284" s="79" t="str">
        <f>IF(AND('DAY 4'!M284=""),"",('DAY 4'!M284))</f>
        <v/>
      </c>
      <c r="M284" s="80" t="str">
        <f>IF(AND('DAY 5'!M284=""),"",('DAY 5'!M284))</f>
        <v/>
      </c>
      <c r="O284" s="78">
        <f>SUM('DAY 1'!L284,'DAY 2'!L284,'DAY 3'!L284,'DAY 4'!L284,'DAY 5'!L284)</f>
        <v>0</v>
      </c>
      <c r="P284" s="82" t="str">
        <f t="shared" si="32"/>
        <v/>
      </c>
      <c r="Q284" s="83" t="str">
        <f t="shared" si="33"/>
        <v/>
      </c>
      <c r="R284" s="148" t="str">
        <f t="shared" si="34"/>
        <v/>
      </c>
      <c r="S284" s="149" t="str">
        <f t="shared" si="35"/>
        <v/>
      </c>
      <c r="U284" s="66" t="str">
        <f>'DAY 1'!Y284</f>
        <v/>
      </c>
      <c r="V284" s="89" t="str">
        <f>'DAY 2'!Y284</f>
        <v/>
      </c>
      <c r="W284" s="89" t="str">
        <f>'DAY 3'!Y284</f>
        <v/>
      </c>
      <c r="X284" s="89" t="str">
        <f>'DAY 4'!Y284</f>
        <v/>
      </c>
      <c r="Y284" s="67" t="str">
        <f>'DAY 5'!Y284</f>
        <v/>
      </c>
      <c r="Z284" s="142" t="str">
        <f t="shared" si="36"/>
        <v/>
      </c>
      <c r="AA284" s="22" t="str">
        <f t="shared" si="37"/>
        <v/>
      </c>
      <c r="AB284" t="str">
        <f>'DAY 1'!Z284</f>
        <v/>
      </c>
      <c r="AC284" t="str">
        <f>'DAY 2'!Z284</f>
        <v/>
      </c>
      <c r="AD284" t="str">
        <f>'DAY 3'!Z284</f>
        <v/>
      </c>
      <c r="AE284" t="str">
        <f>'DAY 4'!Z284</f>
        <v/>
      </c>
      <c r="AF284" t="str">
        <f>'DAY 5'!Z284</f>
        <v/>
      </c>
      <c r="AG284" s="144" t="str">
        <f t="shared" si="38"/>
        <v/>
      </c>
      <c r="AH284" s="145" t="str">
        <f t="shared" si="39"/>
        <v/>
      </c>
    </row>
    <row r="285" spans="2:34" ht="15.75" thickBot="1" x14ac:dyDescent="0.3">
      <c r="B285" s="66" t="str">
        <f>IF(AND('ENTRY DATA'!C285=""),"",('ENTRY DATA'!C285))</f>
        <v/>
      </c>
      <c r="C285" s="67" t="str">
        <f>IF(AND('ENTRY DATA'!D285=""),"",('ENTRY DATA'!D285))</f>
        <v/>
      </c>
      <c r="E285" s="66" t="str">
        <f>IF(AND('ENTRY DATA'!F285=""),"",('ENTRY DATA'!F285))</f>
        <v/>
      </c>
      <c r="F285" s="67" t="str">
        <f>IF(AND('ENTRY DATA'!G285=""),"",('ENTRY DATA'!G285))</f>
        <v/>
      </c>
      <c r="G285" s="61" t="s">
        <v>40</v>
      </c>
      <c r="I285" s="81" t="str">
        <f>IF(AND('DAY 1'!M285=""),"",('DAY 1'!M285))</f>
        <v/>
      </c>
      <c r="J285" s="79" t="str">
        <f>IF(AND('DAY 2'!M285=""),"",('DAY 2'!M285))</f>
        <v/>
      </c>
      <c r="K285" s="79" t="str">
        <f>IF(AND('DAY 3'!M285=""),"",('DAY 3'!M285))</f>
        <v/>
      </c>
      <c r="L285" s="79" t="str">
        <f>IF(AND('DAY 4'!M285=""),"",('DAY 4'!M285))</f>
        <v/>
      </c>
      <c r="M285" s="80" t="str">
        <f>IF(AND('DAY 5'!M285=""),"",('DAY 5'!M285))</f>
        <v/>
      </c>
      <c r="O285" s="78">
        <f>SUM('DAY 1'!L285,'DAY 2'!L285,'DAY 3'!L285,'DAY 4'!L285,'DAY 5'!L285)</f>
        <v>0</v>
      </c>
      <c r="P285" s="82" t="str">
        <f t="shared" si="32"/>
        <v/>
      </c>
      <c r="Q285" s="83" t="str">
        <f t="shared" si="33"/>
        <v/>
      </c>
      <c r="R285" s="148" t="str">
        <f t="shared" si="34"/>
        <v/>
      </c>
      <c r="S285" s="149" t="str">
        <f t="shared" si="35"/>
        <v/>
      </c>
      <c r="U285" s="66" t="str">
        <f>'DAY 1'!Y285</f>
        <v/>
      </c>
      <c r="V285" s="89" t="str">
        <f>'DAY 2'!Y285</f>
        <v/>
      </c>
      <c r="W285" s="89" t="str">
        <f>'DAY 3'!Y285</f>
        <v/>
      </c>
      <c r="X285" s="89" t="str">
        <f>'DAY 4'!Y285</f>
        <v/>
      </c>
      <c r="Y285" s="67" t="str">
        <f>'DAY 5'!Y285</f>
        <v/>
      </c>
      <c r="Z285" s="142" t="str">
        <f t="shared" si="36"/>
        <v/>
      </c>
      <c r="AA285" s="22" t="str">
        <f t="shared" si="37"/>
        <v/>
      </c>
      <c r="AB285" t="str">
        <f>'DAY 1'!Z285</f>
        <v/>
      </c>
      <c r="AC285" t="str">
        <f>'DAY 2'!Z285</f>
        <v/>
      </c>
      <c r="AD285" t="str">
        <f>'DAY 3'!Z285</f>
        <v/>
      </c>
      <c r="AE285" t="str">
        <f>'DAY 4'!Z285</f>
        <v/>
      </c>
      <c r="AF285" t="str">
        <f>'DAY 5'!Z285</f>
        <v/>
      </c>
      <c r="AG285" s="144" t="str">
        <f t="shared" si="38"/>
        <v/>
      </c>
      <c r="AH285" s="145" t="str">
        <f t="shared" si="39"/>
        <v/>
      </c>
    </row>
    <row r="286" spans="2:34" ht="15.75" thickBot="1" x14ac:dyDescent="0.3">
      <c r="B286" s="66" t="str">
        <f>IF(AND('ENTRY DATA'!C286=""),"",('ENTRY DATA'!C286))</f>
        <v/>
      </c>
      <c r="C286" s="67" t="str">
        <f>IF(AND('ENTRY DATA'!D286=""),"",('ENTRY DATA'!D286))</f>
        <v/>
      </c>
      <c r="E286" s="66" t="str">
        <f>IF(AND('ENTRY DATA'!F286=""),"",('ENTRY DATA'!F286))</f>
        <v/>
      </c>
      <c r="F286" s="67" t="str">
        <f>IF(AND('ENTRY DATA'!G286=""),"",('ENTRY DATA'!G286))</f>
        <v/>
      </c>
      <c r="G286" s="61" t="s">
        <v>40</v>
      </c>
      <c r="I286" s="81" t="str">
        <f>IF(AND('DAY 1'!M286=""),"",('DAY 1'!M286))</f>
        <v/>
      </c>
      <c r="J286" s="79" t="str">
        <f>IF(AND('DAY 2'!M286=""),"",('DAY 2'!M286))</f>
        <v/>
      </c>
      <c r="K286" s="79" t="str">
        <f>IF(AND('DAY 3'!M286=""),"",('DAY 3'!M286))</f>
        <v/>
      </c>
      <c r="L286" s="79" t="str">
        <f>IF(AND('DAY 4'!M286=""),"",('DAY 4'!M286))</f>
        <v/>
      </c>
      <c r="M286" s="80" t="str">
        <f>IF(AND('DAY 5'!M286=""),"",('DAY 5'!M286))</f>
        <v/>
      </c>
      <c r="O286" s="78">
        <f>SUM('DAY 1'!L286,'DAY 2'!L286,'DAY 3'!L286,'DAY 4'!L286,'DAY 5'!L286)</f>
        <v>0</v>
      </c>
      <c r="P286" s="82" t="str">
        <f t="shared" si="32"/>
        <v/>
      </c>
      <c r="Q286" s="83" t="str">
        <f t="shared" si="33"/>
        <v/>
      </c>
      <c r="R286" s="148" t="str">
        <f t="shared" si="34"/>
        <v/>
      </c>
      <c r="S286" s="149" t="str">
        <f t="shared" si="35"/>
        <v/>
      </c>
      <c r="U286" s="66" t="str">
        <f>'DAY 1'!Y286</f>
        <v/>
      </c>
      <c r="V286" s="89" t="str">
        <f>'DAY 2'!Y286</f>
        <v/>
      </c>
      <c r="W286" s="89" t="str">
        <f>'DAY 3'!Y286</f>
        <v/>
      </c>
      <c r="X286" s="89" t="str">
        <f>'DAY 4'!Y286</f>
        <v/>
      </c>
      <c r="Y286" s="67" t="str">
        <f>'DAY 5'!Y286</f>
        <v/>
      </c>
      <c r="Z286" s="142" t="str">
        <f t="shared" si="36"/>
        <v/>
      </c>
      <c r="AA286" s="22" t="str">
        <f t="shared" si="37"/>
        <v/>
      </c>
      <c r="AB286" t="str">
        <f>'DAY 1'!Z286</f>
        <v/>
      </c>
      <c r="AC286" t="str">
        <f>'DAY 2'!Z286</f>
        <v/>
      </c>
      <c r="AD286" t="str">
        <f>'DAY 3'!Z286</f>
        <v/>
      </c>
      <c r="AE286" t="str">
        <f>'DAY 4'!Z286</f>
        <v/>
      </c>
      <c r="AF286" t="str">
        <f>'DAY 5'!Z286</f>
        <v/>
      </c>
      <c r="AG286" s="144" t="str">
        <f t="shared" si="38"/>
        <v/>
      </c>
      <c r="AH286" s="145" t="str">
        <f t="shared" si="39"/>
        <v/>
      </c>
    </row>
    <row r="287" spans="2:34" ht="15.75" thickBot="1" x14ac:dyDescent="0.3">
      <c r="B287" s="66" t="str">
        <f>IF(AND('ENTRY DATA'!C287=""),"",('ENTRY DATA'!C287))</f>
        <v/>
      </c>
      <c r="C287" s="67" t="str">
        <f>IF(AND('ENTRY DATA'!D287=""),"",('ENTRY DATA'!D287))</f>
        <v/>
      </c>
      <c r="E287" s="66" t="str">
        <f>IF(AND('ENTRY DATA'!F287=""),"",('ENTRY DATA'!F287))</f>
        <v/>
      </c>
      <c r="F287" s="67" t="str">
        <f>IF(AND('ENTRY DATA'!G287=""),"",('ENTRY DATA'!G287))</f>
        <v/>
      </c>
      <c r="G287" s="61" t="s">
        <v>40</v>
      </c>
      <c r="I287" s="81" t="str">
        <f>IF(AND('DAY 1'!M287=""),"",('DAY 1'!M287))</f>
        <v/>
      </c>
      <c r="J287" s="79" t="str">
        <f>IF(AND('DAY 2'!M287=""),"",('DAY 2'!M287))</f>
        <v/>
      </c>
      <c r="K287" s="79" t="str">
        <f>IF(AND('DAY 3'!M287=""),"",('DAY 3'!M287))</f>
        <v/>
      </c>
      <c r="L287" s="79" t="str">
        <f>IF(AND('DAY 4'!M287=""),"",('DAY 4'!M287))</f>
        <v/>
      </c>
      <c r="M287" s="80" t="str">
        <f>IF(AND('DAY 5'!M287=""),"",('DAY 5'!M287))</f>
        <v/>
      </c>
      <c r="O287" s="78">
        <f>SUM('DAY 1'!L287,'DAY 2'!L287,'DAY 3'!L287,'DAY 4'!L287,'DAY 5'!L287)</f>
        <v>0</v>
      </c>
      <c r="P287" s="82" t="str">
        <f t="shared" si="32"/>
        <v/>
      </c>
      <c r="Q287" s="83" t="str">
        <f t="shared" si="33"/>
        <v/>
      </c>
      <c r="R287" s="148" t="str">
        <f t="shared" si="34"/>
        <v/>
      </c>
      <c r="S287" s="149" t="str">
        <f t="shared" si="35"/>
        <v/>
      </c>
      <c r="U287" s="66" t="str">
        <f>'DAY 1'!Y287</f>
        <v/>
      </c>
      <c r="V287" s="89" t="str">
        <f>'DAY 2'!Y287</f>
        <v/>
      </c>
      <c r="W287" s="89" t="str">
        <f>'DAY 3'!Y287</f>
        <v/>
      </c>
      <c r="X287" s="89" t="str">
        <f>'DAY 4'!Y287</f>
        <v/>
      </c>
      <c r="Y287" s="67" t="str">
        <f>'DAY 5'!Y287</f>
        <v/>
      </c>
      <c r="Z287" s="142" t="str">
        <f t="shared" si="36"/>
        <v/>
      </c>
      <c r="AA287" s="22" t="str">
        <f t="shared" si="37"/>
        <v/>
      </c>
      <c r="AB287" t="str">
        <f>'DAY 1'!Z287</f>
        <v/>
      </c>
      <c r="AC287" t="str">
        <f>'DAY 2'!Z287</f>
        <v/>
      </c>
      <c r="AD287" t="str">
        <f>'DAY 3'!Z287</f>
        <v/>
      </c>
      <c r="AE287" t="str">
        <f>'DAY 4'!Z287</f>
        <v/>
      </c>
      <c r="AF287" t="str">
        <f>'DAY 5'!Z287</f>
        <v/>
      </c>
      <c r="AG287" s="144" t="str">
        <f t="shared" si="38"/>
        <v/>
      </c>
      <c r="AH287" s="145" t="str">
        <f t="shared" si="39"/>
        <v/>
      </c>
    </row>
    <row r="288" spans="2:34" ht="15.75" thickBot="1" x14ac:dyDescent="0.3">
      <c r="B288" s="66" t="str">
        <f>IF(AND('ENTRY DATA'!C288=""),"",('ENTRY DATA'!C288))</f>
        <v/>
      </c>
      <c r="C288" s="67" t="str">
        <f>IF(AND('ENTRY DATA'!D288=""),"",('ENTRY DATA'!D288))</f>
        <v/>
      </c>
      <c r="E288" s="66" t="str">
        <f>IF(AND('ENTRY DATA'!F288=""),"",('ENTRY DATA'!F288))</f>
        <v/>
      </c>
      <c r="F288" s="67" t="str">
        <f>IF(AND('ENTRY DATA'!G288=""),"",('ENTRY DATA'!G288))</f>
        <v/>
      </c>
      <c r="G288" s="61" t="s">
        <v>40</v>
      </c>
      <c r="I288" s="81" t="str">
        <f>IF(AND('DAY 1'!M288=""),"",('DAY 1'!M288))</f>
        <v/>
      </c>
      <c r="J288" s="79" t="str">
        <f>IF(AND('DAY 2'!M288=""),"",('DAY 2'!M288))</f>
        <v/>
      </c>
      <c r="K288" s="79" t="str">
        <f>IF(AND('DAY 3'!M288=""),"",('DAY 3'!M288))</f>
        <v/>
      </c>
      <c r="L288" s="79" t="str">
        <f>IF(AND('DAY 4'!M288=""),"",('DAY 4'!M288))</f>
        <v/>
      </c>
      <c r="M288" s="80" t="str">
        <f>IF(AND('DAY 5'!M288=""),"",('DAY 5'!M288))</f>
        <v/>
      </c>
      <c r="O288" s="78">
        <f>SUM('DAY 1'!L288,'DAY 2'!L288,'DAY 3'!L288,'DAY 4'!L288,'DAY 5'!L288)</f>
        <v>0</v>
      </c>
      <c r="P288" s="82" t="str">
        <f t="shared" si="32"/>
        <v/>
      </c>
      <c r="Q288" s="83" t="str">
        <f t="shared" si="33"/>
        <v/>
      </c>
      <c r="R288" s="148" t="str">
        <f t="shared" si="34"/>
        <v/>
      </c>
      <c r="S288" s="149" t="str">
        <f t="shared" si="35"/>
        <v/>
      </c>
      <c r="U288" s="66" t="str">
        <f>'DAY 1'!Y288</f>
        <v/>
      </c>
      <c r="V288" s="89" t="str">
        <f>'DAY 2'!Y288</f>
        <v/>
      </c>
      <c r="W288" s="89" t="str">
        <f>'DAY 3'!Y288</f>
        <v/>
      </c>
      <c r="X288" s="89" t="str">
        <f>'DAY 4'!Y288</f>
        <v/>
      </c>
      <c r="Y288" s="67" t="str">
        <f>'DAY 5'!Y288</f>
        <v/>
      </c>
      <c r="Z288" s="142" t="str">
        <f t="shared" si="36"/>
        <v/>
      </c>
      <c r="AA288" s="22" t="str">
        <f t="shared" si="37"/>
        <v/>
      </c>
      <c r="AB288" t="str">
        <f>'DAY 1'!Z288</f>
        <v/>
      </c>
      <c r="AC288" t="str">
        <f>'DAY 2'!Z288</f>
        <v/>
      </c>
      <c r="AD288" t="str">
        <f>'DAY 3'!Z288</f>
        <v/>
      </c>
      <c r="AE288" t="str">
        <f>'DAY 4'!Z288</f>
        <v/>
      </c>
      <c r="AF288" t="str">
        <f>'DAY 5'!Z288</f>
        <v/>
      </c>
      <c r="AG288" s="144" t="str">
        <f t="shared" si="38"/>
        <v/>
      </c>
      <c r="AH288" s="145" t="str">
        <f t="shared" si="39"/>
        <v/>
      </c>
    </row>
    <row r="289" spans="2:34" ht="15.75" thickBot="1" x14ac:dyDescent="0.3">
      <c r="B289" s="66" t="str">
        <f>IF(AND('ENTRY DATA'!C289=""),"",('ENTRY DATA'!C289))</f>
        <v/>
      </c>
      <c r="C289" s="67" t="str">
        <f>IF(AND('ENTRY DATA'!D289=""),"",('ENTRY DATA'!D289))</f>
        <v/>
      </c>
      <c r="E289" s="66" t="str">
        <f>IF(AND('ENTRY DATA'!F289=""),"",('ENTRY DATA'!F289))</f>
        <v/>
      </c>
      <c r="F289" s="67" t="str">
        <f>IF(AND('ENTRY DATA'!G289=""),"",('ENTRY DATA'!G289))</f>
        <v/>
      </c>
      <c r="G289" s="61" t="s">
        <v>40</v>
      </c>
      <c r="I289" s="81" t="str">
        <f>IF(AND('DAY 1'!M289=""),"",('DAY 1'!M289))</f>
        <v/>
      </c>
      <c r="J289" s="79" t="str">
        <f>IF(AND('DAY 2'!M289=""),"",('DAY 2'!M289))</f>
        <v/>
      </c>
      <c r="K289" s="79" t="str">
        <f>IF(AND('DAY 3'!M289=""),"",('DAY 3'!M289))</f>
        <v/>
      </c>
      <c r="L289" s="79" t="str">
        <f>IF(AND('DAY 4'!M289=""),"",('DAY 4'!M289))</f>
        <v/>
      </c>
      <c r="M289" s="80" t="str">
        <f>IF(AND('DAY 5'!M289=""),"",('DAY 5'!M289))</f>
        <v/>
      </c>
      <c r="O289" s="78">
        <f>SUM('DAY 1'!L289,'DAY 2'!L289,'DAY 3'!L289,'DAY 4'!L289,'DAY 5'!L289)</f>
        <v>0</v>
      </c>
      <c r="P289" s="82" t="str">
        <f t="shared" si="32"/>
        <v/>
      </c>
      <c r="Q289" s="83" t="str">
        <f t="shared" si="33"/>
        <v/>
      </c>
      <c r="R289" s="148" t="str">
        <f t="shared" si="34"/>
        <v/>
      </c>
      <c r="S289" s="149" t="str">
        <f t="shared" si="35"/>
        <v/>
      </c>
      <c r="U289" s="66" t="str">
        <f>'DAY 1'!Y289</f>
        <v/>
      </c>
      <c r="V289" s="89" t="str">
        <f>'DAY 2'!Y289</f>
        <v/>
      </c>
      <c r="W289" s="89" t="str">
        <f>'DAY 3'!Y289</f>
        <v/>
      </c>
      <c r="X289" s="89" t="str">
        <f>'DAY 4'!Y289</f>
        <v/>
      </c>
      <c r="Y289" s="67" t="str">
        <f>'DAY 5'!Y289</f>
        <v/>
      </c>
      <c r="Z289" s="142" t="str">
        <f t="shared" si="36"/>
        <v/>
      </c>
      <c r="AA289" s="22" t="str">
        <f t="shared" si="37"/>
        <v/>
      </c>
      <c r="AB289" t="str">
        <f>'DAY 1'!Z289</f>
        <v/>
      </c>
      <c r="AC289" t="str">
        <f>'DAY 2'!Z289</f>
        <v/>
      </c>
      <c r="AD289" t="str">
        <f>'DAY 3'!Z289</f>
        <v/>
      </c>
      <c r="AE289" t="str">
        <f>'DAY 4'!Z289</f>
        <v/>
      </c>
      <c r="AF289" t="str">
        <f>'DAY 5'!Z289</f>
        <v/>
      </c>
      <c r="AG289" s="144" t="str">
        <f t="shared" si="38"/>
        <v/>
      </c>
      <c r="AH289" s="145" t="str">
        <f t="shared" si="39"/>
        <v/>
      </c>
    </row>
    <row r="290" spans="2:34" ht="15.75" thickBot="1" x14ac:dyDescent="0.3">
      <c r="B290" s="66" t="str">
        <f>IF(AND('ENTRY DATA'!C290=""),"",('ENTRY DATA'!C290))</f>
        <v/>
      </c>
      <c r="C290" s="67" t="str">
        <f>IF(AND('ENTRY DATA'!D290=""),"",('ENTRY DATA'!D290))</f>
        <v/>
      </c>
      <c r="E290" s="66" t="str">
        <f>IF(AND('ENTRY DATA'!F290=""),"",('ENTRY DATA'!F290))</f>
        <v/>
      </c>
      <c r="F290" s="67" t="str">
        <f>IF(AND('ENTRY DATA'!G290=""),"",('ENTRY DATA'!G290))</f>
        <v/>
      </c>
      <c r="G290" s="61" t="s">
        <v>40</v>
      </c>
      <c r="I290" s="81" t="str">
        <f>IF(AND('DAY 1'!M290=""),"",('DAY 1'!M290))</f>
        <v/>
      </c>
      <c r="J290" s="79" t="str">
        <f>IF(AND('DAY 2'!M290=""),"",('DAY 2'!M290))</f>
        <v/>
      </c>
      <c r="K290" s="79" t="str">
        <f>IF(AND('DAY 3'!M290=""),"",('DAY 3'!M290))</f>
        <v/>
      </c>
      <c r="L290" s="79" t="str">
        <f>IF(AND('DAY 4'!M290=""),"",('DAY 4'!M290))</f>
        <v/>
      </c>
      <c r="M290" s="80" t="str">
        <f>IF(AND('DAY 5'!M290=""),"",('DAY 5'!M290))</f>
        <v/>
      </c>
      <c r="O290" s="78">
        <f>SUM('DAY 1'!L290,'DAY 2'!L290,'DAY 3'!L290,'DAY 4'!L290,'DAY 5'!L290)</f>
        <v>0</v>
      </c>
      <c r="P290" s="82" t="str">
        <f t="shared" si="32"/>
        <v/>
      </c>
      <c r="Q290" s="83" t="str">
        <f t="shared" si="33"/>
        <v/>
      </c>
      <c r="R290" s="148" t="str">
        <f t="shared" si="34"/>
        <v/>
      </c>
      <c r="S290" s="149" t="str">
        <f t="shared" si="35"/>
        <v/>
      </c>
      <c r="U290" s="66" t="str">
        <f>'DAY 1'!Y290</f>
        <v/>
      </c>
      <c r="V290" s="89" t="str">
        <f>'DAY 2'!Y290</f>
        <v/>
      </c>
      <c r="W290" s="89" t="str">
        <f>'DAY 3'!Y290</f>
        <v/>
      </c>
      <c r="X290" s="89" t="str">
        <f>'DAY 4'!Y290</f>
        <v/>
      </c>
      <c r="Y290" s="67" t="str">
        <f>'DAY 5'!Y290</f>
        <v/>
      </c>
      <c r="Z290" s="142" t="str">
        <f t="shared" si="36"/>
        <v/>
      </c>
      <c r="AA290" s="22" t="str">
        <f t="shared" si="37"/>
        <v/>
      </c>
      <c r="AB290" t="str">
        <f>'DAY 1'!Z290</f>
        <v/>
      </c>
      <c r="AC290" t="str">
        <f>'DAY 2'!Z290</f>
        <v/>
      </c>
      <c r="AD290" t="str">
        <f>'DAY 3'!Z290</f>
        <v/>
      </c>
      <c r="AE290" t="str">
        <f>'DAY 4'!Z290</f>
        <v/>
      </c>
      <c r="AF290" t="str">
        <f>'DAY 5'!Z290</f>
        <v/>
      </c>
      <c r="AG290" s="144" t="str">
        <f t="shared" si="38"/>
        <v/>
      </c>
      <c r="AH290" s="145" t="str">
        <f t="shared" si="39"/>
        <v/>
      </c>
    </row>
    <row r="291" spans="2:34" ht="15.75" thickBot="1" x14ac:dyDescent="0.3">
      <c r="B291" s="66" t="str">
        <f>IF(AND('ENTRY DATA'!C291=""),"",('ENTRY DATA'!C291))</f>
        <v/>
      </c>
      <c r="C291" s="67" t="str">
        <f>IF(AND('ENTRY DATA'!D291=""),"",('ENTRY DATA'!D291))</f>
        <v/>
      </c>
      <c r="E291" s="66" t="str">
        <f>IF(AND('ENTRY DATA'!F291=""),"",('ENTRY DATA'!F291))</f>
        <v/>
      </c>
      <c r="F291" s="67" t="str">
        <f>IF(AND('ENTRY DATA'!G291=""),"",('ENTRY DATA'!G291))</f>
        <v/>
      </c>
      <c r="G291" s="61" t="s">
        <v>40</v>
      </c>
      <c r="I291" s="81" t="str">
        <f>IF(AND('DAY 1'!M291=""),"",('DAY 1'!M291))</f>
        <v/>
      </c>
      <c r="J291" s="79" t="str">
        <f>IF(AND('DAY 2'!M291=""),"",('DAY 2'!M291))</f>
        <v/>
      </c>
      <c r="K291" s="79" t="str">
        <f>IF(AND('DAY 3'!M291=""),"",('DAY 3'!M291))</f>
        <v/>
      </c>
      <c r="L291" s="79" t="str">
        <f>IF(AND('DAY 4'!M291=""),"",('DAY 4'!M291))</f>
        <v/>
      </c>
      <c r="M291" s="80" t="str">
        <f>IF(AND('DAY 5'!M291=""),"",('DAY 5'!M291))</f>
        <v/>
      </c>
      <c r="O291" s="78">
        <f>SUM('DAY 1'!L291,'DAY 2'!L291,'DAY 3'!L291,'DAY 4'!L291,'DAY 5'!L291)</f>
        <v>0</v>
      </c>
      <c r="P291" s="82" t="str">
        <f t="shared" si="32"/>
        <v/>
      </c>
      <c r="Q291" s="83" t="str">
        <f t="shared" si="33"/>
        <v/>
      </c>
      <c r="R291" s="148" t="str">
        <f t="shared" si="34"/>
        <v/>
      </c>
      <c r="S291" s="149" t="str">
        <f t="shared" si="35"/>
        <v/>
      </c>
      <c r="U291" s="66" t="str">
        <f>'DAY 1'!Y291</f>
        <v/>
      </c>
      <c r="V291" s="89" t="str">
        <f>'DAY 2'!Y291</f>
        <v/>
      </c>
      <c r="W291" s="89" t="str">
        <f>'DAY 3'!Y291</f>
        <v/>
      </c>
      <c r="X291" s="89" t="str">
        <f>'DAY 4'!Y291</f>
        <v/>
      </c>
      <c r="Y291" s="67" t="str">
        <f>'DAY 5'!Y291</f>
        <v/>
      </c>
      <c r="Z291" s="142" t="str">
        <f t="shared" si="36"/>
        <v/>
      </c>
      <c r="AA291" s="22" t="str">
        <f t="shared" si="37"/>
        <v/>
      </c>
      <c r="AB291" t="str">
        <f>'DAY 1'!Z291</f>
        <v/>
      </c>
      <c r="AC291" t="str">
        <f>'DAY 2'!Z291</f>
        <v/>
      </c>
      <c r="AD291" t="str">
        <f>'DAY 3'!Z291</f>
        <v/>
      </c>
      <c r="AE291" t="str">
        <f>'DAY 4'!Z291</f>
        <v/>
      </c>
      <c r="AF291" t="str">
        <f>'DAY 5'!Z291</f>
        <v/>
      </c>
      <c r="AG291" s="144" t="str">
        <f t="shared" si="38"/>
        <v/>
      </c>
      <c r="AH291" s="145" t="str">
        <f t="shared" si="39"/>
        <v/>
      </c>
    </row>
    <row r="292" spans="2:34" ht="15.75" thickBot="1" x14ac:dyDescent="0.3">
      <c r="B292" s="66" t="str">
        <f>IF(AND('ENTRY DATA'!C292=""),"",('ENTRY DATA'!C292))</f>
        <v/>
      </c>
      <c r="C292" s="67" t="str">
        <f>IF(AND('ENTRY DATA'!D292=""),"",('ENTRY DATA'!D292))</f>
        <v/>
      </c>
      <c r="E292" s="66" t="str">
        <f>IF(AND('ENTRY DATA'!F292=""),"",('ENTRY DATA'!F292))</f>
        <v/>
      </c>
      <c r="F292" s="67" t="str">
        <f>IF(AND('ENTRY DATA'!G292=""),"",('ENTRY DATA'!G292))</f>
        <v/>
      </c>
      <c r="G292" s="61" t="s">
        <v>40</v>
      </c>
      <c r="I292" s="81" t="str">
        <f>IF(AND('DAY 1'!M292=""),"",('DAY 1'!M292))</f>
        <v/>
      </c>
      <c r="J292" s="79" t="str">
        <f>IF(AND('DAY 2'!M292=""),"",('DAY 2'!M292))</f>
        <v/>
      </c>
      <c r="K292" s="79" t="str">
        <f>IF(AND('DAY 3'!M292=""),"",('DAY 3'!M292))</f>
        <v/>
      </c>
      <c r="L292" s="79" t="str">
        <f>IF(AND('DAY 4'!M292=""),"",('DAY 4'!M292))</f>
        <v/>
      </c>
      <c r="M292" s="80" t="str">
        <f>IF(AND('DAY 5'!M292=""),"",('DAY 5'!M292))</f>
        <v/>
      </c>
      <c r="O292" s="78">
        <f>SUM('DAY 1'!L292,'DAY 2'!L292,'DAY 3'!L292,'DAY 4'!L292,'DAY 5'!L292)</f>
        <v>0</v>
      </c>
      <c r="P292" s="82" t="str">
        <f t="shared" si="32"/>
        <v/>
      </c>
      <c r="Q292" s="83" t="str">
        <f t="shared" si="33"/>
        <v/>
      </c>
      <c r="R292" s="148" t="str">
        <f t="shared" si="34"/>
        <v/>
      </c>
      <c r="S292" s="149" t="str">
        <f t="shared" si="35"/>
        <v/>
      </c>
      <c r="U292" s="66" t="str">
        <f>'DAY 1'!Y292</f>
        <v/>
      </c>
      <c r="V292" s="89" t="str">
        <f>'DAY 2'!Y292</f>
        <v/>
      </c>
      <c r="W292" s="89" t="str">
        <f>'DAY 3'!Y292</f>
        <v/>
      </c>
      <c r="X292" s="89" t="str">
        <f>'DAY 4'!Y292</f>
        <v/>
      </c>
      <c r="Y292" s="67" t="str">
        <f>'DAY 5'!Y292</f>
        <v/>
      </c>
      <c r="Z292" s="142" t="str">
        <f t="shared" si="36"/>
        <v/>
      </c>
      <c r="AA292" s="22" t="str">
        <f t="shared" si="37"/>
        <v/>
      </c>
      <c r="AB292" t="str">
        <f>'DAY 1'!Z292</f>
        <v/>
      </c>
      <c r="AC292" t="str">
        <f>'DAY 2'!Z292</f>
        <v/>
      </c>
      <c r="AD292" t="str">
        <f>'DAY 3'!Z292</f>
        <v/>
      </c>
      <c r="AE292" t="str">
        <f>'DAY 4'!Z292</f>
        <v/>
      </c>
      <c r="AF292" t="str">
        <f>'DAY 5'!Z292</f>
        <v/>
      </c>
      <c r="AG292" s="144" t="str">
        <f t="shared" si="38"/>
        <v/>
      </c>
      <c r="AH292" s="145" t="str">
        <f t="shared" si="39"/>
        <v/>
      </c>
    </row>
    <row r="293" spans="2:34" ht="15.75" thickBot="1" x14ac:dyDescent="0.3">
      <c r="B293" s="66" t="str">
        <f>IF(AND('ENTRY DATA'!C293=""),"",('ENTRY DATA'!C293))</f>
        <v/>
      </c>
      <c r="C293" s="67" t="str">
        <f>IF(AND('ENTRY DATA'!D293=""),"",('ENTRY DATA'!D293))</f>
        <v/>
      </c>
      <c r="E293" s="66" t="str">
        <f>IF(AND('ENTRY DATA'!F293=""),"",('ENTRY DATA'!F293))</f>
        <v/>
      </c>
      <c r="F293" s="67" t="str">
        <f>IF(AND('ENTRY DATA'!G293=""),"",('ENTRY DATA'!G293))</f>
        <v/>
      </c>
      <c r="G293" s="61" t="s">
        <v>40</v>
      </c>
      <c r="I293" s="81" t="str">
        <f>IF(AND('DAY 1'!M293=""),"",('DAY 1'!M293))</f>
        <v/>
      </c>
      <c r="J293" s="79" t="str">
        <f>IF(AND('DAY 2'!M293=""),"",('DAY 2'!M293))</f>
        <v/>
      </c>
      <c r="K293" s="79" t="str">
        <f>IF(AND('DAY 3'!M293=""),"",('DAY 3'!M293))</f>
        <v/>
      </c>
      <c r="L293" s="79" t="str">
        <f>IF(AND('DAY 4'!M293=""),"",('DAY 4'!M293))</f>
        <v/>
      </c>
      <c r="M293" s="80" t="str">
        <f>IF(AND('DAY 5'!M293=""),"",('DAY 5'!M293))</f>
        <v/>
      </c>
      <c r="O293" s="78">
        <f>SUM('DAY 1'!L293,'DAY 2'!L293,'DAY 3'!L293,'DAY 4'!L293,'DAY 5'!L293)</f>
        <v>0</v>
      </c>
      <c r="P293" s="82" t="str">
        <f t="shared" si="32"/>
        <v/>
      </c>
      <c r="Q293" s="83" t="str">
        <f t="shared" si="33"/>
        <v/>
      </c>
      <c r="R293" s="148" t="str">
        <f t="shared" si="34"/>
        <v/>
      </c>
      <c r="S293" s="149" t="str">
        <f t="shared" si="35"/>
        <v/>
      </c>
      <c r="U293" s="66" t="str">
        <f>'DAY 1'!Y293</f>
        <v/>
      </c>
      <c r="V293" s="89" t="str">
        <f>'DAY 2'!Y293</f>
        <v/>
      </c>
      <c r="W293" s="89" t="str">
        <f>'DAY 3'!Y293</f>
        <v/>
      </c>
      <c r="X293" s="89" t="str">
        <f>'DAY 4'!Y293</f>
        <v/>
      </c>
      <c r="Y293" s="67" t="str">
        <f>'DAY 5'!Y293</f>
        <v/>
      </c>
      <c r="Z293" s="142" t="str">
        <f t="shared" si="36"/>
        <v/>
      </c>
      <c r="AA293" s="22" t="str">
        <f t="shared" si="37"/>
        <v/>
      </c>
      <c r="AB293" t="str">
        <f>'DAY 1'!Z293</f>
        <v/>
      </c>
      <c r="AC293" t="str">
        <f>'DAY 2'!Z293</f>
        <v/>
      </c>
      <c r="AD293" t="str">
        <f>'DAY 3'!Z293</f>
        <v/>
      </c>
      <c r="AE293" t="str">
        <f>'DAY 4'!Z293</f>
        <v/>
      </c>
      <c r="AF293" t="str">
        <f>'DAY 5'!Z293</f>
        <v/>
      </c>
      <c r="AG293" s="144" t="str">
        <f t="shared" si="38"/>
        <v/>
      </c>
      <c r="AH293" s="145" t="str">
        <f t="shared" si="39"/>
        <v/>
      </c>
    </row>
    <row r="294" spans="2:34" ht="15.75" thickBot="1" x14ac:dyDescent="0.3">
      <c r="B294" s="66" t="str">
        <f>IF(AND('ENTRY DATA'!C294=""),"",('ENTRY DATA'!C294))</f>
        <v/>
      </c>
      <c r="C294" s="67" t="str">
        <f>IF(AND('ENTRY DATA'!D294=""),"",('ENTRY DATA'!D294))</f>
        <v/>
      </c>
      <c r="E294" s="66" t="str">
        <f>IF(AND('ENTRY DATA'!F294=""),"",('ENTRY DATA'!F294))</f>
        <v/>
      </c>
      <c r="F294" s="67" t="str">
        <f>IF(AND('ENTRY DATA'!G294=""),"",('ENTRY DATA'!G294))</f>
        <v/>
      </c>
      <c r="G294" s="61" t="s">
        <v>40</v>
      </c>
      <c r="I294" s="81" t="str">
        <f>IF(AND('DAY 1'!M294=""),"",('DAY 1'!M294))</f>
        <v/>
      </c>
      <c r="J294" s="79" t="str">
        <f>IF(AND('DAY 2'!M294=""),"",('DAY 2'!M294))</f>
        <v/>
      </c>
      <c r="K294" s="79" t="str">
        <f>IF(AND('DAY 3'!M294=""),"",('DAY 3'!M294))</f>
        <v/>
      </c>
      <c r="L294" s="79" t="str">
        <f>IF(AND('DAY 4'!M294=""),"",('DAY 4'!M294))</f>
        <v/>
      </c>
      <c r="M294" s="80" t="str">
        <f>IF(AND('DAY 5'!M294=""),"",('DAY 5'!M294))</f>
        <v/>
      </c>
      <c r="O294" s="78">
        <f>SUM('DAY 1'!L294,'DAY 2'!L294,'DAY 3'!L294,'DAY 4'!L294,'DAY 5'!L294)</f>
        <v>0</v>
      </c>
      <c r="P294" s="82" t="str">
        <f t="shared" si="32"/>
        <v/>
      </c>
      <c r="Q294" s="83" t="str">
        <f t="shared" si="33"/>
        <v/>
      </c>
      <c r="R294" s="148" t="str">
        <f t="shared" si="34"/>
        <v/>
      </c>
      <c r="S294" s="149" t="str">
        <f t="shared" si="35"/>
        <v/>
      </c>
      <c r="U294" s="66" t="str">
        <f>'DAY 1'!Y294</f>
        <v/>
      </c>
      <c r="V294" s="89" t="str">
        <f>'DAY 2'!Y294</f>
        <v/>
      </c>
      <c r="W294" s="89" t="str">
        <f>'DAY 3'!Y294</f>
        <v/>
      </c>
      <c r="X294" s="89" t="str">
        <f>'DAY 4'!Y294</f>
        <v/>
      </c>
      <c r="Y294" s="67" t="str">
        <f>'DAY 5'!Y294</f>
        <v/>
      </c>
      <c r="Z294" s="142" t="str">
        <f t="shared" si="36"/>
        <v/>
      </c>
      <c r="AA294" s="22" t="str">
        <f t="shared" si="37"/>
        <v/>
      </c>
      <c r="AB294" t="str">
        <f>'DAY 1'!Z294</f>
        <v/>
      </c>
      <c r="AC294" t="str">
        <f>'DAY 2'!Z294</f>
        <v/>
      </c>
      <c r="AD294" t="str">
        <f>'DAY 3'!Z294</f>
        <v/>
      </c>
      <c r="AE294" t="str">
        <f>'DAY 4'!Z294</f>
        <v/>
      </c>
      <c r="AF294" t="str">
        <f>'DAY 5'!Z294</f>
        <v/>
      </c>
      <c r="AG294" s="144" t="str">
        <f t="shared" si="38"/>
        <v/>
      </c>
      <c r="AH294" s="145" t="str">
        <f t="shared" si="39"/>
        <v/>
      </c>
    </row>
    <row r="295" spans="2:34" ht="15.75" thickBot="1" x14ac:dyDescent="0.3">
      <c r="B295" s="66" t="str">
        <f>IF(AND('ENTRY DATA'!C295=""),"",('ENTRY DATA'!C295))</f>
        <v/>
      </c>
      <c r="C295" s="67" t="str">
        <f>IF(AND('ENTRY DATA'!D295=""),"",('ENTRY DATA'!D295))</f>
        <v/>
      </c>
      <c r="E295" s="66" t="str">
        <f>IF(AND('ENTRY DATA'!F295=""),"",('ENTRY DATA'!F295))</f>
        <v/>
      </c>
      <c r="F295" s="67" t="str">
        <f>IF(AND('ENTRY DATA'!G295=""),"",('ENTRY DATA'!G295))</f>
        <v/>
      </c>
      <c r="G295" s="61" t="s">
        <v>40</v>
      </c>
      <c r="I295" s="81" t="str">
        <f>IF(AND('DAY 1'!M295=""),"",('DAY 1'!M295))</f>
        <v/>
      </c>
      <c r="J295" s="79" t="str">
        <f>IF(AND('DAY 2'!M295=""),"",('DAY 2'!M295))</f>
        <v/>
      </c>
      <c r="K295" s="79" t="str">
        <f>IF(AND('DAY 3'!M295=""),"",('DAY 3'!M295))</f>
        <v/>
      </c>
      <c r="L295" s="79" t="str">
        <f>IF(AND('DAY 4'!M295=""),"",('DAY 4'!M295))</f>
        <v/>
      </c>
      <c r="M295" s="80" t="str">
        <f>IF(AND('DAY 5'!M295=""),"",('DAY 5'!M295))</f>
        <v/>
      </c>
      <c r="O295" s="78">
        <f>SUM('DAY 1'!L295,'DAY 2'!L295,'DAY 3'!L295,'DAY 4'!L295,'DAY 5'!L295)</f>
        <v>0</v>
      </c>
      <c r="P295" s="82" t="str">
        <f t="shared" si="32"/>
        <v/>
      </c>
      <c r="Q295" s="83" t="str">
        <f t="shared" si="33"/>
        <v/>
      </c>
      <c r="R295" s="148" t="str">
        <f t="shared" si="34"/>
        <v/>
      </c>
      <c r="S295" s="149" t="str">
        <f t="shared" si="35"/>
        <v/>
      </c>
      <c r="U295" s="66" t="str">
        <f>'DAY 1'!Y295</f>
        <v/>
      </c>
      <c r="V295" s="89" t="str">
        <f>'DAY 2'!Y295</f>
        <v/>
      </c>
      <c r="W295" s="89" t="str">
        <f>'DAY 3'!Y295</f>
        <v/>
      </c>
      <c r="X295" s="89" t="str">
        <f>'DAY 4'!Y295</f>
        <v/>
      </c>
      <c r="Y295" s="67" t="str">
        <f>'DAY 5'!Y295</f>
        <v/>
      </c>
      <c r="Z295" s="142" t="str">
        <f t="shared" si="36"/>
        <v/>
      </c>
      <c r="AA295" s="22" t="str">
        <f t="shared" si="37"/>
        <v/>
      </c>
      <c r="AB295" t="str">
        <f>'DAY 1'!Z295</f>
        <v/>
      </c>
      <c r="AC295" t="str">
        <f>'DAY 2'!Z295</f>
        <v/>
      </c>
      <c r="AD295" t="str">
        <f>'DAY 3'!Z295</f>
        <v/>
      </c>
      <c r="AE295" t="str">
        <f>'DAY 4'!Z295</f>
        <v/>
      </c>
      <c r="AF295" t="str">
        <f>'DAY 5'!Z295</f>
        <v/>
      </c>
      <c r="AG295" s="144" t="str">
        <f t="shared" si="38"/>
        <v/>
      </c>
      <c r="AH295" s="145" t="str">
        <f t="shared" si="39"/>
        <v/>
      </c>
    </row>
    <row r="296" spans="2:34" ht="15.75" thickBot="1" x14ac:dyDescent="0.3">
      <c r="B296" s="66" t="str">
        <f>IF(AND('ENTRY DATA'!C296=""),"",('ENTRY DATA'!C296))</f>
        <v/>
      </c>
      <c r="C296" s="67" t="str">
        <f>IF(AND('ENTRY DATA'!D296=""),"",('ENTRY DATA'!D296))</f>
        <v/>
      </c>
      <c r="E296" s="66" t="str">
        <f>IF(AND('ENTRY DATA'!F296=""),"",('ENTRY DATA'!F296))</f>
        <v/>
      </c>
      <c r="F296" s="67" t="str">
        <f>IF(AND('ENTRY DATA'!G296=""),"",('ENTRY DATA'!G296))</f>
        <v/>
      </c>
      <c r="G296" s="61" t="s">
        <v>40</v>
      </c>
      <c r="I296" s="81" t="str">
        <f>IF(AND('DAY 1'!M296=""),"",('DAY 1'!M296))</f>
        <v/>
      </c>
      <c r="J296" s="79" t="str">
        <f>IF(AND('DAY 2'!M296=""),"",('DAY 2'!M296))</f>
        <v/>
      </c>
      <c r="K296" s="79" t="str">
        <f>IF(AND('DAY 3'!M296=""),"",('DAY 3'!M296))</f>
        <v/>
      </c>
      <c r="L296" s="79" t="str">
        <f>IF(AND('DAY 4'!M296=""),"",('DAY 4'!M296))</f>
        <v/>
      </c>
      <c r="M296" s="80" t="str">
        <f>IF(AND('DAY 5'!M296=""),"",('DAY 5'!M296))</f>
        <v/>
      </c>
      <c r="O296" s="78">
        <f>SUM('DAY 1'!L296,'DAY 2'!L296,'DAY 3'!L296,'DAY 4'!L296,'DAY 5'!L296)</f>
        <v>0</v>
      </c>
      <c r="P296" s="82" t="str">
        <f t="shared" si="32"/>
        <v/>
      </c>
      <c r="Q296" s="83" t="str">
        <f t="shared" si="33"/>
        <v/>
      </c>
      <c r="R296" s="148" t="str">
        <f t="shared" si="34"/>
        <v/>
      </c>
      <c r="S296" s="149" t="str">
        <f t="shared" si="35"/>
        <v/>
      </c>
      <c r="U296" s="66" t="str">
        <f>'DAY 1'!Y296</f>
        <v/>
      </c>
      <c r="V296" s="89" t="str">
        <f>'DAY 2'!Y296</f>
        <v/>
      </c>
      <c r="W296" s="89" t="str">
        <f>'DAY 3'!Y296</f>
        <v/>
      </c>
      <c r="X296" s="89" t="str">
        <f>'DAY 4'!Y296</f>
        <v/>
      </c>
      <c r="Y296" s="67" t="str">
        <f>'DAY 5'!Y296</f>
        <v/>
      </c>
      <c r="Z296" s="142" t="str">
        <f t="shared" si="36"/>
        <v/>
      </c>
      <c r="AA296" s="22" t="str">
        <f t="shared" si="37"/>
        <v/>
      </c>
      <c r="AB296" t="str">
        <f>'DAY 1'!Z296</f>
        <v/>
      </c>
      <c r="AC296" t="str">
        <f>'DAY 2'!Z296</f>
        <v/>
      </c>
      <c r="AD296" t="str">
        <f>'DAY 3'!Z296</f>
        <v/>
      </c>
      <c r="AE296" t="str">
        <f>'DAY 4'!Z296</f>
        <v/>
      </c>
      <c r="AF296" t="str">
        <f>'DAY 5'!Z296</f>
        <v/>
      </c>
      <c r="AG296" s="144" t="str">
        <f t="shared" si="38"/>
        <v/>
      </c>
      <c r="AH296" s="145" t="str">
        <f t="shared" si="39"/>
        <v/>
      </c>
    </row>
    <row r="297" spans="2:34" ht="15.75" thickBot="1" x14ac:dyDescent="0.3">
      <c r="B297" s="66" t="str">
        <f>IF(AND('ENTRY DATA'!C297=""),"",('ENTRY DATA'!C297))</f>
        <v/>
      </c>
      <c r="C297" s="67" t="str">
        <f>IF(AND('ENTRY DATA'!D297=""),"",('ENTRY DATA'!D297))</f>
        <v/>
      </c>
      <c r="E297" s="66" t="str">
        <f>IF(AND('ENTRY DATA'!F297=""),"",('ENTRY DATA'!F297))</f>
        <v/>
      </c>
      <c r="F297" s="67" t="str">
        <f>IF(AND('ENTRY DATA'!G297=""),"",('ENTRY DATA'!G297))</f>
        <v/>
      </c>
      <c r="G297" s="61" t="s">
        <v>40</v>
      </c>
      <c r="I297" s="81" t="str">
        <f>IF(AND('DAY 1'!M297=""),"",('DAY 1'!M297))</f>
        <v/>
      </c>
      <c r="J297" s="79" t="str">
        <f>IF(AND('DAY 2'!M297=""),"",('DAY 2'!M297))</f>
        <v/>
      </c>
      <c r="K297" s="79" t="str">
        <f>IF(AND('DAY 3'!M297=""),"",('DAY 3'!M297))</f>
        <v/>
      </c>
      <c r="L297" s="79" t="str">
        <f>IF(AND('DAY 4'!M297=""),"",('DAY 4'!M297))</f>
        <v/>
      </c>
      <c r="M297" s="80" t="str">
        <f>IF(AND('DAY 5'!M297=""),"",('DAY 5'!M297))</f>
        <v/>
      </c>
      <c r="O297" s="78">
        <f>SUM('DAY 1'!L297,'DAY 2'!L297,'DAY 3'!L297,'DAY 4'!L297,'DAY 5'!L297)</f>
        <v>0</v>
      </c>
      <c r="P297" s="82" t="str">
        <f t="shared" si="32"/>
        <v/>
      </c>
      <c r="Q297" s="83" t="str">
        <f t="shared" si="33"/>
        <v/>
      </c>
      <c r="R297" s="148" t="str">
        <f t="shared" si="34"/>
        <v/>
      </c>
      <c r="S297" s="149" t="str">
        <f t="shared" si="35"/>
        <v/>
      </c>
      <c r="U297" s="66" t="str">
        <f>'DAY 1'!Y297</f>
        <v/>
      </c>
      <c r="V297" s="89" t="str">
        <f>'DAY 2'!Y297</f>
        <v/>
      </c>
      <c r="W297" s="89" t="str">
        <f>'DAY 3'!Y297</f>
        <v/>
      </c>
      <c r="X297" s="89" t="str">
        <f>'DAY 4'!Y297</f>
        <v/>
      </c>
      <c r="Y297" s="67" t="str">
        <f>'DAY 5'!Y297</f>
        <v/>
      </c>
      <c r="Z297" s="142" t="str">
        <f t="shared" si="36"/>
        <v/>
      </c>
      <c r="AA297" s="22" t="str">
        <f t="shared" si="37"/>
        <v/>
      </c>
      <c r="AB297" t="str">
        <f>'DAY 1'!Z297</f>
        <v/>
      </c>
      <c r="AC297" t="str">
        <f>'DAY 2'!Z297</f>
        <v/>
      </c>
      <c r="AD297" t="str">
        <f>'DAY 3'!Z297</f>
        <v/>
      </c>
      <c r="AE297" t="str">
        <f>'DAY 4'!Z297</f>
        <v/>
      </c>
      <c r="AF297" t="str">
        <f>'DAY 5'!Z297</f>
        <v/>
      </c>
      <c r="AG297" s="144" t="str">
        <f t="shared" si="38"/>
        <v/>
      </c>
      <c r="AH297" s="145" t="str">
        <f t="shared" si="39"/>
        <v/>
      </c>
    </row>
    <row r="298" spans="2:34" ht="15.75" thickBot="1" x14ac:dyDescent="0.3">
      <c r="B298" s="66" t="str">
        <f>IF(AND('ENTRY DATA'!C298=""),"",('ENTRY DATA'!C298))</f>
        <v/>
      </c>
      <c r="C298" s="67" t="str">
        <f>IF(AND('ENTRY DATA'!D298=""),"",('ENTRY DATA'!D298))</f>
        <v/>
      </c>
      <c r="E298" s="66" t="str">
        <f>IF(AND('ENTRY DATA'!F298=""),"",('ENTRY DATA'!F298))</f>
        <v/>
      </c>
      <c r="F298" s="67" t="str">
        <f>IF(AND('ENTRY DATA'!G298=""),"",('ENTRY DATA'!G298))</f>
        <v/>
      </c>
      <c r="G298" s="61" t="s">
        <v>40</v>
      </c>
      <c r="I298" s="81" t="str">
        <f>IF(AND('DAY 1'!M298=""),"",('DAY 1'!M298))</f>
        <v/>
      </c>
      <c r="J298" s="79" t="str">
        <f>IF(AND('DAY 2'!M298=""),"",('DAY 2'!M298))</f>
        <v/>
      </c>
      <c r="K298" s="79" t="str">
        <f>IF(AND('DAY 3'!M298=""),"",('DAY 3'!M298))</f>
        <v/>
      </c>
      <c r="L298" s="79" t="str">
        <f>IF(AND('DAY 4'!M298=""),"",('DAY 4'!M298))</f>
        <v/>
      </c>
      <c r="M298" s="80" t="str">
        <f>IF(AND('DAY 5'!M298=""),"",('DAY 5'!M298))</f>
        <v/>
      </c>
      <c r="O298" s="78">
        <f>SUM('DAY 1'!L298,'DAY 2'!L298,'DAY 3'!L298,'DAY 4'!L298,'DAY 5'!L298)</f>
        <v>0</v>
      </c>
      <c r="P298" s="82" t="str">
        <f t="shared" si="32"/>
        <v/>
      </c>
      <c r="Q298" s="83" t="str">
        <f t="shared" si="33"/>
        <v/>
      </c>
      <c r="R298" s="148" t="str">
        <f t="shared" si="34"/>
        <v/>
      </c>
      <c r="S298" s="149" t="str">
        <f t="shared" si="35"/>
        <v/>
      </c>
      <c r="U298" s="66" t="str">
        <f>'DAY 1'!Y298</f>
        <v/>
      </c>
      <c r="V298" s="89" t="str">
        <f>'DAY 2'!Y298</f>
        <v/>
      </c>
      <c r="W298" s="89" t="str">
        <f>'DAY 3'!Y298</f>
        <v/>
      </c>
      <c r="X298" s="89" t="str">
        <f>'DAY 4'!Y298</f>
        <v/>
      </c>
      <c r="Y298" s="67" t="str">
        <f>'DAY 5'!Y298</f>
        <v/>
      </c>
      <c r="Z298" s="142" t="str">
        <f t="shared" si="36"/>
        <v/>
      </c>
      <c r="AA298" s="22" t="str">
        <f t="shared" si="37"/>
        <v/>
      </c>
      <c r="AB298" t="str">
        <f>'DAY 1'!Z298</f>
        <v/>
      </c>
      <c r="AC298" t="str">
        <f>'DAY 2'!Z298</f>
        <v/>
      </c>
      <c r="AD298" t="str">
        <f>'DAY 3'!Z298</f>
        <v/>
      </c>
      <c r="AE298" t="str">
        <f>'DAY 4'!Z298</f>
        <v/>
      </c>
      <c r="AF298" t="str">
        <f>'DAY 5'!Z298</f>
        <v/>
      </c>
      <c r="AG298" s="144" t="str">
        <f t="shared" si="38"/>
        <v/>
      </c>
      <c r="AH298" s="145" t="str">
        <f t="shared" si="39"/>
        <v/>
      </c>
    </row>
    <row r="299" spans="2:34" ht="15.75" thickBot="1" x14ac:dyDescent="0.3">
      <c r="B299" s="66" t="str">
        <f>IF(AND('ENTRY DATA'!C299=""),"",('ENTRY DATA'!C299))</f>
        <v/>
      </c>
      <c r="C299" s="67" t="str">
        <f>IF(AND('ENTRY DATA'!D299=""),"",('ENTRY DATA'!D299))</f>
        <v/>
      </c>
      <c r="E299" s="66" t="str">
        <f>IF(AND('ENTRY DATA'!F299=""),"",('ENTRY DATA'!F299))</f>
        <v/>
      </c>
      <c r="F299" s="67" t="str">
        <f>IF(AND('ENTRY DATA'!G299=""),"",('ENTRY DATA'!G299))</f>
        <v/>
      </c>
      <c r="G299" s="61" t="s">
        <v>40</v>
      </c>
      <c r="I299" s="81" t="str">
        <f>IF(AND('DAY 1'!M299=""),"",('DAY 1'!M299))</f>
        <v/>
      </c>
      <c r="J299" s="79" t="str">
        <f>IF(AND('DAY 2'!M299=""),"",('DAY 2'!M299))</f>
        <v/>
      </c>
      <c r="K299" s="79" t="str">
        <f>IF(AND('DAY 3'!M299=""),"",('DAY 3'!M299))</f>
        <v/>
      </c>
      <c r="L299" s="79" t="str">
        <f>IF(AND('DAY 4'!M299=""),"",('DAY 4'!M299))</f>
        <v/>
      </c>
      <c r="M299" s="80" t="str">
        <f>IF(AND('DAY 5'!M299=""),"",('DAY 5'!M299))</f>
        <v/>
      </c>
      <c r="O299" s="78">
        <f>SUM('DAY 1'!L299,'DAY 2'!L299,'DAY 3'!L299,'DAY 4'!L299,'DAY 5'!L299)</f>
        <v>0</v>
      </c>
      <c r="P299" s="82" t="str">
        <f t="shared" si="32"/>
        <v/>
      </c>
      <c r="Q299" s="83" t="str">
        <f t="shared" si="33"/>
        <v/>
      </c>
      <c r="R299" s="148" t="str">
        <f t="shared" si="34"/>
        <v/>
      </c>
      <c r="S299" s="149" t="str">
        <f t="shared" si="35"/>
        <v/>
      </c>
      <c r="U299" s="66" t="str">
        <f>'DAY 1'!Y299</f>
        <v/>
      </c>
      <c r="V299" s="89" t="str">
        <f>'DAY 2'!Y299</f>
        <v/>
      </c>
      <c r="W299" s="89" t="str">
        <f>'DAY 3'!Y299</f>
        <v/>
      </c>
      <c r="X299" s="89" t="str">
        <f>'DAY 4'!Y299</f>
        <v/>
      </c>
      <c r="Y299" s="67" t="str">
        <f>'DAY 5'!Y299</f>
        <v/>
      </c>
      <c r="Z299" s="142" t="str">
        <f t="shared" si="36"/>
        <v/>
      </c>
      <c r="AA299" s="22" t="str">
        <f t="shared" si="37"/>
        <v/>
      </c>
      <c r="AB299" t="str">
        <f>'DAY 1'!Z299</f>
        <v/>
      </c>
      <c r="AC299" t="str">
        <f>'DAY 2'!Z299</f>
        <v/>
      </c>
      <c r="AD299" t="str">
        <f>'DAY 3'!Z299</f>
        <v/>
      </c>
      <c r="AE299" t="str">
        <f>'DAY 4'!Z299</f>
        <v/>
      </c>
      <c r="AF299" t="str">
        <f>'DAY 5'!Z299</f>
        <v/>
      </c>
      <c r="AG299" s="144" t="str">
        <f t="shared" si="38"/>
        <v/>
      </c>
      <c r="AH299" s="145" t="str">
        <f t="shared" si="39"/>
        <v/>
      </c>
    </row>
    <row r="300" spans="2:34" ht="15.75" thickBot="1" x14ac:dyDescent="0.3">
      <c r="B300" s="68" t="str">
        <f>IF(AND('ENTRY DATA'!C300=""),"",('ENTRY DATA'!C300))</f>
        <v/>
      </c>
      <c r="C300" s="69" t="str">
        <f>IF(AND('ENTRY DATA'!D300=""),"",('ENTRY DATA'!D300))</f>
        <v/>
      </c>
      <c r="E300" s="68" t="str">
        <f>IF(AND('ENTRY DATA'!F300=""),"",('ENTRY DATA'!F300))</f>
        <v/>
      </c>
      <c r="F300" s="69" t="str">
        <f>IF(AND('ENTRY DATA'!G300=""),"",('ENTRY DATA'!G300))</f>
        <v/>
      </c>
      <c r="G300" s="61" t="s">
        <v>40</v>
      </c>
      <c r="I300" s="84" t="str">
        <f>IF(AND('DAY 1'!M300=""),"",('DAY 1'!M300))</f>
        <v/>
      </c>
      <c r="J300" s="79" t="str">
        <f>IF(AND('DAY 2'!M300=""),"",('DAY 2'!M300))</f>
        <v/>
      </c>
      <c r="K300" s="79" t="str">
        <f>IF(AND('DAY 3'!M300=""),"",('DAY 3'!M300))</f>
        <v/>
      </c>
      <c r="L300" s="79" t="str">
        <f>IF(AND('DAY 4'!M300=""),"",('DAY 4'!M300))</f>
        <v/>
      </c>
      <c r="M300" s="80" t="str">
        <f>IF(AND('DAY 5'!M300=""),"",('DAY 5'!M300))</f>
        <v/>
      </c>
      <c r="O300" s="78">
        <f>SUM('DAY 1'!L300,'DAY 2'!L300,'DAY 3'!L300,'DAY 4'!L300,'DAY 5'!L300)</f>
        <v>0</v>
      </c>
      <c r="P300" s="85" t="str">
        <f t="shared" si="32"/>
        <v/>
      </c>
      <c r="Q300" s="86" t="str">
        <f t="shared" si="33"/>
        <v/>
      </c>
      <c r="R300" s="150" t="str">
        <f t="shared" si="34"/>
        <v/>
      </c>
      <c r="S300" s="151" t="str">
        <f t="shared" si="35"/>
        <v/>
      </c>
      <c r="U300" s="68" t="str">
        <f>'DAY 1'!Y300</f>
        <v/>
      </c>
      <c r="V300" s="89" t="str">
        <f>'DAY 2'!Y300</f>
        <v/>
      </c>
      <c r="W300" s="89" t="str">
        <f>'DAY 3'!Y300</f>
        <v/>
      </c>
      <c r="X300" s="89" t="str">
        <f>'DAY 4'!Y300</f>
        <v/>
      </c>
      <c r="Y300" s="67" t="str">
        <f>'DAY 5'!Y300</f>
        <v/>
      </c>
      <c r="Z300" s="143" t="str">
        <f t="shared" si="36"/>
        <v/>
      </c>
      <c r="AA300" s="127" t="str">
        <f t="shared" si="37"/>
        <v/>
      </c>
      <c r="AB300" t="str">
        <f>'DAY 1'!Z300</f>
        <v/>
      </c>
      <c r="AC300" t="str">
        <f>'DAY 2'!Z300</f>
        <v/>
      </c>
      <c r="AD300" t="str">
        <f>'DAY 3'!Z300</f>
        <v/>
      </c>
      <c r="AE300" t="str">
        <f>'DAY 4'!Z300</f>
        <v/>
      </c>
      <c r="AF300" t="str">
        <f>'DAY 5'!Z300</f>
        <v/>
      </c>
      <c r="AG300" s="144" t="str">
        <f t="shared" si="38"/>
        <v/>
      </c>
      <c r="AH300" s="145" t="str">
        <f t="shared" si="39"/>
        <v/>
      </c>
    </row>
  </sheetData>
  <mergeCells count="5">
    <mergeCell ref="B3:C3"/>
    <mergeCell ref="E3:F3"/>
    <mergeCell ref="I3:M3"/>
    <mergeCell ref="U3:Y3"/>
    <mergeCell ref="AB3:AF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W300"/>
  <sheetViews>
    <sheetView topLeftCell="I1" workbookViewId="0">
      <selection activeCell="AB12" sqref="AB12"/>
    </sheetView>
  </sheetViews>
  <sheetFormatPr defaultRowHeight="15" x14ac:dyDescent="0.25"/>
  <cols>
    <col min="1" max="1" width="1.5703125" customWidth="1"/>
    <col min="2" max="2" width="12.28515625" customWidth="1"/>
    <col min="3" max="3" width="23" customWidth="1"/>
    <col min="4" max="4" width="2.28515625" customWidth="1"/>
    <col min="5" max="5" width="27.42578125" customWidth="1"/>
    <col min="6" max="6" width="16.85546875" customWidth="1"/>
    <col min="9" max="9" width="15" style="1" customWidth="1"/>
    <col min="10" max="10" width="14.42578125" style="1" customWidth="1"/>
    <col min="11" max="11" width="14.85546875" style="1" customWidth="1"/>
    <col min="12" max="13" width="9.140625" style="1"/>
    <col min="15" max="15" width="10.5703125" style="1" customWidth="1"/>
    <col min="16" max="16" width="13.5703125" style="1" customWidth="1"/>
    <col min="17" max="17" width="11.7109375" style="1" customWidth="1"/>
    <col min="18" max="18" width="5.7109375" customWidth="1"/>
    <col min="19" max="19" width="15.5703125" customWidth="1"/>
    <col min="20" max="20" width="16.5703125" customWidth="1"/>
    <col min="21" max="21" width="14.5703125" customWidth="1"/>
  </cols>
  <sheetData>
    <row r="2" spans="2:23" ht="15.75" thickBot="1" x14ac:dyDescent="0.3"/>
    <row r="3" spans="2:23" ht="16.5" thickTop="1" thickBot="1" x14ac:dyDescent="0.3">
      <c r="B3" s="152" t="s">
        <v>9</v>
      </c>
      <c r="C3" s="153"/>
      <c r="D3" s="7"/>
      <c r="E3" s="152" t="s">
        <v>10</v>
      </c>
      <c r="F3" s="153"/>
      <c r="G3" s="7"/>
      <c r="H3" s="7"/>
      <c r="I3" s="180" t="s">
        <v>39</v>
      </c>
      <c r="J3" s="180"/>
      <c r="K3" s="180"/>
      <c r="L3" s="180"/>
      <c r="M3" s="180"/>
      <c r="S3" s="180" t="s">
        <v>62</v>
      </c>
      <c r="T3" s="180"/>
      <c r="U3" s="180"/>
      <c r="V3" s="180"/>
      <c r="W3" s="180"/>
    </row>
    <row r="4" spans="2:23" ht="16.5" thickTop="1" thickBot="1" x14ac:dyDescent="0.3">
      <c r="B4" s="62" t="s">
        <v>1</v>
      </c>
      <c r="C4" s="63" t="s">
        <v>2</v>
      </c>
      <c r="D4" s="8"/>
      <c r="E4" s="62" t="s">
        <v>3</v>
      </c>
      <c r="F4" s="63" t="s">
        <v>11</v>
      </c>
      <c r="G4" s="87" t="s">
        <v>41</v>
      </c>
      <c r="H4" s="8"/>
      <c r="I4" s="10" t="s">
        <v>42</v>
      </c>
      <c r="J4" s="77" t="s">
        <v>43</v>
      </c>
      <c r="K4" s="77" t="s">
        <v>44</v>
      </c>
      <c r="L4" s="77" t="s">
        <v>45</v>
      </c>
      <c r="M4" s="11" t="s">
        <v>46</v>
      </c>
      <c r="O4" s="74" t="s">
        <v>16</v>
      </c>
      <c r="P4" s="75" t="s">
        <v>25</v>
      </c>
      <c r="Q4" s="76" t="s">
        <v>17</v>
      </c>
      <c r="S4" s="117" t="s">
        <v>42</v>
      </c>
      <c r="T4" s="77" t="s">
        <v>43</v>
      </c>
      <c r="U4" s="77" t="s">
        <v>44</v>
      </c>
      <c r="V4" s="77" t="s">
        <v>45</v>
      </c>
      <c r="W4" s="118" t="s">
        <v>46</v>
      </c>
    </row>
    <row r="5" spans="2:23" ht="15.75" thickBot="1" x14ac:dyDescent="0.3">
      <c r="B5" s="64" t="str">
        <f>IF(AND('ROSTER UPDATE'!B5=""),"",('ROSTER UPDATE'!B5))</f>
        <v/>
      </c>
      <c r="C5" s="65" t="str">
        <f>IF(AND('ROSTER UPDATE'!E5=""),"",('ROSTER UPDATE'!E5))</f>
        <v/>
      </c>
      <c r="E5" s="64" t="str">
        <f>IF(AND('ROSTER UPDATE'!F5=""),"",('ROSTER UPDATE'!F5))</f>
        <v/>
      </c>
      <c r="F5" s="65" t="str">
        <f>IF(AND('ROSTER UPDATE'!C5=""),"",('ROSTER UPDATE'!C5))</f>
        <v/>
      </c>
      <c r="G5" s="87" t="s">
        <v>41</v>
      </c>
      <c r="I5" s="78">
        <f>SUM('ROSTER UPDATE'!H5:'ROSTER UPDATE'!J5)</f>
        <v>19</v>
      </c>
      <c r="J5" s="79">
        <f>SUM('ROSTER UPDATE'!K5:'ROSTER UPDATE'!M5)</f>
        <v>0</v>
      </c>
      <c r="K5" s="79">
        <f>SUM('ROSTER UPDATE'!N5:'ROSTER UPDATE'!P5)</f>
        <v>0</v>
      </c>
      <c r="L5" s="79"/>
      <c r="M5" s="80"/>
      <c r="O5" s="78">
        <f>IF(AND('ROSTER UPDATE'!R5=""),"",('ROSTER UPDATE'!R5))</f>
        <v>3</v>
      </c>
      <c r="P5" s="79">
        <f>IF(AND('ROSTER UPDATE'!S5=""),"",('ROSTER UPDATE'!S5))</f>
        <v>1</v>
      </c>
      <c r="Q5" s="80">
        <f>IF(AND('ROSTER UPDATE'!T5=""),"",('ROSTER UPDATE'!T5))</f>
        <v>19</v>
      </c>
      <c r="S5" s="78"/>
      <c r="T5" s="79">
        <f>SUM('ROSTER UPDATE'!U5:'ROSTER UPDATE'!W5)</f>
        <v>1</v>
      </c>
      <c r="U5" s="79">
        <f>SUM('ROSTER UPDATE'!X5:'ROSTER UPDATE'!Z5)</f>
        <v>0</v>
      </c>
      <c r="V5" s="79"/>
      <c r="W5" s="80"/>
    </row>
    <row r="6" spans="2:23" ht="15.75" thickBot="1" x14ac:dyDescent="0.3">
      <c r="B6" s="64" t="str">
        <f>IF(AND('ROSTER UPDATE'!B6=""),"",('ROSTER UPDATE'!B6))</f>
        <v/>
      </c>
      <c r="C6" s="65" t="str">
        <f>IF(AND('ROSTER UPDATE'!E6=""),"",('ROSTER UPDATE'!E6))</f>
        <v/>
      </c>
      <c r="E6" s="64" t="str">
        <f>IF(AND('ROSTER UPDATE'!F6=""),"",('ROSTER UPDATE'!F6))</f>
        <v/>
      </c>
      <c r="F6" s="65" t="str">
        <f>IF(AND('ROSTER UPDATE'!C6=""),"",('ROSTER UPDATE'!C6))</f>
        <v/>
      </c>
      <c r="G6" s="87" t="s">
        <v>41</v>
      </c>
      <c r="I6" s="78">
        <f>SUM('ROSTER UPDATE'!H6:'ROSTER UPDATE'!J6)</f>
        <v>0</v>
      </c>
      <c r="J6" s="79">
        <f>SUM('ROSTER UPDATE'!K6:'ROSTER UPDATE'!M6)</f>
        <v>0</v>
      </c>
      <c r="K6" s="79">
        <f>SUM('ROSTER UPDATE'!N6:'ROSTER UPDATE'!P6)</f>
        <v>0</v>
      </c>
      <c r="L6" s="79"/>
      <c r="M6" s="80"/>
      <c r="O6" s="78">
        <f>IF(AND('ROSTER UPDATE'!R6=""),"",('ROSTER UPDATE'!R6))</f>
        <v>0</v>
      </c>
      <c r="P6" s="79">
        <f>IF(AND('ROSTER UPDATE'!S6=""),"",('ROSTER UPDATE'!S6))</f>
        <v>0</v>
      </c>
      <c r="Q6" s="80" t="str">
        <f>IF(AND('ROSTER UPDATE'!T6=""),"",('ROSTER UPDATE'!T6))</f>
        <v/>
      </c>
      <c r="S6" s="78">
        <f>SUM('ROSTER UPDATE'!R6:'ROSTER UPDATE'!T6)</f>
        <v>0</v>
      </c>
      <c r="T6" s="79">
        <f>SUM('ROSTER UPDATE'!U6:'ROSTER UPDATE'!W6)</f>
        <v>0</v>
      </c>
      <c r="U6" s="79">
        <f>SUM('ROSTER UPDATE'!X6:'ROSTER UPDATE'!Z6)</f>
        <v>0</v>
      </c>
      <c r="V6" s="79"/>
      <c r="W6" s="80"/>
    </row>
    <row r="7" spans="2:23" ht="15.75" thickBot="1" x14ac:dyDescent="0.3">
      <c r="B7" s="64" t="str">
        <f>IF(AND('ROSTER UPDATE'!B7=""),"",('ROSTER UPDATE'!B7))</f>
        <v/>
      </c>
      <c r="C7" s="65" t="str">
        <f>IF(AND('ROSTER UPDATE'!E7=""),"",('ROSTER UPDATE'!E7))</f>
        <v/>
      </c>
      <c r="E7" s="64" t="str">
        <f>IF(AND('ROSTER UPDATE'!F7=""),"",('ROSTER UPDATE'!F7))</f>
        <v/>
      </c>
      <c r="F7" s="65" t="str">
        <f>IF(AND('ROSTER UPDATE'!C7=""),"",('ROSTER UPDATE'!C7))</f>
        <v/>
      </c>
      <c r="G7" s="87" t="s">
        <v>41</v>
      </c>
      <c r="I7" s="78">
        <f>SUM('ROSTER UPDATE'!H7:'ROSTER UPDATE'!J7)</f>
        <v>0</v>
      </c>
      <c r="J7" s="79">
        <f>SUM('ROSTER UPDATE'!K7:'ROSTER UPDATE'!M7)</f>
        <v>0</v>
      </c>
      <c r="K7" s="79">
        <f>SUM('ROSTER UPDATE'!N7:'ROSTER UPDATE'!P7)</f>
        <v>0</v>
      </c>
      <c r="L7" s="79"/>
      <c r="M7" s="80"/>
      <c r="O7" s="78">
        <f>IF(AND('ROSTER UPDATE'!R7=""),"",('ROSTER UPDATE'!R7))</f>
        <v>0</v>
      </c>
      <c r="P7" s="79">
        <f>IF(AND('ROSTER UPDATE'!S7=""),"",('ROSTER UPDATE'!S7))</f>
        <v>0</v>
      </c>
      <c r="Q7" s="80" t="str">
        <f>IF(AND('ROSTER UPDATE'!T7=""),"",('ROSTER UPDATE'!T7))</f>
        <v/>
      </c>
      <c r="S7" s="78">
        <f>SUM('ROSTER UPDATE'!R7:'ROSTER UPDATE'!T7)</f>
        <v>0</v>
      </c>
      <c r="T7" s="79">
        <f>SUM('ROSTER UPDATE'!U7:'ROSTER UPDATE'!W7)</f>
        <v>0</v>
      </c>
      <c r="U7" s="79">
        <f>SUM('ROSTER UPDATE'!X7:'ROSTER UPDATE'!Z7)</f>
        <v>0</v>
      </c>
      <c r="V7" s="79"/>
      <c r="W7" s="80"/>
    </row>
    <row r="8" spans="2:23" ht="15.75" thickBot="1" x14ac:dyDescent="0.3">
      <c r="B8" s="64" t="str">
        <f>IF(AND('ROSTER UPDATE'!B8=""),"",('ROSTER UPDATE'!B8))</f>
        <v/>
      </c>
      <c r="C8" s="65" t="str">
        <f>IF(AND('ROSTER UPDATE'!E8=""),"",('ROSTER UPDATE'!E8))</f>
        <v/>
      </c>
      <c r="E8" s="64" t="str">
        <f>IF(AND('ROSTER UPDATE'!F8=""),"",('ROSTER UPDATE'!F8))</f>
        <v/>
      </c>
      <c r="F8" s="65" t="str">
        <f>IF(AND('ROSTER UPDATE'!C8=""),"",('ROSTER UPDATE'!C8))</f>
        <v/>
      </c>
      <c r="G8" s="87" t="s">
        <v>41</v>
      </c>
      <c r="I8" s="78">
        <f>SUM('ROSTER UPDATE'!H8:'ROSTER UPDATE'!J8)</f>
        <v>0</v>
      </c>
      <c r="J8" s="79">
        <f>SUM('ROSTER UPDATE'!K8:'ROSTER UPDATE'!M8)</f>
        <v>0</v>
      </c>
      <c r="K8" s="79">
        <f>SUM('ROSTER UPDATE'!N8:'ROSTER UPDATE'!P8)</f>
        <v>0</v>
      </c>
      <c r="L8" s="79"/>
      <c r="M8" s="80"/>
      <c r="O8" s="78">
        <f>IF(AND('ROSTER UPDATE'!R8=""),"",('ROSTER UPDATE'!R8))</f>
        <v>0</v>
      </c>
      <c r="P8" s="79">
        <f>IF(AND('ROSTER UPDATE'!S8=""),"",('ROSTER UPDATE'!S8))</f>
        <v>0</v>
      </c>
      <c r="Q8" s="80" t="str">
        <f>IF(AND('ROSTER UPDATE'!T8=""),"",('ROSTER UPDATE'!T8))</f>
        <v/>
      </c>
      <c r="S8" s="78">
        <f>SUM('ROSTER UPDATE'!R8:'ROSTER UPDATE'!T8)</f>
        <v>0</v>
      </c>
      <c r="T8" s="79">
        <f>SUM('ROSTER UPDATE'!U8:'ROSTER UPDATE'!W8)</f>
        <v>0</v>
      </c>
      <c r="U8" s="79">
        <f>SUM('ROSTER UPDATE'!X8:'ROSTER UPDATE'!Z8)</f>
        <v>0</v>
      </c>
      <c r="V8" s="79"/>
      <c r="W8" s="80"/>
    </row>
    <row r="9" spans="2:23" ht="15.75" thickBot="1" x14ac:dyDescent="0.3">
      <c r="B9" s="64" t="str">
        <f>IF(AND('ROSTER UPDATE'!B9=""),"",('ROSTER UPDATE'!B9))</f>
        <v/>
      </c>
      <c r="C9" s="65" t="str">
        <f>IF(AND('ROSTER UPDATE'!E9=""),"",('ROSTER UPDATE'!E9))</f>
        <v/>
      </c>
      <c r="E9" s="64" t="str">
        <f>IF(AND('ROSTER UPDATE'!F9=""),"",('ROSTER UPDATE'!F9))</f>
        <v/>
      </c>
      <c r="F9" s="65" t="str">
        <f>IF(AND('ROSTER UPDATE'!C9=""),"",('ROSTER UPDATE'!C9))</f>
        <v/>
      </c>
      <c r="G9" s="87" t="s">
        <v>41</v>
      </c>
      <c r="I9" s="78">
        <f>SUM('ROSTER UPDATE'!H9:'ROSTER UPDATE'!J9)</f>
        <v>0</v>
      </c>
      <c r="J9" s="79">
        <f>SUM('ROSTER UPDATE'!K9:'ROSTER UPDATE'!M9)</f>
        <v>0</v>
      </c>
      <c r="K9" s="79">
        <f>SUM('ROSTER UPDATE'!N9:'ROSTER UPDATE'!P9)</f>
        <v>0</v>
      </c>
      <c r="L9" s="79"/>
      <c r="M9" s="80"/>
      <c r="O9" s="78">
        <f>IF(AND('ROSTER UPDATE'!R9=""),"",('ROSTER UPDATE'!R9))</f>
        <v>0</v>
      </c>
      <c r="P9" s="79">
        <f>IF(AND('ROSTER UPDATE'!S9=""),"",('ROSTER UPDATE'!S9))</f>
        <v>0</v>
      </c>
      <c r="Q9" s="80" t="str">
        <f>IF(AND('ROSTER UPDATE'!T9=""),"",('ROSTER UPDATE'!T9))</f>
        <v/>
      </c>
      <c r="S9" s="78">
        <f>SUM('ROSTER UPDATE'!R9:'ROSTER UPDATE'!T9)</f>
        <v>0</v>
      </c>
      <c r="T9" s="79">
        <f>SUM('ROSTER UPDATE'!U9:'ROSTER UPDATE'!W9)</f>
        <v>0</v>
      </c>
      <c r="U9" s="79">
        <f>SUM('ROSTER UPDATE'!X9:'ROSTER UPDATE'!Z9)</f>
        <v>0</v>
      </c>
      <c r="V9" s="79"/>
      <c r="W9" s="80"/>
    </row>
    <row r="10" spans="2:23" ht="15.75" thickBot="1" x14ac:dyDescent="0.3">
      <c r="B10" s="64" t="str">
        <f>IF(AND('ROSTER UPDATE'!B10=""),"",('ROSTER UPDATE'!B10))</f>
        <v/>
      </c>
      <c r="C10" s="65" t="str">
        <f>IF(AND('ROSTER UPDATE'!E10=""),"",('ROSTER UPDATE'!E10))</f>
        <v/>
      </c>
      <c r="E10" s="64" t="str">
        <f>IF(AND('ROSTER UPDATE'!F10=""),"",('ROSTER UPDATE'!F10))</f>
        <v/>
      </c>
      <c r="F10" s="65" t="str">
        <f>IF(AND('ROSTER UPDATE'!C10=""),"",('ROSTER UPDATE'!C10))</f>
        <v/>
      </c>
      <c r="G10" s="87" t="s">
        <v>41</v>
      </c>
      <c r="I10" s="78">
        <f>SUM('ROSTER UPDATE'!H10:'ROSTER UPDATE'!J10)</f>
        <v>0</v>
      </c>
      <c r="J10" s="79">
        <f>SUM('ROSTER UPDATE'!K10:'ROSTER UPDATE'!M10)</f>
        <v>0</v>
      </c>
      <c r="K10" s="79">
        <f>SUM('ROSTER UPDATE'!N10:'ROSTER UPDATE'!P10)</f>
        <v>0</v>
      </c>
      <c r="L10" s="79"/>
      <c r="M10" s="80"/>
      <c r="O10" s="78">
        <f>IF(AND('ROSTER UPDATE'!R10=""),"",('ROSTER UPDATE'!R10))</f>
        <v>0</v>
      </c>
      <c r="P10" s="79">
        <f>IF(AND('ROSTER UPDATE'!S10=""),"",('ROSTER UPDATE'!S10))</f>
        <v>0</v>
      </c>
      <c r="Q10" s="80" t="str">
        <f>IF(AND('ROSTER UPDATE'!T10=""),"",('ROSTER UPDATE'!T10))</f>
        <v/>
      </c>
      <c r="S10" s="78">
        <f>SUM('ROSTER UPDATE'!R10:'ROSTER UPDATE'!T10)</f>
        <v>0</v>
      </c>
      <c r="T10" s="79">
        <f>SUM('ROSTER UPDATE'!U10:'ROSTER UPDATE'!W10)</f>
        <v>0</v>
      </c>
      <c r="U10" s="79">
        <f>SUM('ROSTER UPDATE'!X10:'ROSTER UPDATE'!Z10)</f>
        <v>0</v>
      </c>
      <c r="V10" s="79"/>
      <c r="W10" s="80"/>
    </row>
    <row r="11" spans="2:23" ht="15.75" thickBot="1" x14ac:dyDescent="0.3">
      <c r="B11" s="64" t="str">
        <f>IF(AND('ROSTER UPDATE'!B11=""),"",('ROSTER UPDATE'!B11))</f>
        <v/>
      </c>
      <c r="C11" s="65" t="str">
        <f>IF(AND('ROSTER UPDATE'!E11=""),"",('ROSTER UPDATE'!E11))</f>
        <v/>
      </c>
      <c r="E11" s="64" t="str">
        <f>IF(AND('ROSTER UPDATE'!F11=""),"",('ROSTER UPDATE'!F11))</f>
        <v/>
      </c>
      <c r="F11" s="65" t="str">
        <f>IF(AND('ROSTER UPDATE'!C11=""),"",('ROSTER UPDATE'!C11))</f>
        <v/>
      </c>
      <c r="G11" s="87" t="s">
        <v>41</v>
      </c>
      <c r="I11" s="78">
        <f>SUM('ROSTER UPDATE'!H11:'ROSTER UPDATE'!J11)</f>
        <v>0</v>
      </c>
      <c r="J11" s="79">
        <f>SUM('ROSTER UPDATE'!K11:'ROSTER UPDATE'!M11)</f>
        <v>0</v>
      </c>
      <c r="K11" s="79">
        <f>SUM('ROSTER UPDATE'!N11:'ROSTER UPDATE'!P11)</f>
        <v>0</v>
      </c>
      <c r="L11" s="79"/>
      <c r="M11" s="80"/>
      <c r="O11" s="78">
        <f>IF(AND('ROSTER UPDATE'!R11=""),"",('ROSTER UPDATE'!R11))</f>
        <v>0</v>
      </c>
      <c r="P11" s="79">
        <f>IF(AND('ROSTER UPDATE'!S11=""),"",('ROSTER UPDATE'!S11))</f>
        <v>0</v>
      </c>
      <c r="Q11" s="80" t="str">
        <f>IF(AND('ROSTER UPDATE'!T11=""),"",('ROSTER UPDATE'!T11))</f>
        <v/>
      </c>
      <c r="S11" s="78">
        <f>SUM('ROSTER UPDATE'!R11:'ROSTER UPDATE'!T11)</f>
        <v>0</v>
      </c>
      <c r="T11" s="79">
        <f>SUM('ROSTER UPDATE'!U11:'ROSTER UPDATE'!W11)</f>
        <v>0</v>
      </c>
      <c r="U11" s="79">
        <f>SUM('ROSTER UPDATE'!X11:'ROSTER UPDATE'!Z11)</f>
        <v>0</v>
      </c>
      <c r="V11" s="79"/>
      <c r="W11" s="80"/>
    </row>
    <row r="12" spans="2:23" ht="15.75" thickBot="1" x14ac:dyDescent="0.3">
      <c r="B12" s="64" t="str">
        <f>IF(AND('ROSTER UPDATE'!B12=""),"",('ROSTER UPDATE'!B12))</f>
        <v/>
      </c>
      <c r="C12" s="65" t="str">
        <f>IF(AND('ROSTER UPDATE'!E12=""),"",('ROSTER UPDATE'!E12))</f>
        <v/>
      </c>
      <c r="E12" s="64" t="str">
        <f>IF(AND('ROSTER UPDATE'!F12=""),"",('ROSTER UPDATE'!F12))</f>
        <v/>
      </c>
      <c r="F12" s="65" t="str">
        <f>IF(AND('ROSTER UPDATE'!C12=""),"",('ROSTER UPDATE'!C12))</f>
        <v/>
      </c>
      <c r="G12" s="87" t="s">
        <v>41</v>
      </c>
      <c r="I12" s="78">
        <f>SUM('ROSTER UPDATE'!H12:'ROSTER UPDATE'!J12)</f>
        <v>0</v>
      </c>
      <c r="J12" s="79">
        <f>SUM('ROSTER UPDATE'!K12:'ROSTER UPDATE'!M12)</f>
        <v>0</v>
      </c>
      <c r="K12" s="79">
        <f>SUM('ROSTER UPDATE'!N12:'ROSTER UPDATE'!P12)</f>
        <v>0</v>
      </c>
      <c r="L12" s="79"/>
      <c r="M12" s="80"/>
      <c r="O12" s="78">
        <f>IF(AND('ROSTER UPDATE'!R12=""),"",('ROSTER UPDATE'!R12))</f>
        <v>0</v>
      </c>
      <c r="P12" s="79">
        <f>IF(AND('ROSTER UPDATE'!S12=""),"",('ROSTER UPDATE'!S12))</f>
        <v>0</v>
      </c>
      <c r="Q12" s="80" t="str">
        <f>IF(AND('ROSTER UPDATE'!T12=""),"",('ROSTER UPDATE'!T12))</f>
        <v/>
      </c>
      <c r="S12" s="78">
        <f>SUM('ROSTER UPDATE'!R12:'ROSTER UPDATE'!T12)</f>
        <v>0</v>
      </c>
      <c r="T12" s="79">
        <f>SUM('ROSTER UPDATE'!U12:'ROSTER UPDATE'!W12)</f>
        <v>0</v>
      </c>
      <c r="U12" s="79">
        <f>SUM('ROSTER UPDATE'!X12:'ROSTER UPDATE'!Z12)</f>
        <v>0</v>
      </c>
      <c r="V12" s="79"/>
      <c r="W12" s="80"/>
    </row>
    <row r="13" spans="2:23" ht="15.75" thickBot="1" x14ac:dyDescent="0.3">
      <c r="B13" s="64" t="str">
        <f>IF(AND('ROSTER UPDATE'!B13=""),"",('ROSTER UPDATE'!B13))</f>
        <v/>
      </c>
      <c r="C13" s="65" t="str">
        <f>IF(AND('ROSTER UPDATE'!E13=""),"",('ROSTER UPDATE'!E13))</f>
        <v/>
      </c>
      <c r="E13" s="64" t="str">
        <f>IF(AND('ROSTER UPDATE'!F13=""),"",('ROSTER UPDATE'!F13))</f>
        <v/>
      </c>
      <c r="F13" s="65" t="str">
        <f>IF(AND('ROSTER UPDATE'!C13=""),"",('ROSTER UPDATE'!C13))</f>
        <v/>
      </c>
      <c r="G13" s="87" t="s">
        <v>41</v>
      </c>
      <c r="I13" s="78">
        <f>SUM('ROSTER UPDATE'!H13:'ROSTER UPDATE'!J13)</f>
        <v>0</v>
      </c>
      <c r="J13" s="79">
        <f>SUM('ROSTER UPDATE'!K13:'ROSTER UPDATE'!M13)</f>
        <v>0</v>
      </c>
      <c r="K13" s="79">
        <f>SUM('ROSTER UPDATE'!N13:'ROSTER UPDATE'!P13)</f>
        <v>0</v>
      </c>
      <c r="L13" s="79"/>
      <c r="M13" s="80"/>
      <c r="O13" s="78">
        <f>IF(AND('ROSTER UPDATE'!R13=""),"",('ROSTER UPDATE'!R13))</f>
        <v>0</v>
      </c>
      <c r="P13" s="79">
        <f>IF(AND('ROSTER UPDATE'!S13=""),"",('ROSTER UPDATE'!S13))</f>
        <v>0</v>
      </c>
      <c r="Q13" s="80" t="str">
        <f>IF(AND('ROSTER UPDATE'!T13=""),"",('ROSTER UPDATE'!T13))</f>
        <v/>
      </c>
      <c r="S13" s="78">
        <f>SUM('ROSTER UPDATE'!R13:'ROSTER UPDATE'!T13)</f>
        <v>0</v>
      </c>
      <c r="T13" s="79">
        <f>SUM('ROSTER UPDATE'!U13:'ROSTER UPDATE'!W13)</f>
        <v>0</v>
      </c>
      <c r="U13" s="79">
        <f>SUM('ROSTER UPDATE'!X13:'ROSTER UPDATE'!Z13)</f>
        <v>0</v>
      </c>
      <c r="V13" s="79"/>
      <c r="W13" s="80"/>
    </row>
    <row r="14" spans="2:23" ht="15.75" thickBot="1" x14ac:dyDescent="0.3">
      <c r="B14" s="64" t="str">
        <f>IF(AND('ROSTER UPDATE'!B14=""),"",('ROSTER UPDATE'!B14))</f>
        <v/>
      </c>
      <c r="C14" s="65" t="str">
        <f>IF(AND('ROSTER UPDATE'!E14=""),"",('ROSTER UPDATE'!E14))</f>
        <v/>
      </c>
      <c r="E14" s="64" t="str">
        <f>IF(AND('ROSTER UPDATE'!F14=""),"",('ROSTER UPDATE'!F14))</f>
        <v/>
      </c>
      <c r="F14" s="65" t="str">
        <f>IF(AND('ROSTER UPDATE'!C14=""),"",('ROSTER UPDATE'!C14))</f>
        <v/>
      </c>
      <c r="G14" s="87" t="s">
        <v>41</v>
      </c>
      <c r="I14" s="78">
        <f>SUM('ROSTER UPDATE'!H14:'ROSTER UPDATE'!J14)</f>
        <v>0</v>
      </c>
      <c r="J14" s="79">
        <f>SUM('ROSTER UPDATE'!K14:'ROSTER UPDATE'!M14)</f>
        <v>0</v>
      </c>
      <c r="K14" s="79">
        <f>SUM('ROSTER UPDATE'!N14:'ROSTER UPDATE'!P14)</f>
        <v>0</v>
      </c>
      <c r="L14" s="79"/>
      <c r="M14" s="80"/>
      <c r="O14" s="78">
        <f>IF(AND('ROSTER UPDATE'!R14=""),"",('ROSTER UPDATE'!R14))</f>
        <v>0</v>
      </c>
      <c r="P14" s="79">
        <f>IF(AND('ROSTER UPDATE'!S14=""),"",('ROSTER UPDATE'!S14))</f>
        <v>0</v>
      </c>
      <c r="Q14" s="80" t="str">
        <f>IF(AND('ROSTER UPDATE'!T14=""),"",('ROSTER UPDATE'!T14))</f>
        <v/>
      </c>
      <c r="S14" s="78">
        <f>SUM('ROSTER UPDATE'!R14:'ROSTER UPDATE'!T14)</f>
        <v>0</v>
      </c>
      <c r="T14" s="79">
        <f>SUM('ROSTER UPDATE'!U14:'ROSTER UPDATE'!W14)</f>
        <v>0</v>
      </c>
      <c r="U14" s="79">
        <f>SUM('ROSTER UPDATE'!X14:'ROSTER UPDATE'!Z14)</f>
        <v>0</v>
      </c>
      <c r="V14" s="79"/>
      <c r="W14" s="80"/>
    </row>
    <row r="15" spans="2:23" ht="15.75" thickBot="1" x14ac:dyDescent="0.3">
      <c r="B15" s="64" t="str">
        <f>IF(AND('ROSTER UPDATE'!B15=""),"",('ROSTER UPDATE'!B15))</f>
        <v/>
      </c>
      <c r="C15" s="65" t="str">
        <f>IF(AND('ROSTER UPDATE'!E15=""),"",('ROSTER UPDATE'!E15))</f>
        <v/>
      </c>
      <c r="E15" s="64" t="str">
        <f>IF(AND('ROSTER UPDATE'!F15=""),"",('ROSTER UPDATE'!F15))</f>
        <v/>
      </c>
      <c r="F15" s="65" t="str">
        <f>IF(AND('ROSTER UPDATE'!C15=""),"",('ROSTER UPDATE'!C15))</f>
        <v/>
      </c>
      <c r="G15" s="87" t="s">
        <v>41</v>
      </c>
      <c r="I15" s="78">
        <f>SUM('ROSTER UPDATE'!H15:'ROSTER UPDATE'!J15)</f>
        <v>0</v>
      </c>
      <c r="J15" s="79">
        <f>SUM('ROSTER UPDATE'!K15:'ROSTER UPDATE'!M15)</f>
        <v>0</v>
      </c>
      <c r="K15" s="79">
        <f>SUM('ROSTER UPDATE'!N15:'ROSTER UPDATE'!P15)</f>
        <v>0</v>
      </c>
      <c r="L15" s="79"/>
      <c r="M15" s="80"/>
      <c r="O15" s="78">
        <f>IF(AND('ROSTER UPDATE'!R15=""),"",('ROSTER UPDATE'!R15))</f>
        <v>0</v>
      </c>
      <c r="P15" s="79">
        <f>IF(AND('ROSTER UPDATE'!S15=""),"",('ROSTER UPDATE'!S15))</f>
        <v>0</v>
      </c>
      <c r="Q15" s="80" t="str">
        <f>IF(AND('ROSTER UPDATE'!T15=""),"",('ROSTER UPDATE'!T15))</f>
        <v/>
      </c>
      <c r="S15" s="78">
        <f>SUM('ROSTER UPDATE'!R15:'ROSTER UPDATE'!T15)</f>
        <v>0</v>
      </c>
      <c r="T15" s="79">
        <f>SUM('ROSTER UPDATE'!U15:'ROSTER UPDATE'!W15)</f>
        <v>0</v>
      </c>
      <c r="U15" s="79">
        <f>SUM('ROSTER UPDATE'!X15:'ROSTER UPDATE'!Z15)</f>
        <v>0</v>
      </c>
      <c r="V15" s="79"/>
      <c r="W15" s="80"/>
    </row>
    <row r="16" spans="2:23" ht="15.75" thickBot="1" x14ac:dyDescent="0.3">
      <c r="B16" s="64" t="str">
        <f>IF(AND('ROSTER UPDATE'!B16=""),"",('ROSTER UPDATE'!B16))</f>
        <v/>
      </c>
      <c r="C16" s="65" t="str">
        <f>IF(AND('ROSTER UPDATE'!E16=""),"",('ROSTER UPDATE'!E16))</f>
        <v/>
      </c>
      <c r="E16" s="64" t="str">
        <f>IF(AND('ROSTER UPDATE'!F16=""),"",('ROSTER UPDATE'!F16))</f>
        <v/>
      </c>
      <c r="F16" s="65" t="str">
        <f>IF(AND('ROSTER UPDATE'!C16=""),"",('ROSTER UPDATE'!C16))</f>
        <v/>
      </c>
      <c r="G16" s="87" t="s">
        <v>41</v>
      </c>
      <c r="I16" s="78">
        <f>SUM('ROSTER UPDATE'!H16:'ROSTER UPDATE'!J16)</f>
        <v>0</v>
      </c>
      <c r="J16" s="79">
        <f>SUM('ROSTER UPDATE'!K16:'ROSTER UPDATE'!M16)</f>
        <v>0</v>
      </c>
      <c r="K16" s="79">
        <f>SUM('ROSTER UPDATE'!N16:'ROSTER UPDATE'!P16)</f>
        <v>0</v>
      </c>
      <c r="L16" s="79"/>
      <c r="M16" s="80"/>
      <c r="O16" s="78">
        <f>IF(AND('ROSTER UPDATE'!R16=""),"",('ROSTER UPDATE'!R16))</f>
        <v>0</v>
      </c>
      <c r="P16" s="79">
        <f>IF(AND('ROSTER UPDATE'!S16=""),"",('ROSTER UPDATE'!S16))</f>
        <v>0</v>
      </c>
      <c r="Q16" s="80" t="str">
        <f>IF(AND('ROSTER UPDATE'!T16=""),"",('ROSTER UPDATE'!T16))</f>
        <v/>
      </c>
      <c r="S16" s="78">
        <f>SUM('ROSTER UPDATE'!R16:'ROSTER UPDATE'!T16)</f>
        <v>0</v>
      </c>
      <c r="T16" s="79">
        <f>SUM('ROSTER UPDATE'!U16:'ROSTER UPDATE'!W16)</f>
        <v>0</v>
      </c>
      <c r="U16" s="79">
        <f>SUM('ROSTER UPDATE'!X16:'ROSTER UPDATE'!Z16)</f>
        <v>0</v>
      </c>
      <c r="V16" s="79"/>
      <c r="W16" s="80"/>
    </row>
    <row r="17" spans="2:23" ht="15.75" thickBot="1" x14ac:dyDescent="0.3">
      <c r="B17" s="64" t="str">
        <f>IF(AND('ROSTER UPDATE'!B17=""),"",('ROSTER UPDATE'!B17))</f>
        <v/>
      </c>
      <c r="C17" s="65" t="str">
        <f>IF(AND('ROSTER UPDATE'!E17=""),"",('ROSTER UPDATE'!E17))</f>
        <v/>
      </c>
      <c r="E17" s="64" t="str">
        <f>IF(AND('ROSTER UPDATE'!F17=""),"",('ROSTER UPDATE'!F17))</f>
        <v/>
      </c>
      <c r="F17" s="65" t="str">
        <f>IF(AND('ROSTER UPDATE'!C17=""),"",('ROSTER UPDATE'!C17))</f>
        <v/>
      </c>
      <c r="G17" s="87" t="s">
        <v>41</v>
      </c>
      <c r="I17" s="78">
        <f>SUM('ROSTER UPDATE'!H17:'ROSTER UPDATE'!J17)</f>
        <v>0</v>
      </c>
      <c r="J17" s="79">
        <f>SUM('ROSTER UPDATE'!K17:'ROSTER UPDATE'!M17)</f>
        <v>0</v>
      </c>
      <c r="K17" s="79">
        <f>SUM('ROSTER UPDATE'!N17:'ROSTER UPDATE'!P17)</f>
        <v>0</v>
      </c>
      <c r="L17" s="79"/>
      <c r="M17" s="80"/>
      <c r="O17" s="78">
        <f>IF(AND('ROSTER UPDATE'!R17=""),"",('ROSTER UPDATE'!R17))</f>
        <v>0</v>
      </c>
      <c r="P17" s="79">
        <f>IF(AND('ROSTER UPDATE'!S17=""),"",('ROSTER UPDATE'!S17))</f>
        <v>0</v>
      </c>
      <c r="Q17" s="80" t="str">
        <f>IF(AND('ROSTER UPDATE'!T17=""),"",('ROSTER UPDATE'!T17))</f>
        <v/>
      </c>
      <c r="S17" s="78">
        <f>SUM('ROSTER UPDATE'!R17:'ROSTER UPDATE'!T17)</f>
        <v>0</v>
      </c>
      <c r="T17" s="79">
        <f>SUM('ROSTER UPDATE'!U17:'ROSTER UPDATE'!W17)</f>
        <v>0</v>
      </c>
      <c r="U17" s="79">
        <f>SUM('ROSTER UPDATE'!X17:'ROSTER UPDATE'!Z17)</f>
        <v>0</v>
      </c>
      <c r="V17" s="79"/>
      <c r="W17" s="80"/>
    </row>
    <row r="18" spans="2:23" ht="15.75" thickBot="1" x14ac:dyDescent="0.3">
      <c r="B18" s="64" t="str">
        <f>IF(AND('ROSTER UPDATE'!B18=""),"",('ROSTER UPDATE'!B18))</f>
        <v/>
      </c>
      <c r="C18" s="65" t="str">
        <f>IF(AND('ROSTER UPDATE'!E18=""),"",('ROSTER UPDATE'!E18))</f>
        <v/>
      </c>
      <c r="E18" s="64" t="str">
        <f>IF(AND('ROSTER UPDATE'!F18=""),"",('ROSTER UPDATE'!F18))</f>
        <v/>
      </c>
      <c r="F18" s="65" t="str">
        <f>IF(AND('ROSTER UPDATE'!C18=""),"",('ROSTER UPDATE'!C18))</f>
        <v/>
      </c>
      <c r="G18" s="87" t="s">
        <v>41</v>
      </c>
      <c r="I18" s="78">
        <f>SUM('ROSTER UPDATE'!H18:'ROSTER UPDATE'!J18)</f>
        <v>0</v>
      </c>
      <c r="J18" s="79">
        <f>SUM('ROSTER UPDATE'!K18:'ROSTER UPDATE'!M18)</f>
        <v>0</v>
      </c>
      <c r="K18" s="79">
        <f>SUM('ROSTER UPDATE'!N18:'ROSTER UPDATE'!P18)</f>
        <v>0</v>
      </c>
      <c r="L18" s="79"/>
      <c r="M18" s="80"/>
      <c r="O18" s="78">
        <f>IF(AND('ROSTER UPDATE'!R18=""),"",('ROSTER UPDATE'!R18))</f>
        <v>0</v>
      </c>
      <c r="P18" s="79">
        <f>IF(AND('ROSTER UPDATE'!S18=""),"",('ROSTER UPDATE'!S18))</f>
        <v>0</v>
      </c>
      <c r="Q18" s="80" t="str">
        <f>IF(AND('ROSTER UPDATE'!T18=""),"",('ROSTER UPDATE'!T18))</f>
        <v/>
      </c>
      <c r="S18" s="78">
        <f>SUM('ROSTER UPDATE'!R18:'ROSTER UPDATE'!T18)</f>
        <v>0</v>
      </c>
      <c r="T18" s="79">
        <f>SUM('ROSTER UPDATE'!U18:'ROSTER UPDATE'!W18)</f>
        <v>0</v>
      </c>
      <c r="U18" s="79">
        <f>SUM('ROSTER UPDATE'!X18:'ROSTER UPDATE'!Z18)</f>
        <v>0</v>
      </c>
      <c r="V18" s="79"/>
      <c r="W18" s="80"/>
    </row>
    <row r="19" spans="2:23" ht="15.75" thickBot="1" x14ac:dyDescent="0.3">
      <c r="B19" s="64" t="str">
        <f>IF(AND('ROSTER UPDATE'!B19=""),"",('ROSTER UPDATE'!B19))</f>
        <v/>
      </c>
      <c r="C19" s="65" t="str">
        <f>IF(AND('ROSTER UPDATE'!E19=""),"",('ROSTER UPDATE'!E19))</f>
        <v/>
      </c>
      <c r="E19" s="64" t="str">
        <f>IF(AND('ROSTER UPDATE'!F19=""),"",('ROSTER UPDATE'!F19))</f>
        <v/>
      </c>
      <c r="F19" s="65" t="str">
        <f>IF(AND('ROSTER UPDATE'!C19=""),"",('ROSTER UPDATE'!C19))</f>
        <v/>
      </c>
      <c r="G19" s="87" t="s">
        <v>41</v>
      </c>
      <c r="I19" s="78">
        <f>SUM('ROSTER UPDATE'!H19:'ROSTER UPDATE'!J19)</f>
        <v>0</v>
      </c>
      <c r="J19" s="79">
        <f>SUM('ROSTER UPDATE'!K19:'ROSTER UPDATE'!M19)</f>
        <v>0</v>
      </c>
      <c r="K19" s="79">
        <f>SUM('ROSTER UPDATE'!N19:'ROSTER UPDATE'!P19)</f>
        <v>0</v>
      </c>
      <c r="L19" s="79"/>
      <c r="M19" s="80"/>
      <c r="O19" s="78">
        <f>IF(AND('ROSTER UPDATE'!R19=""),"",('ROSTER UPDATE'!R19))</f>
        <v>0</v>
      </c>
      <c r="P19" s="79">
        <f>IF(AND('ROSTER UPDATE'!S19=""),"",('ROSTER UPDATE'!S19))</f>
        <v>0</v>
      </c>
      <c r="Q19" s="80" t="str">
        <f>IF(AND('ROSTER UPDATE'!T19=""),"",('ROSTER UPDATE'!T19))</f>
        <v/>
      </c>
      <c r="S19" s="78">
        <f>SUM('ROSTER UPDATE'!R19:'ROSTER UPDATE'!T19)</f>
        <v>0</v>
      </c>
      <c r="T19" s="79">
        <f>SUM('ROSTER UPDATE'!U19:'ROSTER UPDATE'!W19)</f>
        <v>0</v>
      </c>
      <c r="U19" s="79">
        <f>SUM('ROSTER UPDATE'!X19:'ROSTER UPDATE'!Z19)</f>
        <v>0</v>
      </c>
      <c r="V19" s="79"/>
      <c r="W19" s="80"/>
    </row>
    <row r="20" spans="2:23" ht="15.75" thickBot="1" x14ac:dyDescent="0.3">
      <c r="B20" s="64" t="str">
        <f>IF(AND('ROSTER UPDATE'!B20=""),"",('ROSTER UPDATE'!B20))</f>
        <v/>
      </c>
      <c r="C20" s="65" t="str">
        <f>IF(AND('ROSTER UPDATE'!E20=""),"",('ROSTER UPDATE'!E20))</f>
        <v/>
      </c>
      <c r="E20" s="64" t="str">
        <f>IF(AND('ROSTER UPDATE'!F20=""),"",('ROSTER UPDATE'!F20))</f>
        <v/>
      </c>
      <c r="F20" s="65" t="str">
        <f>IF(AND('ROSTER UPDATE'!C20=""),"",('ROSTER UPDATE'!C20))</f>
        <v/>
      </c>
      <c r="G20" s="87" t="s">
        <v>41</v>
      </c>
      <c r="I20" s="78">
        <f>SUM('ROSTER UPDATE'!H20:'ROSTER UPDATE'!J20)</f>
        <v>0</v>
      </c>
      <c r="J20" s="79">
        <f>SUM('ROSTER UPDATE'!K20:'ROSTER UPDATE'!M20)</f>
        <v>0</v>
      </c>
      <c r="K20" s="79">
        <f>SUM('ROSTER UPDATE'!N20:'ROSTER UPDATE'!P20)</f>
        <v>0</v>
      </c>
      <c r="L20" s="79"/>
      <c r="M20" s="80"/>
      <c r="O20" s="78">
        <f>IF(AND('ROSTER UPDATE'!R20=""),"",('ROSTER UPDATE'!R20))</f>
        <v>0</v>
      </c>
      <c r="P20" s="79">
        <f>IF(AND('ROSTER UPDATE'!S20=""),"",('ROSTER UPDATE'!S20))</f>
        <v>0</v>
      </c>
      <c r="Q20" s="80" t="str">
        <f>IF(AND('ROSTER UPDATE'!T20=""),"",('ROSTER UPDATE'!T20))</f>
        <v/>
      </c>
      <c r="S20" s="78">
        <f>SUM('ROSTER UPDATE'!R20:'ROSTER UPDATE'!T20)</f>
        <v>0</v>
      </c>
      <c r="T20" s="79">
        <f>SUM('ROSTER UPDATE'!U20:'ROSTER UPDATE'!W20)</f>
        <v>0</v>
      </c>
      <c r="U20" s="79">
        <f>SUM('ROSTER UPDATE'!X20:'ROSTER UPDATE'!Z20)</f>
        <v>0</v>
      </c>
      <c r="V20" s="79"/>
      <c r="W20" s="80"/>
    </row>
    <row r="21" spans="2:23" ht="15.75" thickBot="1" x14ac:dyDescent="0.3">
      <c r="B21" s="64" t="str">
        <f>IF(AND('ROSTER UPDATE'!B21=""),"",('ROSTER UPDATE'!B21))</f>
        <v/>
      </c>
      <c r="C21" s="65" t="str">
        <f>IF(AND('ROSTER UPDATE'!E21=""),"",('ROSTER UPDATE'!E21))</f>
        <v/>
      </c>
      <c r="E21" s="64" t="str">
        <f>IF(AND('ROSTER UPDATE'!F21=""),"",('ROSTER UPDATE'!F21))</f>
        <v/>
      </c>
      <c r="F21" s="65" t="str">
        <f>IF(AND('ROSTER UPDATE'!C21=""),"",('ROSTER UPDATE'!C21))</f>
        <v/>
      </c>
      <c r="G21" s="87" t="s">
        <v>41</v>
      </c>
      <c r="I21" s="78">
        <f>SUM('ROSTER UPDATE'!H21:'ROSTER UPDATE'!J21)</f>
        <v>0</v>
      </c>
      <c r="J21" s="79">
        <f>SUM('ROSTER UPDATE'!K21:'ROSTER UPDATE'!M21)</f>
        <v>0</v>
      </c>
      <c r="K21" s="79">
        <f>SUM('ROSTER UPDATE'!N21:'ROSTER UPDATE'!P21)</f>
        <v>0</v>
      </c>
      <c r="L21" s="79"/>
      <c r="M21" s="80"/>
      <c r="O21" s="78">
        <f>IF(AND('ROSTER UPDATE'!R21=""),"",('ROSTER UPDATE'!R21))</f>
        <v>0</v>
      </c>
      <c r="P21" s="79">
        <f>IF(AND('ROSTER UPDATE'!S21=""),"",('ROSTER UPDATE'!S21))</f>
        <v>0</v>
      </c>
      <c r="Q21" s="80" t="str">
        <f>IF(AND('ROSTER UPDATE'!T21=""),"",('ROSTER UPDATE'!T21))</f>
        <v/>
      </c>
      <c r="S21" s="78">
        <f>SUM('ROSTER UPDATE'!R21:'ROSTER UPDATE'!T21)</f>
        <v>0</v>
      </c>
      <c r="T21" s="79">
        <f>SUM('ROSTER UPDATE'!U21:'ROSTER UPDATE'!W21)</f>
        <v>0</v>
      </c>
      <c r="U21" s="79">
        <f>SUM('ROSTER UPDATE'!X21:'ROSTER UPDATE'!Z21)</f>
        <v>0</v>
      </c>
      <c r="V21" s="79"/>
      <c r="W21" s="80"/>
    </row>
    <row r="22" spans="2:23" ht="15.75" thickBot="1" x14ac:dyDescent="0.3">
      <c r="B22" s="64" t="str">
        <f>IF(AND('ROSTER UPDATE'!B22=""),"",('ROSTER UPDATE'!B22))</f>
        <v/>
      </c>
      <c r="C22" s="65" t="str">
        <f>IF(AND('ROSTER UPDATE'!E22=""),"",('ROSTER UPDATE'!E22))</f>
        <v/>
      </c>
      <c r="E22" s="64" t="str">
        <f>IF(AND('ROSTER UPDATE'!F22=""),"",('ROSTER UPDATE'!F22))</f>
        <v/>
      </c>
      <c r="F22" s="65" t="str">
        <f>IF(AND('ROSTER UPDATE'!C22=""),"",('ROSTER UPDATE'!C22))</f>
        <v/>
      </c>
      <c r="G22" s="87" t="s">
        <v>41</v>
      </c>
      <c r="I22" s="78">
        <f>SUM('ROSTER UPDATE'!H22:'ROSTER UPDATE'!J22)</f>
        <v>0</v>
      </c>
      <c r="J22" s="79">
        <f>SUM('ROSTER UPDATE'!K22:'ROSTER UPDATE'!M22)</f>
        <v>0</v>
      </c>
      <c r="K22" s="79">
        <f>SUM('ROSTER UPDATE'!N22:'ROSTER UPDATE'!P22)</f>
        <v>0</v>
      </c>
      <c r="L22" s="79"/>
      <c r="M22" s="80"/>
      <c r="O22" s="78">
        <f>IF(AND('ROSTER UPDATE'!R22=""),"",('ROSTER UPDATE'!R22))</f>
        <v>0</v>
      </c>
      <c r="P22" s="79">
        <f>IF(AND('ROSTER UPDATE'!S22=""),"",('ROSTER UPDATE'!S22))</f>
        <v>0</v>
      </c>
      <c r="Q22" s="80" t="str">
        <f>IF(AND('ROSTER UPDATE'!T22=""),"",('ROSTER UPDATE'!T22))</f>
        <v/>
      </c>
      <c r="S22" s="78">
        <f>SUM('ROSTER UPDATE'!R22:'ROSTER UPDATE'!T22)</f>
        <v>0</v>
      </c>
      <c r="T22" s="79">
        <f>SUM('ROSTER UPDATE'!U22:'ROSTER UPDATE'!W22)</f>
        <v>0</v>
      </c>
      <c r="U22" s="79">
        <f>SUM('ROSTER UPDATE'!X22:'ROSTER UPDATE'!Z22)</f>
        <v>0</v>
      </c>
      <c r="V22" s="79"/>
      <c r="W22" s="80"/>
    </row>
    <row r="23" spans="2:23" ht="15.75" thickBot="1" x14ac:dyDescent="0.3">
      <c r="B23" s="64" t="str">
        <f>IF(AND('ROSTER UPDATE'!B23=""),"",('ROSTER UPDATE'!B23))</f>
        <v/>
      </c>
      <c r="C23" s="65" t="str">
        <f>IF(AND('ROSTER UPDATE'!E23=""),"",('ROSTER UPDATE'!E23))</f>
        <v/>
      </c>
      <c r="E23" s="64" t="str">
        <f>IF(AND('ROSTER UPDATE'!F23=""),"",('ROSTER UPDATE'!F23))</f>
        <v/>
      </c>
      <c r="F23" s="65" t="str">
        <f>IF(AND('ROSTER UPDATE'!C23=""),"",('ROSTER UPDATE'!C23))</f>
        <v/>
      </c>
      <c r="G23" s="87" t="s">
        <v>41</v>
      </c>
      <c r="I23" s="78">
        <f>SUM('ROSTER UPDATE'!H23:'ROSTER UPDATE'!J23)</f>
        <v>0</v>
      </c>
      <c r="J23" s="79">
        <f>SUM('ROSTER UPDATE'!K23:'ROSTER UPDATE'!M23)</f>
        <v>0</v>
      </c>
      <c r="K23" s="79">
        <f>SUM('ROSTER UPDATE'!N23:'ROSTER UPDATE'!P23)</f>
        <v>0</v>
      </c>
      <c r="L23" s="79"/>
      <c r="M23" s="80"/>
      <c r="O23" s="78">
        <f>IF(AND('ROSTER UPDATE'!R23=""),"",('ROSTER UPDATE'!R23))</f>
        <v>0</v>
      </c>
      <c r="P23" s="79">
        <f>IF(AND('ROSTER UPDATE'!S23=""),"",('ROSTER UPDATE'!S23))</f>
        <v>0</v>
      </c>
      <c r="Q23" s="80" t="str">
        <f>IF(AND('ROSTER UPDATE'!T23=""),"",('ROSTER UPDATE'!T23))</f>
        <v/>
      </c>
      <c r="S23" s="78">
        <f>SUM('ROSTER UPDATE'!R23:'ROSTER UPDATE'!T23)</f>
        <v>0</v>
      </c>
      <c r="T23" s="79">
        <f>SUM('ROSTER UPDATE'!U23:'ROSTER UPDATE'!W23)</f>
        <v>0</v>
      </c>
      <c r="U23" s="79">
        <f>SUM('ROSTER UPDATE'!X23:'ROSTER UPDATE'!Z23)</f>
        <v>0</v>
      </c>
      <c r="V23" s="79"/>
      <c r="W23" s="80"/>
    </row>
    <row r="24" spans="2:23" ht="15.75" thickBot="1" x14ac:dyDescent="0.3">
      <c r="B24" s="64" t="str">
        <f>IF(AND('ROSTER UPDATE'!B24=""),"",('ROSTER UPDATE'!B24))</f>
        <v/>
      </c>
      <c r="C24" s="65" t="str">
        <f>IF(AND('ROSTER UPDATE'!E24=""),"",('ROSTER UPDATE'!E24))</f>
        <v/>
      </c>
      <c r="E24" s="64" t="str">
        <f>IF(AND('ROSTER UPDATE'!F24=""),"",('ROSTER UPDATE'!F24))</f>
        <v/>
      </c>
      <c r="F24" s="65" t="str">
        <f>IF(AND('ROSTER UPDATE'!C24=""),"",('ROSTER UPDATE'!C24))</f>
        <v/>
      </c>
      <c r="G24" s="87" t="s">
        <v>41</v>
      </c>
      <c r="I24" s="78">
        <f>SUM('ROSTER UPDATE'!H24:'ROSTER UPDATE'!J24)</f>
        <v>0</v>
      </c>
      <c r="J24" s="79">
        <f>SUM('ROSTER UPDATE'!K24:'ROSTER UPDATE'!M24)</f>
        <v>0</v>
      </c>
      <c r="K24" s="79">
        <f>SUM('ROSTER UPDATE'!N24:'ROSTER UPDATE'!P24)</f>
        <v>0</v>
      </c>
      <c r="L24" s="79"/>
      <c r="M24" s="80"/>
      <c r="O24" s="78">
        <f>IF(AND('ROSTER UPDATE'!R24=""),"",('ROSTER UPDATE'!R24))</f>
        <v>0</v>
      </c>
      <c r="P24" s="79">
        <f>IF(AND('ROSTER UPDATE'!S24=""),"",('ROSTER UPDATE'!S24))</f>
        <v>0</v>
      </c>
      <c r="Q24" s="80" t="str">
        <f>IF(AND('ROSTER UPDATE'!T24=""),"",('ROSTER UPDATE'!T24))</f>
        <v/>
      </c>
      <c r="S24" s="78">
        <f>SUM('ROSTER UPDATE'!R24:'ROSTER UPDATE'!T24)</f>
        <v>0</v>
      </c>
      <c r="T24" s="79">
        <f>SUM('ROSTER UPDATE'!U24:'ROSTER UPDATE'!W24)</f>
        <v>0</v>
      </c>
      <c r="U24" s="79">
        <f>SUM('ROSTER UPDATE'!X24:'ROSTER UPDATE'!Z24)</f>
        <v>0</v>
      </c>
      <c r="V24" s="79"/>
      <c r="W24" s="80"/>
    </row>
    <row r="25" spans="2:23" ht="15.75" thickBot="1" x14ac:dyDescent="0.3">
      <c r="B25" s="64" t="str">
        <f>IF(AND('ROSTER UPDATE'!B25=""),"",('ROSTER UPDATE'!B25))</f>
        <v/>
      </c>
      <c r="C25" s="65" t="str">
        <f>IF(AND('ROSTER UPDATE'!E25=""),"",('ROSTER UPDATE'!E25))</f>
        <v/>
      </c>
      <c r="E25" s="64" t="str">
        <f>IF(AND('ROSTER UPDATE'!F25=""),"",('ROSTER UPDATE'!F25))</f>
        <v/>
      </c>
      <c r="F25" s="65" t="str">
        <f>IF(AND('ROSTER UPDATE'!C25=""),"",('ROSTER UPDATE'!C25))</f>
        <v/>
      </c>
      <c r="G25" s="87" t="s">
        <v>41</v>
      </c>
      <c r="I25" s="78">
        <f>SUM('ROSTER UPDATE'!H25:'ROSTER UPDATE'!J25)</f>
        <v>0</v>
      </c>
      <c r="J25" s="79">
        <f>SUM('ROSTER UPDATE'!K25:'ROSTER UPDATE'!M25)</f>
        <v>0</v>
      </c>
      <c r="K25" s="79">
        <f>SUM('ROSTER UPDATE'!N25:'ROSTER UPDATE'!P25)</f>
        <v>0</v>
      </c>
      <c r="L25" s="79"/>
      <c r="M25" s="80"/>
      <c r="O25" s="78">
        <f>IF(AND('ROSTER UPDATE'!R25=""),"",('ROSTER UPDATE'!R25))</f>
        <v>0</v>
      </c>
      <c r="P25" s="79">
        <f>IF(AND('ROSTER UPDATE'!S25=""),"",('ROSTER UPDATE'!S25))</f>
        <v>0</v>
      </c>
      <c r="Q25" s="80" t="str">
        <f>IF(AND('ROSTER UPDATE'!T25=""),"",('ROSTER UPDATE'!T25))</f>
        <v/>
      </c>
      <c r="S25" s="78">
        <f>SUM('ROSTER UPDATE'!R25:'ROSTER UPDATE'!T25)</f>
        <v>0</v>
      </c>
      <c r="T25" s="79">
        <f>SUM('ROSTER UPDATE'!U25:'ROSTER UPDATE'!W25)</f>
        <v>0</v>
      </c>
      <c r="U25" s="79">
        <f>SUM('ROSTER UPDATE'!X25:'ROSTER UPDATE'!Z25)</f>
        <v>0</v>
      </c>
      <c r="V25" s="79"/>
      <c r="W25" s="80"/>
    </row>
    <row r="26" spans="2:23" ht="15.75" thickBot="1" x14ac:dyDescent="0.3">
      <c r="B26" s="64" t="str">
        <f>IF(AND('ROSTER UPDATE'!B26=""),"",('ROSTER UPDATE'!B26))</f>
        <v/>
      </c>
      <c r="C26" s="65" t="str">
        <f>IF(AND('ROSTER UPDATE'!E26=""),"",('ROSTER UPDATE'!E26))</f>
        <v/>
      </c>
      <c r="E26" s="64" t="str">
        <f>IF(AND('ROSTER UPDATE'!F26=""),"",('ROSTER UPDATE'!F26))</f>
        <v/>
      </c>
      <c r="F26" s="65" t="str">
        <f>IF(AND('ROSTER UPDATE'!C26=""),"",('ROSTER UPDATE'!C26))</f>
        <v/>
      </c>
      <c r="G26" s="87" t="s">
        <v>41</v>
      </c>
      <c r="I26" s="78">
        <f>SUM('ROSTER UPDATE'!H26:'ROSTER UPDATE'!J26)</f>
        <v>0</v>
      </c>
      <c r="J26" s="79">
        <f>SUM('ROSTER UPDATE'!K26:'ROSTER UPDATE'!M26)</f>
        <v>0</v>
      </c>
      <c r="K26" s="79">
        <f>SUM('ROSTER UPDATE'!N26:'ROSTER UPDATE'!P26)</f>
        <v>0</v>
      </c>
      <c r="L26" s="79"/>
      <c r="M26" s="80"/>
      <c r="O26" s="78">
        <f>IF(AND('ROSTER UPDATE'!R26=""),"",('ROSTER UPDATE'!R26))</f>
        <v>0</v>
      </c>
      <c r="P26" s="79">
        <f>IF(AND('ROSTER UPDATE'!S26=""),"",('ROSTER UPDATE'!S26))</f>
        <v>0</v>
      </c>
      <c r="Q26" s="80" t="str">
        <f>IF(AND('ROSTER UPDATE'!T26=""),"",('ROSTER UPDATE'!T26))</f>
        <v/>
      </c>
      <c r="S26" s="78">
        <f>SUM('ROSTER UPDATE'!R26:'ROSTER UPDATE'!T26)</f>
        <v>0</v>
      </c>
      <c r="T26" s="79">
        <f>SUM('ROSTER UPDATE'!U26:'ROSTER UPDATE'!W26)</f>
        <v>0</v>
      </c>
      <c r="U26" s="79">
        <f>SUM('ROSTER UPDATE'!X26:'ROSTER UPDATE'!Z26)</f>
        <v>0</v>
      </c>
      <c r="V26" s="79"/>
      <c r="W26" s="80"/>
    </row>
    <row r="27" spans="2:23" ht="15.75" thickBot="1" x14ac:dyDescent="0.3">
      <c r="B27" s="64" t="str">
        <f>IF(AND('ROSTER UPDATE'!B27=""),"",('ROSTER UPDATE'!B27))</f>
        <v/>
      </c>
      <c r="C27" s="65" t="str">
        <f>IF(AND('ROSTER UPDATE'!E27=""),"",('ROSTER UPDATE'!E27))</f>
        <v/>
      </c>
      <c r="E27" s="64" t="str">
        <f>IF(AND('ROSTER UPDATE'!F27=""),"",('ROSTER UPDATE'!F27))</f>
        <v/>
      </c>
      <c r="F27" s="65" t="str">
        <f>IF(AND('ROSTER UPDATE'!C27=""),"",('ROSTER UPDATE'!C27))</f>
        <v/>
      </c>
      <c r="G27" s="87" t="s">
        <v>41</v>
      </c>
      <c r="I27" s="78">
        <f>SUM('ROSTER UPDATE'!H27:'ROSTER UPDATE'!J27)</f>
        <v>0</v>
      </c>
      <c r="J27" s="79">
        <f>SUM('ROSTER UPDATE'!K27:'ROSTER UPDATE'!M27)</f>
        <v>0</v>
      </c>
      <c r="K27" s="79">
        <f>SUM('ROSTER UPDATE'!N27:'ROSTER UPDATE'!P27)</f>
        <v>0</v>
      </c>
      <c r="L27" s="79"/>
      <c r="M27" s="80"/>
      <c r="O27" s="78">
        <f>IF(AND('ROSTER UPDATE'!R27=""),"",('ROSTER UPDATE'!R27))</f>
        <v>0</v>
      </c>
      <c r="P27" s="79">
        <f>IF(AND('ROSTER UPDATE'!S27=""),"",('ROSTER UPDATE'!S27))</f>
        <v>0</v>
      </c>
      <c r="Q27" s="80" t="str">
        <f>IF(AND('ROSTER UPDATE'!T27=""),"",('ROSTER UPDATE'!T27))</f>
        <v/>
      </c>
      <c r="S27" s="78">
        <f>SUM('ROSTER UPDATE'!R27:'ROSTER UPDATE'!T27)</f>
        <v>0</v>
      </c>
      <c r="T27" s="79">
        <f>SUM('ROSTER UPDATE'!U27:'ROSTER UPDATE'!W27)</f>
        <v>0</v>
      </c>
      <c r="U27" s="79">
        <f>SUM('ROSTER UPDATE'!X27:'ROSTER UPDATE'!Z27)</f>
        <v>0</v>
      </c>
      <c r="V27" s="79"/>
      <c r="W27" s="80"/>
    </row>
    <row r="28" spans="2:23" ht="15.75" thickBot="1" x14ac:dyDescent="0.3">
      <c r="B28" s="64" t="str">
        <f>IF(AND('ROSTER UPDATE'!B28=""),"",('ROSTER UPDATE'!B28))</f>
        <v/>
      </c>
      <c r="C28" s="65" t="str">
        <f>IF(AND('ROSTER UPDATE'!E28=""),"",('ROSTER UPDATE'!E28))</f>
        <v/>
      </c>
      <c r="E28" s="64" t="str">
        <f>IF(AND('ROSTER UPDATE'!F28=""),"",('ROSTER UPDATE'!F28))</f>
        <v/>
      </c>
      <c r="F28" s="65" t="str">
        <f>IF(AND('ROSTER UPDATE'!C28=""),"",('ROSTER UPDATE'!C28))</f>
        <v/>
      </c>
      <c r="G28" s="87" t="s">
        <v>41</v>
      </c>
      <c r="I28" s="78">
        <f>SUM('ROSTER UPDATE'!H28:'ROSTER UPDATE'!J28)</f>
        <v>0</v>
      </c>
      <c r="J28" s="79">
        <f>SUM('ROSTER UPDATE'!K28:'ROSTER UPDATE'!M28)</f>
        <v>0</v>
      </c>
      <c r="K28" s="79">
        <f>SUM('ROSTER UPDATE'!N28:'ROSTER UPDATE'!P28)</f>
        <v>0</v>
      </c>
      <c r="L28" s="79"/>
      <c r="M28" s="80"/>
      <c r="O28" s="78">
        <f>IF(AND('ROSTER UPDATE'!R28=""),"",('ROSTER UPDATE'!R28))</f>
        <v>0</v>
      </c>
      <c r="P28" s="79">
        <f>IF(AND('ROSTER UPDATE'!S28=""),"",('ROSTER UPDATE'!S28))</f>
        <v>0</v>
      </c>
      <c r="Q28" s="80" t="str">
        <f>IF(AND('ROSTER UPDATE'!T28=""),"",('ROSTER UPDATE'!T28))</f>
        <v/>
      </c>
      <c r="S28" s="78">
        <f>SUM('ROSTER UPDATE'!R28:'ROSTER UPDATE'!T28)</f>
        <v>0</v>
      </c>
      <c r="T28" s="79">
        <f>SUM('ROSTER UPDATE'!U28:'ROSTER UPDATE'!W28)</f>
        <v>0</v>
      </c>
      <c r="U28" s="79">
        <f>SUM('ROSTER UPDATE'!X28:'ROSTER UPDATE'!Z28)</f>
        <v>0</v>
      </c>
      <c r="V28" s="79"/>
      <c r="W28" s="80"/>
    </row>
    <row r="29" spans="2:23" ht="15.75" thickBot="1" x14ac:dyDescent="0.3">
      <c r="B29" s="64" t="str">
        <f>IF(AND('ROSTER UPDATE'!B29=""),"",('ROSTER UPDATE'!B29))</f>
        <v/>
      </c>
      <c r="C29" s="65" t="str">
        <f>IF(AND('ROSTER UPDATE'!E29=""),"",('ROSTER UPDATE'!E29))</f>
        <v/>
      </c>
      <c r="E29" s="64" t="str">
        <f>IF(AND('ROSTER UPDATE'!F29=""),"",('ROSTER UPDATE'!F29))</f>
        <v/>
      </c>
      <c r="F29" s="65" t="str">
        <f>IF(AND('ROSTER UPDATE'!C29=""),"",('ROSTER UPDATE'!C29))</f>
        <v/>
      </c>
      <c r="G29" s="87" t="s">
        <v>41</v>
      </c>
      <c r="I29" s="78">
        <f>SUM('ROSTER UPDATE'!H29:'ROSTER UPDATE'!J29)</f>
        <v>0</v>
      </c>
      <c r="J29" s="79">
        <f>SUM('ROSTER UPDATE'!K29:'ROSTER UPDATE'!M29)</f>
        <v>0</v>
      </c>
      <c r="K29" s="79">
        <f>SUM('ROSTER UPDATE'!N29:'ROSTER UPDATE'!P29)</f>
        <v>0</v>
      </c>
      <c r="L29" s="79"/>
      <c r="M29" s="80"/>
      <c r="O29" s="78">
        <f>IF(AND('ROSTER UPDATE'!R29=""),"",('ROSTER UPDATE'!R29))</f>
        <v>0</v>
      </c>
      <c r="P29" s="79">
        <f>IF(AND('ROSTER UPDATE'!S29=""),"",('ROSTER UPDATE'!S29))</f>
        <v>0</v>
      </c>
      <c r="Q29" s="80" t="str">
        <f>IF(AND('ROSTER UPDATE'!T29=""),"",('ROSTER UPDATE'!T29))</f>
        <v/>
      </c>
      <c r="S29" s="78">
        <f>SUM('ROSTER UPDATE'!R29:'ROSTER UPDATE'!T29)</f>
        <v>0</v>
      </c>
      <c r="T29" s="79">
        <f>SUM('ROSTER UPDATE'!U29:'ROSTER UPDATE'!W29)</f>
        <v>0</v>
      </c>
      <c r="U29" s="79">
        <f>SUM('ROSTER UPDATE'!X29:'ROSTER UPDATE'!Z29)</f>
        <v>0</v>
      </c>
      <c r="V29" s="79"/>
      <c r="W29" s="80"/>
    </row>
    <row r="30" spans="2:23" ht="15.75" thickBot="1" x14ac:dyDescent="0.3">
      <c r="B30" s="64" t="str">
        <f>IF(AND('ROSTER UPDATE'!B30=""),"",('ROSTER UPDATE'!B30))</f>
        <v/>
      </c>
      <c r="C30" s="65" t="str">
        <f>IF(AND('ROSTER UPDATE'!E30=""),"",('ROSTER UPDATE'!E30))</f>
        <v/>
      </c>
      <c r="E30" s="64" t="str">
        <f>IF(AND('ROSTER UPDATE'!F30=""),"",('ROSTER UPDATE'!F30))</f>
        <v/>
      </c>
      <c r="F30" s="65" t="str">
        <f>IF(AND('ROSTER UPDATE'!C30=""),"",('ROSTER UPDATE'!C30))</f>
        <v/>
      </c>
      <c r="G30" s="87" t="s">
        <v>41</v>
      </c>
      <c r="I30" s="78">
        <f>SUM('ROSTER UPDATE'!H30:'ROSTER UPDATE'!J30)</f>
        <v>0</v>
      </c>
      <c r="J30" s="79">
        <f>SUM('ROSTER UPDATE'!K30:'ROSTER UPDATE'!M30)</f>
        <v>0</v>
      </c>
      <c r="K30" s="79">
        <f>SUM('ROSTER UPDATE'!N30:'ROSTER UPDATE'!P30)</f>
        <v>0</v>
      </c>
      <c r="L30" s="79"/>
      <c r="M30" s="80"/>
      <c r="O30" s="78">
        <f>IF(AND('ROSTER UPDATE'!R30=""),"",('ROSTER UPDATE'!R30))</f>
        <v>0</v>
      </c>
      <c r="P30" s="79">
        <f>IF(AND('ROSTER UPDATE'!S30=""),"",('ROSTER UPDATE'!S30))</f>
        <v>0</v>
      </c>
      <c r="Q30" s="80" t="str">
        <f>IF(AND('ROSTER UPDATE'!T30=""),"",('ROSTER UPDATE'!T30))</f>
        <v/>
      </c>
      <c r="S30" s="78">
        <f>SUM('ROSTER UPDATE'!R30:'ROSTER UPDATE'!T30)</f>
        <v>0</v>
      </c>
      <c r="T30" s="79">
        <f>SUM('ROSTER UPDATE'!U30:'ROSTER UPDATE'!W30)</f>
        <v>0</v>
      </c>
      <c r="U30" s="79">
        <f>SUM('ROSTER UPDATE'!X30:'ROSTER UPDATE'!Z30)</f>
        <v>0</v>
      </c>
      <c r="V30" s="79"/>
      <c r="W30" s="80"/>
    </row>
    <row r="31" spans="2:23" ht="15.75" thickBot="1" x14ac:dyDescent="0.3">
      <c r="B31" s="64" t="str">
        <f>IF(AND('ROSTER UPDATE'!B31=""),"",('ROSTER UPDATE'!B31))</f>
        <v/>
      </c>
      <c r="C31" s="65" t="str">
        <f>IF(AND('ROSTER UPDATE'!E31=""),"",('ROSTER UPDATE'!E31))</f>
        <v/>
      </c>
      <c r="E31" s="64" t="str">
        <f>IF(AND('ROSTER UPDATE'!F31=""),"",('ROSTER UPDATE'!F31))</f>
        <v/>
      </c>
      <c r="F31" s="65" t="str">
        <f>IF(AND('ROSTER UPDATE'!C31=""),"",('ROSTER UPDATE'!C31))</f>
        <v/>
      </c>
      <c r="G31" s="87" t="s">
        <v>41</v>
      </c>
      <c r="I31" s="78">
        <f>SUM('ROSTER UPDATE'!H31:'ROSTER UPDATE'!J31)</f>
        <v>0</v>
      </c>
      <c r="J31" s="79">
        <f>SUM('ROSTER UPDATE'!K31:'ROSTER UPDATE'!M31)</f>
        <v>0</v>
      </c>
      <c r="K31" s="79">
        <f>SUM('ROSTER UPDATE'!N31:'ROSTER UPDATE'!P31)</f>
        <v>0</v>
      </c>
      <c r="L31" s="79"/>
      <c r="M31" s="80"/>
      <c r="O31" s="78">
        <f>IF(AND('ROSTER UPDATE'!R31=""),"",('ROSTER UPDATE'!R31))</f>
        <v>0</v>
      </c>
      <c r="P31" s="79">
        <f>IF(AND('ROSTER UPDATE'!S31=""),"",('ROSTER UPDATE'!S31))</f>
        <v>0</v>
      </c>
      <c r="Q31" s="80" t="str">
        <f>IF(AND('ROSTER UPDATE'!T31=""),"",('ROSTER UPDATE'!T31))</f>
        <v/>
      </c>
      <c r="S31" s="78">
        <f>SUM('ROSTER UPDATE'!R31:'ROSTER UPDATE'!T31)</f>
        <v>0</v>
      </c>
      <c r="T31" s="79">
        <f>SUM('ROSTER UPDATE'!U31:'ROSTER UPDATE'!W31)</f>
        <v>0</v>
      </c>
      <c r="U31" s="79">
        <f>SUM('ROSTER UPDATE'!X31:'ROSTER UPDATE'!Z31)</f>
        <v>0</v>
      </c>
      <c r="V31" s="79"/>
      <c r="W31" s="80"/>
    </row>
    <row r="32" spans="2:23" ht="15.75" thickBot="1" x14ac:dyDescent="0.3">
      <c r="B32" s="64" t="str">
        <f>IF(AND('ROSTER UPDATE'!B32=""),"",('ROSTER UPDATE'!B32))</f>
        <v/>
      </c>
      <c r="C32" s="65" t="str">
        <f>IF(AND('ROSTER UPDATE'!E32=""),"",('ROSTER UPDATE'!E32))</f>
        <v/>
      </c>
      <c r="E32" s="64" t="str">
        <f>IF(AND('ROSTER UPDATE'!F32=""),"",('ROSTER UPDATE'!F32))</f>
        <v/>
      </c>
      <c r="F32" s="65" t="str">
        <f>IF(AND('ROSTER UPDATE'!C32=""),"",('ROSTER UPDATE'!C32))</f>
        <v/>
      </c>
      <c r="G32" s="87" t="s">
        <v>41</v>
      </c>
      <c r="I32" s="78">
        <f>SUM('ROSTER UPDATE'!H32:'ROSTER UPDATE'!J32)</f>
        <v>0</v>
      </c>
      <c r="J32" s="79">
        <f>SUM('ROSTER UPDATE'!K32:'ROSTER UPDATE'!M32)</f>
        <v>0</v>
      </c>
      <c r="K32" s="79">
        <f>SUM('ROSTER UPDATE'!N32:'ROSTER UPDATE'!P32)</f>
        <v>0</v>
      </c>
      <c r="L32" s="79"/>
      <c r="M32" s="80"/>
      <c r="O32" s="78">
        <f>IF(AND('ROSTER UPDATE'!R32=""),"",('ROSTER UPDATE'!R32))</f>
        <v>0</v>
      </c>
      <c r="P32" s="79">
        <f>IF(AND('ROSTER UPDATE'!S32=""),"",('ROSTER UPDATE'!S32))</f>
        <v>0</v>
      </c>
      <c r="Q32" s="80" t="str">
        <f>IF(AND('ROSTER UPDATE'!T32=""),"",('ROSTER UPDATE'!T32))</f>
        <v/>
      </c>
      <c r="S32" s="78">
        <f>SUM('ROSTER UPDATE'!R32:'ROSTER UPDATE'!T32)</f>
        <v>0</v>
      </c>
      <c r="T32" s="79">
        <f>SUM('ROSTER UPDATE'!U32:'ROSTER UPDATE'!W32)</f>
        <v>0</v>
      </c>
      <c r="U32" s="79">
        <f>SUM('ROSTER UPDATE'!X32:'ROSTER UPDATE'!Z32)</f>
        <v>0</v>
      </c>
      <c r="V32" s="79"/>
      <c r="W32" s="80"/>
    </row>
    <row r="33" spans="2:23" ht="15.75" thickBot="1" x14ac:dyDescent="0.3">
      <c r="B33" s="64" t="str">
        <f>IF(AND('ROSTER UPDATE'!B33=""),"",('ROSTER UPDATE'!B33))</f>
        <v/>
      </c>
      <c r="C33" s="65" t="str">
        <f>IF(AND('ROSTER UPDATE'!E33=""),"",('ROSTER UPDATE'!E33))</f>
        <v/>
      </c>
      <c r="E33" s="64" t="str">
        <f>IF(AND('ROSTER UPDATE'!F33=""),"",('ROSTER UPDATE'!F33))</f>
        <v/>
      </c>
      <c r="F33" s="65" t="str">
        <f>IF(AND('ROSTER UPDATE'!C33=""),"",('ROSTER UPDATE'!C33))</f>
        <v/>
      </c>
      <c r="G33" s="87" t="s">
        <v>41</v>
      </c>
      <c r="I33" s="78">
        <f>SUM('ROSTER UPDATE'!H33:'ROSTER UPDATE'!J33)</f>
        <v>0</v>
      </c>
      <c r="J33" s="79">
        <f>SUM('ROSTER UPDATE'!K33:'ROSTER UPDATE'!M33)</f>
        <v>0</v>
      </c>
      <c r="K33" s="79">
        <f>SUM('ROSTER UPDATE'!N33:'ROSTER UPDATE'!P33)</f>
        <v>0</v>
      </c>
      <c r="L33" s="79"/>
      <c r="M33" s="80"/>
      <c r="O33" s="78">
        <f>IF(AND('ROSTER UPDATE'!R33=""),"",('ROSTER UPDATE'!R33))</f>
        <v>0</v>
      </c>
      <c r="P33" s="79">
        <f>IF(AND('ROSTER UPDATE'!S33=""),"",('ROSTER UPDATE'!S33))</f>
        <v>0</v>
      </c>
      <c r="Q33" s="80" t="str">
        <f>IF(AND('ROSTER UPDATE'!T33=""),"",('ROSTER UPDATE'!T33))</f>
        <v/>
      </c>
      <c r="S33" s="78">
        <f>SUM('ROSTER UPDATE'!R33:'ROSTER UPDATE'!T33)</f>
        <v>0</v>
      </c>
      <c r="T33" s="79">
        <f>SUM('ROSTER UPDATE'!U33:'ROSTER UPDATE'!W33)</f>
        <v>0</v>
      </c>
      <c r="U33" s="79">
        <f>SUM('ROSTER UPDATE'!X33:'ROSTER UPDATE'!Z33)</f>
        <v>0</v>
      </c>
      <c r="V33" s="79"/>
      <c r="W33" s="80"/>
    </row>
    <row r="34" spans="2:23" ht="15.75" thickBot="1" x14ac:dyDescent="0.3">
      <c r="B34" s="64" t="str">
        <f>IF(AND('ROSTER UPDATE'!B34=""),"",('ROSTER UPDATE'!B34))</f>
        <v/>
      </c>
      <c r="C34" s="65" t="str">
        <f>IF(AND('ROSTER UPDATE'!E34=""),"",('ROSTER UPDATE'!E34))</f>
        <v/>
      </c>
      <c r="E34" s="64" t="str">
        <f>IF(AND('ROSTER UPDATE'!F34=""),"",('ROSTER UPDATE'!F34))</f>
        <v/>
      </c>
      <c r="F34" s="65" t="str">
        <f>IF(AND('ROSTER UPDATE'!C34=""),"",('ROSTER UPDATE'!C34))</f>
        <v/>
      </c>
      <c r="G34" s="87" t="s">
        <v>41</v>
      </c>
      <c r="I34" s="78">
        <f>SUM('ROSTER UPDATE'!H34:'ROSTER UPDATE'!J34)</f>
        <v>0</v>
      </c>
      <c r="J34" s="79">
        <f>SUM('ROSTER UPDATE'!K34:'ROSTER UPDATE'!M34)</f>
        <v>0</v>
      </c>
      <c r="K34" s="79">
        <f>SUM('ROSTER UPDATE'!N34:'ROSTER UPDATE'!P34)</f>
        <v>0</v>
      </c>
      <c r="L34" s="79"/>
      <c r="M34" s="80"/>
      <c r="O34" s="78">
        <f>IF(AND('ROSTER UPDATE'!R34=""),"",('ROSTER UPDATE'!R34))</f>
        <v>0</v>
      </c>
      <c r="P34" s="79">
        <f>IF(AND('ROSTER UPDATE'!S34=""),"",('ROSTER UPDATE'!S34))</f>
        <v>0</v>
      </c>
      <c r="Q34" s="80" t="str">
        <f>IF(AND('ROSTER UPDATE'!T34=""),"",('ROSTER UPDATE'!T34))</f>
        <v/>
      </c>
      <c r="S34" s="78">
        <f>SUM('ROSTER UPDATE'!R34:'ROSTER UPDATE'!T34)</f>
        <v>0</v>
      </c>
      <c r="T34" s="79">
        <f>SUM('ROSTER UPDATE'!U34:'ROSTER UPDATE'!W34)</f>
        <v>0</v>
      </c>
      <c r="U34" s="79">
        <f>SUM('ROSTER UPDATE'!X34:'ROSTER UPDATE'!Z34)</f>
        <v>0</v>
      </c>
      <c r="V34" s="79"/>
      <c r="W34" s="80"/>
    </row>
    <row r="35" spans="2:23" ht="15.75" thickBot="1" x14ac:dyDescent="0.3">
      <c r="B35" s="64" t="str">
        <f>IF(AND('ROSTER UPDATE'!B35=""),"",('ROSTER UPDATE'!B35))</f>
        <v/>
      </c>
      <c r="C35" s="65" t="str">
        <f>IF(AND('ROSTER UPDATE'!E35=""),"",('ROSTER UPDATE'!E35))</f>
        <v/>
      </c>
      <c r="E35" s="64" t="str">
        <f>IF(AND('ROSTER UPDATE'!F35=""),"",('ROSTER UPDATE'!F35))</f>
        <v/>
      </c>
      <c r="F35" s="65" t="str">
        <f>IF(AND('ROSTER UPDATE'!C35=""),"",('ROSTER UPDATE'!C35))</f>
        <v/>
      </c>
      <c r="G35" s="87" t="s">
        <v>41</v>
      </c>
      <c r="I35" s="78">
        <f>SUM('ROSTER UPDATE'!H35:'ROSTER UPDATE'!J35)</f>
        <v>0</v>
      </c>
      <c r="J35" s="79">
        <f>SUM('ROSTER UPDATE'!K35:'ROSTER UPDATE'!M35)</f>
        <v>0</v>
      </c>
      <c r="K35" s="79">
        <f>SUM('ROSTER UPDATE'!N35:'ROSTER UPDATE'!P35)</f>
        <v>0</v>
      </c>
      <c r="L35" s="79"/>
      <c r="M35" s="80"/>
      <c r="O35" s="78">
        <f>IF(AND('ROSTER UPDATE'!R35=""),"",('ROSTER UPDATE'!R35))</f>
        <v>0</v>
      </c>
      <c r="P35" s="79">
        <f>IF(AND('ROSTER UPDATE'!S35=""),"",('ROSTER UPDATE'!S35))</f>
        <v>0</v>
      </c>
      <c r="Q35" s="80" t="str">
        <f>IF(AND('ROSTER UPDATE'!T35=""),"",('ROSTER UPDATE'!T35))</f>
        <v/>
      </c>
      <c r="S35" s="78">
        <f>SUM('ROSTER UPDATE'!R35:'ROSTER UPDATE'!T35)</f>
        <v>0</v>
      </c>
      <c r="T35" s="79">
        <f>SUM('ROSTER UPDATE'!U35:'ROSTER UPDATE'!W35)</f>
        <v>0</v>
      </c>
      <c r="U35" s="79">
        <f>SUM('ROSTER UPDATE'!X35:'ROSTER UPDATE'!Z35)</f>
        <v>0</v>
      </c>
      <c r="V35" s="79"/>
      <c r="W35" s="80"/>
    </row>
    <row r="36" spans="2:23" ht="15.75" thickBot="1" x14ac:dyDescent="0.3">
      <c r="B36" s="64" t="str">
        <f>IF(AND('ROSTER UPDATE'!B36=""),"",('ROSTER UPDATE'!B36))</f>
        <v/>
      </c>
      <c r="C36" s="65" t="str">
        <f>IF(AND('ROSTER UPDATE'!E36=""),"",('ROSTER UPDATE'!E36))</f>
        <v/>
      </c>
      <c r="E36" s="64" t="str">
        <f>IF(AND('ROSTER UPDATE'!F36=""),"",('ROSTER UPDATE'!F36))</f>
        <v/>
      </c>
      <c r="F36" s="65" t="str">
        <f>IF(AND('ROSTER UPDATE'!C36=""),"",('ROSTER UPDATE'!C36))</f>
        <v/>
      </c>
      <c r="G36" s="87" t="s">
        <v>41</v>
      </c>
      <c r="I36" s="78">
        <f>SUM('ROSTER UPDATE'!H36:'ROSTER UPDATE'!J36)</f>
        <v>0</v>
      </c>
      <c r="J36" s="79">
        <f>SUM('ROSTER UPDATE'!K36:'ROSTER UPDATE'!M36)</f>
        <v>0</v>
      </c>
      <c r="K36" s="79">
        <f>SUM('ROSTER UPDATE'!N36:'ROSTER UPDATE'!P36)</f>
        <v>0</v>
      </c>
      <c r="L36" s="79"/>
      <c r="M36" s="80"/>
      <c r="O36" s="78">
        <f>IF(AND('ROSTER UPDATE'!R36=""),"",('ROSTER UPDATE'!R36))</f>
        <v>0</v>
      </c>
      <c r="P36" s="79">
        <f>IF(AND('ROSTER UPDATE'!S36=""),"",('ROSTER UPDATE'!S36))</f>
        <v>0</v>
      </c>
      <c r="Q36" s="80" t="str">
        <f>IF(AND('ROSTER UPDATE'!T36=""),"",('ROSTER UPDATE'!T36))</f>
        <v/>
      </c>
      <c r="S36" s="78">
        <f>SUM('ROSTER UPDATE'!R36:'ROSTER UPDATE'!T36)</f>
        <v>0</v>
      </c>
      <c r="T36" s="79">
        <f>SUM('ROSTER UPDATE'!U36:'ROSTER UPDATE'!W36)</f>
        <v>0</v>
      </c>
      <c r="U36" s="79">
        <f>SUM('ROSTER UPDATE'!X36:'ROSTER UPDATE'!Z36)</f>
        <v>0</v>
      </c>
      <c r="V36" s="79"/>
      <c r="W36" s="80"/>
    </row>
    <row r="37" spans="2:23" ht="15.75" thickBot="1" x14ac:dyDescent="0.3">
      <c r="B37" s="64" t="str">
        <f>IF(AND('ROSTER UPDATE'!B37=""),"",('ROSTER UPDATE'!B37))</f>
        <v/>
      </c>
      <c r="C37" s="65" t="str">
        <f>IF(AND('ROSTER UPDATE'!E37=""),"",('ROSTER UPDATE'!E37))</f>
        <v/>
      </c>
      <c r="E37" s="64" t="str">
        <f>IF(AND('ROSTER UPDATE'!F37=""),"",('ROSTER UPDATE'!F37))</f>
        <v/>
      </c>
      <c r="F37" s="65" t="str">
        <f>IF(AND('ROSTER UPDATE'!C37=""),"",('ROSTER UPDATE'!C37))</f>
        <v/>
      </c>
      <c r="G37" s="87" t="s">
        <v>41</v>
      </c>
      <c r="I37" s="78">
        <f>SUM('ROSTER UPDATE'!H37:'ROSTER UPDATE'!J37)</f>
        <v>0</v>
      </c>
      <c r="J37" s="79">
        <f>SUM('ROSTER UPDATE'!K37:'ROSTER UPDATE'!M37)</f>
        <v>0</v>
      </c>
      <c r="K37" s="79">
        <f>SUM('ROSTER UPDATE'!N37:'ROSTER UPDATE'!P37)</f>
        <v>0</v>
      </c>
      <c r="L37" s="79"/>
      <c r="M37" s="80"/>
      <c r="O37" s="78">
        <f>IF(AND('ROSTER UPDATE'!R37=""),"",('ROSTER UPDATE'!R37))</f>
        <v>0</v>
      </c>
      <c r="P37" s="79">
        <f>IF(AND('ROSTER UPDATE'!S37=""),"",('ROSTER UPDATE'!S37))</f>
        <v>0</v>
      </c>
      <c r="Q37" s="80" t="str">
        <f>IF(AND('ROSTER UPDATE'!T37=""),"",('ROSTER UPDATE'!T37))</f>
        <v/>
      </c>
      <c r="S37" s="78">
        <f>SUM('ROSTER UPDATE'!R37:'ROSTER UPDATE'!T37)</f>
        <v>0</v>
      </c>
      <c r="T37" s="79">
        <f>SUM('ROSTER UPDATE'!U37:'ROSTER UPDATE'!W37)</f>
        <v>0</v>
      </c>
      <c r="U37" s="79">
        <f>SUM('ROSTER UPDATE'!X37:'ROSTER UPDATE'!Z37)</f>
        <v>0</v>
      </c>
      <c r="V37" s="79"/>
      <c r="W37" s="80"/>
    </row>
    <row r="38" spans="2:23" ht="15.75" thickBot="1" x14ac:dyDescent="0.3">
      <c r="B38" s="64" t="str">
        <f>IF(AND('ROSTER UPDATE'!B38=""),"",('ROSTER UPDATE'!B38))</f>
        <v/>
      </c>
      <c r="C38" s="65" t="str">
        <f>IF(AND('ROSTER UPDATE'!E38=""),"",('ROSTER UPDATE'!E38))</f>
        <v/>
      </c>
      <c r="E38" s="64" t="str">
        <f>IF(AND('ROSTER UPDATE'!F38=""),"",('ROSTER UPDATE'!F38))</f>
        <v/>
      </c>
      <c r="F38" s="65" t="str">
        <f>IF(AND('ROSTER UPDATE'!C38=""),"",('ROSTER UPDATE'!C38))</f>
        <v/>
      </c>
      <c r="G38" s="87" t="s">
        <v>41</v>
      </c>
      <c r="I38" s="78">
        <f>SUM('ROSTER UPDATE'!H38:'ROSTER UPDATE'!J38)</f>
        <v>0</v>
      </c>
      <c r="J38" s="79">
        <f>SUM('ROSTER UPDATE'!K38:'ROSTER UPDATE'!M38)</f>
        <v>0</v>
      </c>
      <c r="K38" s="79">
        <f>SUM('ROSTER UPDATE'!N38:'ROSTER UPDATE'!P38)</f>
        <v>0</v>
      </c>
      <c r="L38" s="79"/>
      <c r="M38" s="80"/>
      <c r="O38" s="78">
        <f>IF(AND('ROSTER UPDATE'!R38=""),"",('ROSTER UPDATE'!R38))</f>
        <v>0</v>
      </c>
      <c r="P38" s="79">
        <f>IF(AND('ROSTER UPDATE'!S38=""),"",('ROSTER UPDATE'!S38))</f>
        <v>0</v>
      </c>
      <c r="Q38" s="80" t="str">
        <f>IF(AND('ROSTER UPDATE'!T38=""),"",('ROSTER UPDATE'!T38))</f>
        <v/>
      </c>
      <c r="S38" s="78">
        <f>SUM('ROSTER UPDATE'!R38:'ROSTER UPDATE'!T38)</f>
        <v>0</v>
      </c>
      <c r="T38" s="79">
        <f>SUM('ROSTER UPDATE'!U38:'ROSTER UPDATE'!W38)</f>
        <v>0</v>
      </c>
      <c r="U38" s="79">
        <f>SUM('ROSTER UPDATE'!X38:'ROSTER UPDATE'!Z38)</f>
        <v>0</v>
      </c>
      <c r="V38" s="79"/>
      <c r="W38" s="80"/>
    </row>
    <row r="39" spans="2:23" ht="15.75" thickBot="1" x14ac:dyDescent="0.3">
      <c r="B39" s="64" t="str">
        <f>IF(AND('ROSTER UPDATE'!B39=""),"",('ROSTER UPDATE'!B39))</f>
        <v/>
      </c>
      <c r="C39" s="65" t="str">
        <f>IF(AND('ROSTER UPDATE'!E39=""),"",('ROSTER UPDATE'!E39))</f>
        <v/>
      </c>
      <c r="E39" s="64" t="str">
        <f>IF(AND('ROSTER UPDATE'!F39=""),"",('ROSTER UPDATE'!F39))</f>
        <v/>
      </c>
      <c r="F39" s="65" t="str">
        <f>IF(AND('ROSTER UPDATE'!C39=""),"",('ROSTER UPDATE'!C39))</f>
        <v/>
      </c>
      <c r="G39" s="87" t="s">
        <v>41</v>
      </c>
      <c r="I39" s="78">
        <f>SUM('ROSTER UPDATE'!H39:'ROSTER UPDATE'!J39)</f>
        <v>0</v>
      </c>
      <c r="J39" s="79">
        <f>SUM('ROSTER UPDATE'!K39:'ROSTER UPDATE'!M39)</f>
        <v>0</v>
      </c>
      <c r="K39" s="79">
        <f>SUM('ROSTER UPDATE'!N39:'ROSTER UPDATE'!P39)</f>
        <v>0</v>
      </c>
      <c r="L39" s="79"/>
      <c r="M39" s="80"/>
      <c r="O39" s="78">
        <f>IF(AND('ROSTER UPDATE'!R39=""),"",('ROSTER UPDATE'!R39))</f>
        <v>0</v>
      </c>
      <c r="P39" s="79">
        <f>IF(AND('ROSTER UPDATE'!S39=""),"",('ROSTER UPDATE'!S39))</f>
        <v>0</v>
      </c>
      <c r="Q39" s="80" t="str">
        <f>IF(AND('ROSTER UPDATE'!T39=""),"",('ROSTER UPDATE'!T39))</f>
        <v/>
      </c>
      <c r="S39" s="78">
        <f>SUM('ROSTER UPDATE'!R39:'ROSTER UPDATE'!T39)</f>
        <v>0</v>
      </c>
      <c r="T39" s="79">
        <f>SUM('ROSTER UPDATE'!U39:'ROSTER UPDATE'!W39)</f>
        <v>0</v>
      </c>
      <c r="U39" s="79">
        <f>SUM('ROSTER UPDATE'!X39:'ROSTER UPDATE'!Z39)</f>
        <v>0</v>
      </c>
      <c r="V39" s="79"/>
      <c r="W39" s="80"/>
    </row>
    <row r="40" spans="2:23" ht="15.75" thickBot="1" x14ac:dyDescent="0.3">
      <c r="B40" s="64" t="str">
        <f>IF(AND('ROSTER UPDATE'!B40=""),"",('ROSTER UPDATE'!B40))</f>
        <v/>
      </c>
      <c r="C40" s="65" t="str">
        <f>IF(AND('ROSTER UPDATE'!E40=""),"",('ROSTER UPDATE'!E40))</f>
        <v/>
      </c>
      <c r="E40" s="64" t="str">
        <f>IF(AND('ROSTER UPDATE'!F40=""),"",('ROSTER UPDATE'!F40))</f>
        <v/>
      </c>
      <c r="F40" s="65" t="str">
        <f>IF(AND('ROSTER UPDATE'!C40=""),"",('ROSTER UPDATE'!C40))</f>
        <v/>
      </c>
      <c r="G40" s="87" t="s">
        <v>41</v>
      </c>
      <c r="I40" s="78">
        <f>SUM('ROSTER UPDATE'!H40:'ROSTER UPDATE'!J40)</f>
        <v>0</v>
      </c>
      <c r="J40" s="79">
        <f>SUM('ROSTER UPDATE'!K40:'ROSTER UPDATE'!M40)</f>
        <v>0</v>
      </c>
      <c r="K40" s="79">
        <f>SUM('ROSTER UPDATE'!N40:'ROSTER UPDATE'!P40)</f>
        <v>0</v>
      </c>
      <c r="L40" s="79"/>
      <c r="M40" s="80"/>
      <c r="O40" s="78">
        <f>IF(AND('ROSTER UPDATE'!R40=""),"",('ROSTER UPDATE'!R40))</f>
        <v>0</v>
      </c>
      <c r="P40" s="79">
        <f>IF(AND('ROSTER UPDATE'!S40=""),"",('ROSTER UPDATE'!S40))</f>
        <v>0</v>
      </c>
      <c r="Q40" s="80" t="str">
        <f>IF(AND('ROSTER UPDATE'!T40=""),"",('ROSTER UPDATE'!T40))</f>
        <v/>
      </c>
      <c r="S40" s="78">
        <f>SUM('ROSTER UPDATE'!R40:'ROSTER UPDATE'!T40)</f>
        <v>0</v>
      </c>
      <c r="T40" s="79">
        <f>SUM('ROSTER UPDATE'!U40:'ROSTER UPDATE'!W40)</f>
        <v>0</v>
      </c>
      <c r="U40" s="79">
        <f>SUM('ROSTER UPDATE'!X40:'ROSTER UPDATE'!Z40)</f>
        <v>0</v>
      </c>
      <c r="V40" s="79"/>
      <c r="W40" s="80"/>
    </row>
    <row r="41" spans="2:23" ht="15.75" thickBot="1" x14ac:dyDescent="0.3">
      <c r="B41" s="64" t="str">
        <f>IF(AND('ROSTER UPDATE'!B41=""),"",('ROSTER UPDATE'!B41))</f>
        <v/>
      </c>
      <c r="C41" s="65" t="str">
        <f>IF(AND('ROSTER UPDATE'!E41=""),"",('ROSTER UPDATE'!E41))</f>
        <v/>
      </c>
      <c r="E41" s="64" t="str">
        <f>IF(AND('ROSTER UPDATE'!F41=""),"",('ROSTER UPDATE'!F41))</f>
        <v/>
      </c>
      <c r="F41" s="65" t="str">
        <f>IF(AND('ROSTER UPDATE'!C41=""),"",('ROSTER UPDATE'!C41))</f>
        <v/>
      </c>
      <c r="G41" s="87" t="s">
        <v>41</v>
      </c>
      <c r="I41" s="78">
        <f>SUM('ROSTER UPDATE'!H41:'ROSTER UPDATE'!J41)</f>
        <v>0</v>
      </c>
      <c r="J41" s="79">
        <f>SUM('ROSTER UPDATE'!K41:'ROSTER UPDATE'!M41)</f>
        <v>0</v>
      </c>
      <c r="K41" s="79">
        <f>SUM('ROSTER UPDATE'!N41:'ROSTER UPDATE'!P41)</f>
        <v>0</v>
      </c>
      <c r="L41" s="79"/>
      <c r="M41" s="80"/>
      <c r="O41" s="78">
        <f>IF(AND('ROSTER UPDATE'!R41=""),"",('ROSTER UPDATE'!R41))</f>
        <v>0</v>
      </c>
      <c r="P41" s="79">
        <f>IF(AND('ROSTER UPDATE'!S41=""),"",('ROSTER UPDATE'!S41))</f>
        <v>0</v>
      </c>
      <c r="Q41" s="80" t="str">
        <f>IF(AND('ROSTER UPDATE'!T41=""),"",('ROSTER UPDATE'!T41))</f>
        <v/>
      </c>
      <c r="S41" s="78">
        <f>SUM('ROSTER UPDATE'!R41:'ROSTER UPDATE'!T41)</f>
        <v>0</v>
      </c>
      <c r="T41" s="79">
        <f>SUM('ROSTER UPDATE'!U41:'ROSTER UPDATE'!W41)</f>
        <v>0</v>
      </c>
      <c r="U41" s="79">
        <f>SUM('ROSTER UPDATE'!X41:'ROSTER UPDATE'!Z41)</f>
        <v>0</v>
      </c>
      <c r="V41" s="79"/>
      <c r="W41" s="80"/>
    </row>
    <row r="42" spans="2:23" ht="15.75" thickBot="1" x14ac:dyDescent="0.3">
      <c r="B42" s="64" t="str">
        <f>IF(AND('ROSTER UPDATE'!B42=""),"",('ROSTER UPDATE'!B42))</f>
        <v/>
      </c>
      <c r="C42" s="65" t="str">
        <f>IF(AND('ROSTER UPDATE'!E42=""),"",('ROSTER UPDATE'!E42))</f>
        <v/>
      </c>
      <c r="E42" s="64" t="str">
        <f>IF(AND('ROSTER UPDATE'!F42=""),"",('ROSTER UPDATE'!F42))</f>
        <v/>
      </c>
      <c r="F42" s="65" t="str">
        <f>IF(AND('ROSTER UPDATE'!C42=""),"",('ROSTER UPDATE'!C42))</f>
        <v/>
      </c>
      <c r="G42" s="87" t="s">
        <v>41</v>
      </c>
      <c r="I42" s="78">
        <f>SUM('ROSTER UPDATE'!H42:'ROSTER UPDATE'!J42)</f>
        <v>0</v>
      </c>
      <c r="J42" s="79">
        <f>SUM('ROSTER UPDATE'!K42:'ROSTER UPDATE'!M42)</f>
        <v>0</v>
      </c>
      <c r="K42" s="79">
        <f>SUM('ROSTER UPDATE'!N42:'ROSTER UPDATE'!P42)</f>
        <v>0</v>
      </c>
      <c r="L42" s="79"/>
      <c r="M42" s="80"/>
      <c r="O42" s="78">
        <f>IF(AND('ROSTER UPDATE'!R42=""),"",('ROSTER UPDATE'!R42))</f>
        <v>0</v>
      </c>
      <c r="P42" s="79">
        <f>IF(AND('ROSTER UPDATE'!S42=""),"",('ROSTER UPDATE'!S42))</f>
        <v>0</v>
      </c>
      <c r="Q42" s="80" t="str">
        <f>IF(AND('ROSTER UPDATE'!T42=""),"",('ROSTER UPDATE'!T42))</f>
        <v/>
      </c>
      <c r="S42" s="78">
        <f>SUM('ROSTER UPDATE'!R42:'ROSTER UPDATE'!T42)</f>
        <v>0</v>
      </c>
      <c r="T42" s="79">
        <f>SUM('ROSTER UPDATE'!U42:'ROSTER UPDATE'!W42)</f>
        <v>0</v>
      </c>
      <c r="U42" s="79">
        <f>SUM('ROSTER UPDATE'!X42:'ROSTER UPDATE'!Z42)</f>
        <v>0</v>
      </c>
      <c r="V42" s="79"/>
      <c r="W42" s="80"/>
    </row>
    <row r="43" spans="2:23" ht="15.75" thickBot="1" x14ac:dyDescent="0.3">
      <c r="B43" s="64" t="str">
        <f>IF(AND('ROSTER UPDATE'!B43=""),"",('ROSTER UPDATE'!B43))</f>
        <v/>
      </c>
      <c r="C43" s="65" t="str">
        <f>IF(AND('ROSTER UPDATE'!E43=""),"",('ROSTER UPDATE'!E43))</f>
        <v/>
      </c>
      <c r="E43" s="64" t="str">
        <f>IF(AND('ROSTER UPDATE'!F43=""),"",('ROSTER UPDATE'!F43))</f>
        <v/>
      </c>
      <c r="F43" s="65" t="str">
        <f>IF(AND('ROSTER UPDATE'!C43=""),"",('ROSTER UPDATE'!C43))</f>
        <v/>
      </c>
      <c r="G43" s="87" t="s">
        <v>41</v>
      </c>
      <c r="I43" s="78">
        <f>SUM('ROSTER UPDATE'!H43:'ROSTER UPDATE'!J43)</f>
        <v>0</v>
      </c>
      <c r="J43" s="79">
        <f>SUM('ROSTER UPDATE'!K43:'ROSTER UPDATE'!M43)</f>
        <v>0</v>
      </c>
      <c r="K43" s="79">
        <f>SUM('ROSTER UPDATE'!N43:'ROSTER UPDATE'!P43)</f>
        <v>0</v>
      </c>
      <c r="L43" s="79"/>
      <c r="M43" s="80"/>
      <c r="O43" s="78">
        <f>IF(AND('ROSTER UPDATE'!R43=""),"",('ROSTER UPDATE'!R43))</f>
        <v>0</v>
      </c>
      <c r="P43" s="79">
        <f>IF(AND('ROSTER UPDATE'!S43=""),"",('ROSTER UPDATE'!S43))</f>
        <v>0</v>
      </c>
      <c r="Q43" s="80" t="str">
        <f>IF(AND('ROSTER UPDATE'!T43=""),"",('ROSTER UPDATE'!T43))</f>
        <v/>
      </c>
      <c r="S43" s="78">
        <f>SUM('ROSTER UPDATE'!R43:'ROSTER UPDATE'!T43)</f>
        <v>0</v>
      </c>
      <c r="T43" s="79">
        <f>SUM('ROSTER UPDATE'!U43:'ROSTER UPDATE'!W43)</f>
        <v>0</v>
      </c>
      <c r="U43" s="79">
        <f>SUM('ROSTER UPDATE'!X43:'ROSTER UPDATE'!Z43)</f>
        <v>0</v>
      </c>
      <c r="V43" s="79"/>
      <c r="W43" s="80"/>
    </row>
    <row r="44" spans="2:23" ht="15.75" thickBot="1" x14ac:dyDescent="0.3">
      <c r="B44" s="64" t="str">
        <f>IF(AND('ROSTER UPDATE'!B44=""),"",('ROSTER UPDATE'!B44))</f>
        <v/>
      </c>
      <c r="C44" s="65" t="str">
        <f>IF(AND('ROSTER UPDATE'!E44=""),"",('ROSTER UPDATE'!E44))</f>
        <v/>
      </c>
      <c r="E44" s="64" t="str">
        <f>IF(AND('ROSTER UPDATE'!F44=""),"",('ROSTER UPDATE'!F44))</f>
        <v/>
      </c>
      <c r="F44" s="65" t="str">
        <f>IF(AND('ROSTER UPDATE'!C44=""),"",('ROSTER UPDATE'!C44))</f>
        <v/>
      </c>
      <c r="G44" s="87" t="s">
        <v>41</v>
      </c>
      <c r="I44" s="78">
        <f>SUM('ROSTER UPDATE'!H44:'ROSTER UPDATE'!J44)</f>
        <v>0</v>
      </c>
      <c r="J44" s="79">
        <f>SUM('ROSTER UPDATE'!K44:'ROSTER UPDATE'!M44)</f>
        <v>0</v>
      </c>
      <c r="K44" s="79">
        <f>SUM('ROSTER UPDATE'!N44:'ROSTER UPDATE'!P44)</f>
        <v>0</v>
      </c>
      <c r="L44" s="79"/>
      <c r="M44" s="80"/>
      <c r="O44" s="78">
        <f>IF(AND('ROSTER UPDATE'!R44=""),"",('ROSTER UPDATE'!R44))</f>
        <v>0</v>
      </c>
      <c r="P44" s="79">
        <f>IF(AND('ROSTER UPDATE'!S44=""),"",('ROSTER UPDATE'!S44))</f>
        <v>0</v>
      </c>
      <c r="Q44" s="80" t="str">
        <f>IF(AND('ROSTER UPDATE'!T44=""),"",('ROSTER UPDATE'!T44))</f>
        <v/>
      </c>
      <c r="S44" s="78">
        <f>SUM('ROSTER UPDATE'!R44:'ROSTER UPDATE'!T44)</f>
        <v>0</v>
      </c>
      <c r="T44" s="79">
        <f>SUM('ROSTER UPDATE'!U44:'ROSTER UPDATE'!W44)</f>
        <v>0</v>
      </c>
      <c r="U44" s="79">
        <f>SUM('ROSTER UPDATE'!X44:'ROSTER UPDATE'!Z44)</f>
        <v>0</v>
      </c>
      <c r="V44" s="79"/>
      <c r="W44" s="80"/>
    </row>
    <row r="45" spans="2:23" ht="15.75" thickBot="1" x14ac:dyDescent="0.3">
      <c r="B45" s="64" t="str">
        <f>IF(AND('ROSTER UPDATE'!B45=""),"",('ROSTER UPDATE'!B45))</f>
        <v/>
      </c>
      <c r="C45" s="65" t="str">
        <f>IF(AND('ROSTER UPDATE'!E45=""),"",('ROSTER UPDATE'!E45))</f>
        <v/>
      </c>
      <c r="E45" s="64" t="str">
        <f>IF(AND('ROSTER UPDATE'!F45=""),"",('ROSTER UPDATE'!F45))</f>
        <v/>
      </c>
      <c r="F45" s="65" t="str">
        <f>IF(AND('ROSTER UPDATE'!C45=""),"",('ROSTER UPDATE'!C45))</f>
        <v/>
      </c>
      <c r="G45" s="87" t="s">
        <v>41</v>
      </c>
      <c r="I45" s="78">
        <f>SUM('ROSTER UPDATE'!H45:'ROSTER UPDATE'!J45)</f>
        <v>0</v>
      </c>
      <c r="J45" s="79">
        <f>SUM('ROSTER UPDATE'!K45:'ROSTER UPDATE'!M45)</f>
        <v>0</v>
      </c>
      <c r="K45" s="79">
        <f>SUM('ROSTER UPDATE'!N45:'ROSTER UPDATE'!P45)</f>
        <v>0</v>
      </c>
      <c r="L45" s="79"/>
      <c r="M45" s="80"/>
      <c r="O45" s="78">
        <f>IF(AND('ROSTER UPDATE'!R45=""),"",('ROSTER UPDATE'!R45))</f>
        <v>0</v>
      </c>
      <c r="P45" s="79">
        <f>IF(AND('ROSTER UPDATE'!S45=""),"",('ROSTER UPDATE'!S45))</f>
        <v>0</v>
      </c>
      <c r="Q45" s="80" t="str">
        <f>IF(AND('ROSTER UPDATE'!T45=""),"",('ROSTER UPDATE'!T45))</f>
        <v/>
      </c>
      <c r="S45" s="78">
        <f>SUM('ROSTER UPDATE'!R45:'ROSTER UPDATE'!T45)</f>
        <v>0</v>
      </c>
      <c r="T45" s="79">
        <f>SUM('ROSTER UPDATE'!U45:'ROSTER UPDATE'!W45)</f>
        <v>0</v>
      </c>
      <c r="U45" s="79">
        <f>SUM('ROSTER UPDATE'!X45:'ROSTER UPDATE'!Z45)</f>
        <v>0</v>
      </c>
      <c r="V45" s="79"/>
      <c r="W45" s="80"/>
    </row>
    <row r="46" spans="2:23" ht="15.75" thickBot="1" x14ac:dyDescent="0.3">
      <c r="B46" s="64" t="str">
        <f>IF(AND('ROSTER UPDATE'!B46=""),"",('ROSTER UPDATE'!B46))</f>
        <v/>
      </c>
      <c r="C46" s="65" t="str">
        <f>IF(AND('ROSTER UPDATE'!E46=""),"",('ROSTER UPDATE'!E46))</f>
        <v/>
      </c>
      <c r="E46" s="64" t="str">
        <f>IF(AND('ROSTER UPDATE'!F46=""),"",('ROSTER UPDATE'!F46))</f>
        <v/>
      </c>
      <c r="F46" s="65" t="str">
        <f>IF(AND('ROSTER UPDATE'!C46=""),"",('ROSTER UPDATE'!C46))</f>
        <v/>
      </c>
      <c r="G46" s="87" t="s">
        <v>41</v>
      </c>
      <c r="I46" s="78">
        <f>SUM('ROSTER UPDATE'!H46:'ROSTER UPDATE'!J46)</f>
        <v>0</v>
      </c>
      <c r="J46" s="79">
        <f>SUM('ROSTER UPDATE'!K46:'ROSTER UPDATE'!M46)</f>
        <v>0</v>
      </c>
      <c r="K46" s="79">
        <f>SUM('ROSTER UPDATE'!N46:'ROSTER UPDATE'!P46)</f>
        <v>0</v>
      </c>
      <c r="L46" s="79"/>
      <c r="M46" s="80"/>
      <c r="O46" s="78">
        <f>IF(AND('ROSTER UPDATE'!R46=""),"",('ROSTER UPDATE'!R46))</f>
        <v>0</v>
      </c>
      <c r="P46" s="79">
        <f>IF(AND('ROSTER UPDATE'!S46=""),"",('ROSTER UPDATE'!S46))</f>
        <v>0</v>
      </c>
      <c r="Q46" s="80" t="str">
        <f>IF(AND('ROSTER UPDATE'!T46=""),"",('ROSTER UPDATE'!T46))</f>
        <v/>
      </c>
      <c r="S46" s="78">
        <f>SUM('ROSTER UPDATE'!R46:'ROSTER UPDATE'!T46)</f>
        <v>0</v>
      </c>
      <c r="T46" s="79">
        <f>SUM('ROSTER UPDATE'!U46:'ROSTER UPDATE'!W46)</f>
        <v>0</v>
      </c>
      <c r="U46" s="79">
        <f>SUM('ROSTER UPDATE'!X46:'ROSTER UPDATE'!Z46)</f>
        <v>0</v>
      </c>
      <c r="V46" s="79"/>
      <c r="W46" s="80"/>
    </row>
    <row r="47" spans="2:23" ht="15.75" thickBot="1" x14ac:dyDescent="0.3">
      <c r="B47" s="64" t="str">
        <f>IF(AND('ROSTER UPDATE'!B47=""),"",('ROSTER UPDATE'!B47))</f>
        <v/>
      </c>
      <c r="C47" s="65" t="str">
        <f>IF(AND('ROSTER UPDATE'!E47=""),"",('ROSTER UPDATE'!E47))</f>
        <v/>
      </c>
      <c r="E47" s="64" t="str">
        <f>IF(AND('ROSTER UPDATE'!F47=""),"",('ROSTER UPDATE'!F47))</f>
        <v/>
      </c>
      <c r="F47" s="65" t="str">
        <f>IF(AND('ROSTER UPDATE'!C47=""),"",('ROSTER UPDATE'!C47))</f>
        <v/>
      </c>
      <c r="G47" s="87" t="s">
        <v>41</v>
      </c>
      <c r="I47" s="78">
        <f>SUM('ROSTER UPDATE'!H47:'ROSTER UPDATE'!J47)</f>
        <v>0</v>
      </c>
      <c r="J47" s="79">
        <f>SUM('ROSTER UPDATE'!K47:'ROSTER UPDATE'!M47)</f>
        <v>0</v>
      </c>
      <c r="K47" s="79">
        <f>SUM('ROSTER UPDATE'!N47:'ROSTER UPDATE'!P47)</f>
        <v>0</v>
      </c>
      <c r="L47" s="79"/>
      <c r="M47" s="80"/>
      <c r="O47" s="78">
        <f>IF(AND('ROSTER UPDATE'!R47=""),"",('ROSTER UPDATE'!R47))</f>
        <v>0</v>
      </c>
      <c r="P47" s="79">
        <f>IF(AND('ROSTER UPDATE'!S47=""),"",('ROSTER UPDATE'!S47))</f>
        <v>0</v>
      </c>
      <c r="Q47" s="80" t="str">
        <f>IF(AND('ROSTER UPDATE'!T47=""),"",('ROSTER UPDATE'!T47))</f>
        <v/>
      </c>
      <c r="S47" s="78">
        <f>SUM('ROSTER UPDATE'!R47:'ROSTER UPDATE'!T47)</f>
        <v>0</v>
      </c>
      <c r="T47" s="79">
        <f>SUM('ROSTER UPDATE'!U47:'ROSTER UPDATE'!W47)</f>
        <v>0</v>
      </c>
      <c r="U47" s="79">
        <f>SUM('ROSTER UPDATE'!X47:'ROSTER UPDATE'!Z47)</f>
        <v>0</v>
      </c>
      <c r="V47" s="79"/>
      <c r="W47" s="80"/>
    </row>
    <row r="48" spans="2:23" ht="15.75" thickBot="1" x14ac:dyDescent="0.3">
      <c r="B48" s="64" t="str">
        <f>IF(AND('ROSTER UPDATE'!B48=""),"",('ROSTER UPDATE'!B48))</f>
        <v/>
      </c>
      <c r="C48" s="65" t="str">
        <f>IF(AND('ROSTER UPDATE'!E48=""),"",('ROSTER UPDATE'!E48))</f>
        <v/>
      </c>
      <c r="E48" s="64" t="str">
        <f>IF(AND('ROSTER UPDATE'!F48=""),"",('ROSTER UPDATE'!F48))</f>
        <v/>
      </c>
      <c r="F48" s="65" t="str">
        <f>IF(AND('ROSTER UPDATE'!C48=""),"",('ROSTER UPDATE'!C48))</f>
        <v/>
      </c>
      <c r="G48" s="87" t="s">
        <v>41</v>
      </c>
      <c r="I48" s="78">
        <f>SUM('ROSTER UPDATE'!H48:'ROSTER UPDATE'!J48)</f>
        <v>0</v>
      </c>
      <c r="J48" s="79">
        <f>SUM('ROSTER UPDATE'!K48:'ROSTER UPDATE'!M48)</f>
        <v>0</v>
      </c>
      <c r="K48" s="79">
        <f>SUM('ROSTER UPDATE'!N48:'ROSTER UPDATE'!P48)</f>
        <v>0</v>
      </c>
      <c r="L48" s="79"/>
      <c r="M48" s="80"/>
      <c r="O48" s="78">
        <f>IF(AND('ROSTER UPDATE'!R48=""),"",('ROSTER UPDATE'!R48))</f>
        <v>0</v>
      </c>
      <c r="P48" s="79">
        <f>IF(AND('ROSTER UPDATE'!S48=""),"",('ROSTER UPDATE'!S48))</f>
        <v>0</v>
      </c>
      <c r="Q48" s="80" t="str">
        <f>IF(AND('ROSTER UPDATE'!T48=""),"",('ROSTER UPDATE'!T48))</f>
        <v/>
      </c>
      <c r="S48" s="78">
        <f>SUM('ROSTER UPDATE'!R48:'ROSTER UPDATE'!T48)</f>
        <v>0</v>
      </c>
      <c r="T48" s="79">
        <f>SUM('ROSTER UPDATE'!U48:'ROSTER UPDATE'!W48)</f>
        <v>0</v>
      </c>
      <c r="U48" s="79">
        <f>SUM('ROSTER UPDATE'!X48:'ROSTER UPDATE'!Z48)</f>
        <v>0</v>
      </c>
      <c r="V48" s="79"/>
      <c r="W48" s="80"/>
    </row>
    <row r="49" spans="2:23" ht="15.75" thickBot="1" x14ac:dyDescent="0.3">
      <c r="B49" s="64" t="str">
        <f>IF(AND('ROSTER UPDATE'!B49=""),"",('ROSTER UPDATE'!B49))</f>
        <v/>
      </c>
      <c r="C49" s="65" t="str">
        <f>IF(AND('ROSTER UPDATE'!E49=""),"",('ROSTER UPDATE'!E49))</f>
        <v/>
      </c>
      <c r="E49" s="64" t="str">
        <f>IF(AND('ROSTER UPDATE'!F49=""),"",('ROSTER UPDATE'!F49))</f>
        <v/>
      </c>
      <c r="F49" s="65" t="str">
        <f>IF(AND('ROSTER UPDATE'!C49=""),"",('ROSTER UPDATE'!C49))</f>
        <v/>
      </c>
      <c r="G49" s="87" t="s">
        <v>41</v>
      </c>
      <c r="I49" s="78">
        <f>SUM('ROSTER UPDATE'!H49:'ROSTER UPDATE'!J49)</f>
        <v>0</v>
      </c>
      <c r="J49" s="79">
        <f>SUM('ROSTER UPDATE'!K49:'ROSTER UPDATE'!M49)</f>
        <v>0</v>
      </c>
      <c r="K49" s="79">
        <f>SUM('ROSTER UPDATE'!N49:'ROSTER UPDATE'!P49)</f>
        <v>0</v>
      </c>
      <c r="L49" s="79"/>
      <c r="M49" s="80"/>
      <c r="O49" s="78">
        <f>IF(AND('ROSTER UPDATE'!R49=""),"",('ROSTER UPDATE'!R49))</f>
        <v>0</v>
      </c>
      <c r="P49" s="79">
        <f>IF(AND('ROSTER UPDATE'!S49=""),"",('ROSTER UPDATE'!S49))</f>
        <v>0</v>
      </c>
      <c r="Q49" s="80" t="str">
        <f>IF(AND('ROSTER UPDATE'!T49=""),"",('ROSTER UPDATE'!T49))</f>
        <v/>
      </c>
      <c r="S49" s="78">
        <f>SUM('ROSTER UPDATE'!R49:'ROSTER UPDATE'!T49)</f>
        <v>0</v>
      </c>
      <c r="T49" s="79">
        <f>SUM('ROSTER UPDATE'!U49:'ROSTER UPDATE'!W49)</f>
        <v>0</v>
      </c>
      <c r="U49" s="79">
        <f>SUM('ROSTER UPDATE'!X49:'ROSTER UPDATE'!Z49)</f>
        <v>0</v>
      </c>
      <c r="V49" s="79"/>
      <c r="W49" s="80"/>
    </row>
    <row r="50" spans="2:23" ht="15.75" thickBot="1" x14ac:dyDescent="0.3">
      <c r="B50" s="64" t="str">
        <f>IF(AND('ROSTER UPDATE'!B50=""),"",('ROSTER UPDATE'!B50))</f>
        <v/>
      </c>
      <c r="C50" s="65" t="str">
        <f>IF(AND('ROSTER UPDATE'!E50=""),"",('ROSTER UPDATE'!E50))</f>
        <v/>
      </c>
      <c r="E50" s="64" t="str">
        <f>IF(AND('ROSTER UPDATE'!F50=""),"",('ROSTER UPDATE'!F50))</f>
        <v/>
      </c>
      <c r="F50" s="65" t="str">
        <f>IF(AND('ROSTER UPDATE'!C50=""),"",('ROSTER UPDATE'!C50))</f>
        <v/>
      </c>
      <c r="G50" s="87" t="s">
        <v>41</v>
      </c>
      <c r="I50" s="78">
        <f>SUM('ROSTER UPDATE'!H50:'ROSTER UPDATE'!J50)</f>
        <v>0</v>
      </c>
      <c r="J50" s="79">
        <f>SUM('ROSTER UPDATE'!K50:'ROSTER UPDATE'!M50)</f>
        <v>0</v>
      </c>
      <c r="K50" s="79">
        <f>SUM('ROSTER UPDATE'!N50:'ROSTER UPDATE'!P50)</f>
        <v>0</v>
      </c>
      <c r="L50" s="79"/>
      <c r="M50" s="80"/>
      <c r="O50" s="78">
        <f>IF(AND('ROSTER UPDATE'!R50=""),"",('ROSTER UPDATE'!R50))</f>
        <v>0</v>
      </c>
      <c r="P50" s="79">
        <f>IF(AND('ROSTER UPDATE'!S50=""),"",('ROSTER UPDATE'!S50))</f>
        <v>0</v>
      </c>
      <c r="Q50" s="80" t="str">
        <f>IF(AND('ROSTER UPDATE'!T50=""),"",('ROSTER UPDATE'!T50))</f>
        <v/>
      </c>
      <c r="S50" s="78">
        <f>SUM('ROSTER UPDATE'!R50:'ROSTER UPDATE'!T50)</f>
        <v>0</v>
      </c>
      <c r="T50" s="79">
        <f>SUM('ROSTER UPDATE'!U50:'ROSTER UPDATE'!W50)</f>
        <v>0</v>
      </c>
      <c r="U50" s="79">
        <f>SUM('ROSTER UPDATE'!X50:'ROSTER UPDATE'!Z50)</f>
        <v>0</v>
      </c>
      <c r="V50" s="79"/>
      <c r="W50" s="80"/>
    </row>
    <row r="51" spans="2:23" ht="15.75" thickBot="1" x14ac:dyDescent="0.3">
      <c r="B51" s="64" t="str">
        <f>IF(AND('ROSTER UPDATE'!B51=""),"",('ROSTER UPDATE'!B51))</f>
        <v/>
      </c>
      <c r="C51" s="65" t="str">
        <f>IF(AND('ROSTER UPDATE'!E51=""),"",('ROSTER UPDATE'!E51))</f>
        <v/>
      </c>
      <c r="E51" s="64" t="str">
        <f>IF(AND('ROSTER UPDATE'!F51=""),"",('ROSTER UPDATE'!F51))</f>
        <v/>
      </c>
      <c r="F51" s="65" t="str">
        <f>IF(AND('ROSTER UPDATE'!C51=""),"",('ROSTER UPDATE'!C51))</f>
        <v/>
      </c>
      <c r="G51" s="87" t="s">
        <v>41</v>
      </c>
      <c r="I51" s="78">
        <f>SUM('ROSTER UPDATE'!H51:'ROSTER UPDATE'!J51)</f>
        <v>0</v>
      </c>
      <c r="J51" s="79">
        <f>SUM('ROSTER UPDATE'!K51:'ROSTER UPDATE'!M51)</f>
        <v>0</v>
      </c>
      <c r="K51" s="79">
        <f>SUM('ROSTER UPDATE'!N51:'ROSTER UPDATE'!P51)</f>
        <v>0</v>
      </c>
      <c r="L51" s="79"/>
      <c r="M51" s="80"/>
      <c r="O51" s="78">
        <f>IF(AND('ROSTER UPDATE'!R51=""),"",('ROSTER UPDATE'!R51))</f>
        <v>0</v>
      </c>
      <c r="P51" s="79">
        <f>IF(AND('ROSTER UPDATE'!S51=""),"",('ROSTER UPDATE'!S51))</f>
        <v>0</v>
      </c>
      <c r="Q51" s="80" t="str">
        <f>IF(AND('ROSTER UPDATE'!T51=""),"",('ROSTER UPDATE'!T51))</f>
        <v/>
      </c>
      <c r="S51" s="78">
        <f>SUM('ROSTER UPDATE'!R51:'ROSTER UPDATE'!T51)</f>
        <v>0</v>
      </c>
      <c r="T51" s="79">
        <f>SUM('ROSTER UPDATE'!U51:'ROSTER UPDATE'!W51)</f>
        <v>0</v>
      </c>
      <c r="U51" s="79">
        <f>SUM('ROSTER UPDATE'!X51:'ROSTER UPDATE'!Z51)</f>
        <v>0</v>
      </c>
      <c r="V51" s="79"/>
      <c r="W51" s="80"/>
    </row>
    <row r="52" spans="2:23" ht="15.75" thickBot="1" x14ac:dyDescent="0.3">
      <c r="B52" s="64" t="str">
        <f>IF(AND('ROSTER UPDATE'!B52=""),"",('ROSTER UPDATE'!B52))</f>
        <v/>
      </c>
      <c r="C52" s="65" t="str">
        <f>IF(AND('ROSTER UPDATE'!E52=""),"",('ROSTER UPDATE'!E52))</f>
        <v/>
      </c>
      <c r="E52" s="64" t="str">
        <f>IF(AND('ROSTER UPDATE'!F52=""),"",('ROSTER UPDATE'!F52))</f>
        <v/>
      </c>
      <c r="F52" s="65" t="str">
        <f>IF(AND('ROSTER UPDATE'!C52=""),"",('ROSTER UPDATE'!C52))</f>
        <v/>
      </c>
      <c r="G52" s="87" t="s">
        <v>41</v>
      </c>
      <c r="I52" s="78">
        <f>SUM('ROSTER UPDATE'!H52:'ROSTER UPDATE'!J52)</f>
        <v>0</v>
      </c>
      <c r="J52" s="79">
        <f>SUM('ROSTER UPDATE'!K52:'ROSTER UPDATE'!M52)</f>
        <v>0</v>
      </c>
      <c r="K52" s="79">
        <f>SUM('ROSTER UPDATE'!N52:'ROSTER UPDATE'!P52)</f>
        <v>0</v>
      </c>
      <c r="L52" s="79"/>
      <c r="M52" s="80"/>
      <c r="O52" s="78">
        <f>IF(AND('ROSTER UPDATE'!R52=""),"",('ROSTER UPDATE'!R52))</f>
        <v>0</v>
      </c>
      <c r="P52" s="79">
        <f>IF(AND('ROSTER UPDATE'!S52=""),"",('ROSTER UPDATE'!S52))</f>
        <v>0</v>
      </c>
      <c r="Q52" s="80" t="str">
        <f>IF(AND('ROSTER UPDATE'!T52=""),"",('ROSTER UPDATE'!T52))</f>
        <v/>
      </c>
      <c r="S52" s="78">
        <f>SUM('ROSTER UPDATE'!R52:'ROSTER UPDATE'!T52)</f>
        <v>0</v>
      </c>
      <c r="T52" s="79">
        <f>SUM('ROSTER UPDATE'!U52:'ROSTER UPDATE'!W52)</f>
        <v>0</v>
      </c>
      <c r="U52" s="79">
        <f>SUM('ROSTER UPDATE'!X52:'ROSTER UPDATE'!Z52)</f>
        <v>0</v>
      </c>
      <c r="V52" s="79"/>
      <c r="W52" s="80"/>
    </row>
    <row r="53" spans="2:23" ht="15.75" thickBot="1" x14ac:dyDescent="0.3">
      <c r="B53" s="64" t="str">
        <f>IF(AND('ROSTER UPDATE'!B53=""),"",('ROSTER UPDATE'!B53))</f>
        <v/>
      </c>
      <c r="C53" s="65" t="str">
        <f>IF(AND('ROSTER UPDATE'!E53=""),"",('ROSTER UPDATE'!E53))</f>
        <v/>
      </c>
      <c r="E53" s="64" t="str">
        <f>IF(AND('ROSTER UPDATE'!F53=""),"",('ROSTER UPDATE'!F53))</f>
        <v/>
      </c>
      <c r="F53" s="65" t="str">
        <f>IF(AND('ROSTER UPDATE'!C53=""),"",('ROSTER UPDATE'!C53))</f>
        <v/>
      </c>
      <c r="G53" s="87" t="s">
        <v>41</v>
      </c>
      <c r="I53" s="78">
        <f>SUM('ROSTER UPDATE'!H53:'ROSTER UPDATE'!J53)</f>
        <v>0</v>
      </c>
      <c r="J53" s="79">
        <f>SUM('ROSTER UPDATE'!K53:'ROSTER UPDATE'!M53)</f>
        <v>0</v>
      </c>
      <c r="K53" s="79">
        <f>SUM('ROSTER UPDATE'!N53:'ROSTER UPDATE'!P53)</f>
        <v>0</v>
      </c>
      <c r="L53" s="79"/>
      <c r="M53" s="80"/>
      <c r="O53" s="78">
        <f>IF(AND('ROSTER UPDATE'!R53=""),"",('ROSTER UPDATE'!R53))</f>
        <v>0</v>
      </c>
      <c r="P53" s="79">
        <f>IF(AND('ROSTER UPDATE'!S53=""),"",('ROSTER UPDATE'!S53))</f>
        <v>0</v>
      </c>
      <c r="Q53" s="80" t="str">
        <f>IF(AND('ROSTER UPDATE'!T53=""),"",('ROSTER UPDATE'!T53))</f>
        <v/>
      </c>
      <c r="S53" s="78">
        <f>SUM('ROSTER UPDATE'!R53:'ROSTER UPDATE'!T53)</f>
        <v>0</v>
      </c>
      <c r="T53" s="79">
        <f>SUM('ROSTER UPDATE'!U53:'ROSTER UPDATE'!W53)</f>
        <v>0</v>
      </c>
      <c r="U53" s="79">
        <f>SUM('ROSTER UPDATE'!X53:'ROSTER UPDATE'!Z53)</f>
        <v>0</v>
      </c>
      <c r="V53" s="79"/>
      <c r="W53" s="80"/>
    </row>
    <row r="54" spans="2:23" ht="15.75" thickBot="1" x14ac:dyDescent="0.3">
      <c r="B54" s="64" t="str">
        <f>IF(AND('ROSTER UPDATE'!B54=""),"",('ROSTER UPDATE'!B54))</f>
        <v/>
      </c>
      <c r="C54" s="65" t="str">
        <f>IF(AND('ROSTER UPDATE'!E54=""),"",('ROSTER UPDATE'!E54))</f>
        <v/>
      </c>
      <c r="E54" s="64" t="str">
        <f>IF(AND('ROSTER UPDATE'!F54=""),"",('ROSTER UPDATE'!F54))</f>
        <v/>
      </c>
      <c r="F54" s="65" t="str">
        <f>IF(AND('ROSTER UPDATE'!C54=""),"",('ROSTER UPDATE'!C54))</f>
        <v/>
      </c>
      <c r="G54" s="87" t="s">
        <v>41</v>
      </c>
      <c r="I54" s="78">
        <f>SUM('ROSTER UPDATE'!H54:'ROSTER UPDATE'!J54)</f>
        <v>0</v>
      </c>
      <c r="J54" s="79">
        <f>SUM('ROSTER UPDATE'!K54:'ROSTER UPDATE'!M54)</f>
        <v>0</v>
      </c>
      <c r="K54" s="79">
        <f>SUM('ROSTER UPDATE'!N54:'ROSTER UPDATE'!P54)</f>
        <v>0</v>
      </c>
      <c r="L54" s="79"/>
      <c r="M54" s="80"/>
      <c r="O54" s="78">
        <f>IF(AND('ROSTER UPDATE'!R54=""),"",('ROSTER UPDATE'!R54))</f>
        <v>0</v>
      </c>
      <c r="P54" s="79">
        <f>IF(AND('ROSTER UPDATE'!S54=""),"",('ROSTER UPDATE'!S54))</f>
        <v>0</v>
      </c>
      <c r="Q54" s="80" t="str">
        <f>IF(AND('ROSTER UPDATE'!T54=""),"",('ROSTER UPDATE'!T54))</f>
        <v/>
      </c>
      <c r="S54" s="78">
        <f>SUM('ROSTER UPDATE'!R54:'ROSTER UPDATE'!T54)</f>
        <v>0</v>
      </c>
      <c r="T54" s="79">
        <f>SUM('ROSTER UPDATE'!U54:'ROSTER UPDATE'!W54)</f>
        <v>0</v>
      </c>
      <c r="U54" s="79">
        <f>SUM('ROSTER UPDATE'!X54:'ROSTER UPDATE'!Z54)</f>
        <v>0</v>
      </c>
      <c r="V54" s="79"/>
      <c r="W54" s="80"/>
    </row>
    <row r="55" spans="2:23" ht="15.75" thickBot="1" x14ac:dyDescent="0.3">
      <c r="B55" s="64" t="str">
        <f>IF(AND('ROSTER UPDATE'!B55=""),"",('ROSTER UPDATE'!B55))</f>
        <v/>
      </c>
      <c r="C55" s="65" t="str">
        <f>IF(AND('ROSTER UPDATE'!E55=""),"",('ROSTER UPDATE'!E55))</f>
        <v/>
      </c>
      <c r="E55" s="64" t="str">
        <f>IF(AND('ROSTER UPDATE'!F55=""),"",('ROSTER UPDATE'!F55))</f>
        <v/>
      </c>
      <c r="F55" s="65" t="str">
        <f>IF(AND('ROSTER UPDATE'!C55=""),"",('ROSTER UPDATE'!C55))</f>
        <v/>
      </c>
      <c r="G55" s="87" t="s">
        <v>41</v>
      </c>
      <c r="I55" s="78">
        <f>SUM('ROSTER UPDATE'!H55:'ROSTER UPDATE'!J55)</f>
        <v>0</v>
      </c>
      <c r="J55" s="79">
        <f>SUM('ROSTER UPDATE'!K55:'ROSTER UPDATE'!M55)</f>
        <v>0</v>
      </c>
      <c r="K55" s="79">
        <f>SUM('ROSTER UPDATE'!N55:'ROSTER UPDATE'!P55)</f>
        <v>0</v>
      </c>
      <c r="L55" s="79"/>
      <c r="M55" s="80"/>
      <c r="O55" s="78">
        <f>IF(AND('ROSTER UPDATE'!R55=""),"",('ROSTER UPDATE'!R55))</f>
        <v>0</v>
      </c>
      <c r="P55" s="79">
        <f>IF(AND('ROSTER UPDATE'!S55=""),"",('ROSTER UPDATE'!S55))</f>
        <v>0</v>
      </c>
      <c r="Q55" s="80" t="str">
        <f>IF(AND('ROSTER UPDATE'!T55=""),"",('ROSTER UPDATE'!T55))</f>
        <v/>
      </c>
      <c r="S55" s="78">
        <f>SUM('ROSTER UPDATE'!R55:'ROSTER UPDATE'!T55)</f>
        <v>0</v>
      </c>
      <c r="T55" s="79">
        <f>SUM('ROSTER UPDATE'!U55:'ROSTER UPDATE'!W55)</f>
        <v>0</v>
      </c>
      <c r="U55" s="79">
        <f>SUM('ROSTER UPDATE'!X55:'ROSTER UPDATE'!Z55)</f>
        <v>0</v>
      </c>
      <c r="V55" s="79"/>
      <c r="W55" s="80"/>
    </row>
    <row r="56" spans="2:23" ht="15.75" thickBot="1" x14ac:dyDescent="0.3">
      <c r="B56" s="64" t="str">
        <f>IF(AND('ROSTER UPDATE'!B56=""),"",('ROSTER UPDATE'!B56))</f>
        <v/>
      </c>
      <c r="C56" s="65" t="str">
        <f>IF(AND('ROSTER UPDATE'!E56=""),"",('ROSTER UPDATE'!E56))</f>
        <v/>
      </c>
      <c r="E56" s="64" t="str">
        <f>IF(AND('ROSTER UPDATE'!F56=""),"",('ROSTER UPDATE'!F56))</f>
        <v/>
      </c>
      <c r="F56" s="65" t="str">
        <f>IF(AND('ROSTER UPDATE'!C56=""),"",('ROSTER UPDATE'!C56))</f>
        <v/>
      </c>
      <c r="G56" s="87" t="s">
        <v>41</v>
      </c>
      <c r="I56" s="78">
        <f>SUM('ROSTER UPDATE'!H56:'ROSTER UPDATE'!J56)</f>
        <v>0</v>
      </c>
      <c r="J56" s="79">
        <f>SUM('ROSTER UPDATE'!K56:'ROSTER UPDATE'!M56)</f>
        <v>0</v>
      </c>
      <c r="K56" s="79">
        <f>SUM('ROSTER UPDATE'!N56:'ROSTER UPDATE'!P56)</f>
        <v>0</v>
      </c>
      <c r="L56" s="79"/>
      <c r="M56" s="80"/>
      <c r="O56" s="78">
        <f>IF(AND('ROSTER UPDATE'!R56=""),"",('ROSTER UPDATE'!R56))</f>
        <v>0</v>
      </c>
      <c r="P56" s="79">
        <f>IF(AND('ROSTER UPDATE'!S56=""),"",('ROSTER UPDATE'!S56))</f>
        <v>0</v>
      </c>
      <c r="Q56" s="80" t="str">
        <f>IF(AND('ROSTER UPDATE'!T56=""),"",('ROSTER UPDATE'!T56))</f>
        <v/>
      </c>
      <c r="S56" s="78">
        <f>SUM('ROSTER UPDATE'!R56:'ROSTER UPDATE'!T56)</f>
        <v>0</v>
      </c>
      <c r="T56" s="79">
        <f>SUM('ROSTER UPDATE'!U56:'ROSTER UPDATE'!W56)</f>
        <v>0</v>
      </c>
      <c r="U56" s="79">
        <f>SUM('ROSTER UPDATE'!X56:'ROSTER UPDATE'!Z56)</f>
        <v>0</v>
      </c>
      <c r="V56" s="79"/>
      <c r="W56" s="80"/>
    </row>
    <row r="57" spans="2:23" ht="15.75" thickBot="1" x14ac:dyDescent="0.3">
      <c r="B57" s="64" t="str">
        <f>IF(AND('ROSTER UPDATE'!B57=""),"",('ROSTER UPDATE'!B57))</f>
        <v/>
      </c>
      <c r="C57" s="65" t="str">
        <f>IF(AND('ROSTER UPDATE'!E57=""),"",('ROSTER UPDATE'!E57))</f>
        <v/>
      </c>
      <c r="E57" s="64" t="str">
        <f>IF(AND('ROSTER UPDATE'!F57=""),"",('ROSTER UPDATE'!F57))</f>
        <v/>
      </c>
      <c r="F57" s="65" t="str">
        <f>IF(AND('ROSTER UPDATE'!C57=""),"",('ROSTER UPDATE'!C57))</f>
        <v/>
      </c>
      <c r="G57" s="87" t="s">
        <v>41</v>
      </c>
      <c r="I57" s="78">
        <f>SUM('ROSTER UPDATE'!H57:'ROSTER UPDATE'!J57)</f>
        <v>0</v>
      </c>
      <c r="J57" s="79">
        <f>SUM('ROSTER UPDATE'!K57:'ROSTER UPDATE'!M57)</f>
        <v>0</v>
      </c>
      <c r="K57" s="79">
        <f>SUM('ROSTER UPDATE'!N57:'ROSTER UPDATE'!P57)</f>
        <v>0</v>
      </c>
      <c r="L57" s="79"/>
      <c r="M57" s="80"/>
      <c r="O57" s="78">
        <f>IF(AND('ROSTER UPDATE'!R57=""),"",('ROSTER UPDATE'!R57))</f>
        <v>0</v>
      </c>
      <c r="P57" s="79">
        <f>IF(AND('ROSTER UPDATE'!S57=""),"",('ROSTER UPDATE'!S57))</f>
        <v>0</v>
      </c>
      <c r="Q57" s="80" t="str">
        <f>IF(AND('ROSTER UPDATE'!T57=""),"",('ROSTER UPDATE'!T57))</f>
        <v/>
      </c>
      <c r="S57" s="78">
        <f>SUM('ROSTER UPDATE'!R57:'ROSTER UPDATE'!T57)</f>
        <v>0</v>
      </c>
      <c r="T57" s="79">
        <f>SUM('ROSTER UPDATE'!U57:'ROSTER UPDATE'!W57)</f>
        <v>0</v>
      </c>
      <c r="U57" s="79">
        <f>SUM('ROSTER UPDATE'!X57:'ROSTER UPDATE'!Z57)</f>
        <v>0</v>
      </c>
      <c r="V57" s="79"/>
      <c r="W57" s="80"/>
    </row>
    <row r="58" spans="2:23" ht="15.75" thickBot="1" x14ac:dyDescent="0.3">
      <c r="B58" s="64" t="str">
        <f>IF(AND('ROSTER UPDATE'!B58=""),"",('ROSTER UPDATE'!B58))</f>
        <v/>
      </c>
      <c r="C58" s="65" t="str">
        <f>IF(AND('ROSTER UPDATE'!E58=""),"",('ROSTER UPDATE'!E58))</f>
        <v/>
      </c>
      <c r="E58" s="64" t="str">
        <f>IF(AND('ROSTER UPDATE'!F58=""),"",('ROSTER UPDATE'!F58))</f>
        <v/>
      </c>
      <c r="F58" s="65" t="str">
        <f>IF(AND('ROSTER UPDATE'!C58=""),"",('ROSTER UPDATE'!C58))</f>
        <v/>
      </c>
      <c r="G58" s="87" t="s">
        <v>41</v>
      </c>
      <c r="I58" s="78">
        <f>SUM('ROSTER UPDATE'!H58:'ROSTER UPDATE'!J58)</f>
        <v>0</v>
      </c>
      <c r="J58" s="79">
        <f>SUM('ROSTER UPDATE'!K58:'ROSTER UPDATE'!M58)</f>
        <v>0</v>
      </c>
      <c r="K58" s="79">
        <f>SUM('ROSTER UPDATE'!N58:'ROSTER UPDATE'!P58)</f>
        <v>0</v>
      </c>
      <c r="L58" s="79"/>
      <c r="M58" s="80"/>
      <c r="O58" s="78">
        <f>IF(AND('ROSTER UPDATE'!R58=""),"",('ROSTER UPDATE'!R58))</f>
        <v>0</v>
      </c>
      <c r="P58" s="79">
        <f>IF(AND('ROSTER UPDATE'!S58=""),"",('ROSTER UPDATE'!S58))</f>
        <v>0</v>
      </c>
      <c r="Q58" s="80" t="str">
        <f>IF(AND('ROSTER UPDATE'!T58=""),"",('ROSTER UPDATE'!T58))</f>
        <v/>
      </c>
      <c r="S58" s="78">
        <f>SUM('ROSTER UPDATE'!R58:'ROSTER UPDATE'!T58)</f>
        <v>0</v>
      </c>
      <c r="T58" s="79">
        <f>SUM('ROSTER UPDATE'!U58:'ROSTER UPDATE'!W58)</f>
        <v>0</v>
      </c>
      <c r="U58" s="79">
        <f>SUM('ROSTER UPDATE'!X58:'ROSTER UPDATE'!Z58)</f>
        <v>0</v>
      </c>
      <c r="V58" s="79"/>
      <c r="W58" s="80"/>
    </row>
    <row r="59" spans="2:23" ht="15.75" thickBot="1" x14ac:dyDescent="0.3">
      <c r="B59" s="64" t="str">
        <f>IF(AND('ROSTER UPDATE'!B59=""),"",('ROSTER UPDATE'!B59))</f>
        <v/>
      </c>
      <c r="C59" s="65" t="str">
        <f>IF(AND('ROSTER UPDATE'!E59=""),"",('ROSTER UPDATE'!E59))</f>
        <v/>
      </c>
      <c r="E59" s="64" t="str">
        <f>IF(AND('ROSTER UPDATE'!F59=""),"",('ROSTER UPDATE'!F59))</f>
        <v/>
      </c>
      <c r="F59" s="65" t="str">
        <f>IF(AND('ROSTER UPDATE'!C59=""),"",('ROSTER UPDATE'!C59))</f>
        <v/>
      </c>
      <c r="G59" s="87" t="s">
        <v>41</v>
      </c>
      <c r="I59" s="78">
        <f>SUM('ROSTER UPDATE'!H59:'ROSTER UPDATE'!J59)</f>
        <v>0</v>
      </c>
      <c r="J59" s="79">
        <f>SUM('ROSTER UPDATE'!K59:'ROSTER UPDATE'!M59)</f>
        <v>0</v>
      </c>
      <c r="K59" s="79">
        <f>SUM('ROSTER UPDATE'!N59:'ROSTER UPDATE'!P59)</f>
        <v>0</v>
      </c>
      <c r="L59" s="79"/>
      <c r="M59" s="80"/>
      <c r="O59" s="78">
        <f>IF(AND('ROSTER UPDATE'!R59=""),"",('ROSTER UPDATE'!R59))</f>
        <v>0</v>
      </c>
      <c r="P59" s="79">
        <f>IF(AND('ROSTER UPDATE'!S59=""),"",('ROSTER UPDATE'!S59))</f>
        <v>0</v>
      </c>
      <c r="Q59" s="80" t="str">
        <f>IF(AND('ROSTER UPDATE'!T59=""),"",('ROSTER UPDATE'!T59))</f>
        <v/>
      </c>
      <c r="S59" s="78">
        <f>SUM('ROSTER UPDATE'!R59:'ROSTER UPDATE'!T59)</f>
        <v>0</v>
      </c>
      <c r="T59" s="79">
        <f>SUM('ROSTER UPDATE'!U59:'ROSTER UPDATE'!W59)</f>
        <v>0</v>
      </c>
      <c r="U59" s="79">
        <f>SUM('ROSTER UPDATE'!X59:'ROSTER UPDATE'!Z59)</f>
        <v>0</v>
      </c>
      <c r="V59" s="79"/>
      <c r="W59" s="80"/>
    </row>
    <row r="60" spans="2:23" ht="15.75" thickBot="1" x14ac:dyDescent="0.3">
      <c r="B60" s="64" t="str">
        <f>IF(AND('ROSTER UPDATE'!B60=""),"",('ROSTER UPDATE'!B60))</f>
        <v/>
      </c>
      <c r="C60" s="65" t="str">
        <f>IF(AND('ROSTER UPDATE'!E60=""),"",('ROSTER UPDATE'!E60))</f>
        <v/>
      </c>
      <c r="E60" s="64" t="str">
        <f>IF(AND('ROSTER UPDATE'!F60=""),"",('ROSTER UPDATE'!F60))</f>
        <v/>
      </c>
      <c r="F60" s="65" t="str">
        <f>IF(AND('ROSTER UPDATE'!C60=""),"",('ROSTER UPDATE'!C60))</f>
        <v/>
      </c>
      <c r="G60" s="87" t="s">
        <v>41</v>
      </c>
      <c r="I60" s="78">
        <f>SUM('ROSTER UPDATE'!H60:'ROSTER UPDATE'!J60)</f>
        <v>0</v>
      </c>
      <c r="J60" s="79">
        <f>SUM('ROSTER UPDATE'!K60:'ROSTER UPDATE'!M60)</f>
        <v>0</v>
      </c>
      <c r="K60" s="79">
        <f>SUM('ROSTER UPDATE'!N60:'ROSTER UPDATE'!P60)</f>
        <v>0</v>
      </c>
      <c r="L60" s="79"/>
      <c r="M60" s="80"/>
      <c r="O60" s="78">
        <f>IF(AND('ROSTER UPDATE'!R60=""),"",('ROSTER UPDATE'!R60))</f>
        <v>0</v>
      </c>
      <c r="P60" s="79">
        <f>IF(AND('ROSTER UPDATE'!S60=""),"",('ROSTER UPDATE'!S60))</f>
        <v>0</v>
      </c>
      <c r="Q60" s="80" t="str">
        <f>IF(AND('ROSTER UPDATE'!T60=""),"",('ROSTER UPDATE'!T60))</f>
        <v/>
      </c>
      <c r="S60" s="78">
        <f>SUM('ROSTER UPDATE'!R60:'ROSTER UPDATE'!T60)</f>
        <v>0</v>
      </c>
      <c r="T60" s="79">
        <f>SUM('ROSTER UPDATE'!U60:'ROSTER UPDATE'!W60)</f>
        <v>0</v>
      </c>
      <c r="U60" s="79">
        <f>SUM('ROSTER UPDATE'!X60:'ROSTER UPDATE'!Z60)</f>
        <v>0</v>
      </c>
      <c r="V60" s="79"/>
      <c r="W60" s="80"/>
    </row>
    <row r="61" spans="2:23" ht="15.75" thickBot="1" x14ac:dyDescent="0.3">
      <c r="B61" s="64" t="str">
        <f>IF(AND('ROSTER UPDATE'!B61=""),"",('ROSTER UPDATE'!B61))</f>
        <v/>
      </c>
      <c r="C61" s="65" t="str">
        <f>IF(AND('ROSTER UPDATE'!E61=""),"",('ROSTER UPDATE'!E61))</f>
        <v/>
      </c>
      <c r="E61" s="64" t="str">
        <f>IF(AND('ROSTER UPDATE'!F61=""),"",('ROSTER UPDATE'!F61))</f>
        <v/>
      </c>
      <c r="F61" s="65" t="str">
        <f>IF(AND('ROSTER UPDATE'!C61=""),"",('ROSTER UPDATE'!C61))</f>
        <v/>
      </c>
      <c r="G61" s="87" t="s">
        <v>41</v>
      </c>
      <c r="I61" s="78">
        <f>SUM('ROSTER UPDATE'!H61:'ROSTER UPDATE'!J61)</f>
        <v>0</v>
      </c>
      <c r="J61" s="79">
        <f>SUM('ROSTER UPDATE'!K61:'ROSTER UPDATE'!M61)</f>
        <v>0</v>
      </c>
      <c r="K61" s="79">
        <f>SUM('ROSTER UPDATE'!N61:'ROSTER UPDATE'!P61)</f>
        <v>0</v>
      </c>
      <c r="L61" s="79"/>
      <c r="M61" s="80"/>
      <c r="O61" s="78">
        <f>IF(AND('ROSTER UPDATE'!R61=""),"",('ROSTER UPDATE'!R61))</f>
        <v>0</v>
      </c>
      <c r="P61" s="79">
        <f>IF(AND('ROSTER UPDATE'!S61=""),"",('ROSTER UPDATE'!S61))</f>
        <v>0</v>
      </c>
      <c r="Q61" s="80" t="str">
        <f>IF(AND('ROSTER UPDATE'!T61=""),"",('ROSTER UPDATE'!T61))</f>
        <v/>
      </c>
      <c r="S61" s="78">
        <f>SUM('ROSTER UPDATE'!R61:'ROSTER UPDATE'!T61)</f>
        <v>0</v>
      </c>
      <c r="T61" s="79">
        <f>SUM('ROSTER UPDATE'!U61:'ROSTER UPDATE'!W61)</f>
        <v>0</v>
      </c>
      <c r="U61" s="79">
        <f>SUM('ROSTER UPDATE'!X61:'ROSTER UPDATE'!Z61)</f>
        <v>0</v>
      </c>
      <c r="V61" s="79"/>
      <c r="W61" s="80"/>
    </row>
    <row r="62" spans="2:23" ht="15.75" thickBot="1" x14ac:dyDescent="0.3">
      <c r="B62" s="64" t="str">
        <f>IF(AND('ROSTER UPDATE'!B62=""),"",('ROSTER UPDATE'!B62))</f>
        <v/>
      </c>
      <c r="C62" s="65" t="str">
        <f>IF(AND('ROSTER UPDATE'!E62=""),"",('ROSTER UPDATE'!E62))</f>
        <v/>
      </c>
      <c r="E62" s="64" t="str">
        <f>IF(AND('ROSTER UPDATE'!F62=""),"",('ROSTER UPDATE'!F62))</f>
        <v/>
      </c>
      <c r="F62" s="65" t="str">
        <f>IF(AND('ROSTER UPDATE'!C62=""),"",('ROSTER UPDATE'!C62))</f>
        <v/>
      </c>
      <c r="G62" s="87" t="s">
        <v>41</v>
      </c>
      <c r="I62" s="78">
        <f>SUM('ROSTER UPDATE'!H62:'ROSTER UPDATE'!J62)</f>
        <v>0</v>
      </c>
      <c r="J62" s="79">
        <f>SUM('ROSTER UPDATE'!K62:'ROSTER UPDATE'!M62)</f>
        <v>0</v>
      </c>
      <c r="K62" s="79">
        <f>SUM('ROSTER UPDATE'!N62:'ROSTER UPDATE'!P62)</f>
        <v>0</v>
      </c>
      <c r="L62" s="79"/>
      <c r="M62" s="80"/>
      <c r="O62" s="78">
        <f>IF(AND('ROSTER UPDATE'!R62=""),"",('ROSTER UPDATE'!R62))</f>
        <v>0</v>
      </c>
      <c r="P62" s="79">
        <f>IF(AND('ROSTER UPDATE'!S62=""),"",('ROSTER UPDATE'!S62))</f>
        <v>0</v>
      </c>
      <c r="Q62" s="80" t="str">
        <f>IF(AND('ROSTER UPDATE'!T62=""),"",('ROSTER UPDATE'!T62))</f>
        <v/>
      </c>
      <c r="S62" s="78">
        <f>SUM('ROSTER UPDATE'!R62:'ROSTER UPDATE'!T62)</f>
        <v>0</v>
      </c>
      <c r="T62" s="79">
        <f>SUM('ROSTER UPDATE'!U62:'ROSTER UPDATE'!W62)</f>
        <v>0</v>
      </c>
      <c r="U62" s="79">
        <f>SUM('ROSTER UPDATE'!X62:'ROSTER UPDATE'!Z62)</f>
        <v>0</v>
      </c>
      <c r="V62" s="79"/>
      <c r="W62" s="80"/>
    </row>
    <row r="63" spans="2:23" ht="15.75" thickBot="1" x14ac:dyDescent="0.3">
      <c r="B63" s="64" t="str">
        <f>IF(AND('ROSTER UPDATE'!B63=""),"",('ROSTER UPDATE'!B63))</f>
        <v/>
      </c>
      <c r="C63" s="65" t="str">
        <f>IF(AND('ROSTER UPDATE'!E63=""),"",('ROSTER UPDATE'!E63))</f>
        <v/>
      </c>
      <c r="E63" s="64" t="str">
        <f>IF(AND('ROSTER UPDATE'!F63=""),"",('ROSTER UPDATE'!F63))</f>
        <v/>
      </c>
      <c r="F63" s="65" t="str">
        <f>IF(AND('ROSTER UPDATE'!C63=""),"",('ROSTER UPDATE'!C63))</f>
        <v/>
      </c>
      <c r="G63" s="87" t="s">
        <v>41</v>
      </c>
      <c r="I63" s="78">
        <f>SUM('ROSTER UPDATE'!H63:'ROSTER UPDATE'!J63)</f>
        <v>0</v>
      </c>
      <c r="J63" s="79">
        <f>SUM('ROSTER UPDATE'!K63:'ROSTER UPDATE'!M63)</f>
        <v>0</v>
      </c>
      <c r="K63" s="79">
        <f>SUM('ROSTER UPDATE'!N63:'ROSTER UPDATE'!P63)</f>
        <v>0</v>
      </c>
      <c r="L63" s="79"/>
      <c r="M63" s="80"/>
      <c r="O63" s="78">
        <f>IF(AND('ROSTER UPDATE'!R63=""),"",('ROSTER UPDATE'!R63))</f>
        <v>0</v>
      </c>
      <c r="P63" s="79">
        <f>IF(AND('ROSTER UPDATE'!S63=""),"",('ROSTER UPDATE'!S63))</f>
        <v>0</v>
      </c>
      <c r="Q63" s="80" t="str">
        <f>IF(AND('ROSTER UPDATE'!T63=""),"",('ROSTER UPDATE'!T63))</f>
        <v/>
      </c>
      <c r="S63" s="78">
        <f>SUM('ROSTER UPDATE'!R63:'ROSTER UPDATE'!T63)</f>
        <v>0</v>
      </c>
      <c r="T63" s="79">
        <f>SUM('ROSTER UPDATE'!U63:'ROSTER UPDATE'!W63)</f>
        <v>0</v>
      </c>
      <c r="U63" s="79">
        <f>SUM('ROSTER UPDATE'!X63:'ROSTER UPDATE'!Z63)</f>
        <v>0</v>
      </c>
      <c r="V63" s="79"/>
      <c r="W63" s="80"/>
    </row>
    <row r="64" spans="2:23" ht="15.75" thickBot="1" x14ac:dyDescent="0.3">
      <c r="B64" s="64" t="str">
        <f>IF(AND('ROSTER UPDATE'!B64=""),"",('ROSTER UPDATE'!B64))</f>
        <v/>
      </c>
      <c r="C64" s="65" t="str">
        <f>IF(AND('ROSTER UPDATE'!E64=""),"",('ROSTER UPDATE'!E64))</f>
        <v/>
      </c>
      <c r="E64" s="64" t="str">
        <f>IF(AND('ROSTER UPDATE'!F64=""),"",('ROSTER UPDATE'!F64))</f>
        <v/>
      </c>
      <c r="F64" s="65" t="str">
        <f>IF(AND('ROSTER UPDATE'!C64=""),"",('ROSTER UPDATE'!C64))</f>
        <v/>
      </c>
      <c r="G64" s="87" t="s">
        <v>41</v>
      </c>
      <c r="I64" s="78">
        <f>SUM('ROSTER UPDATE'!H64:'ROSTER UPDATE'!J64)</f>
        <v>0</v>
      </c>
      <c r="J64" s="79">
        <f>SUM('ROSTER UPDATE'!K64:'ROSTER UPDATE'!M64)</f>
        <v>0</v>
      </c>
      <c r="K64" s="79">
        <f>SUM('ROSTER UPDATE'!N64:'ROSTER UPDATE'!P64)</f>
        <v>0</v>
      </c>
      <c r="L64" s="79"/>
      <c r="M64" s="80"/>
      <c r="O64" s="78">
        <f>IF(AND('ROSTER UPDATE'!R64=""),"",('ROSTER UPDATE'!R64))</f>
        <v>0</v>
      </c>
      <c r="P64" s="79">
        <f>IF(AND('ROSTER UPDATE'!S64=""),"",('ROSTER UPDATE'!S64))</f>
        <v>0</v>
      </c>
      <c r="Q64" s="80" t="str">
        <f>IF(AND('ROSTER UPDATE'!T64=""),"",('ROSTER UPDATE'!T64))</f>
        <v/>
      </c>
      <c r="S64" s="78">
        <f>SUM('ROSTER UPDATE'!R64:'ROSTER UPDATE'!T64)</f>
        <v>0</v>
      </c>
      <c r="T64" s="79">
        <f>SUM('ROSTER UPDATE'!U64:'ROSTER UPDATE'!W64)</f>
        <v>0</v>
      </c>
      <c r="U64" s="79">
        <f>SUM('ROSTER UPDATE'!X64:'ROSTER UPDATE'!Z64)</f>
        <v>0</v>
      </c>
      <c r="V64" s="79"/>
      <c r="W64" s="80"/>
    </row>
    <row r="65" spans="2:23" ht="15.75" thickBot="1" x14ac:dyDescent="0.3">
      <c r="B65" s="64" t="str">
        <f>IF(AND('ROSTER UPDATE'!B65=""),"",('ROSTER UPDATE'!B65))</f>
        <v/>
      </c>
      <c r="C65" s="65" t="str">
        <f>IF(AND('ROSTER UPDATE'!E65=""),"",('ROSTER UPDATE'!E65))</f>
        <v/>
      </c>
      <c r="E65" s="64" t="str">
        <f>IF(AND('ROSTER UPDATE'!F65=""),"",('ROSTER UPDATE'!F65))</f>
        <v/>
      </c>
      <c r="F65" s="65" t="str">
        <f>IF(AND('ROSTER UPDATE'!C65=""),"",('ROSTER UPDATE'!C65))</f>
        <v/>
      </c>
      <c r="G65" s="87" t="s">
        <v>41</v>
      </c>
      <c r="I65" s="78">
        <f>SUM('ROSTER UPDATE'!H65:'ROSTER UPDATE'!J65)</f>
        <v>0</v>
      </c>
      <c r="J65" s="79">
        <f>SUM('ROSTER UPDATE'!K65:'ROSTER UPDATE'!M65)</f>
        <v>0</v>
      </c>
      <c r="K65" s="79">
        <f>SUM('ROSTER UPDATE'!N65:'ROSTER UPDATE'!P65)</f>
        <v>0</v>
      </c>
      <c r="L65" s="79"/>
      <c r="M65" s="80"/>
      <c r="O65" s="78">
        <f>IF(AND('ROSTER UPDATE'!R65=""),"",('ROSTER UPDATE'!R65))</f>
        <v>0</v>
      </c>
      <c r="P65" s="79">
        <f>IF(AND('ROSTER UPDATE'!S65=""),"",('ROSTER UPDATE'!S65))</f>
        <v>0</v>
      </c>
      <c r="Q65" s="80" t="str">
        <f>IF(AND('ROSTER UPDATE'!T65=""),"",('ROSTER UPDATE'!T65))</f>
        <v/>
      </c>
      <c r="S65" s="78">
        <f>SUM('ROSTER UPDATE'!R65:'ROSTER UPDATE'!T65)</f>
        <v>0</v>
      </c>
      <c r="T65" s="79">
        <f>SUM('ROSTER UPDATE'!U65:'ROSTER UPDATE'!W65)</f>
        <v>0</v>
      </c>
      <c r="U65" s="79">
        <f>SUM('ROSTER UPDATE'!X65:'ROSTER UPDATE'!Z65)</f>
        <v>0</v>
      </c>
      <c r="V65" s="79"/>
      <c r="W65" s="80"/>
    </row>
    <row r="66" spans="2:23" ht="15.75" thickBot="1" x14ac:dyDescent="0.3">
      <c r="B66" s="64" t="str">
        <f>IF(AND('ROSTER UPDATE'!B66=""),"",('ROSTER UPDATE'!B66))</f>
        <v/>
      </c>
      <c r="C66" s="65" t="str">
        <f>IF(AND('ROSTER UPDATE'!E66=""),"",('ROSTER UPDATE'!E66))</f>
        <v/>
      </c>
      <c r="E66" s="64" t="str">
        <f>IF(AND('ROSTER UPDATE'!F66=""),"",('ROSTER UPDATE'!F66))</f>
        <v/>
      </c>
      <c r="F66" s="65" t="str">
        <f>IF(AND('ROSTER UPDATE'!C66=""),"",('ROSTER UPDATE'!C66))</f>
        <v/>
      </c>
      <c r="G66" s="87" t="s">
        <v>41</v>
      </c>
      <c r="I66" s="78">
        <f>SUM('ROSTER UPDATE'!H66:'ROSTER UPDATE'!J66)</f>
        <v>0</v>
      </c>
      <c r="J66" s="79">
        <f>SUM('ROSTER UPDATE'!K66:'ROSTER UPDATE'!M66)</f>
        <v>0</v>
      </c>
      <c r="K66" s="79">
        <f>SUM('ROSTER UPDATE'!N66:'ROSTER UPDATE'!P66)</f>
        <v>0</v>
      </c>
      <c r="L66" s="79"/>
      <c r="M66" s="80"/>
      <c r="O66" s="78">
        <f>IF(AND('ROSTER UPDATE'!R66=""),"",('ROSTER UPDATE'!R66))</f>
        <v>0</v>
      </c>
      <c r="P66" s="79">
        <f>IF(AND('ROSTER UPDATE'!S66=""),"",('ROSTER UPDATE'!S66))</f>
        <v>0</v>
      </c>
      <c r="Q66" s="80" t="str">
        <f>IF(AND('ROSTER UPDATE'!T66=""),"",('ROSTER UPDATE'!T66))</f>
        <v/>
      </c>
      <c r="S66" s="78">
        <f>SUM('ROSTER UPDATE'!R66:'ROSTER UPDATE'!T66)</f>
        <v>0</v>
      </c>
      <c r="T66" s="79">
        <f>SUM('ROSTER UPDATE'!U66:'ROSTER UPDATE'!W66)</f>
        <v>0</v>
      </c>
      <c r="U66" s="79">
        <f>SUM('ROSTER UPDATE'!X66:'ROSTER UPDATE'!Z66)</f>
        <v>0</v>
      </c>
      <c r="V66" s="79"/>
      <c r="W66" s="80"/>
    </row>
    <row r="67" spans="2:23" ht="15.75" thickBot="1" x14ac:dyDescent="0.3">
      <c r="B67" s="64" t="str">
        <f>IF(AND('ROSTER UPDATE'!B67=""),"",('ROSTER UPDATE'!B67))</f>
        <v/>
      </c>
      <c r="C67" s="65" t="str">
        <f>IF(AND('ROSTER UPDATE'!E67=""),"",('ROSTER UPDATE'!E67))</f>
        <v/>
      </c>
      <c r="E67" s="64" t="str">
        <f>IF(AND('ROSTER UPDATE'!F67=""),"",('ROSTER UPDATE'!F67))</f>
        <v/>
      </c>
      <c r="F67" s="65" t="str">
        <f>IF(AND('ROSTER UPDATE'!C67=""),"",('ROSTER UPDATE'!C67))</f>
        <v/>
      </c>
      <c r="G67" s="87" t="s">
        <v>41</v>
      </c>
      <c r="I67" s="78">
        <f>SUM('ROSTER UPDATE'!H67:'ROSTER UPDATE'!J67)</f>
        <v>0</v>
      </c>
      <c r="J67" s="79">
        <f>SUM('ROSTER UPDATE'!K67:'ROSTER UPDATE'!M67)</f>
        <v>0</v>
      </c>
      <c r="K67" s="79">
        <f>SUM('ROSTER UPDATE'!N67:'ROSTER UPDATE'!P67)</f>
        <v>0</v>
      </c>
      <c r="L67" s="79"/>
      <c r="M67" s="80"/>
      <c r="O67" s="78">
        <f>IF(AND('ROSTER UPDATE'!R67=""),"",('ROSTER UPDATE'!R67))</f>
        <v>0</v>
      </c>
      <c r="P67" s="79">
        <f>IF(AND('ROSTER UPDATE'!S67=""),"",('ROSTER UPDATE'!S67))</f>
        <v>0</v>
      </c>
      <c r="Q67" s="80" t="str">
        <f>IF(AND('ROSTER UPDATE'!T67=""),"",('ROSTER UPDATE'!T67))</f>
        <v/>
      </c>
      <c r="S67" s="78">
        <f>SUM('ROSTER UPDATE'!R67:'ROSTER UPDATE'!T67)</f>
        <v>0</v>
      </c>
      <c r="T67" s="79">
        <f>SUM('ROSTER UPDATE'!U67:'ROSTER UPDATE'!W67)</f>
        <v>0</v>
      </c>
      <c r="U67" s="79">
        <f>SUM('ROSTER UPDATE'!X67:'ROSTER UPDATE'!Z67)</f>
        <v>0</v>
      </c>
      <c r="V67" s="79"/>
      <c r="W67" s="80"/>
    </row>
    <row r="68" spans="2:23" ht="15.75" thickBot="1" x14ac:dyDescent="0.3">
      <c r="B68" s="64" t="str">
        <f>IF(AND('ROSTER UPDATE'!B68=""),"",('ROSTER UPDATE'!B68))</f>
        <v/>
      </c>
      <c r="C68" s="65" t="str">
        <f>IF(AND('ROSTER UPDATE'!E68=""),"",('ROSTER UPDATE'!E68))</f>
        <v/>
      </c>
      <c r="E68" s="64" t="str">
        <f>IF(AND('ROSTER UPDATE'!F68=""),"",('ROSTER UPDATE'!F68))</f>
        <v/>
      </c>
      <c r="F68" s="65" t="str">
        <f>IF(AND('ROSTER UPDATE'!C68=""),"",('ROSTER UPDATE'!C68))</f>
        <v/>
      </c>
      <c r="G68" s="87" t="s">
        <v>41</v>
      </c>
      <c r="I68" s="78">
        <f>SUM('ROSTER UPDATE'!H68:'ROSTER UPDATE'!J68)</f>
        <v>0</v>
      </c>
      <c r="J68" s="79">
        <f>SUM('ROSTER UPDATE'!K68:'ROSTER UPDATE'!M68)</f>
        <v>0</v>
      </c>
      <c r="K68" s="79">
        <f>SUM('ROSTER UPDATE'!N68:'ROSTER UPDATE'!P68)</f>
        <v>0</v>
      </c>
      <c r="L68" s="79"/>
      <c r="M68" s="80"/>
      <c r="O68" s="78">
        <f>IF(AND('ROSTER UPDATE'!R68=""),"",('ROSTER UPDATE'!R68))</f>
        <v>0</v>
      </c>
      <c r="P68" s="79">
        <f>IF(AND('ROSTER UPDATE'!S68=""),"",('ROSTER UPDATE'!S68))</f>
        <v>0</v>
      </c>
      <c r="Q68" s="80" t="str">
        <f>IF(AND('ROSTER UPDATE'!T68=""),"",('ROSTER UPDATE'!T68))</f>
        <v/>
      </c>
      <c r="S68" s="78">
        <f>SUM('ROSTER UPDATE'!R68:'ROSTER UPDATE'!T68)</f>
        <v>0</v>
      </c>
      <c r="T68" s="79">
        <f>SUM('ROSTER UPDATE'!U68:'ROSTER UPDATE'!W68)</f>
        <v>0</v>
      </c>
      <c r="U68" s="79">
        <f>SUM('ROSTER UPDATE'!X68:'ROSTER UPDATE'!Z68)</f>
        <v>0</v>
      </c>
      <c r="V68" s="79"/>
      <c r="W68" s="80"/>
    </row>
    <row r="69" spans="2:23" ht="15.75" thickBot="1" x14ac:dyDescent="0.3">
      <c r="B69" s="64" t="str">
        <f>IF(AND('ROSTER UPDATE'!B69=""),"",('ROSTER UPDATE'!B69))</f>
        <v/>
      </c>
      <c r="C69" s="65" t="str">
        <f>IF(AND('ROSTER UPDATE'!E69=""),"",('ROSTER UPDATE'!E69))</f>
        <v/>
      </c>
      <c r="E69" s="64" t="str">
        <f>IF(AND('ROSTER UPDATE'!F69=""),"",('ROSTER UPDATE'!F69))</f>
        <v/>
      </c>
      <c r="F69" s="65" t="str">
        <f>IF(AND('ROSTER UPDATE'!C69=""),"",('ROSTER UPDATE'!C69))</f>
        <v/>
      </c>
      <c r="G69" s="87" t="s">
        <v>41</v>
      </c>
      <c r="I69" s="78">
        <f>SUM('ROSTER UPDATE'!H69:'ROSTER UPDATE'!J69)</f>
        <v>0</v>
      </c>
      <c r="J69" s="79">
        <f>SUM('ROSTER UPDATE'!K69:'ROSTER UPDATE'!M69)</f>
        <v>0</v>
      </c>
      <c r="K69" s="79">
        <f>SUM('ROSTER UPDATE'!N69:'ROSTER UPDATE'!P69)</f>
        <v>0</v>
      </c>
      <c r="L69" s="79"/>
      <c r="M69" s="80"/>
      <c r="O69" s="78">
        <f>IF(AND('ROSTER UPDATE'!R69=""),"",('ROSTER UPDATE'!R69))</f>
        <v>0</v>
      </c>
      <c r="P69" s="79">
        <f>IF(AND('ROSTER UPDATE'!S69=""),"",('ROSTER UPDATE'!S69))</f>
        <v>0</v>
      </c>
      <c r="Q69" s="80" t="str">
        <f>IF(AND('ROSTER UPDATE'!T69=""),"",('ROSTER UPDATE'!T69))</f>
        <v/>
      </c>
      <c r="S69" s="78">
        <f>SUM('ROSTER UPDATE'!R69:'ROSTER UPDATE'!T69)</f>
        <v>0</v>
      </c>
      <c r="T69" s="79">
        <f>SUM('ROSTER UPDATE'!U69:'ROSTER UPDATE'!W69)</f>
        <v>0</v>
      </c>
      <c r="U69" s="79">
        <f>SUM('ROSTER UPDATE'!X69:'ROSTER UPDATE'!Z69)</f>
        <v>0</v>
      </c>
      <c r="V69" s="79"/>
      <c r="W69" s="80"/>
    </row>
    <row r="70" spans="2:23" ht="15.75" thickBot="1" x14ac:dyDescent="0.3">
      <c r="B70" s="64" t="str">
        <f>IF(AND('ROSTER UPDATE'!B70=""),"",('ROSTER UPDATE'!B70))</f>
        <v/>
      </c>
      <c r="C70" s="65" t="str">
        <f>IF(AND('ROSTER UPDATE'!E70=""),"",('ROSTER UPDATE'!E70))</f>
        <v/>
      </c>
      <c r="E70" s="64" t="str">
        <f>IF(AND('ROSTER UPDATE'!F70=""),"",('ROSTER UPDATE'!F70))</f>
        <v/>
      </c>
      <c r="F70" s="65" t="str">
        <f>IF(AND('ROSTER UPDATE'!C70=""),"",('ROSTER UPDATE'!C70))</f>
        <v/>
      </c>
      <c r="G70" s="87" t="s">
        <v>41</v>
      </c>
      <c r="I70" s="78">
        <f>SUM('ROSTER UPDATE'!H70:'ROSTER UPDATE'!J70)</f>
        <v>0</v>
      </c>
      <c r="J70" s="79">
        <f>SUM('ROSTER UPDATE'!K70:'ROSTER UPDATE'!M70)</f>
        <v>0</v>
      </c>
      <c r="K70" s="79">
        <f>SUM('ROSTER UPDATE'!N70:'ROSTER UPDATE'!P70)</f>
        <v>0</v>
      </c>
      <c r="L70" s="79"/>
      <c r="M70" s="80"/>
      <c r="O70" s="78">
        <f>IF(AND('ROSTER UPDATE'!R70=""),"",('ROSTER UPDATE'!R70))</f>
        <v>0</v>
      </c>
      <c r="P70" s="79">
        <f>IF(AND('ROSTER UPDATE'!S70=""),"",('ROSTER UPDATE'!S70))</f>
        <v>0</v>
      </c>
      <c r="Q70" s="80" t="str">
        <f>IF(AND('ROSTER UPDATE'!T70=""),"",('ROSTER UPDATE'!T70))</f>
        <v/>
      </c>
      <c r="S70" s="78">
        <f>SUM('ROSTER UPDATE'!R70:'ROSTER UPDATE'!T70)</f>
        <v>0</v>
      </c>
      <c r="T70" s="79">
        <f>SUM('ROSTER UPDATE'!U70:'ROSTER UPDATE'!W70)</f>
        <v>0</v>
      </c>
      <c r="U70" s="79">
        <f>SUM('ROSTER UPDATE'!X70:'ROSTER UPDATE'!Z70)</f>
        <v>0</v>
      </c>
      <c r="V70" s="79"/>
      <c r="W70" s="80"/>
    </row>
    <row r="71" spans="2:23" ht="15.75" thickBot="1" x14ac:dyDescent="0.3">
      <c r="B71" s="64" t="str">
        <f>IF(AND('ROSTER UPDATE'!B71=""),"",('ROSTER UPDATE'!B71))</f>
        <v/>
      </c>
      <c r="C71" s="65" t="str">
        <f>IF(AND('ROSTER UPDATE'!E71=""),"",('ROSTER UPDATE'!E71))</f>
        <v/>
      </c>
      <c r="E71" s="64" t="str">
        <f>IF(AND('ROSTER UPDATE'!F71=""),"",('ROSTER UPDATE'!F71))</f>
        <v/>
      </c>
      <c r="F71" s="65" t="str">
        <f>IF(AND('ROSTER UPDATE'!C71=""),"",('ROSTER UPDATE'!C71))</f>
        <v/>
      </c>
      <c r="G71" s="87" t="s">
        <v>41</v>
      </c>
      <c r="I71" s="78">
        <f>SUM('ROSTER UPDATE'!H71:'ROSTER UPDATE'!J71)</f>
        <v>0</v>
      </c>
      <c r="J71" s="79">
        <f>SUM('ROSTER UPDATE'!K71:'ROSTER UPDATE'!M71)</f>
        <v>0</v>
      </c>
      <c r="K71" s="79">
        <f>SUM('ROSTER UPDATE'!N71:'ROSTER UPDATE'!P71)</f>
        <v>0</v>
      </c>
      <c r="L71" s="79"/>
      <c r="M71" s="80"/>
      <c r="O71" s="78">
        <f>IF(AND('ROSTER UPDATE'!R71=""),"",('ROSTER UPDATE'!R71))</f>
        <v>0</v>
      </c>
      <c r="P71" s="79">
        <f>IF(AND('ROSTER UPDATE'!S71=""),"",('ROSTER UPDATE'!S71))</f>
        <v>0</v>
      </c>
      <c r="Q71" s="80" t="str">
        <f>IF(AND('ROSTER UPDATE'!T71=""),"",('ROSTER UPDATE'!T71))</f>
        <v/>
      </c>
      <c r="S71" s="78">
        <f>SUM('ROSTER UPDATE'!R71:'ROSTER UPDATE'!T71)</f>
        <v>0</v>
      </c>
      <c r="T71" s="79">
        <f>SUM('ROSTER UPDATE'!U71:'ROSTER UPDATE'!W71)</f>
        <v>0</v>
      </c>
      <c r="U71" s="79">
        <f>SUM('ROSTER UPDATE'!X71:'ROSTER UPDATE'!Z71)</f>
        <v>0</v>
      </c>
      <c r="V71" s="79"/>
      <c r="W71" s="80"/>
    </row>
    <row r="72" spans="2:23" ht="15.75" thickBot="1" x14ac:dyDescent="0.3">
      <c r="B72" s="64" t="str">
        <f>IF(AND('ROSTER UPDATE'!B72=""),"",('ROSTER UPDATE'!B72))</f>
        <v/>
      </c>
      <c r="C72" s="65" t="str">
        <f>IF(AND('ROSTER UPDATE'!E72=""),"",('ROSTER UPDATE'!E72))</f>
        <v/>
      </c>
      <c r="E72" s="64" t="str">
        <f>IF(AND('ROSTER UPDATE'!F72=""),"",('ROSTER UPDATE'!F72))</f>
        <v/>
      </c>
      <c r="F72" s="65" t="str">
        <f>IF(AND('ROSTER UPDATE'!C72=""),"",('ROSTER UPDATE'!C72))</f>
        <v/>
      </c>
      <c r="G72" s="87" t="s">
        <v>41</v>
      </c>
      <c r="I72" s="78">
        <f>SUM('ROSTER UPDATE'!H72:'ROSTER UPDATE'!J72)</f>
        <v>0</v>
      </c>
      <c r="J72" s="79">
        <f>SUM('ROSTER UPDATE'!K72:'ROSTER UPDATE'!M72)</f>
        <v>0</v>
      </c>
      <c r="K72" s="79">
        <f>SUM('ROSTER UPDATE'!N72:'ROSTER UPDATE'!P72)</f>
        <v>0</v>
      </c>
      <c r="L72" s="79"/>
      <c r="M72" s="80"/>
      <c r="O72" s="78">
        <f>IF(AND('ROSTER UPDATE'!R72=""),"",('ROSTER UPDATE'!R72))</f>
        <v>0</v>
      </c>
      <c r="P72" s="79">
        <f>IF(AND('ROSTER UPDATE'!S72=""),"",('ROSTER UPDATE'!S72))</f>
        <v>0</v>
      </c>
      <c r="Q72" s="80" t="str">
        <f>IF(AND('ROSTER UPDATE'!T72=""),"",('ROSTER UPDATE'!T72))</f>
        <v/>
      </c>
      <c r="S72" s="78">
        <f>SUM('ROSTER UPDATE'!R72:'ROSTER UPDATE'!T72)</f>
        <v>0</v>
      </c>
      <c r="T72" s="79">
        <f>SUM('ROSTER UPDATE'!U72:'ROSTER UPDATE'!W72)</f>
        <v>0</v>
      </c>
      <c r="U72" s="79">
        <f>SUM('ROSTER UPDATE'!X72:'ROSTER UPDATE'!Z72)</f>
        <v>0</v>
      </c>
      <c r="V72" s="79"/>
      <c r="W72" s="80"/>
    </row>
    <row r="73" spans="2:23" ht="15.75" thickBot="1" x14ac:dyDescent="0.3">
      <c r="B73" s="64" t="str">
        <f>IF(AND('ROSTER UPDATE'!B73=""),"",('ROSTER UPDATE'!B73))</f>
        <v/>
      </c>
      <c r="C73" s="65" t="str">
        <f>IF(AND('ROSTER UPDATE'!E73=""),"",('ROSTER UPDATE'!E73))</f>
        <v/>
      </c>
      <c r="E73" s="64" t="str">
        <f>IF(AND('ROSTER UPDATE'!F73=""),"",('ROSTER UPDATE'!F73))</f>
        <v/>
      </c>
      <c r="F73" s="65" t="str">
        <f>IF(AND('ROSTER UPDATE'!C73=""),"",('ROSTER UPDATE'!C73))</f>
        <v/>
      </c>
      <c r="G73" s="87" t="s">
        <v>41</v>
      </c>
      <c r="I73" s="78">
        <f>SUM('ROSTER UPDATE'!H73:'ROSTER UPDATE'!J73)</f>
        <v>0</v>
      </c>
      <c r="J73" s="79">
        <f>SUM('ROSTER UPDATE'!K73:'ROSTER UPDATE'!M73)</f>
        <v>0</v>
      </c>
      <c r="K73" s="79">
        <f>SUM('ROSTER UPDATE'!N73:'ROSTER UPDATE'!P73)</f>
        <v>0</v>
      </c>
      <c r="L73" s="79"/>
      <c r="M73" s="80"/>
      <c r="O73" s="78">
        <f>IF(AND('ROSTER UPDATE'!R73=""),"",('ROSTER UPDATE'!R73))</f>
        <v>0</v>
      </c>
      <c r="P73" s="79">
        <f>IF(AND('ROSTER UPDATE'!S73=""),"",('ROSTER UPDATE'!S73))</f>
        <v>0</v>
      </c>
      <c r="Q73" s="80" t="str">
        <f>IF(AND('ROSTER UPDATE'!T73=""),"",('ROSTER UPDATE'!T73))</f>
        <v/>
      </c>
      <c r="S73" s="78">
        <f>SUM('ROSTER UPDATE'!R73:'ROSTER UPDATE'!T73)</f>
        <v>0</v>
      </c>
      <c r="T73" s="79">
        <f>SUM('ROSTER UPDATE'!U73:'ROSTER UPDATE'!W73)</f>
        <v>0</v>
      </c>
      <c r="U73" s="79">
        <f>SUM('ROSTER UPDATE'!X73:'ROSTER UPDATE'!Z73)</f>
        <v>0</v>
      </c>
      <c r="V73" s="79"/>
      <c r="W73" s="80"/>
    </row>
    <row r="74" spans="2:23" ht="15.75" thickBot="1" x14ac:dyDescent="0.3">
      <c r="B74" s="64" t="str">
        <f>IF(AND('ROSTER UPDATE'!B74=""),"",('ROSTER UPDATE'!B74))</f>
        <v/>
      </c>
      <c r="C74" s="65" t="str">
        <f>IF(AND('ROSTER UPDATE'!E74=""),"",('ROSTER UPDATE'!E74))</f>
        <v/>
      </c>
      <c r="E74" s="64" t="str">
        <f>IF(AND('ROSTER UPDATE'!F74=""),"",('ROSTER UPDATE'!F74))</f>
        <v/>
      </c>
      <c r="F74" s="65" t="str">
        <f>IF(AND('ROSTER UPDATE'!C74=""),"",('ROSTER UPDATE'!C74))</f>
        <v/>
      </c>
      <c r="G74" s="87" t="s">
        <v>41</v>
      </c>
      <c r="I74" s="78">
        <f>SUM('ROSTER UPDATE'!H74:'ROSTER UPDATE'!J74)</f>
        <v>0</v>
      </c>
      <c r="J74" s="79">
        <f>SUM('ROSTER UPDATE'!K74:'ROSTER UPDATE'!M74)</f>
        <v>0</v>
      </c>
      <c r="K74" s="79">
        <f>SUM('ROSTER UPDATE'!N74:'ROSTER UPDATE'!P74)</f>
        <v>0</v>
      </c>
      <c r="L74" s="79"/>
      <c r="M74" s="80"/>
      <c r="O74" s="78">
        <f>IF(AND('ROSTER UPDATE'!R74=""),"",('ROSTER UPDATE'!R74))</f>
        <v>0</v>
      </c>
      <c r="P74" s="79">
        <f>IF(AND('ROSTER UPDATE'!S74=""),"",('ROSTER UPDATE'!S74))</f>
        <v>0</v>
      </c>
      <c r="Q74" s="80" t="str">
        <f>IF(AND('ROSTER UPDATE'!T74=""),"",('ROSTER UPDATE'!T74))</f>
        <v/>
      </c>
      <c r="S74" s="78">
        <f>SUM('ROSTER UPDATE'!R74:'ROSTER UPDATE'!T74)</f>
        <v>0</v>
      </c>
      <c r="T74" s="79">
        <f>SUM('ROSTER UPDATE'!U74:'ROSTER UPDATE'!W74)</f>
        <v>0</v>
      </c>
      <c r="U74" s="79">
        <f>SUM('ROSTER UPDATE'!X74:'ROSTER UPDATE'!Z74)</f>
        <v>0</v>
      </c>
      <c r="V74" s="79"/>
      <c r="W74" s="80"/>
    </row>
    <row r="75" spans="2:23" ht="15.75" thickBot="1" x14ac:dyDescent="0.3">
      <c r="B75" s="64" t="str">
        <f>IF(AND('ROSTER UPDATE'!B75=""),"",('ROSTER UPDATE'!B75))</f>
        <v/>
      </c>
      <c r="C75" s="65" t="str">
        <f>IF(AND('ROSTER UPDATE'!E75=""),"",('ROSTER UPDATE'!E75))</f>
        <v/>
      </c>
      <c r="E75" s="64" t="str">
        <f>IF(AND('ROSTER UPDATE'!F75=""),"",('ROSTER UPDATE'!F75))</f>
        <v/>
      </c>
      <c r="F75" s="65" t="str">
        <f>IF(AND('ROSTER UPDATE'!C75=""),"",('ROSTER UPDATE'!C75))</f>
        <v/>
      </c>
      <c r="G75" s="87" t="s">
        <v>41</v>
      </c>
      <c r="I75" s="78">
        <f>SUM('ROSTER UPDATE'!H75:'ROSTER UPDATE'!J75)</f>
        <v>0</v>
      </c>
      <c r="J75" s="79">
        <f>SUM('ROSTER UPDATE'!K75:'ROSTER UPDATE'!M75)</f>
        <v>0</v>
      </c>
      <c r="K75" s="79">
        <f>SUM('ROSTER UPDATE'!N75:'ROSTER UPDATE'!P75)</f>
        <v>0</v>
      </c>
      <c r="L75" s="79"/>
      <c r="M75" s="80"/>
      <c r="O75" s="78">
        <f>IF(AND('ROSTER UPDATE'!R75=""),"",('ROSTER UPDATE'!R75))</f>
        <v>0</v>
      </c>
      <c r="P75" s="79">
        <f>IF(AND('ROSTER UPDATE'!S75=""),"",('ROSTER UPDATE'!S75))</f>
        <v>0</v>
      </c>
      <c r="Q75" s="80" t="str">
        <f>IF(AND('ROSTER UPDATE'!T75=""),"",('ROSTER UPDATE'!T75))</f>
        <v/>
      </c>
      <c r="S75" s="78">
        <f>SUM('ROSTER UPDATE'!R75:'ROSTER UPDATE'!T75)</f>
        <v>0</v>
      </c>
      <c r="T75" s="79">
        <f>SUM('ROSTER UPDATE'!U75:'ROSTER UPDATE'!W75)</f>
        <v>0</v>
      </c>
      <c r="U75" s="79">
        <f>SUM('ROSTER UPDATE'!X75:'ROSTER UPDATE'!Z75)</f>
        <v>0</v>
      </c>
      <c r="V75" s="79"/>
      <c r="W75" s="80"/>
    </row>
    <row r="76" spans="2:23" ht="15.75" thickBot="1" x14ac:dyDescent="0.3">
      <c r="B76" s="64" t="str">
        <f>IF(AND('ROSTER UPDATE'!B76=""),"",('ROSTER UPDATE'!B76))</f>
        <v/>
      </c>
      <c r="C76" s="65" t="str">
        <f>IF(AND('ROSTER UPDATE'!E76=""),"",('ROSTER UPDATE'!E76))</f>
        <v/>
      </c>
      <c r="E76" s="64" t="str">
        <f>IF(AND('ROSTER UPDATE'!F76=""),"",('ROSTER UPDATE'!F76))</f>
        <v/>
      </c>
      <c r="F76" s="65" t="str">
        <f>IF(AND('ROSTER UPDATE'!C76=""),"",('ROSTER UPDATE'!C76))</f>
        <v/>
      </c>
      <c r="G76" s="87" t="s">
        <v>41</v>
      </c>
      <c r="I76" s="78">
        <f>SUM('ROSTER UPDATE'!H76:'ROSTER UPDATE'!J76)</f>
        <v>0</v>
      </c>
      <c r="J76" s="79">
        <f>SUM('ROSTER UPDATE'!K76:'ROSTER UPDATE'!M76)</f>
        <v>0</v>
      </c>
      <c r="K76" s="79">
        <f>SUM('ROSTER UPDATE'!N76:'ROSTER UPDATE'!P76)</f>
        <v>0</v>
      </c>
      <c r="L76" s="79"/>
      <c r="M76" s="80"/>
      <c r="O76" s="78">
        <f>IF(AND('ROSTER UPDATE'!R76=""),"",('ROSTER UPDATE'!R76))</f>
        <v>0</v>
      </c>
      <c r="P76" s="79">
        <f>IF(AND('ROSTER UPDATE'!S76=""),"",('ROSTER UPDATE'!S76))</f>
        <v>0</v>
      </c>
      <c r="Q76" s="80" t="str">
        <f>IF(AND('ROSTER UPDATE'!T76=""),"",('ROSTER UPDATE'!T76))</f>
        <v/>
      </c>
      <c r="S76" s="78">
        <f>SUM('ROSTER UPDATE'!R76:'ROSTER UPDATE'!T76)</f>
        <v>0</v>
      </c>
      <c r="T76" s="79">
        <f>SUM('ROSTER UPDATE'!U76:'ROSTER UPDATE'!W76)</f>
        <v>0</v>
      </c>
      <c r="U76" s="79">
        <f>SUM('ROSTER UPDATE'!X76:'ROSTER UPDATE'!Z76)</f>
        <v>0</v>
      </c>
      <c r="V76" s="79"/>
      <c r="W76" s="80"/>
    </row>
    <row r="77" spans="2:23" ht="15.75" thickBot="1" x14ac:dyDescent="0.3">
      <c r="B77" s="64" t="str">
        <f>IF(AND('ROSTER UPDATE'!B77=""),"",('ROSTER UPDATE'!B77))</f>
        <v/>
      </c>
      <c r="C77" s="65" t="str">
        <f>IF(AND('ROSTER UPDATE'!E77=""),"",('ROSTER UPDATE'!E77))</f>
        <v/>
      </c>
      <c r="E77" s="64" t="str">
        <f>IF(AND('ROSTER UPDATE'!F77=""),"",('ROSTER UPDATE'!F77))</f>
        <v/>
      </c>
      <c r="F77" s="65" t="str">
        <f>IF(AND('ROSTER UPDATE'!C77=""),"",('ROSTER UPDATE'!C77))</f>
        <v/>
      </c>
      <c r="G77" s="87" t="s">
        <v>41</v>
      </c>
      <c r="I77" s="78">
        <f>SUM('ROSTER UPDATE'!H77:'ROSTER UPDATE'!J77)</f>
        <v>0</v>
      </c>
      <c r="J77" s="79">
        <f>SUM('ROSTER UPDATE'!K77:'ROSTER UPDATE'!M77)</f>
        <v>0</v>
      </c>
      <c r="K77" s="79">
        <f>SUM('ROSTER UPDATE'!N77:'ROSTER UPDATE'!P77)</f>
        <v>0</v>
      </c>
      <c r="L77" s="79"/>
      <c r="M77" s="80"/>
      <c r="O77" s="78">
        <f>IF(AND('ROSTER UPDATE'!R77=""),"",('ROSTER UPDATE'!R77))</f>
        <v>0</v>
      </c>
      <c r="P77" s="79">
        <f>IF(AND('ROSTER UPDATE'!S77=""),"",('ROSTER UPDATE'!S77))</f>
        <v>0</v>
      </c>
      <c r="Q77" s="80" t="str">
        <f>IF(AND('ROSTER UPDATE'!T77=""),"",('ROSTER UPDATE'!T77))</f>
        <v/>
      </c>
      <c r="S77" s="78">
        <f>SUM('ROSTER UPDATE'!R77:'ROSTER UPDATE'!T77)</f>
        <v>0</v>
      </c>
      <c r="T77" s="79">
        <f>SUM('ROSTER UPDATE'!U77:'ROSTER UPDATE'!W77)</f>
        <v>0</v>
      </c>
      <c r="U77" s="79">
        <f>SUM('ROSTER UPDATE'!X77:'ROSTER UPDATE'!Z77)</f>
        <v>0</v>
      </c>
      <c r="V77" s="79"/>
      <c r="W77" s="80"/>
    </row>
    <row r="78" spans="2:23" ht="15.75" thickBot="1" x14ac:dyDescent="0.3">
      <c r="B78" s="64" t="str">
        <f>IF(AND('ROSTER UPDATE'!B78=""),"",('ROSTER UPDATE'!B78))</f>
        <v/>
      </c>
      <c r="C78" s="65" t="str">
        <f>IF(AND('ROSTER UPDATE'!E78=""),"",('ROSTER UPDATE'!E78))</f>
        <v/>
      </c>
      <c r="E78" s="64" t="str">
        <f>IF(AND('ROSTER UPDATE'!F78=""),"",('ROSTER UPDATE'!F78))</f>
        <v/>
      </c>
      <c r="F78" s="65" t="str">
        <f>IF(AND('ROSTER UPDATE'!C78=""),"",('ROSTER UPDATE'!C78))</f>
        <v/>
      </c>
      <c r="G78" s="87" t="s">
        <v>41</v>
      </c>
      <c r="I78" s="78">
        <f>SUM('ROSTER UPDATE'!H78:'ROSTER UPDATE'!J78)</f>
        <v>0</v>
      </c>
      <c r="J78" s="79">
        <f>SUM('ROSTER UPDATE'!K78:'ROSTER UPDATE'!M78)</f>
        <v>0</v>
      </c>
      <c r="K78" s="79">
        <f>SUM('ROSTER UPDATE'!N78:'ROSTER UPDATE'!P78)</f>
        <v>0</v>
      </c>
      <c r="L78" s="79"/>
      <c r="M78" s="80"/>
      <c r="O78" s="78">
        <f>IF(AND('ROSTER UPDATE'!R78=""),"",('ROSTER UPDATE'!R78))</f>
        <v>0</v>
      </c>
      <c r="P78" s="79">
        <f>IF(AND('ROSTER UPDATE'!S78=""),"",('ROSTER UPDATE'!S78))</f>
        <v>0</v>
      </c>
      <c r="Q78" s="80" t="str">
        <f>IF(AND('ROSTER UPDATE'!T78=""),"",('ROSTER UPDATE'!T78))</f>
        <v/>
      </c>
      <c r="S78" s="78">
        <f>SUM('ROSTER UPDATE'!R78:'ROSTER UPDATE'!T78)</f>
        <v>0</v>
      </c>
      <c r="T78" s="79">
        <f>SUM('ROSTER UPDATE'!U78:'ROSTER UPDATE'!W78)</f>
        <v>0</v>
      </c>
      <c r="U78" s="79">
        <f>SUM('ROSTER UPDATE'!X78:'ROSTER UPDATE'!Z78)</f>
        <v>0</v>
      </c>
      <c r="V78" s="79"/>
      <c r="W78" s="80"/>
    </row>
    <row r="79" spans="2:23" ht="15.75" thickBot="1" x14ac:dyDescent="0.3">
      <c r="B79" s="64" t="str">
        <f>IF(AND('ROSTER UPDATE'!B79=""),"",('ROSTER UPDATE'!B79))</f>
        <v/>
      </c>
      <c r="C79" s="65" t="str">
        <f>IF(AND('ROSTER UPDATE'!E79=""),"",('ROSTER UPDATE'!E79))</f>
        <v/>
      </c>
      <c r="E79" s="64" t="str">
        <f>IF(AND('ROSTER UPDATE'!F79=""),"",('ROSTER UPDATE'!F79))</f>
        <v/>
      </c>
      <c r="F79" s="65" t="str">
        <f>IF(AND('ROSTER UPDATE'!C79=""),"",('ROSTER UPDATE'!C79))</f>
        <v/>
      </c>
      <c r="G79" s="87" t="s">
        <v>41</v>
      </c>
      <c r="I79" s="78">
        <f>SUM('ROSTER UPDATE'!H79:'ROSTER UPDATE'!J79)</f>
        <v>0</v>
      </c>
      <c r="J79" s="79">
        <f>SUM('ROSTER UPDATE'!K79:'ROSTER UPDATE'!M79)</f>
        <v>0</v>
      </c>
      <c r="K79" s="79">
        <f>SUM('ROSTER UPDATE'!N79:'ROSTER UPDATE'!P79)</f>
        <v>0</v>
      </c>
      <c r="L79" s="79"/>
      <c r="M79" s="80"/>
      <c r="O79" s="78">
        <f>IF(AND('ROSTER UPDATE'!R79=""),"",('ROSTER UPDATE'!R79))</f>
        <v>0</v>
      </c>
      <c r="P79" s="79">
        <f>IF(AND('ROSTER UPDATE'!S79=""),"",('ROSTER UPDATE'!S79))</f>
        <v>0</v>
      </c>
      <c r="Q79" s="80" t="str">
        <f>IF(AND('ROSTER UPDATE'!T79=""),"",('ROSTER UPDATE'!T79))</f>
        <v/>
      </c>
      <c r="S79" s="78">
        <f>SUM('ROSTER UPDATE'!R79:'ROSTER UPDATE'!T79)</f>
        <v>0</v>
      </c>
      <c r="T79" s="79">
        <f>SUM('ROSTER UPDATE'!U79:'ROSTER UPDATE'!W79)</f>
        <v>0</v>
      </c>
      <c r="U79" s="79">
        <f>SUM('ROSTER UPDATE'!X79:'ROSTER UPDATE'!Z79)</f>
        <v>0</v>
      </c>
      <c r="V79" s="79"/>
      <c r="W79" s="80"/>
    </row>
    <row r="80" spans="2:23" ht="15.75" thickBot="1" x14ac:dyDescent="0.3">
      <c r="B80" s="64" t="str">
        <f>IF(AND('ROSTER UPDATE'!B80=""),"",('ROSTER UPDATE'!B80))</f>
        <v/>
      </c>
      <c r="C80" s="65" t="str">
        <f>IF(AND('ROSTER UPDATE'!E80=""),"",('ROSTER UPDATE'!E80))</f>
        <v/>
      </c>
      <c r="E80" s="64" t="str">
        <f>IF(AND('ROSTER UPDATE'!F80=""),"",('ROSTER UPDATE'!F80))</f>
        <v/>
      </c>
      <c r="F80" s="65" t="str">
        <f>IF(AND('ROSTER UPDATE'!C80=""),"",('ROSTER UPDATE'!C80))</f>
        <v/>
      </c>
      <c r="G80" s="87" t="s">
        <v>41</v>
      </c>
      <c r="I80" s="78">
        <f>SUM('ROSTER UPDATE'!H80:'ROSTER UPDATE'!J80)</f>
        <v>0</v>
      </c>
      <c r="J80" s="79">
        <f>SUM('ROSTER UPDATE'!K80:'ROSTER UPDATE'!M80)</f>
        <v>0</v>
      </c>
      <c r="K80" s="79">
        <f>SUM('ROSTER UPDATE'!N80:'ROSTER UPDATE'!P80)</f>
        <v>0</v>
      </c>
      <c r="L80" s="79"/>
      <c r="M80" s="80"/>
      <c r="O80" s="78">
        <f>IF(AND('ROSTER UPDATE'!R80=""),"",('ROSTER UPDATE'!R80))</f>
        <v>0</v>
      </c>
      <c r="P80" s="79">
        <f>IF(AND('ROSTER UPDATE'!S80=""),"",('ROSTER UPDATE'!S80))</f>
        <v>0</v>
      </c>
      <c r="Q80" s="80" t="str">
        <f>IF(AND('ROSTER UPDATE'!T80=""),"",('ROSTER UPDATE'!T80))</f>
        <v/>
      </c>
      <c r="S80" s="78">
        <f>SUM('ROSTER UPDATE'!R80:'ROSTER UPDATE'!T80)</f>
        <v>0</v>
      </c>
      <c r="T80" s="79">
        <f>SUM('ROSTER UPDATE'!U80:'ROSTER UPDATE'!W80)</f>
        <v>0</v>
      </c>
      <c r="U80" s="79">
        <f>SUM('ROSTER UPDATE'!X80:'ROSTER UPDATE'!Z80)</f>
        <v>0</v>
      </c>
      <c r="V80" s="79"/>
      <c r="W80" s="80"/>
    </row>
    <row r="81" spans="2:23" ht="15.75" thickBot="1" x14ac:dyDescent="0.3">
      <c r="B81" s="64" t="str">
        <f>IF(AND('ROSTER UPDATE'!B81=""),"",('ROSTER UPDATE'!B81))</f>
        <v/>
      </c>
      <c r="C81" s="65" t="str">
        <f>IF(AND('ROSTER UPDATE'!E81=""),"",('ROSTER UPDATE'!E81))</f>
        <v/>
      </c>
      <c r="E81" s="64" t="str">
        <f>IF(AND('ROSTER UPDATE'!F81=""),"",('ROSTER UPDATE'!F81))</f>
        <v/>
      </c>
      <c r="F81" s="65" t="str">
        <f>IF(AND('ROSTER UPDATE'!C81=""),"",('ROSTER UPDATE'!C81))</f>
        <v/>
      </c>
      <c r="G81" s="87" t="s">
        <v>41</v>
      </c>
      <c r="I81" s="78">
        <f>SUM('ROSTER UPDATE'!H81:'ROSTER UPDATE'!J81)</f>
        <v>0</v>
      </c>
      <c r="J81" s="79">
        <f>SUM('ROSTER UPDATE'!K81:'ROSTER UPDATE'!M81)</f>
        <v>0</v>
      </c>
      <c r="K81" s="79">
        <f>SUM('ROSTER UPDATE'!N81:'ROSTER UPDATE'!P81)</f>
        <v>0</v>
      </c>
      <c r="L81" s="79"/>
      <c r="M81" s="80"/>
      <c r="O81" s="78">
        <f>IF(AND('ROSTER UPDATE'!R81=""),"",('ROSTER UPDATE'!R81))</f>
        <v>0</v>
      </c>
      <c r="P81" s="79">
        <f>IF(AND('ROSTER UPDATE'!S81=""),"",('ROSTER UPDATE'!S81))</f>
        <v>0</v>
      </c>
      <c r="Q81" s="80" t="str">
        <f>IF(AND('ROSTER UPDATE'!T81=""),"",('ROSTER UPDATE'!T81))</f>
        <v/>
      </c>
      <c r="S81" s="78">
        <f>SUM('ROSTER UPDATE'!R81:'ROSTER UPDATE'!T81)</f>
        <v>0</v>
      </c>
      <c r="T81" s="79">
        <f>SUM('ROSTER UPDATE'!U81:'ROSTER UPDATE'!W81)</f>
        <v>0</v>
      </c>
      <c r="U81" s="79">
        <f>SUM('ROSTER UPDATE'!X81:'ROSTER UPDATE'!Z81)</f>
        <v>0</v>
      </c>
      <c r="V81" s="79"/>
      <c r="W81" s="80"/>
    </row>
    <row r="82" spans="2:23" ht="15.75" thickBot="1" x14ac:dyDescent="0.3">
      <c r="B82" s="64" t="str">
        <f>IF(AND('ROSTER UPDATE'!B82=""),"",('ROSTER UPDATE'!B82))</f>
        <v/>
      </c>
      <c r="C82" s="65" t="str">
        <f>IF(AND('ROSTER UPDATE'!E82=""),"",('ROSTER UPDATE'!E82))</f>
        <v/>
      </c>
      <c r="E82" s="64" t="str">
        <f>IF(AND('ROSTER UPDATE'!F82=""),"",('ROSTER UPDATE'!F82))</f>
        <v/>
      </c>
      <c r="F82" s="65" t="str">
        <f>IF(AND('ROSTER UPDATE'!C82=""),"",('ROSTER UPDATE'!C82))</f>
        <v/>
      </c>
      <c r="G82" s="87" t="s">
        <v>41</v>
      </c>
      <c r="I82" s="78">
        <f>SUM('ROSTER UPDATE'!H82:'ROSTER UPDATE'!J82)</f>
        <v>0</v>
      </c>
      <c r="J82" s="79">
        <f>SUM('ROSTER UPDATE'!K82:'ROSTER UPDATE'!M82)</f>
        <v>0</v>
      </c>
      <c r="K82" s="79">
        <f>SUM('ROSTER UPDATE'!N82:'ROSTER UPDATE'!P82)</f>
        <v>0</v>
      </c>
      <c r="L82" s="79"/>
      <c r="M82" s="80"/>
      <c r="O82" s="78">
        <f>IF(AND('ROSTER UPDATE'!R82=""),"",('ROSTER UPDATE'!R82))</f>
        <v>0</v>
      </c>
      <c r="P82" s="79">
        <f>IF(AND('ROSTER UPDATE'!S82=""),"",('ROSTER UPDATE'!S82))</f>
        <v>0</v>
      </c>
      <c r="Q82" s="80" t="str">
        <f>IF(AND('ROSTER UPDATE'!T82=""),"",('ROSTER UPDATE'!T82))</f>
        <v/>
      </c>
      <c r="S82" s="78">
        <f>SUM('ROSTER UPDATE'!R82:'ROSTER UPDATE'!T82)</f>
        <v>0</v>
      </c>
      <c r="T82" s="79">
        <f>SUM('ROSTER UPDATE'!U82:'ROSTER UPDATE'!W82)</f>
        <v>0</v>
      </c>
      <c r="U82" s="79">
        <f>SUM('ROSTER UPDATE'!X82:'ROSTER UPDATE'!Z82)</f>
        <v>0</v>
      </c>
      <c r="V82" s="79"/>
      <c r="W82" s="80"/>
    </row>
    <row r="83" spans="2:23" ht="15.75" thickBot="1" x14ac:dyDescent="0.3">
      <c r="B83" s="64" t="str">
        <f>IF(AND('ROSTER UPDATE'!B83=""),"",('ROSTER UPDATE'!B83))</f>
        <v/>
      </c>
      <c r="C83" s="65" t="str">
        <f>IF(AND('ROSTER UPDATE'!E83=""),"",('ROSTER UPDATE'!E83))</f>
        <v/>
      </c>
      <c r="E83" s="64" t="str">
        <f>IF(AND('ROSTER UPDATE'!F83=""),"",('ROSTER UPDATE'!F83))</f>
        <v/>
      </c>
      <c r="F83" s="65" t="str">
        <f>IF(AND('ROSTER UPDATE'!C83=""),"",('ROSTER UPDATE'!C83))</f>
        <v/>
      </c>
      <c r="G83" s="87" t="s">
        <v>41</v>
      </c>
      <c r="I83" s="78">
        <f>SUM('ROSTER UPDATE'!H83:'ROSTER UPDATE'!J83)</f>
        <v>0</v>
      </c>
      <c r="J83" s="79">
        <f>SUM('ROSTER UPDATE'!K83:'ROSTER UPDATE'!M83)</f>
        <v>0</v>
      </c>
      <c r="K83" s="79">
        <f>SUM('ROSTER UPDATE'!N83:'ROSTER UPDATE'!P83)</f>
        <v>0</v>
      </c>
      <c r="L83" s="79"/>
      <c r="M83" s="80"/>
      <c r="O83" s="78">
        <f>IF(AND('ROSTER UPDATE'!R83=""),"",('ROSTER UPDATE'!R83))</f>
        <v>0</v>
      </c>
      <c r="P83" s="79">
        <f>IF(AND('ROSTER UPDATE'!S83=""),"",('ROSTER UPDATE'!S83))</f>
        <v>0</v>
      </c>
      <c r="Q83" s="80" t="str">
        <f>IF(AND('ROSTER UPDATE'!T83=""),"",('ROSTER UPDATE'!T83))</f>
        <v/>
      </c>
      <c r="S83" s="78">
        <f>SUM('ROSTER UPDATE'!R83:'ROSTER UPDATE'!T83)</f>
        <v>0</v>
      </c>
      <c r="T83" s="79">
        <f>SUM('ROSTER UPDATE'!U83:'ROSTER UPDATE'!W83)</f>
        <v>0</v>
      </c>
      <c r="U83" s="79">
        <f>SUM('ROSTER UPDATE'!X83:'ROSTER UPDATE'!Z83)</f>
        <v>0</v>
      </c>
      <c r="V83" s="79"/>
      <c r="W83" s="80"/>
    </row>
    <row r="84" spans="2:23" ht="15.75" thickBot="1" x14ac:dyDescent="0.3">
      <c r="B84" s="64" t="str">
        <f>IF(AND('ROSTER UPDATE'!B84=""),"",('ROSTER UPDATE'!B84))</f>
        <v/>
      </c>
      <c r="C84" s="65" t="str">
        <f>IF(AND('ROSTER UPDATE'!E84=""),"",('ROSTER UPDATE'!E84))</f>
        <v/>
      </c>
      <c r="E84" s="64" t="str">
        <f>IF(AND('ROSTER UPDATE'!F84=""),"",('ROSTER UPDATE'!F84))</f>
        <v/>
      </c>
      <c r="F84" s="65" t="str">
        <f>IF(AND('ROSTER UPDATE'!C84=""),"",('ROSTER UPDATE'!C84))</f>
        <v/>
      </c>
      <c r="G84" s="87" t="s">
        <v>41</v>
      </c>
      <c r="I84" s="78">
        <f>SUM('ROSTER UPDATE'!H84:'ROSTER UPDATE'!J84)</f>
        <v>0</v>
      </c>
      <c r="J84" s="79">
        <f>SUM('ROSTER UPDATE'!K84:'ROSTER UPDATE'!M84)</f>
        <v>0</v>
      </c>
      <c r="K84" s="79">
        <f>SUM('ROSTER UPDATE'!N84:'ROSTER UPDATE'!P84)</f>
        <v>0</v>
      </c>
      <c r="L84" s="79"/>
      <c r="M84" s="80"/>
      <c r="O84" s="78">
        <f>IF(AND('ROSTER UPDATE'!R84=""),"",('ROSTER UPDATE'!R84))</f>
        <v>0</v>
      </c>
      <c r="P84" s="79">
        <f>IF(AND('ROSTER UPDATE'!S84=""),"",('ROSTER UPDATE'!S84))</f>
        <v>0</v>
      </c>
      <c r="Q84" s="80" t="str">
        <f>IF(AND('ROSTER UPDATE'!T84=""),"",('ROSTER UPDATE'!T84))</f>
        <v/>
      </c>
      <c r="S84" s="78">
        <f>SUM('ROSTER UPDATE'!R84:'ROSTER UPDATE'!T84)</f>
        <v>0</v>
      </c>
      <c r="T84" s="79">
        <f>SUM('ROSTER UPDATE'!U84:'ROSTER UPDATE'!W84)</f>
        <v>0</v>
      </c>
      <c r="U84" s="79">
        <f>SUM('ROSTER UPDATE'!X84:'ROSTER UPDATE'!Z84)</f>
        <v>0</v>
      </c>
      <c r="V84" s="79"/>
      <c r="W84" s="80"/>
    </row>
    <row r="85" spans="2:23" ht="15.75" thickBot="1" x14ac:dyDescent="0.3">
      <c r="B85" s="64" t="str">
        <f>IF(AND('ROSTER UPDATE'!B85=""),"",('ROSTER UPDATE'!B85))</f>
        <v/>
      </c>
      <c r="C85" s="65" t="str">
        <f>IF(AND('ROSTER UPDATE'!E85=""),"",('ROSTER UPDATE'!E85))</f>
        <v/>
      </c>
      <c r="E85" s="64" t="str">
        <f>IF(AND('ROSTER UPDATE'!F85=""),"",('ROSTER UPDATE'!F85))</f>
        <v/>
      </c>
      <c r="F85" s="65" t="str">
        <f>IF(AND('ROSTER UPDATE'!C85=""),"",('ROSTER UPDATE'!C85))</f>
        <v/>
      </c>
      <c r="G85" s="87" t="s">
        <v>41</v>
      </c>
      <c r="I85" s="78">
        <f>SUM('ROSTER UPDATE'!H85:'ROSTER UPDATE'!J85)</f>
        <v>0</v>
      </c>
      <c r="J85" s="79">
        <f>SUM('ROSTER UPDATE'!K85:'ROSTER UPDATE'!M85)</f>
        <v>0</v>
      </c>
      <c r="K85" s="79">
        <f>SUM('ROSTER UPDATE'!N85:'ROSTER UPDATE'!P85)</f>
        <v>0</v>
      </c>
      <c r="L85" s="79"/>
      <c r="M85" s="80"/>
      <c r="O85" s="78">
        <f>IF(AND('ROSTER UPDATE'!R85=""),"",('ROSTER UPDATE'!R85))</f>
        <v>0</v>
      </c>
      <c r="P85" s="79">
        <f>IF(AND('ROSTER UPDATE'!S85=""),"",('ROSTER UPDATE'!S85))</f>
        <v>0</v>
      </c>
      <c r="Q85" s="80" t="str">
        <f>IF(AND('ROSTER UPDATE'!T85=""),"",('ROSTER UPDATE'!T85))</f>
        <v/>
      </c>
      <c r="S85" s="78">
        <f>SUM('ROSTER UPDATE'!R85:'ROSTER UPDATE'!T85)</f>
        <v>0</v>
      </c>
      <c r="T85" s="79">
        <f>SUM('ROSTER UPDATE'!U85:'ROSTER UPDATE'!W85)</f>
        <v>0</v>
      </c>
      <c r="U85" s="79">
        <f>SUM('ROSTER UPDATE'!X85:'ROSTER UPDATE'!Z85)</f>
        <v>0</v>
      </c>
      <c r="V85" s="79"/>
      <c r="W85" s="80"/>
    </row>
    <row r="86" spans="2:23" ht="15.75" thickBot="1" x14ac:dyDescent="0.3">
      <c r="B86" s="64" t="str">
        <f>IF(AND('ROSTER UPDATE'!B86=""),"",('ROSTER UPDATE'!B86))</f>
        <v/>
      </c>
      <c r="C86" s="65" t="str">
        <f>IF(AND('ROSTER UPDATE'!E86=""),"",('ROSTER UPDATE'!E86))</f>
        <v/>
      </c>
      <c r="E86" s="64" t="str">
        <f>IF(AND('ROSTER UPDATE'!F86=""),"",('ROSTER UPDATE'!F86))</f>
        <v/>
      </c>
      <c r="F86" s="65" t="str">
        <f>IF(AND('ROSTER UPDATE'!C86=""),"",('ROSTER UPDATE'!C86))</f>
        <v/>
      </c>
      <c r="G86" s="87" t="s">
        <v>41</v>
      </c>
      <c r="I86" s="78">
        <f>SUM('ROSTER UPDATE'!H86:'ROSTER UPDATE'!J86)</f>
        <v>0</v>
      </c>
      <c r="J86" s="79">
        <f>SUM('ROSTER UPDATE'!K86:'ROSTER UPDATE'!M86)</f>
        <v>0</v>
      </c>
      <c r="K86" s="79">
        <f>SUM('ROSTER UPDATE'!N86:'ROSTER UPDATE'!P86)</f>
        <v>0</v>
      </c>
      <c r="L86" s="79"/>
      <c r="M86" s="80"/>
      <c r="O86" s="78">
        <f>IF(AND('ROSTER UPDATE'!R86=""),"",('ROSTER UPDATE'!R86))</f>
        <v>0</v>
      </c>
      <c r="P86" s="79">
        <f>IF(AND('ROSTER UPDATE'!S86=""),"",('ROSTER UPDATE'!S86))</f>
        <v>0</v>
      </c>
      <c r="Q86" s="80" t="str">
        <f>IF(AND('ROSTER UPDATE'!T86=""),"",('ROSTER UPDATE'!T86))</f>
        <v/>
      </c>
      <c r="S86" s="78">
        <f>SUM('ROSTER UPDATE'!R86:'ROSTER UPDATE'!T86)</f>
        <v>0</v>
      </c>
      <c r="T86" s="79">
        <f>SUM('ROSTER UPDATE'!U86:'ROSTER UPDATE'!W86)</f>
        <v>0</v>
      </c>
      <c r="U86" s="79">
        <f>SUM('ROSTER UPDATE'!X86:'ROSTER UPDATE'!Z86)</f>
        <v>0</v>
      </c>
      <c r="V86" s="79"/>
      <c r="W86" s="80"/>
    </row>
    <row r="87" spans="2:23" ht="15.75" thickBot="1" x14ac:dyDescent="0.3">
      <c r="B87" s="64" t="str">
        <f>IF(AND('ROSTER UPDATE'!B87=""),"",('ROSTER UPDATE'!B87))</f>
        <v/>
      </c>
      <c r="C87" s="65" t="str">
        <f>IF(AND('ROSTER UPDATE'!E87=""),"",('ROSTER UPDATE'!E87))</f>
        <v/>
      </c>
      <c r="E87" s="64" t="str">
        <f>IF(AND('ROSTER UPDATE'!F87=""),"",('ROSTER UPDATE'!F87))</f>
        <v/>
      </c>
      <c r="F87" s="65" t="str">
        <f>IF(AND('ROSTER UPDATE'!C87=""),"",('ROSTER UPDATE'!C87))</f>
        <v/>
      </c>
      <c r="G87" s="87" t="s">
        <v>41</v>
      </c>
      <c r="I87" s="78">
        <f>SUM('ROSTER UPDATE'!H87:'ROSTER UPDATE'!J87)</f>
        <v>0</v>
      </c>
      <c r="J87" s="79">
        <f>SUM('ROSTER UPDATE'!K87:'ROSTER UPDATE'!M87)</f>
        <v>0</v>
      </c>
      <c r="K87" s="79">
        <f>SUM('ROSTER UPDATE'!N87:'ROSTER UPDATE'!P87)</f>
        <v>0</v>
      </c>
      <c r="L87" s="79"/>
      <c r="M87" s="80"/>
      <c r="O87" s="78">
        <f>IF(AND('ROSTER UPDATE'!R87=""),"",('ROSTER UPDATE'!R87))</f>
        <v>0</v>
      </c>
      <c r="P87" s="79">
        <f>IF(AND('ROSTER UPDATE'!S87=""),"",('ROSTER UPDATE'!S87))</f>
        <v>0</v>
      </c>
      <c r="Q87" s="80" t="str">
        <f>IF(AND('ROSTER UPDATE'!T87=""),"",('ROSTER UPDATE'!T87))</f>
        <v/>
      </c>
      <c r="S87" s="78">
        <f>SUM('ROSTER UPDATE'!R87:'ROSTER UPDATE'!T87)</f>
        <v>0</v>
      </c>
      <c r="T87" s="79">
        <f>SUM('ROSTER UPDATE'!U87:'ROSTER UPDATE'!W87)</f>
        <v>0</v>
      </c>
      <c r="U87" s="79">
        <f>SUM('ROSTER UPDATE'!X87:'ROSTER UPDATE'!Z87)</f>
        <v>0</v>
      </c>
      <c r="V87" s="79"/>
      <c r="W87" s="80"/>
    </row>
    <row r="88" spans="2:23" ht="15.75" thickBot="1" x14ac:dyDescent="0.3">
      <c r="B88" s="64" t="str">
        <f>IF(AND('ROSTER UPDATE'!B88=""),"",('ROSTER UPDATE'!B88))</f>
        <v/>
      </c>
      <c r="C88" s="65" t="str">
        <f>IF(AND('ROSTER UPDATE'!E88=""),"",('ROSTER UPDATE'!E88))</f>
        <v/>
      </c>
      <c r="E88" s="64" t="str">
        <f>IF(AND('ROSTER UPDATE'!F88=""),"",('ROSTER UPDATE'!F88))</f>
        <v/>
      </c>
      <c r="F88" s="65" t="str">
        <f>IF(AND('ROSTER UPDATE'!C88=""),"",('ROSTER UPDATE'!C88))</f>
        <v/>
      </c>
      <c r="G88" s="87" t="s">
        <v>41</v>
      </c>
      <c r="I88" s="78">
        <f>SUM('ROSTER UPDATE'!H88:'ROSTER UPDATE'!J88)</f>
        <v>0</v>
      </c>
      <c r="J88" s="79">
        <f>SUM('ROSTER UPDATE'!K88:'ROSTER UPDATE'!M88)</f>
        <v>0</v>
      </c>
      <c r="K88" s="79">
        <f>SUM('ROSTER UPDATE'!N88:'ROSTER UPDATE'!P88)</f>
        <v>0</v>
      </c>
      <c r="L88" s="79"/>
      <c r="M88" s="80"/>
      <c r="O88" s="78">
        <f>IF(AND('ROSTER UPDATE'!R88=""),"",('ROSTER UPDATE'!R88))</f>
        <v>0</v>
      </c>
      <c r="P88" s="79">
        <f>IF(AND('ROSTER UPDATE'!S88=""),"",('ROSTER UPDATE'!S88))</f>
        <v>0</v>
      </c>
      <c r="Q88" s="80" t="str">
        <f>IF(AND('ROSTER UPDATE'!T88=""),"",('ROSTER UPDATE'!T88))</f>
        <v/>
      </c>
      <c r="S88" s="78">
        <f>SUM('ROSTER UPDATE'!R88:'ROSTER UPDATE'!T88)</f>
        <v>0</v>
      </c>
      <c r="T88" s="79">
        <f>SUM('ROSTER UPDATE'!U88:'ROSTER UPDATE'!W88)</f>
        <v>0</v>
      </c>
      <c r="U88" s="79">
        <f>SUM('ROSTER UPDATE'!X88:'ROSTER UPDATE'!Z88)</f>
        <v>0</v>
      </c>
      <c r="V88" s="79"/>
      <c r="W88" s="80"/>
    </row>
    <row r="89" spans="2:23" ht="15.75" thickBot="1" x14ac:dyDescent="0.3">
      <c r="B89" s="64" t="str">
        <f>IF(AND('ROSTER UPDATE'!B89=""),"",('ROSTER UPDATE'!B89))</f>
        <v/>
      </c>
      <c r="C89" s="65" t="str">
        <f>IF(AND('ROSTER UPDATE'!E89=""),"",('ROSTER UPDATE'!E89))</f>
        <v/>
      </c>
      <c r="E89" s="64" t="str">
        <f>IF(AND('ROSTER UPDATE'!F89=""),"",('ROSTER UPDATE'!F89))</f>
        <v/>
      </c>
      <c r="F89" s="65" t="str">
        <f>IF(AND('ROSTER UPDATE'!C89=""),"",('ROSTER UPDATE'!C89))</f>
        <v/>
      </c>
      <c r="G89" s="87" t="s">
        <v>41</v>
      </c>
      <c r="I89" s="78">
        <f>SUM('ROSTER UPDATE'!H89:'ROSTER UPDATE'!J89)</f>
        <v>0</v>
      </c>
      <c r="J89" s="79">
        <f>SUM('ROSTER UPDATE'!K89:'ROSTER UPDATE'!M89)</f>
        <v>0</v>
      </c>
      <c r="K89" s="79">
        <f>SUM('ROSTER UPDATE'!N89:'ROSTER UPDATE'!P89)</f>
        <v>0</v>
      </c>
      <c r="L89" s="79"/>
      <c r="M89" s="80"/>
      <c r="O89" s="78">
        <f>IF(AND('ROSTER UPDATE'!R89=""),"",('ROSTER UPDATE'!R89))</f>
        <v>0</v>
      </c>
      <c r="P89" s="79">
        <f>IF(AND('ROSTER UPDATE'!S89=""),"",('ROSTER UPDATE'!S89))</f>
        <v>0</v>
      </c>
      <c r="Q89" s="80" t="str">
        <f>IF(AND('ROSTER UPDATE'!T89=""),"",('ROSTER UPDATE'!T89))</f>
        <v/>
      </c>
      <c r="S89" s="78">
        <f>SUM('ROSTER UPDATE'!R89:'ROSTER UPDATE'!T89)</f>
        <v>0</v>
      </c>
      <c r="T89" s="79">
        <f>SUM('ROSTER UPDATE'!U89:'ROSTER UPDATE'!W89)</f>
        <v>0</v>
      </c>
      <c r="U89" s="79">
        <f>SUM('ROSTER UPDATE'!X89:'ROSTER UPDATE'!Z89)</f>
        <v>0</v>
      </c>
      <c r="V89" s="79"/>
      <c r="W89" s="80"/>
    </row>
    <row r="90" spans="2:23" ht="15.75" thickBot="1" x14ac:dyDescent="0.3">
      <c r="B90" s="64" t="str">
        <f>IF(AND('ROSTER UPDATE'!B90=""),"",('ROSTER UPDATE'!B90))</f>
        <v/>
      </c>
      <c r="C90" s="65" t="str">
        <f>IF(AND('ROSTER UPDATE'!E90=""),"",('ROSTER UPDATE'!E90))</f>
        <v/>
      </c>
      <c r="E90" s="64" t="str">
        <f>IF(AND('ROSTER UPDATE'!F90=""),"",('ROSTER UPDATE'!F90))</f>
        <v/>
      </c>
      <c r="F90" s="65" t="str">
        <f>IF(AND('ROSTER UPDATE'!C90=""),"",('ROSTER UPDATE'!C90))</f>
        <v/>
      </c>
      <c r="G90" s="87" t="s">
        <v>41</v>
      </c>
      <c r="I90" s="78">
        <f>SUM('ROSTER UPDATE'!H90:'ROSTER UPDATE'!J90)</f>
        <v>0</v>
      </c>
      <c r="J90" s="79">
        <f>SUM('ROSTER UPDATE'!K90:'ROSTER UPDATE'!M90)</f>
        <v>0</v>
      </c>
      <c r="K90" s="79">
        <f>SUM('ROSTER UPDATE'!N90:'ROSTER UPDATE'!P90)</f>
        <v>0</v>
      </c>
      <c r="L90" s="79"/>
      <c r="M90" s="80"/>
      <c r="O90" s="78">
        <f>IF(AND('ROSTER UPDATE'!R90=""),"",('ROSTER UPDATE'!R90))</f>
        <v>0</v>
      </c>
      <c r="P90" s="79">
        <f>IF(AND('ROSTER UPDATE'!S90=""),"",('ROSTER UPDATE'!S90))</f>
        <v>0</v>
      </c>
      <c r="Q90" s="80" t="str">
        <f>IF(AND('ROSTER UPDATE'!T90=""),"",('ROSTER UPDATE'!T90))</f>
        <v/>
      </c>
      <c r="S90" s="78">
        <f>SUM('ROSTER UPDATE'!R90:'ROSTER UPDATE'!T90)</f>
        <v>0</v>
      </c>
      <c r="T90" s="79">
        <f>SUM('ROSTER UPDATE'!U90:'ROSTER UPDATE'!W90)</f>
        <v>0</v>
      </c>
      <c r="U90" s="79">
        <f>SUM('ROSTER UPDATE'!X90:'ROSTER UPDATE'!Z90)</f>
        <v>0</v>
      </c>
      <c r="V90" s="79"/>
      <c r="W90" s="80"/>
    </row>
    <row r="91" spans="2:23" ht="15.75" thickBot="1" x14ac:dyDescent="0.3">
      <c r="B91" s="64" t="str">
        <f>IF(AND('ROSTER UPDATE'!B91=""),"",('ROSTER UPDATE'!B91))</f>
        <v/>
      </c>
      <c r="C91" s="65" t="str">
        <f>IF(AND('ROSTER UPDATE'!E91=""),"",('ROSTER UPDATE'!E91))</f>
        <v/>
      </c>
      <c r="E91" s="64" t="str">
        <f>IF(AND('ROSTER UPDATE'!F91=""),"",('ROSTER UPDATE'!F91))</f>
        <v/>
      </c>
      <c r="F91" s="65" t="str">
        <f>IF(AND('ROSTER UPDATE'!C91=""),"",('ROSTER UPDATE'!C91))</f>
        <v/>
      </c>
      <c r="G91" s="87" t="s">
        <v>41</v>
      </c>
      <c r="I91" s="78">
        <f>SUM('ROSTER UPDATE'!H91:'ROSTER UPDATE'!J91)</f>
        <v>0</v>
      </c>
      <c r="J91" s="79">
        <f>SUM('ROSTER UPDATE'!K91:'ROSTER UPDATE'!M91)</f>
        <v>0</v>
      </c>
      <c r="K91" s="79">
        <f>SUM('ROSTER UPDATE'!N91:'ROSTER UPDATE'!P91)</f>
        <v>0</v>
      </c>
      <c r="L91" s="79"/>
      <c r="M91" s="80"/>
      <c r="O91" s="78">
        <f>IF(AND('ROSTER UPDATE'!R91=""),"",('ROSTER UPDATE'!R91))</f>
        <v>0</v>
      </c>
      <c r="P91" s="79">
        <f>IF(AND('ROSTER UPDATE'!S91=""),"",('ROSTER UPDATE'!S91))</f>
        <v>0</v>
      </c>
      <c r="Q91" s="80" t="str">
        <f>IF(AND('ROSTER UPDATE'!T91=""),"",('ROSTER UPDATE'!T91))</f>
        <v/>
      </c>
      <c r="S91" s="78">
        <f>SUM('ROSTER UPDATE'!R91:'ROSTER UPDATE'!T91)</f>
        <v>0</v>
      </c>
      <c r="T91" s="79">
        <f>SUM('ROSTER UPDATE'!U91:'ROSTER UPDATE'!W91)</f>
        <v>0</v>
      </c>
      <c r="U91" s="79">
        <f>SUM('ROSTER UPDATE'!X91:'ROSTER UPDATE'!Z91)</f>
        <v>0</v>
      </c>
      <c r="V91" s="79"/>
      <c r="W91" s="80"/>
    </row>
    <row r="92" spans="2:23" ht="15.75" thickBot="1" x14ac:dyDescent="0.3">
      <c r="B92" s="64" t="str">
        <f>IF(AND('ROSTER UPDATE'!B92=""),"",('ROSTER UPDATE'!B92))</f>
        <v/>
      </c>
      <c r="C92" s="65" t="str">
        <f>IF(AND('ROSTER UPDATE'!E92=""),"",('ROSTER UPDATE'!E92))</f>
        <v/>
      </c>
      <c r="E92" s="64" t="str">
        <f>IF(AND('ROSTER UPDATE'!F92=""),"",('ROSTER UPDATE'!F92))</f>
        <v/>
      </c>
      <c r="F92" s="65" t="str">
        <f>IF(AND('ROSTER UPDATE'!C92=""),"",('ROSTER UPDATE'!C92))</f>
        <v/>
      </c>
      <c r="G92" s="87" t="s">
        <v>41</v>
      </c>
      <c r="I92" s="78">
        <f>SUM('ROSTER UPDATE'!H92:'ROSTER UPDATE'!J92)</f>
        <v>0</v>
      </c>
      <c r="J92" s="79">
        <f>SUM('ROSTER UPDATE'!K92:'ROSTER UPDATE'!M92)</f>
        <v>0</v>
      </c>
      <c r="K92" s="79">
        <f>SUM('ROSTER UPDATE'!N92:'ROSTER UPDATE'!P92)</f>
        <v>0</v>
      </c>
      <c r="L92" s="79"/>
      <c r="M92" s="80"/>
      <c r="O92" s="78">
        <f>IF(AND('ROSTER UPDATE'!R92=""),"",('ROSTER UPDATE'!R92))</f>
        <v>0</v>
      </c>
      <c r="P92" s="79">
        <f>IF(AND('ROSTER UPDATE'!S92=""),"",('ROSTER UPDATE'!S92))</f>
        <v>0</v>
      </c>
      <c r="Q92" s="80" t="str">
        <f>IF(AND('ROSTER UPDATE'!T92=""),"",('ROSTER UPDATE'!T92))</f>
        <v/>
      </c>
      <c r="S92" s="78">
        <f>SUM('ROSTER UPDATE'!R92:'ROSTER UPDATE'!T92)</f>
        <v>0</v>
      </c>
      <c r="T92" s="79">
        <f>SUM('ROSTER UPDATE'!U92:'ROSTER UPDATE'!W92)</f>
        <v>0</v>
      </c>
      <c r="U92" s="79">
        <f>SUM('ROSTER UPDATE'!X92:'ROSTER UPDATE'!Z92)</f>
        <v>0</v>
      </c>
      <c r="V92" s="79"/>
      <c r="W92" s="80"/>
    </row>
    <row r="93" spans="2:23" ht="15.75" thickBot="1" x14ac:dyDescent="0.3">
      <c r="B93" s="64" t="str">
        <f>IF(AND('ROSTER UPDATE'!B93=""),"",('ROSTER UPDATE'!B93))</f>
        <v/>
      </c>
      <c r="C93" s="65" t="str">
        <f>IF(AND('ROSTER UPDATE'!E93=""),"",('ROSTER UPDATE'!E93))</f>
        <v/>
      </c>
      <c r="E93" s="64" t="str">
        <f>IF(AND('ROSTER UPDATE'!F93=""),"",('ROSTER UPDATE'!F93))</f>
        <v/>
      </c>
      <c r="F93" s="65" t="str">
        <f>IF(AND('ROSTER UPDATE'!C93=""),"",('ROSTER UPDATE'!C93))</f>
        <v/>
      </c>
      <c r="G93" s="87" t="s">
        <v>41</v>
      </c>
      <c r="I93" s="78">
        <f>SUM('ROSTER UPDATE'!H93:'ROSTER UPDATE'!J93)</f>
        <v>0</v>
      </c>
      <c r="J93" s="79">
        <f>SUM('ROSTER UPDATE'!K93:'ROSTER UPDATE'!M93)</f>
        <v>0</v>
      </c>
      <c r="K93" s="79">
        <f>SUM('ROSTER UPDATE'!N93:'ROSTER UPDATE'!P93)</f>
        <v>0</v>
      </c>
      <c r="L93" s="79"/>
      <c r="M93" s="80"/>
      <c r="O93" s="78">
        <f>IF(AND('ROSTER UPDATE'!R93=""),"",('ROSTER UPDATE'!R93))</f>
        <v>0</v>
      </c>
      <c r="P93" s="79">
        <f>IF(AND('ROSTER UPDATE'!S93=""),"",('ROSTER UPDATE'!S93))</f>
        <v>0</v>
      </c>
      <c r="Q93" s="80" t="str">
        <f>IF(AND('ROSTER UPDATE'!T93=""),"",('ROSTER UPDATE'!T93))</f>
        <v/>
      </c>
      <c r="S93" s="78">
        <f>SUM('ROSTER UPDATE'!R93:'ROSTER UPDATE'!T93)</f>
        <v>0</v>
      </c>
      <c r="T93" s="79">
        <f>SUM('ROSTER UPDATE'!U93:'ROSTER UPDATE'!W93)</f>
        <v>0</v>
      </c>
      <c r="U93" s="79">
        <f>SUM('ROSTER UPDATE'!X93:'ROSTER UPDATE'!Z93)</f>
        <v>0</v>
      </c>
      <c r="V93" s="79"/>
      <c r="W93" s="80"/>
    </row>
    <row r="94" spans="2:23" ht="15.75" thickBot="1" x14ac:dyDescent="0.3">
      <c r="B94" s="64" t="str">
        <f>IF(AND('ROSTER UPDATE'!B94=""),"",('ROSTER UPDATE'!B94))</f>
        <v/>
      </c>
      <c r="C94" s="65" t="str">
        <f>IF(AND('ROSTER UPDATE'!E94=""),"",('ROSTER UPDATE'!E94))</f>
        <v/>
      </c>
      <c r="E94" s="64" t="str">
        <f>IF(AND('ROSTER UPDATE'!F94=""),"",('ROSTER UPDATE'!F94))</f>
        <v/>
      </c>
      <c r="F94" s="65" t="str">
        <f>IF(AND('ROSTER UPDATE'!C94=""),"",('ROSTER UPDATE'!C94))</f>
        <v/>
      </c>
      <c r="G94" s="87" t="s">
        <v>41</v>
      </c>
      <c r="I94" s="78">
        <f>SUM('ROSTER UPDATE'!H94:'ROSTER UPDATE'!J94)</f>
        <v>0</v>
      </c>
      <c r="J94" s="79">
        <f>SUM('ROSTER UPDATE'!K94:'ROSTER UPDATE'!M94)</f>
        <v>0</v>
      </c>
      <c r="K94" s="79">
        <f>SUM('ROSTER UPDATE'!N94:'ROSTER UPDATE'!P94)</f>
        <v>0</v>
      </c>
      <c r="L94" s="79"/>
      <c r="M94" s="80"/>
      <c r="O94" s="78">
        <f>IF(AND('ROSTER UPDATE'!R94=""),"",('ROSTER UPDATE'!R94))</f>
        <v>0</v>
      </c>
      <c r="P94" s="79">
        <f>IF(AND('ROSTER UPDATE'!S94=""),"",('ROSTER UPDATE'!S94))</f>
        <v>0</v>
      </c>
      <c r="Q94" s="80" t="str">
        <f>IF(AND('ROSTER UPDATE'!T94=""),"",('ROSTER UPDATE'!T94))</f>
        <v/>
      </c>
      <c r="S94" s="78">
        <f>SUM('ROSTER UPDATE'!R94:'ROSTER UPDATE'!T94)</f>
        <v>0</v>
      </c>
      <c r="T94" s="79">
        <f>SUM('ROSTER UPDATE'!U94:'ROSTER UPDATE'!W94)</f>
        <v>0</v>
      </c>
      <c r="U94" s="79">
        <f>SUM('ROSTER UPDATE'!X94:'ROSTER UPDATE'!Z94)</f>
        <v>0</v>
      </c>
      <c r="V94" s="79"/>
      <c r="W94" s="80"/>
    </row>
    <row r="95" spans="2:23" ht="15.75" thickBot="1" x14ac:dyDescent="0.3">
      <c r="B95" s="64" t="str">
        <f>IF(AND('ROSTER UPDATE'!B95=""),"",('ROSTER UPDATE'!B95))</f>
        <v/>
      </c>
      <c r="C95" s="65" t="str">
        <f>IF(AND('ROSTER UPDATE'!E95=""),"",('ROSTER UPDATE'!E95))</f>
        <v/>
      </c>
      <c r="E95" s="64" t="str">
        <f>IF(AND('ROSTER UPDATE'!F95=""),"",('ROSTER UPDATE'!F95))</f>
        <v/>
      </c>
      <c r="F95" s="65" t="str">
        <f>IF(AND('ROSTER UPDATE'!C95=""),"",('ROSTER UPDATE'!C95))</f>
        <v/>
      </c>
      <c r="G95" s="87" t="s">
        <v>41</v>
      </c>
      <c r="I95" s="78">
        <f>SUM('ROSTER UPDATE'!H95:'ROSTER UPDATE'!J95)</f>
        <v>0</v>
      </c>
      <c r="J95" s="79">
        <f>SUM('ROSTER UPDATE'!K95:'ROSTER UPDATE'!M95)</f>
        <v>0</v>
      </c>
      <c r="K95" s="79">
        <f>SUM('ROSTER UPDATE'!N95:'ROSTER UPDATE'!P95)</f>
        <v>0</v>
      </c>
      <c r="L95" s="79"/>
      <c r="M95" s="80"/>
      <c r="O95" s="78">
        <f>IF(AND('ROSTER UPDATE'!R95=""),"",('ROSTER UPDATE'!R95))</f>
        <v>0</v>
      </c>
      <c r="P95" s="79">
        <f>IF(AND('ROSTER UPDATE'!S95=""),"",('ROSTER UPDATE'!S95))</f>
        <v>0</v>
      </c>
      <c r="Q95" s="80" t="str">
        <f>IF(AND('ROSTER UPDATE'!T95=""),"",('ROSTER UPDATE'!T95))</f>
        <v/>
      </c>
      <c r="S95" s="78">
        <f>SUM('ROSTER UPDATE'!R95:'ROSTER UPDATE'!T95)</f>
        <v>0</v>
      </c>
      <c r="T95" s="79">
        <f>SUM('ROSTER UPDATE'!U95:'ROSTER UPDATE'!W95)</f>
        <v>0</v>
      </c>
      <c r="U95" s="79">
        <f>SUM('ROSTER UPDATE'!X95:'ROSTER UPDATE'!Z95)</f>
        <v>0</v>
      </c>
      <c r="V95" s="79"/>
      <c r="W95" s="80"/>
    </row>
    <row r="96" spans="2:23" ht="15.75" thickBot="1" x14ac:dyDescent="0.3">
      <c r="B96" s="64" t="str">
        <f>IF(AND('ROSTER UPDATE'!B96=""),"",('ROSTER UPDATE'!B96))</f>
        <v/>
      </c>
      <c r="C96" s="65" t="str">
        <f>IF(AND('ROSTER UPDATE'!E96=""),"",('ROSTER UPDATE'!E96))</f>
        <v/>
      </c>
      <c r="E96" s="64" t="str">
        <f>IF(AND('ROSTER UPDATE'!F96=""),"",('ROSTER UPDATE'!F96))</f>
        <v/>
      </c>
      <c r="F96" s="65" t="str">
        <f>IF(AND('ROSTER UPDATE'!C96=""),"",('ROSTER UPDATE'!C96))</f>
        <v/>
      </c>
      <c r="G96" s="87" t="s">
        <v>41</v>
      </c>
      <c r="I96" s="78">
        <f>SUM('ROSTER UPDATE'!H96:'ROSTER UPDATE'!J96)</f>
        <v>0</v>
      </c>
      <c r="J96" s="79">
        <f>SUM('ROSTER UPDATE'!K96:'ROSTER UPDATE'!M96)</f>
        <v>0</v>
      </c>
      <c r="K96" s="79">
        <f>SUM('ROSTER UPDATE'!N96:'ROSTER UPDATE'!P96)</f>
        <v>0</v>
      </c>
      <c r="L96" s="79"/>
      <c r="M96" s="80"/>
      <c r="O96" s="78">
        <f>IF(AND('ROSTER UPDATE'!R96=""),"",('ROSTER UPDATE'!R96))</f>
        <v>0</v>
      </c>
      <c r="P96" s="79">
        <f>IF(AND('ROSTER UPDATE'!S96=""),"",('ROSTER UPDATE'!S96))</f>
        <v>0</v>
      </c>
      <c r="Q96" s="80" t="str">
        <f>IF(AND('ROSTER UPDATE'!T96=""),"",('ROSTER UPDATE'!T96))</f>
        <v/>
      </c>
      <c r="S96" s="78">
        <f>SUM('ROSTER UPDATE'!R96:'ROSTER UPDATE'!T96)</f>
        <v>0</v>
      </c>
      <c r="T96" s="79">
        <f>SUM('ROSTER UPDATE'!U96:'ROSTER UPDATE'!W96)</f>
        <v>0</v>
      </c>
      <c r="U96" s="79">
        <f>SUM('ROSTER UPDATE'!X96:'ROSTER UPDATE'!Z96)</f>
        <v>0</v>
      </c>
      <c r="V96" s="79"/>
      <c r="W96" s="80"/>
    </row>
    <row r="97" spans="2:23" ht="15.75" thickBot="1" x14ac:dyDescent="0.3">
      <c r="B97" s="64" t="str">
        <f>IF(AND('ROSTER UPDATE'!B97=""),"",('ROSTER UPDATE'!B97))</f>
        <v/>
      </c>
      <c r="C97" s="65" t="str">
        <f>IF(AND('ROSTER UPDATE'!E97=""),"",('ROSTER UPDATE'!E97))</f>
        <v/>
      </c>
      <c r="E97" s="64" t="str">
        <f>IF(AND('ROSTER UPDATE'!F97=""),"",('ROSTER UPDATE'!F97))</f>
        <v/>
      </c>
      <c r="F97" s="65" t="str">
        <f>IF(AND('ROSTER UPDATE'!C97=""),"",('ROSTER UPDATE'!C97))</f>
        <v/>
      </c>
      <c r="G97" s="87" t="s">
        <v>41</v>
      </c>
      <c r="I97" s="78">
        <f>SUM('ROSTER UPDATE'!H97:'ROSTER UPDATE'!J97)</f>
        <v>0</v>
      </c>
      <c r="J97" s="79">
        <f>SUM('ROSTER UPDATE'!K97:'ROSTER UPDATE'!M97)</f>
        <v>0</v>
      </c>
      <c r="K97" s="79">
        <f>SUM('ROSTER UPDATE'!N97:'ROSTER UPDATE'!P97)</f>
        <v>0</v>
      </c>
      <c r="L97" s="79"/>
      <c r="M97" s="80"/>
      <c r="O97" s="78">
        <f>IF(AND('ROSTER UPDATE'!R97=""),"",('ROSTER UPDATE'!R97))</f>
        <v>0</v>
      </c>
      <c r="P97" s="79">
        <f>IF(AND('ROSTER UPDATE'!S97=""),"",('ROSTER UPDATE'!S97))</f>
        <v>0</v>
      </c>
      <c r="Q97" s="80" t="str">
        <f>IF(AND('ROSTER UPDATE'!T97=""),"",('ROSTER UPDATE'!T97))</f>
        <v/>
      </c>
      <c r="S97" s="78">
        <f>SUM('ROSTER UPDATE'!R97:'ROSTER UPDATE'!T97)</f>
        <v>0</v>
      </c>
      <c r="T97" s="79">
        <f>SUM('ROSTER UPDATE'!U97:'ROSTER UPDATE'!W97)</f>
        <v>0</v>
      </c>
      <c r="U97" s="79">
        <f>SUM('ROSTER UPDATE'!X97:'ROSTER UPDATE'!Z97)</f>
        <v>0</v>
      </c>
      <c r="V97" s="79"/>
      <c r="W97" s="80"/>
    </row>
    <row r="98" spans="2:23" ht="15.75" thickBot="1" x14ac:dyDescent="0.3">
      <c r="B98" s="64" t="str">
        <f>IF(AND('ROSTER UPDATE'!B98=""),"",('ROSTER UPDATE'!B98))</f>
        <v/>
      </c>
      <c r="C98" s="65" t="str">
        <f>IF(AND('ROSTER UPDATE'!E98=""),"",('ROSTER UPDATE'!E98))</f>
        <v/>
      </c>
      <c r="E98" s="64" t="str">
        <f>IF(AND('ROSTER UPDATE'!F98=""),"",('ROSTER UPDATE'!F98))</f>
        <v/>
      </c>
      <c r="F98" s="65" t="str">
        <f>IF(AND('ROSTER UPDATE'!C98=""),"",('ROSTER UPDATE'!C98))</f>
        <v/>
      </c>
      <c r="G98" s="87" t="s">
        <v>41</v>
      </c>
      <c r="I98" s="78">
        <f>SUM('ROSTER UPDATE'!H98:'ROSTER UPDATE'!J98)</f>
        <v>0</v>
      </c>
      <c r="J98" s="79">
        <f>SUM('ROSTER UPDATE'!K98:'ROSTER UPDATE'!M98)</f>
        <v>0</v>
      </c>
      <c r="K98" s="79">
        <f>SUM('ROSTER UPDATE'!N98:'ROSTER UPDATE'!P98)</f>
        <v>0</v>
      </c>
      <c r="L98" s="79"/>
      <c r="M98" s="80"/>
      <c r="O98" s="78">
        <f>IF(AND('ROSTER UPDATE'!R98=""),"",('ROSTER UPDATE'!R98))</f>
        <v>0</v>
      </c>
      <c r="P98" s="79">
        <f>IF(AND('ROSTER UPDATE'!S98=""),"",('ROSTER UPDATE'!S98))</f>
        <v>0</v>
      </c>
      <c r="Q98" s="80" t="str">
        <f>IF(AND('ROSTER UPDATE'!T98=""),"",('ROSTER UPDATE'!T98))</f>
        <v/>
      </c>
      <c r="S98" s="78">
        <f>SUM('ROSTER UPDATE'!R98:'ROSTER UPDATE'!T98)</f>
        <v>0</v>
      </c>
      <c r="T98" s="79">
        <f>SUM('ROSTER UPDATE'!U98:'ROSTER UPDATE'!W98)</f>
        <v>0</v>
      </c>
      <c r="U98" s="79">
        <f>SUM('ROSTER UPDATE'!X98:'ROSTER UPDATE'!Z98)</f>
        <v>0</v>
      </c>
      <c r="V98" s="79"/>
      <c r="W98" s="80"/>
    </row>
    <row r="99" spans="2:23" ht="15.75" thickBot="1" x14ac:dyDescent="0.3">
      <c r="B99" s="64" t="str">
        <f>IF(AND('ROSTER UPDATE'!B99=""),"",('ROSTER UPDATE'!B99))</f>
        <v/>
      </c>
      <c r="C99" s="65" t="str">
        <f>IF(AND('ROSTER UPDATE'!E99=""),"",('ROSTER UPDATE'!E99))</f>
        <v/>
      </c>
      <c r="E99" s="64" t="str">
        <f>IF(AND('ROSTER UPDATE'!F99=""),"",('ROSTER UPDATE'!F99))</f>
        <v/>
      </c>
      <c r="F99" s="65" t="str">
        <f>IF(AND('ROSTER UPDATE'!C99=""),"",('ROSTER UPDATE'!C99))</f>
        <v/>
      </c>
      <c r="G99" s="87" t="s">
        <v>41</v>
      </c>
      <c r="I99" s="78">
        <f>SUM('ROSTER UPDATE'!H99:'ROSTER UPDATE'!J99)</f>
        <v>0</v>
      </c>
      <c r="J99" s="79">
        <f>SUM('ROSTER UPDATE'!K99:'ROSTER UPDATE'!M99)</f>
        <v>0</v>
      </c>
      <c r="K99" s="79">
        <f>SUM('ROSTER UPDATE'!N99:'ROSTER UPDATE'!P99)</f>
        <v>0</v>
      </c>
      <c r="L99" s="79"/>
      <c r="M99" s="80"/>
      <c r="O99" s="78">
        <f>IF(AND('ROSTER UPDATE'!R99=""),"",('ROSTER UPDATE'!R99))</f>
        <v>0</v>
      </c>
      <c r="P99" s="79">
        <f>IF(AND('ROSTER UPDATE'!S99=""),"",('ROSTER UPDATE'!S99))</f>
        <v>0</v>
      </c>
      <c r="Q99" s="80" t="str">
        <f>IF(AND('ROSTER UPDATE'!T99=""),"",('ROSTER UPDATE'!T99))</f>
        <v/>
      </c>
      <c r="S99" s="78">
        <f>SUM('ROSTER UPDATE'!R99:'ROSTER UPDATE'!T99)</f>
        <v>0</v>
      </c>
      <c r="T99" s="79">
        <f>SUM('ROSTER UPDATE'!U99:'ROSTER UPDATE'!W99)</f>
        <v>0</v>
      </c>
      <c r="U99" s="79">
        <f>SUM('ROSTER UPDATE'!X99:'ROSTER UPDATE'!Z99)</f>
        <v>0</v>
      </c>
      <c r="V99" s="79"/>
      <c r="W99" s="80"/>
    </row>
    <row r="100" spans="2:23" ht="15.75" thickBot="1" x14ac:dyDescent="0.3">
      <c r="B100" s="64" t="str">
        <f>IF(AND('ROSTER UPDATE'!B100=""),"",('ROSTER UPDATE'!B100))</f>
        <v/>
      </c>
      <c r="C100" s="65" t="str">
        <f>IF(AND('ROSTER UPDATE'!E100=""),"",('ROSTER UPDATE'!E100))</f>
        <v/>
      </c>
      <c r="E100" s="64" t="str">
        <f>IF(AND('ROSTER UPDATE'!F100=""),"",('ROSTER UPDATE'!F100))</f>
        <v/>
      </c>
      <c r="F100" s="65" t="str">
        <f>IF(AND('ROSTER UPDATE'!C100=""),"",('ROSTER UPDATE'!C100))</f>
        <v/>
      </c>
      <c r="G100" s="87" t="s">
        <v>41</v>
      </c>
      <c r="I100" s="78">
        <f>SUM('ROSTER UPDATE'!H100:'ROSTER UPDATE'!J100)</f>
        <v>0</v>
      </c>
      <c r="J100" s="79">
        <f>SUM('ROSTER UPDATE'!K100:'ROSTER UPDATE'!M100)</f>
        <v>0</v>
      </c>
      <c r="K100" s="79">
        <f>SUM('ROSTER UPDATE'!N100:'ROSTER UPDATE'!P100)</f>
        <v>0</v>
      </c>
      <c r="L100" s="79"/>
      <c r="M100" s="80"/>
      <c r="O100" s="78">
        <f>IF(AND('ROSTER UPDATE'!R100=""),"",('ROSTER UPDATE'!R100))</f>
        <v>0</v>
      </c>
      <c r="P100" s="79">
        <f>IF(AND('ROSTER UPDATE'!S100=""),"",('ROSTER UPDATE'!S100))</f>
        <v>0</v>
      </c>
      <c r="Q100" s="80" t="str">
        <f>IF(AND('ROSTER UPDATE'!T100=""),"",('ROSTER UPDATE'!T100))</f>
        <v/>
      </c>
      <c r="S100" s="78">
        <f>SUM('ROSTER UPDATE'!R100:'ROSTER UPDATE'!T100)</f>
        <v>0</v>
      </c>
      <c r="T100" s="79">
        <f>SUM('ROSTER UPDATE'!U100:'ROSTER UPDATE'!W100)</f>
        <v>0</v>
      </c>
      <c r="U100" s="79">
        <f>SUM('ROSTER UPDATE'!X100:'ROSTER UPDATE'!Z100)</f>
        <v>0</v>
      </c>
      <c r="V100" s="79"/>
      <c r="W100" s="80"/>
    </row>
    <row r="101" spans="2:23" ht="15.75" thickBot="1" x14ac:dyDescent="0.3">
      <c r="B101" s="64" t="str">
        <f>IF(AND('ROSTER UPDATE'!B101=""),"",('ROSTER UPDATE'!B101))</f>
        <v/>
      </c>
      <c r="C101" s="65" t="str">
        <f>IF(AND('ROSTER UPDATE'!E101=""),"",('ROSTER UPDATE'!E101))</f>
        <v/>
      </c>
      <c r="E101" s="64" t="str">
        <f>IF(AND('ROSTER UPDATE'!F101=""),"",('ROSTER UPDATE'!F101))</f>
        <v/>
      </c>
      <c r="F101" s="65" t="str">
        <f>IF(AND('ROSTER UPDATE'!C101=""),"",('ROSTER UPDATE'!C101))</f>
        <v/>
      </c>
      <c r="G101" s="87" t="s">
        <v>41</v>
      </c>
      <c r="I101" s="78">
        <f>SUM('ROSTER UPDATE'!H101:'ROSTER UPDATE'!J101)</f>
        <v>0</v>
      </c>
      <c r="J101" s="79">
        <f>SUM('ROSTER UPDATE'!K101:'ROSTER UPDATE'!M101)</f>
        <v>0</v>
      </c>
      <c r="K101" s="79">
        <f>SUM('ROSTER UPDATE'!N101:'ROSTER UPDATE'!P101)</f>
        <v>0</v>
      </c>
      <c r="L101" s="79"/>
      <c r="M101" s="80"/>
      <c r="O101" s="78">
        <f>IF(AND('ROSTER UPDATE'!R101=""),"",('ROSTER UPDATE'!R101))</f>
        <v>0</v>
      </c>
      <c r="P101" s="79">
        <f>IF(AND('ROSTER UPDATE'!S101=""),"",('ROSTER UPDATE'!S101))</f>
        <v>0</v>
      </c>
      <c r="Q101" s="80" t="str">
        <f>IF(AND('ROSTER UPDATE'!T101=""),"",('ROSTER UPDATE'!T101))</f>
        <v/>
      </c>
      <c r="S101" s="78">
        <f>SUM('ROSTER UPDATE'!R101:'ROSTER UPDATE'!T101)</f>
        <v>0</v>
      </c>
      <c r="T101" s="79">
        <f>SUM('ROSTER UPDATE'!U101:'ROSTER UPDATE'!W101)</f>
        <v>0</v>
      </c>
      <c r="U101" s="79">
        <f>SUM('ROSTER UPDATE'!X101:'ROSTER UPDATE'!Z101)</f>
        <v>0</v>
      </c>
      <c r="V101" s="79"/>
      <c r="W101" s="80"/>
    </row>
    <row r="102" spans="2:23" ht="15.75" thickBot="1" x14ac:dyDescent="0.3">
      <c r="B102" s="64" t="str">
        <f>IF(AND('ROSTER UPDATE'!B102=""),"",('ROSTER UPDATE'!B102))</f>
        <v/>
      </c>
      <c r="C102" s="65" t="str">
        <f>IF(AND('ROSTER UPDATE'!E102=""),"",('ROSTER UPDATE'!E102))</f>
        <v/>
      </c>
      <c r="E102" s="64" t="str">
        <f>IF(AND('ROSTER UPDATE'!F102=""),"",('ROSTER UPDATE'!F102))</f>
        <v/>
      </c>
      <c r="F102" s="65" t="str">
        <f>IF(AND('ROSTER UPDATE'!C102=""),"",('ROSTER UPDATE'!C102))</f>
        <v/>
      </c>
      <c r="G102" s="87" t="s">
        <v>41</v>
      </c>
      <c r="I102" s="78">
        <f>SUM('ROSTER UPDATE'!H102:'ROSTER UPDATE'!J102)</f>
        <v>0</v>
      </c>
      <c r="J102" s="79">
        <f>SUM('ROSTER UPDATE'!K102:'ROSTER UPDATE'!M102)</f>
        <v>0</v>
      </c>
      <c r="K102" s="79">
        <f>SUM('ROSTER UPDATE'!N102:'ROSTER UPDATE'!P102)</f>
        <v>0</v>
      </c>
      <c r="L102" s="79"/>
      <c r="M102" s="80"/>
      <c r="O102" s="78">
        <f>IF(AND('ROSTER UPDATE'!R102=""),"",('ROSTER UPDATE'!R102))</f>
        <v>0</v>
      </c>
      <c r="P102" s="79">
        <f>IF(AND('ROSTER UPDATE'!S102=""),"",('ROSTER UPDATE'!S102))</f>
        <v>0</v>
      </c>
      <c r="Q102" s="80" t="str">
        <f>IF(AND('ROSTER UPDATE'!T102=""),"",('ROSTER UPDATE'!T102))</f>
        <v/>
      </c>
      <c r="S102" s="78">
        <f>SUM('ROSTER UPDATE'!R102:'ROSTER UPDATE'!T102)</f>
        <v>0</v>
      </c>
      <c r="T102" s="79">
        <f>SUM('ROSTER UPDATE'!U102:'ROSTER UPDATE'!W102)</f>
        <v>0</v>
      </c>
      <c r="U102" s="79">
        <f>SUM('ROSTER UPDATE'!X102:'ROSTER UPDATE'!Z102)</f>
        <v>0</v>
      </c>
      <c r="V102" s="79"/>
      <c r="W102" s="80"/>
    </row>
    <row r="103" spans="2:23" ht="15.75" thickBot="1" x14ac:dyDescent="0.3">
      <c r="B103" s="64" t="str">
        <f>IF(AND('ROSTER UPDATE'!B103=""),"",('ROSTER UPDATE'!B103))</f>
        <v/>
      </c>
      <c r="C103" s="65" t="str">
        <f>IF(AND('ROSTER UPDATE'!E103=""),"",('ROSTER UPDATE'!E103))</f>
        <v/>
      </c>
      <c r="E103" s="64" t="str">
        <f>IF(AND('ROSTER UPDATE'!F103=""),"",('ROSTER UPDATE'!F103))</f>
        <v/>
      </c>
      <c r="F103" s="65" t="str">
        <f>IF(AND('ROSTER UPDATE'!C103=""),"",('ROSTER UPDATE'!C103))</f>
        <v/>
      </c>
      <c r="G103" s="87" t="s">
        <v>41</v>
      </c>
      <c r="I103" s="78">
        <f>SUM('ROSTER UPDATE'!H103:'ROSTER UPDATE'!J103)</f>
        <v>0</v>
      </c>
      <c r="J103" s="79">
        <f>SUM('ROSTER UPDATE'!K103:'ROSTER UPDATE'!M103)</f>
        <v>0</v>
      </c>
      <c r="K103" s="79">
        <f>SUM('ROSTER UPDATE'!N103:'ROSTER UPDATE'!P103)</f>
        <v>0</v>
      </c>
      <c r="L103" s="79"/>
      <c r="M103" s="80"/>
      <c r="O103" s="78">
        <f>IF(AND('ROSTER UPDATE'!R103=""),"",('ROSTER UPDATE'!R103))</f>
        <v>0</v>
      </c>
      <c r="P103" s="79">
        <f>IF(AND('ROSTER UPDATE'!S103=""),"",('ROSTER UPDATE'!S103))</f>
        <v>0</v>
      </c>
      <c r="Q103" s="80" t="str">
        <f>IF(AND('ROSTER UPDATE'!T103=""),"",('ROSTER UPDATE'!T103))</f>
        <v/>
      </c>
      <c r="S103" s="78">
        <f>SUM('ROSTER UPDATE'!R103:'ROSTER UPDATE'!T103)</f>
        <v>0</v>
      </c>
      <c r="T103" s="79">
        <f>SUM('ROSTER UPDATE'!U103:'ROSTER UPDATE'!W103)</f>
        <v>0</v>
      </c>
      <c r="U103" s="79">
        <f>SUM('ROSTER UPDATE'!X103:'ROSTER UPDATE'!Z103)</f>
        <v>0</v>
      </c>
      <c r="V103" s="79"/>
      <c r="W103" s="80"/>
    </row>
    <row r="104" spans="2:23" ht="15.75" thickBot="1" x14ac:dyDescent="0.3">
      <c r="B104" s="64" t="str">
        <f>IF(AND('ROSTER UPDATE'!B104=""),"",('ROSTER UPDATE'!B104))</f>
        <v/>
      </c>
      <c r="C104" s="65" t="str">
        <f>IF(AND('ROSTER UPDATE'!E104=""),"",('ROSTER UPDATE'!E104))</f>
        <v/>
      </c>
      <c r="E104" s="64" t="str">
        <f>IF(AND('ROSTER UPDATE'!F104=""),"",('ROSTER UPDATE'!F104))</f>
        <v/>
      </c>
      <c r="F104" s="65" t="str">
        <f>IF(AND('ROSTER UPDATE'!C104=""),"",('ROSTER UPDATE'!C104))</f>
        <v/>
      </c>
      <c r="G104" s="87" t="s">
        <v>41</v>
      </c>
      <c r="I104" s="78">
        <f>SUM('ROSTER UPDATE'!H104:'ROSTER UPDATE'!J104)</f>
        <v>0</v>
      </c>
      <c r="J104" s="79">
        <f>SUM('ROSTER UPDATE'!K104:'ROSTER UPDATE'!M104)</f>
        <v>0</v>
      </c>
      <c r="K104" s="79">
        <f>SUM('ROSTER UPDATE'!N104:'ROSTER UPDATE'!P104)</f>
        <v>0</v>
      </c>
      <c r="L104" s="79"/>
      <c r="M104" s="80"/>
      <c r="O104" s="78">
        <f>IF(AND('ROSTER UPDATE'!R104=""),"",('ROSTER UPDATE'!R104))</f>
        <v>0</v>
      </c>
      <c r="P104" s="79">
        <f>IF(AND('ROSTER UPDATE'!S104=""),"",('ROSTER UPDATE'!S104))</f>
        <v>0</v>
      </c>
      <c r="Q104" s="80" t="str">
        <f>IF(AND('ROSTER UPDATE'!T104=""),"",('ROSTER UPDATE'!T104))</f>
        <v/>
      </c>
      <c r="S104" s="78">
        <f>SUM('ROSTER UPDATE'!R104:'ROSTER UPDATE'!T104)</f>
        <v>0</v>
      </c>
      <c r="T104" s="79">
        <f>SUM('ROSTER UPDATE'!U104:'ROSTER UPDATE'!W104)</f>
        <v>0</v>
      </c>
      <c r="U104" s="79">
        <f>SUM('ROSTER UPDATE'!X104:'ROSTER UPDATE'!Z104)</f>
        <v>0</v>
      </c>
      <c r="V104" s="79"/>
      <c r="W104" s="80"/>
    </row>
    <row r="105" spans="2:23" ht="15.75" thickBot="1" x14ac:dyDescent="0.3">
      <c r="B105" s="64" t="str">
        <f>IF(AND('ROSTER UPDATE'!B105=""),"",('ROSTER UPDATE'!B105))</f>
        <v/>
      </c>
      <c r="C105" s="65" t="str">
        <f>IF(AND('ROSTER UPDATE'!E105=""),"",('ROSTER UPDATE'!E105))</f>
        <v/>
      </c>
      <c r="E105" s="64" t="str">
        <f>IF(AND('ROSTER UPDATE'!F105=""),"",('ROSTER UPDATE'!F105))</f>
        <v/>
      </c>
      <c r="F105" s="65" t="str">
        <f>IF(AND('ROSTER UPDATE'!C105=""),"",('ROSTER UPDATE'!C105))</f>
        <v/>
      </c>
      <c r="G105" s="87" t="s">
        <v>41</v>
      </c>
      <c r="I105" s="78">
        <f>SUM('ROSTER UPDATE'!H105:'ROSTER UPDATE'!J105)</f>
        <v>0</v>
      </c>
      <c r="J105" s="79">
        <f>SUM('ROSTER UPDATE'!K105:'ROSTER UPDATE'!M105)</f>
        <v>0</v>
      </c>
      <c r="K105" s="79">
        <f>SUM('ROSTER UPDATE'!N105:'ROSTER UPDATE'!P105)</f>
        <v>0</v>
      </c>
      <c r="L105" s="79"/>
      <c r="M105" s="80"/>
      <c r="O105" s="78">
        <f>IF(AND('ROSTER UPDATE'!R105=""),"",('ROSTER UPDATE'!R105))</f>
        <v>0</v>
      </c>
      <c r="P105" s="79">
        <f>IF(AND('ROSTER UPDATE'!S105=""),"",('ROSTER UPDATE'!S105))</f>
        <v>0</v>
      </c>
      <c r="Q105" s="80" t="str">
        <f>IF(AND('ROSTER UPDATE'!T105=""),"",('ROSTER UPDATE'!T105))</f>
        <v/>
      </c>
      <c r="S105" s="78">
        <f>SUM('ROSTER UPDATE'!R105:'ROSTER UPDATE'!T105)</f>
        <v>0</v>
      </c>
      <c r="T105" s="79">
        <f>SUM('ROSTER UPDATE'!U105:'ROSTER UPDATE'!W105)</f>
        <v>0</v>
      </c>
      <c r="U105" s="79">
        <f>SUM('ROSTER UPDATE'!X105:'ROSTER UPDATE'!Z105)</f>
        <v>0</v>
      </c>
      <c r="V105" s="79"/>
      <c r="W105" s="80"/>
    </row>
    <row r="106" spans="2:23" ht="15.75" thickBot="1" x14ac:dyDescent="0.3">
      <c r="B106" s="64" t="str">
        <f>IF(AND('ROSTER UPDATE'!B106=""),"",('ROSTER UPDATE'!B106))</f>
        <v/>
      </c>
      <c r="C106" s="65" t="str">
        <f>IF(AND('ROSTER UPDATE'!E106=""),"",('ROSTER UPDATE'!E106))</f>
        <v/>
      </c>
      <c r="E106" s="64" t="str">
        <f>IF(AND('ROSTER UPDATE'!F106=""),"",('ROSTER UPDATE'!F106))</f>
        <v/>
      </c>
      <c r="F106" s="65" t="str">
        <f>IF(AND('ROSTER UPDATE'!C106=""),"",('ROSTER UPDATE'!C106))</f>
        <v/>
      </c>
      <c r="G106" s="87" t="s">
        <v>41</v>
      </c>
      <c r="I106" s="78">
        <f>SUM('ROSTER UPDATE'!H106:'ROSTER UPDATE'!J106)</f>
        <v>0</v>
      </c>
      <c r="J106" s="79">
        <f>SUM('ROSTER UPDATE'!K106:'ROSTER UPDATE'!M106)</f>
        <v>0</v>
      </c>
      <c r="K106" s="79">
        <f>SUM('ROSTER UPDATE'!N106:'ROSTER UPDATE'!P106)</f>
        <v>0</v>
      </c>
      <c r="L106" s="79"/>
      <c r="M106" s="80"/>
      <c r="O106" s="78">
        <f>IF(AND('ROSTER UPDATE'!R106=""),"",('ROSTER UPDATE'!R106))</f>
        <v>0</v>
      </c>
      <c r="P106" s="79">
        <f>IF(AND('ROSTER UPDATE'!S106=""),"",('ROSTER UPDATE'!S106))</f>
        <v>0</v>
      </c>
      <c r="Q106" s="80" t="str">
        <f>IF(AND('ROSTER UPDATE'!T106=""),"",('ROSTER UPDATE'!T106))</f>
        <v/>
      </c>
      <c r="S106" s="78">
        <f>SUM('ROSTER UPDATE'!R106:'ROSTER UPDATE'!T106)</f>
        <v>0</v>
      </c>
      <c r="T106" s="79">
        <f>SUM('ROSTER UPDATE'!U106:'ROSTER UPDATE'!W106)</f>
        <v>0</v>
      </c>
      <c r="U106" s="79">
        <f>SUM('ROSTER UPDATE'!X106:'ROSTER UPDATE'!Z106)</f>
        <v>0</v>
      </c>
      <c r="V106" s="79"/>
      <c r="W106" s="80"/>
    </row>
    <row r="107" spans="2:23" ht="15.75" thickBot="1" x14ac:dyDescent="0.3">
      <c r="B107" s="64" t="str">
        <f>IF(AND('ROSTER UPDATE'!B107=""),"",('ROSTER UPDATE'!B107))</f>
        <v/>
      </c>
      <c r="C107" s="65" t="str">
        <f>IF(AND('ROSTER UPDATE'!E107=""),"",('ROSTER UPDATE'!E107))</f>
        <v/>
      </c>
      <c r="E107" s="64" t="str">
        <f>IF(AND('ROSTER UPDATE'!F107=""),"",('ROSTER UPDATE'!F107))</f>
        <v/>
      </c>
      <c r="F107" s="65" t="str">
        <f>IF(AND('ROSTER UPDATE'!C107=""),"",('ROSTER UPDATE'!C107))</f>
        <v/>
      </c>
      <c r="G107" s="87" t="s">
        <v>41</v>
      </c>
      <c r="I107" s="78">
        <f>SUM('ROSTER UPDATE'!H107:'ROSTER UPDATE'!J107)</f>
        <v>0</v>
      </c>
      <c r="J107" s="79">
        <f>SUM('ROSTER UPDATE'!K107:'ROSTER UPDATE'!M107)</f>
        <v>0</v>
      </c>
      <c r="K107" s="79">
        <f>SUM('ROSTER UPDATE'!N107:'ROSTER UPDATE'!P107)</f>
        <v>0</v>
      </c>
      <c r="L107" s="79"/>
      <c r="M107" s="80"/>
      <c r="O107" s="78">
        <f>IF(AND('ROSTER UPDATE'!R107=""),"",('ROSTER UPDATE'!R107))</f>
        <v>0</v>
      </c>
      <c r="P107" s="79">
        <f>IF(AND('ROSTER UPDATE'!S107=""),"",('ROSTER UPDATE'!S107))</f>
        <v>0</v>
      </c>
      <c r="Q107" s="80" t="str">
        <f>IF(AND('ROSTER UPDATE'!T107=""),"",('ROSTER UPDATE'!T107))</f>
        <v/>
      </c>
      <c r="S107" s="78">
        <f>SUM('ROSTER UPDATE'!R107:'ROSTER UPDATE'!T107)</f>
        <v>0</v>
      </c>
      <c r="T107" s="79">
        <f>SUM('ROSTER UPDATE'!U107:'ROSTER UPDATE'!W107)</f>
        <v>0</v>
      </c>
      <c r="U107" s="79">
        <f>SUM('ROSTER UPDATE'!X107:'ROSTER UPDATE'!Z107)</f>
        <v>0</v>
      </c>
      <c r="V107" s="79"/>
      <c r="W107" s="80"/>
    </row>
    <row r="108" spans="2:23" ht="15.75" thickBot="1" x14ac:dyDescent="0.3">
      <c r="B108" s="64" t="str">
        <f>IF(AND('ROSTER UPDATE'!B108=""),"",('ROSTER UPDATE'!B108))</f>
        <v/>
      </c>
      <c r="C108" s="65" t="str">
        <f>IF(AND('ROSTER UPDATE'!E108=""),"",('ROSTER UPDATE'!E108))</f>
        <v/>
      </c>
      <c r="E108" s="64" t="str">
        <f>IF(AND('ROSTER UPDATE'!F108=""),"",('ROSTER UPDATE'!F108))</f>
        <v/>
      </c>
      <c r="F108" s="65" t="str">
        <f>IF(AND('ROSTER UPDATE'!C108=""),"",('ROSTER UPDATE'!C108))</f>
        <v/>
      </c>
      <c r="G108" s="87" t="s">
        <v>41</v>
      </c>
      <c r="I108" s="78">
        <f>SUM('ROSTER UPDATE'!H108:'ROSTER UPDATE'!J108)</f>
        <v>0</v>
      </c>
      <c r="J108" s="79">
        <f>SUM('ROSTER UPDATE'!K108:'ROSTER UPDATE'!M108)</f>
        <v>0</v>
      </c>
      <c r="K108" s="79">
        <f>SUM('ROSTER UPDATE'!N108:'ROSTER UPDATE'!P108)</f>
        <v>0</v>
      </c>
      <c r="L108" s="79"/>
      <c r="M108" s="80"/>
      <c r="O108" s="78">
        <f>IF(AND('ROSTER UPDATE'!R108=""),"",('ROSTER UPDATE'!R108))</f>
        <v>0</v>
      </c>
      <c r="P108" s="79">
        <f>IF(AND('ROSTER UPDATE'!S108=""),"",('ROSTER UPDATE'!S108))</f>
        <v>0</v>
      </c>
      <c r="Q108" s="80" t="str">
        <f>IF(AND('ROSTER UPDATE'!T108=""),"",('ROSTER UPDATE'!T108))</f>
        <v/>
      </c>
      <c r="S108" s="78">
        <f>SUM('ROSTER UPDATE'!R108:'ROSTER UPDATE'!T108)</f>
        <v>0</v>
      </c>
      <c r="T108" s="79">
        <f>SUM('ROSTER UPDATE'!U108:'ROSTER UPDATE'!W108)</f>
        <v>0</v>
      </c>
      <c r="U108" s="79">
        <f>SUM('ROSTER UPDATE'!X108:'ROSTER UPDATE'!Z108)</f>
        <v>0</v>
      </c>
      <c r="V108" s="79"/>
      <c r="W108" s="80"/>
    </row>
    <row r="109" spans="2:23" ht="15.75" thickBot="1" x14ac:dyDescent="0.3">
      <c r="B109" s="64" t="str">
        <f>IF(AND('ROSTER UPDATE'!B109=""),"",('ROSTER UPDATE'!B109))</f>
        <v/>
      </c>
      <c r="C109" s="65" t="str">
        <f>IF(AND('ROSTER UPDATE'!E109=""),"",('ROSTER UPDATE'!E109))</f>
        <v/>
      </c>
      <c r="E109" s="64" t="str">
        <f>IF(AND('ROSTER UPDATE'!F109=""),"",('ROSTER UPDATE'!F109))</f>
        <v/>
      </c>
      <c r="F109" s="65" t="str">
        <f>IF(AND('ROSTER UPDATE'!C109=""),"",('ROSTER UPDATE'!C109))</f>
        <v/>
      </c>
      <c r="G109" s="87" t="s">
        <v>41</v>
      </c>
      <c r="I109" s="78">
        <f>SUM('ROSTER UPDATE'!H109:'ROSTER UPDATE'!J109)</f>
        <v>0</v>
      </c>
      <c r="J109" s="79">
        <f>SUM('ROSTER UPDATE'!K109:'ROSTER UPDATE'!M109)</f>
        <v>0</v>
      </c>
      <c r="K109" s="79">
        <f>SUM('ROSTER UPDATE'!N109:'ROSTER UPDATE'!P109)</f>
        <v>0</v>
      </c>
      <c r="L109" s="79"/>
      <c r="M109" s="80"/>
      <c r="O109" s="78">
        <f>IF(AND('ROSTER UPDATE'!R109=""),"",('ROSTER UPDATE'!R109))</f>
        <v>0</v>
      </c>
      <c r="P109" s="79">
        <f>IF(AND('ROSTER UPDATE'!S109=""),"",('ROSTER UPDATE'!S109))</f>
        <v>0</v>
      </c>
      <c r="Q109" s="80" t="str">
        <f>IF(AND('ROSTER UPDATE'!T109=""),"",('ROSTER UPDATE'!T109))</f>
        <v/>
      </c>
      <c r="S109" s="78">
        <f>SUM('ROSTER UPDATE'!R109:'ROSTER UPDATE'!T109)</f>
        <v>0</v>
      </c>
      <c r="T109" s="79">
        <f>SUM('ROSTER UPDATE'!U109:'ROSTER UPDATE'!W109)</f>
        <v>0</v>
      </c>
      <c r="U109" s="79">
        <f>SUM('ROSTER UPDATE'!X109:'ROSTER UPDATE'!Z109)</f>
        <v>0</v>
      </c>
      <c r="V109" s="79"/>
      <c r="W109" s="80"/>
    </row>
    <row r="110" spans="2:23" ht="15.75" thickBot="1" x14ac:dyDescent="0.3">
      <c r="B110" s="64" t="str">
        <f>IF(AND('ROSTER UPDATE'!B110=""),"",('ROSTER UPDATE'!B110))</f>
        <v/>
      </c>
      <c r="C110" s="65" t="str">
        <f>IF(AND('ROSTER UPDATE'!E110=""),"",('ROSTER UPDATE'!E110))</f>
        <v/>
      </c>
      <c r="E110" s="64" t="str">
        <f>IF(AND('ROSTER UPDATE'!F110=""),"",('ROSTER UPDATE'!F110))</f>
        <v/>
      </c>
      <c r="F110" s="65" t="str">
        <f>IF(AND('ROSTER UPDATE'!C110=""),"",('ROSTER UPDATE'!C110))</f>
        <v/>
      </c>
      <c r="G110" s="87" t="s">
        <v>41</v>
      </c>
      <c r="I110" s="78">
        <f>SUM('ROSTER UPDATE'!H110:'ROSTER UPDATE'!J110)</f>
        <v>0</v>
      </c>
      <c r="J110" s="79">
        <f>SUM('ROSTER UPDATE'!K110:'ROSTER UPDATE'!M110)</f>
        <v>0</v>
      </c>
      <c r="K110" s="79">
        <f>SUM('ROSTER UPDATE'!N110:'ROSTER UPDATE'!P110)</f>
        <v>0</v>
      </c>
      <c r="L110" s="79"/>
      <c r="M110" s="80"/>
      <c r="O110" s="78">
        <f>IF(AND('ROSTER UPDATE'!R110=""),"",('ROSTER UPDATE'!R110))</f>
        <v>0</v>
      </c>
      <c r="P110" s="79">
        <f>IF(AND('ROSTER UPDATE'!S110=""),"",('ROSTER UPDATE'!S110))</f>
        <v>0</v>
      </c>
      <c r="Q110" s="80" t="str">
        <f>IF(AND('ROSTER UPDATE'!T110=""),"",('ROSTER UPDATE'!T110))</f>
        <v/>
      </c>
      <c r="S110" s="78">
        <f>SUM('ROSTER UPDATE'!R110:'ROSTER UPDATE'!T110)</f>
        <v>0</v>
      </c>
      <c r="T110" s="79">
        <f>SUM('ROSTER UPDATE'!U110:'ROSTER UPDATE'!W110)</f>
        <v>0</v>
      </c>
      <c r="U110" s="79">
        <f>SUM('ROSTER UPDATE'!X110:'ROSTER UPDATE'!Z110)</f>
        <v>0</v>
      </c>
      <c r="V110" s="79"/>
      <c r="W110" s="80"/>
    </row>
    <row r="111" spans="2:23" ht="15.75" thickBot="1" x14ac:dyDescent="0.3">
      <c r="B111" s="64" t="str">
        <f>IF(AND('ROSTER UPDATE'!B111=""),"",('ROSTER UPDATE'!B111))</f>
        <v/>
      </c>
      <c r="C111" s="65" t="str">
        <f>IF(AND('ROSTER UPDATE'!E111=""),"",('ROSTER UPDATE'!E111))</f>
        <v/>
      </c>
      <c r="E111" s="64" t="str">
        <f>IF(AND('ROSTER UPDATE'!F111=""),"",('ROSTER UPDATE'!F111))</f>
        <v/>
      </c>
      <c r="F111" s="65" t="str">
        <f>IF(AND('ROSTER UPDATE'!C111=""),"",('ROSTER UPDATE'!C111))</f>
        <v/>
      </c>
      <c r="G111" s="87" t="s">
        <v>41</v>
      </c>
      <c r="I111" s="78">
        <f>SUM('ROSTER UPDATE'!H111:'ROSTER UPDATE'!J111)</f>
        <v>0</v>
      </c>
      <c r="J111" s="79">
        <f>SUM('ROSTER UPDATE'!K111:'ROSTER UPDATE'!M111)</f>
        <v>0</v>
      </c>
      <c r="K111" s="79">
        <f>SUM('ROSTER UPDATE'!N111:'ROSTER UPDATE'!P111)</f>
        <v>0</v>
      </c>
      <c r="L111" s="79"/>
      <c r="M111" s="80"/>
      <c r="O111" s="78">
        <f>IF(AND('ROSTER UPDATE'!R111=""),"",('ROSTER UPDATE'!R111))</f>
        <v>0</v>
      </c>
      <c r="P111" s="79">
        <f>IF(AND('ROSTER UPDATE'!S111=""),"",('ROSTER UPDATE'!S111))</f>
        <v>0</v>
      </c>
      <c r="Q111" s="80" t="str">
        <f>IF(AND('ROSTER UPDATE'!T111=""),"",('ROSTER UPDATE'!T111))</f>
        <v/>
      </c>
      <c r="S111" s="78">
        <f>SUM('ROSTER UPDATE'!R111:'ROSTER UPDATE'!T111)</f>
        <v>0</v>
      </c>
      <c r="T111" s="79">
        <f>SUM('ROSTER UPDATE'!U111:'ROSTER UPDATE'!W111)</f>
        <v>0</v>
      </c>
      <c r="U111" s="79">
        <f>SUM('ROSTER UPDATE'!X111:'ROSTER UPDATE'!Z111)</f>
        <v>0</v>
      </c>
      <c r="V111" s="79"/>
      <c r="W111" s="80"/>
    </row>
    <row r="112" spans="2:23" ht="15.75" thickBot="1" x14ac:dyDescent="0.3">
      <c r="B112" s="64" t="str">
        <f>IF(AND('ROSTER UPDATE'!B112=""),"",('ROSTER UPDATE'!B112))</f>
        <v/>
      </c>
      <c r="C112" s="65" t="str">
        <f>IF(AND('ROSTER UPDATE'!E112=""),"",('ROSTER UPDATE'!E112))</f>
        <v/>
      </c>
      <c r="E112" s="64" t="str">
        <f>IF(AND('ROSTER UPDATE'!F112=""),"",('ROSTER UPDATE'!F112))</f>
        <v/>
      </c>
      <c r="F112" s="65" t="str">
        <f>IF(AND('ROSTER UPDATE'!C112=""),"",('ROSTER UPDATE'!C112))</f>
        <v/>
      </c>
      <c r="G112" s="87" t="s">
        <v>41</v>
      </c>
      <c r="I112" s="78">
        <f>SUM('ROSTER UPDATE'!H112:'ROSTER UPDATE'!J112)</f>
        <v>0</v>
      </c>
      <c r="J112" s="79">
        <f>SUM('ROSTER UPDATE'!K112:'ROSTER UPDATE'!M112)</f>
        <v>0</v>
      </c>
      <c r="K112" s="79">
        <f>SUM('ROSTER UPDATE'!N112:'ROSTER UPDATE'!P112)</f>
        <v>0</v>
      </c>
      <c r="L112" s="79"/>
      <c r="M112" s="80"/>
      <c r="O112" s="78">
        <f>IF(AND('ROSTER UPDATE'!R112=""),"",('ROSTER UPDATE'!R112))</f>
        <v>0</v>
      </c>
      <c r="P112" s="79">
        <f>IF(AND('ROSTER UPDATE'!S112=""),"",('ROSTER UPDATE'!S112))</f>
        <v>0</v>
      </c>
      <c r="Q112" s="80" t="str">
        <f>IF(AND('ROSTER UPDATE'!T112=""),"",('ROSTER UPDATE'!T112))</f>
        <v/>
      </c>
      <c r="S112" s="78">
        <f>SUM('ROSTER UPDATE'!R112:'ROSTER UPDATE'!T112)</f>
        <v>0</v>
      </c>
      <c r="T112" s="79">
        <f>SUM('ROSTER UPDATE'!U112:'ROSTER UPDATE'!W112)</f>
        <v>0</v>
      </c>
      <c r="U112" s="79">
        <f>SUM('ROSTER UPDATE'!X112:'ROSTER UPDATE'!Z112)</f>
        <v>0</v>
      </c>
      <c r="V112" s="79"/>
      <c r="W112" s="80"/>
    </row>
    <row r="113" spans="2:23" ht="15.75" thickBot="1" x14ac:dyDescent="0.3">
      <c r="B113" s="64" t="str">
        <f>IF(AND('ROSTER UPDATE'!B113=""),"",('ROSTER UPDATE'!B113))</f>
        <v/>
      </c>
      <c r="C113" s="65" t="str">
        <f>IF(AND('ROSTER UPDATE'!E113=""),"",('ROSTER UPDATE'!E113))</f>
        <v/>
      </c>
      <c r="E113" s="64" t="str">
        <f>IF(AND('ROSTER UPDATE'!F113=""),"",('ROSTER UPDATE'!F113))</f>
        <v/>
      </c>
      <c r="F113" s="65" t="str">
        <f>IF(AND('ROSTER UPDATE'!C113=""),"",('ROSTER UPDATE'!C113))</f>
        <v/>
      </c>
      <c r="G113" s="87" t="s">
        <v>41</v>
      </c>
      <c r="I113" s="78">
        <f>SUM('ROSTER UPDATE'!H113:'ROSTER UPDATE'!J113)</f>
        <v>0</v>
      </c>
      <c r="J113" s="79">
        <f>SUM('ROSTER UPDATE'!K113:'ROSTER UPDATE'!M113)</f>
        <v>0</v>
      </c>
      <c r="K113" s="79">
        <f>SUM('ROSTER UPDATE'!N113:'ROSTER UPDATE'!P113)</f>
        <v>0</v>
      </c>
      <c r="L113" s="79"/>
      <c r="M113" s="80"/>
      <c r="O113" s="78">
        <f>IF(AND('ROSTER UPDATE'!R113=""),"",('ROSTER UPDATE'!R113))</f>
        <v>0</v>
      </c>
      <c r="P113" s="79">
        <f>IF(AND('ROSTER UPDATE'!S113=""),"",('ROSTER UPDATE'!S113))</f>
        <v>0</v>
      </c>
      <c r="Q113" s="80" t="str">
        <f>IF(AND('ROSTER UPDATE'!T113=""),"",('ROSTER UPDATE'!T113))</f>
        <v/>
      </c>
      <c r="S113" s="78">
        <f>SUM('ROSTER UPDATE'!R113:'ROSTER UPDATE'!T113)</f>
        <v>0</v>
      </c>
      <c r="T113" s="79">
        <f>SUM('ROSTER UPDATE'!U113:'ROSTER UPDATE'!W113)</f>
        <v>0</v>
      </c>
      <c r="U113" s="79">
        <f>SUM('ROSTER UPDATE'!X113:'ROSTER UPDATE'!Z113)</f>
        <v>0</v>
      </c>
      <c r="V113" s="79"/>
      <c r="W113" s="80"/>
    </row>
    <row r="114" spans="2:23" ht="15.75" thickBot="1" x14ac:dyDescent="0.3">
      <c r="B114" s="64" t="str">
        <f>IF(AND('ROSTER UPDATE'!B114=""),"",('ROSTER UPDATE'!B114))</f>
        <v/>
      </c>
      <c r="C114" s="65" t="str">
        <f>IF(AND('ROSTER UPDATE'!E114=""),"",('ROSTER UPDATE'!E114))</f>
        <v/>
      </c>
      <c r="E114" s="64" t="str">
        <f>IF(AND('ROSTER UPDATE'!F114=""),"",('ROSTER UPDATE'!F114))</f>
        <v/>
      </c>
      <c r="F114" s="65" t="str">
        <f>IF(AND('ROSTER UPDATE'!C114=""),"",('ROSTER UPDATE'!C114))</f>
        <v/>
      </c>
      <c r="G114" s="87" t="s">
        <v>41</v>
      </c>
      <c r="I114" s="78">
        <f>SUM('ROSTER UPDATE'!H114:'ROSTER UPDATE'!J114)</f>
        <v>0</v>
      </c>
      <c r="J114" s="79">
        <f>SUM('ROSTER UPDATE'!K114:'ROSTER UPDATE'!M114)</f>
        <v>0</v>
      </c>
      <c r="K114" s="79">
        <f>SUM('ROSTER UPDATE'!N114:'ROSTER UPDATE'!P114)</f>
        <v>0</v>
      </c>
      <c r="L114" s="79"/>
      <c r="M114" s="80"/>
      <c r="O114" s="78">
        <f>IF(AND('ROSTER UPDATE'!R114=""),"",('ROSTER UPDATE'!R114))</f>
        <v>0</v>
      </c>
      <c r="P114" s="79">
        <f>IF(AND('ROSTER UPDATE'!S114=""),"",('ROSTER UPDATE'!S114))</f>
        <v>0</v>
      </c>
      <c r="Q114" s="80" t="str">
        <f>IF(AND('ROSTER UPDATE'!T114=""),"",('ROSTER UPDATE'!T114))</f>
        <v/>
      </c>
      <c r="S114" s="78">
        <f>SUM('ROSTER UPDATE'!R114:'ROSTER UPDATE'!T114)</f>
        <v>0</v>
      </c>
      <c r="T114" s="79">
        <f>SUM('ROSTER UPDATE'!U114:'ROSTER UPDATE'!W114)</f>
        <v>0</v>
      </c>
      <c r="U114" s="79">
        <f>SUM('ROSTER UPDATE'!X114:'ROSTER UPDATE'!Z114)</f>
        <v>0</v>
      </c>
      <c r="V114" s="79"/>
      <c r="W114" s="80"/>
    </row>
    <row r="115" spans="2:23" ht="15.75" thickBot="1" x14ac:dyDescent="0.3">
      <c r="B115" s="64" t="str">
        <f>IF(AND('ROSTER UPDATE'!B115=""),"",('ROSTER UPDATE'!B115))</f>
        <v/>
      </c>
      <c r="C115" s="65" t="str">
        <f>IF(AND('ROSTER UPDATE'!E115=""),"",('ROSTER UPDATE'!E115))</f>
        <v/>
      </c>
      <c r="E115" s="64" t="str">
        <f>IF(AND('ROSTER UPDATE'!F115=""),"",('ROSTER UPDATE'!F115))</f>
        <v/>
      </c>
      <c r="F115" s="65" t="str">
        <f>IF(AND('ROSTER UPDATE'!C115=""),"",('ROSTER UPDATE'!C115))</f>
        <v/>
      </c>
      <c r="G115" s="87" t="s">
        <v>41</v>
      </c>
      <c r="I115" s="78">
        <f>SUM('ROSTER UPDATE'!H115:'ROSTER UPDATE'!J115)</f>
        <v>0</v>
      </c>
      <c r="J115" s="79">
        <f>SUM('ROSTER UPDATE'!K115:'ROSTER UPDATE'!M115)</f>
        <v>0</v>
      </c>
      <c r="K115" s="79">
        <f>SUM('ROSTER UPDATE'!N115:'ROSTER UPDATE'!P115)</f>
        <v>0</v>
      </c>
      <c r="L115" s="79"/>
      <c r="M115" s="80"/>
      <c r="O115" s="78">
        <f>IF(AND('ROSTER UPDATE'!R115=""),"",('ROSTER UPDATE'!R115))</f>
        <v>0</v>
      </c>
      <c r="P115" s="79">
        <f>IF(AND('ROSTER UPDATE'!S115=""),"",('ROSTER UPDATE'!S115))</f>
        <v>0</v>
      </c>
      <c r="Q115" s="80" t="str">
        <f>IF(AND('ROSTER UPDATE'!T115=""),"",('ROSTER UPDATE'!T115))</f>
        <v/>
      </c>
      <c r="S115" s="78">
        <f>SUM('ROSTER UPDATE'!R115:'ROSTER UPDATE'!T115)</f>
        <v>0</v>
      </c>
      <c r="T115" s="79">
        <f>SUM('ROSTER UPDATE'!U115:'ROSTER UPDATE'!W115)</f>
        <v>0</v>
      </c>
      <c r="U115" s="79">
        <f>SUM('ROSTER UPDATE'!X115:'ROSTER UPDATE'!Z115)</f>
        <v>0</v>
      </c>
      <c r="V115" s="79"/>
      <c r="W115" s="80"/>
    </row>
    <row r="116" spans="2:23" ht="15.75" thickBot="1" x14ac:dyDescent="0.3">
      <c r="B116" s="64" t="str">
        <f>IF(AND('ROSTER UPDATE'!B116=""),"",('ROSTER UPDATE'!B116))</f>
        <v/>
      </c>
      <c r="C116" s="65" t="str">
        <f>IF(AND('ROSTER UPDATE'!E116=""),"",('ROSTER UPDATE'!E116))</f>
        <v/>
      </c>
      <c r="E116" s="64" t="str">
        <f>IF(AND('ROSTER UPDATE'!F116=""),"",('ROSTER UPDATE'!F116))</f>
        <v/>
      </c>
      <c r="F116" s="65" t="str">
        <f>IF(AND('ROSTER UPDATE'!C116=""),"",('ROSTER UPDATE'!C116))</f>
        <v/>
      </c>
      <c r="G116" s="87" t="s">
        <v>41</v>
      </c>
      <c r="I116" s="78">
        <f>SUM('ROSTER UPDATE'!H116:'ROSTER UPDATE'!J116)</f>
        <v>0</v>
      </c>
      <c r="J116" s="79">
        <f>SUM('ROSTER UPDATE'!K116:'ROSTER UPDATE'!M116)</f>
        <v>0</v>
      </c>
      <c r="K116" s="79">
        <f>SUM('ROSTER UPDATE'!N116:'ROSTER UPDATE'!P116)</f>
        <v>0</v>
      </c>
      <c r="L116" s="79"/>
      <c r="M116" s="80"/>
      <c r="O116" s="78">
        <f>IF(AND('ROSTER UPDATE'!R116=""),"",('ROSTER UPDATE'!R116))</f>
        <v>0</v>
      </c>
      <c r="P116" s="79">
        <f>IF(AND('ROSTER UPDATE'!S116=""),"",('ROSTER UPDATE'!S116))</f>
        <v>0</v>
      </c>
      <c r="Q116" s="80" t="str">
        <f>IF(AND('ROSTER UPDATE'!T116=""),"",('ROSTER UPDATE'!T116))</f>
        <v/>
      </c>
      <c r="S116" s="78">
        <f>SUM('ROSTER UPDATE'!R116:'ROSTER UPDATE'!T116)</f>
        <v>0</v>
      </c>
      <c r="T116" s="79">
        <f>SUM('ROSTER UPDATE'!U116:'ROSTER UPDATE'!W116)</f>
        <v>0</v>
      </c>
      <c r="U116" s="79">
        <f>SUM('ROSTER UPDATE'!X116:'ROSTER UPDATE'!Z116)</f>
        <v>0</v>
      </c>
      <c r="V116" s="79"/>
      <c r="W116" s="80"/>
    </row>
    <row r="117" spans="2:23" ht="15.75" thickBot="1" x14ac:dyDescent="0.3">
      <c r="B117" s="64" t="str">
        <f>IF(AND('ROSTER UPDATE'!B117=""),"",('ROSTER UPDATE'!B117))</f>
        <v/>
      </c>
      <c r="C117" s="65" t="str">
        <f>IF(AND('ROSTER UPDATE'!E117=""),"",('ROSTER UPDATE'!E117))</f>
        <v/>
      </c>
      <c r="E117" s="64" t="str">
        <f>IF(AND('ROSTER UPDATE'!F117=""),"",('ROSTER UPDATE'!F117))</f>
        <v/>
      </c>
      <c r="F117" s="65" t="str">
        <f>IF(AND('ROSTER UPDATE'!C117=""),"",('ROSTER UPDATE'!C117))</f>
        <v/>
      </c>
      <c r="G117" s="87" t="s">
        <v>41</v>
      </c>
      <c r="I117" s="78">
        <f>SUM('ROSTER UPDATE'!H117:'ROSTER UPDATE'!J117)</f>
        <v>0</v>
      </c>
      <c r="J117" s="79">
        <f>SUM('ROSTER UPDATE'!K117:'ROSTER UPDATE'!M117)</f>
        <v>0</v>
      </c>
      <c r="K117" s="79">
        <f>SUM('ROSTER UPDATE'!N117:'ROSTER UPDATE'!P117)</f>
        <v>0</v>
      </c>
      <c r="L117" s="79"/>
      <c r="M117" s="80"/>
      <c r="O117" s="78">
        <f>IF(AND('ROSTER UPDATE'!R117=""),"",('ROSTER UPDATE'!R117))</f>
        <v>0</v>
      </c>
      <c r="P117" s="79">
        <f>IF(AND('ROSTER UPDATE'!S117=""),"",('ROSTER UPDATE'!S117))</f>
        <v>0</v>
      </c>
      <c r="Q117" s="80" t="str">
        <f>IF(AND('ROSTER UPDATE'!T117=""),"",('ROSTER UPDATE'!T117))</f>
        <v/>
      </c>
      <c r="S117" s="78">
        <f>SUM('ROSTER UPDATE'!R117:'ROSTER UPDATE'!T117)</f>
        <v>0</v>
      </c>
      <c r="T117" s="79">
        <f>SUM('ROSTER UPDATE'!U117:'ROSTER UPDATE'!W117)</f>
        <v>0</v>
      </c>
      <c r="U117" s="79">
        <f>SUM('ROSTER UPDATE'!X117:'ROSTER UPDATE'!Z117)</f>
        <v>0</v>
      </c>
      <c r="V117" s="79"/>
      <c r="W117" s="80"/>
    </row>
    <row r="118" spans="2:23" ht="15.75" thickBot="1" x14ac:dyDescent="0.3">
      <c r="B118" s="64" t="str">
        <f>IF(AND('ROSTER UPDATE'!B118=""),"",('ROSTER UPDATE'!B118))</f>
        <v/>
      </c>
      <c r="C118" s="65" t="str">
        <f>IF(AND('ROSTER UPDATE'!E118=""),"",('ROSTER UPDATE'!E118))</f>
        <v/>
      </c>
      <c r="E118" s="64" t="str">
        <f>IF(AND('ROSTER UPDATE'!F118=""),"",('ROSTER UPDATE'!F118))</f>
        <v/>
      </c>
      <c r="F118" s="65" t="str">
        <f>IF(AND('ROSTER UPDATE'!C118=""),"",('ROSTER UPDATE'!C118))</f>
        <v/>
      </c>
      <c r="G118" s="87" t="s">
        <v>41</v>
      </c>
      <c r="I118" s="78">
        <f>SUM('ROSTER UPDATE'!H118:'ROSTER UPDATE'!J118)</f>
        <v>0</v>
      </c>
      <c r="J118" s="79">
        <f>SUM('ROSTER UPDATE'!K118:'ROSTER UPDATE'!M118)</f>
        <v>0</v>
      </c>
      <c r="K118" s="79">
        <f>SUM('ROSTER UPDATE'!N118:'ROSTER UPDATE'!P118)</f>
        <v>0</v>
      </c>
      <c r="L118" s="79"/>
      <c r="M118" s="80"/>
      <c r="O118" s="78">
        <f>IF(AND('ROSTER UPDATE'!R118=""),"",('ROSTER UPDATE'!R118))</f>
        <v>0</v>
      </c>
      <c r="P118" s="79">
        <f>IF(AND('ROSTER UPDATE'!S118=""),"",('ROSTER UPDATE'!S118))</f>
        <v>0</v>
      </c>
      <c r="Q118" s="80" t="str">
        <f>IF(AND('ROSTER UPDATE'!T118=""),"",('ROSTER UPDATE'!T118))</f>
        <v/>
      </c>
      <c r="S118" s="78">
        <f>SUM('ROSTER UPDATE'!R118:'ROSTER UPDATE'!T118)</f>
        <v>0</v>
      </c>
      <c r="T118" s="79">
        <f>SUM('ROSTER UPDATE'!U118:'ROSTER UPDATE'!W118)</f>
        <v>0</v>
      </c>
      <c r="U118" s="79">
        <f>SUM('ROSTER UPDATE'!X118:'ROSTER UPDATE'!Z118)</f>
        <v>0</v>
      </c>
      <c r="V118" s="79"/>
      <c r="W118" s="80"/>
    </row>
    <row r="119" spans="2:23" ht="15.75" thickBot="1" x14ac:dyDescent="0.3">
      <c r="B119" s="64" t="str">
        <f>IF(AND('ROSTER UPDATE'!B119=""),"",('ROSTER UPDATE'!B119))</f>
        <v/>
      </c>
      <c r="C119" s="65" t="str">
        <f>IF(AND('ROSTER UPDATE'!E119=""),"",('ROSTER UPDATE'!E119))</f>
        <v/>
      </c>
      <c r="E119" s="64" t="str">
        <f>IF(AND('ROSTER UPDATE'!F119=""),"",('ROSTER UPDATE'!F119))</f>
        <v/>
      </c>
      <c r="F119" s="65" t="str">
        <f>IF(AND('ROSTER UPDATE'!C119=""),"",('ROSTER UPDATE'!C119))</f>
        <v/>
      </c>
      <c r="G119" s="87" t="s">
        <v>41</v>
      </c>
      <c r="I119" s="78">
        <f>SUM('ROSTER UPDATE'!H119:'ROSTER UPDATE'!J119)</f>
        <v>0</v>
      </c>
      <c r="J119" s="79">
        <f>SUM('ROSTER UPDATE'!K119:'ROSTER UPDATE'!M119)</f>
        <v>0</v>
      </c>
      <c r="K119" s="79">
        <f>SUM('ROSTER UPDATE'!N119:'ROSTER UPDATE'!P119)</f>
        <v>0</v>
      </c>
      <c r="L119" s="79"/>
      <c r="M119" s="80"/>
      <c r="O119" s="78">
        <f>IF(AND('ROSTER UPDATE'!R119=""),"",('ROSTER UPDATE'!R119))</f>
        <v>0</v>
      </c>
      <c r="P119" s="79">
        <f>IF(AND('ROSTER UPDATE'!S119=""),"",('ROSTER UPDATE'!S119))</f>
        <v>0</v>
      </c>
      <c r="Q119" s="80" t="str">
        <f>IF(AND('ROSTER UPDATE'!T119=""),"",('ROSTER UPDATE'!T119))</f>
        <v/>
      </c>
      <c r="S119" s="78">
        <f>SUM('ROSTER UPDATE'!R119:'ROSTER UPDATE'!T119)</f>
        <v>0</v>
      </c>
      <c r="T119" s="79">
        <f>SUM('ROSTER UPDATE'!U119:'ROSTER UPDATE'!W119)</f>
        <v>0</v>
      </c>
      <c r="U119" s="79">
        <f>SUM('ROSTER UPDATE'!X119:'ROSTER UPDATE'!Z119)</f>
        <v>0</v>
      </c>
      <c r="V119" s="79"/>
      <c r="W119" s="80"/>
    </row>
    <row r="120" spans="2:23" ht="15.75" thickBot="1" x14ac:dyDescent="0.3">
      <c r="B120" s="64" t="str">
        <f>IF(AND('ROSTER UPDATE'!B120=""),"",('ROSTER UPDATE'!B120))</f>
        <v/>
      </c>
      <c r="C120" s="65" t="str">
        <f>IF(AND('ROSTER UPDATE'!E120=""),"",('ROSTER UPDATE'!E120))</f>
        <v/>
      </c>
      <c r="E120" s="64" t="str">
        <f>IF(AND('ROSTER UPDATE'!F120=""),"",('ROSTER UPDATE'!F120))</f>
        <v/>
      </c>
      <c r="F120" s="65" t="str">
        <f>IF(AND('ROSTER UPDATE'!C120=""),"",('ROSTER UPDATE'!C120))</f>
        <v/>
      </c>
      <c r="G120" s="87" t="s">
        <v>41</v>
      </c>
      <c r="I120" s="78">
        <f>SUM('ROSTER UPDATE'!H120:'ROSTER UPDATE'!J120)</f>
        <v>0</v>
      </c>
      <c r="J120" s="79">
        <f>SUM('ROSTER UPDATE'!K120:'ROSTER UPDATE'!M120)</f>
        <v>0</v>
      </c>
      <c r="K120" s="79">
        <f>SUM('ROSTER UPDATE'!N120:'ROSTER UPDATE'!P120)</f>
        <v>0</v>
      </c>
      <c r="L120" s="79"/>
      <c r="M120" s="80"/>
      <c r="O120" s="78">
        <f>IF(AND('ROSTER UPDATE'!R120=""),"",('ROSTER UPDATE'!R120))</f>
        <v>0</v>
      </c>
      <c r="P120" s="79">
        <f>IF(AND('ROSTER UPDATE'!S120=""),"",('ROSTER UPDATE'!S120))</f>
        <v>0</v>
      </c>
      <c r="Q120" s="80" t="str">
        <f>IF(AND('ROSTER UPDATE'!T120=""),"",('ROSTER UPDATE'!T120))</f>
        <v/>
      </c>
      <c r="S120" s="78">
        <f>SUM('ROSTER UPDATE'!R120:'ROSTER UPDATE'!T120)</f>
        <v>0</v>
      </c>
      <c r="T120" s="79">
        <f>SUM('ROSTER UPDATE'!U120:'ROSTER UPDATE'!W120)</f>
        <v>0</v>
      </c>
      <c r="U120" s="79">
        <f>SUM('ROSTER UPDATE'!X120:'ROSTER UPDATE'!Z120)</f>
        <v>0</v>
      </c>
      <c r="V120" s="79"/>
      <c r="W120" s="80"/>
    </row>
    <row r="121" spans="2:23" ht="15.75" thickBot="1" x14ac:dyDescent="0.3">
      <c r="B121" s="64" t="str">
        <f>IF(AND('ROSTER UPDATE'!B121=""),"",('ROSTER UPDATE'!B121))</f>
        <v/>
      </c>
      <c r="C121" s="65" t="str">
        <f>IF(AND('ROSTER UPDATE'!E121=""),"",('ROSTER UPDATE'!E121))</f>
        <v/>
      </c>
      <c r="E121" s="64" t="str">
        <f>IF(AND('ROSTER UPDATE'!F121=""),"",('ROSTER UPDATE'!F121))</f>
        <v/>
      </c>
      <c r="F121" s="65" t="str">
        <f>IF(AND('ROSTER UPDATE'!C121=""),"",('ROSTER UPDATE'!C121))</f>
        <v/>
      </c>
      <c r="G121" s="87" t="s">
        <v>41</v>
      </c>
      <c r="I121" s="78">
        <f>SUM('ROSTER UPDATE'!H121:'ROSTER UPDATE'!J121)</f>
        <v>0</v>
      </c>
      <c r="J121" s="79">
        <f>SUM('ROSTER UPDATE'!K121:'ROSTER UPDATE'!M121)</f>
        <v>0</v>
      </c>
      <c r="K121" s="79">
        <f>SUM('ROSTER UPDATE'!N121:'ROSTER UPDATE'!P121)</f>
        <v>0</v>
      </c>
      <c r="L121" s="79"/>
      <c r="M121" s="80"/>
      <c r="O121" s="78">
        <f>IF(AND('ROSTER UPDATE'!R121=""),"",('ROSTER UPDATE'!R121))</f>
        <v>0</v>
      </c>
      <c r="P121" s="79">
        <f>IF(AND('ROSTER UPDATE'!S121=""),"",('ROSTER UPDATE'!S121))</f>
        <v>0</v>
      </c>
      <c r="Q121" s="80" t="str">
        <f>IF(AND('ROSTER UPDATE'!T121=""),"",('ROSTER UPDATE'!T121))</f>
        <v/>
      </c>
      <c r="S121" s="78">
        <f>SUM('ROSTER UPDATE'!R121:'ROSTER UPDATE'!T121)</f>
        <v>0</v>
      </c>
      <c r="T121" s="79">
        <f>SUM('ROSTER UPDATE'!U121:'ROSTER UPDATE'!W121)</f>
        <v>0</v>
      </c>
      <c r="U121" s="79">
        <f>SUM('ROSTER UPDATE'!X121:'ROSTER UPDATE'!Z121)</f>
        <v>0</v>
      </c>
      <c r="V121" s="79"/>
      <c r="W121" s="80"/>
    </row>
    <row r="122" spans="2:23" ht="15.75" thickBot="1" x14ac:dyDescent="0.3">
      <c r="B122" s="64" t="str">
        <f>IF(AND('ROSTER UPDATE'!B122=""),"",('ROSTER UPDATE'!B122))</f>
        <v/>
      </c>
      <c r="C122" s="65" t="str">
        <f>IF(AND('ROSTER UPDATE'!E122=""),"",('ROSTER UPDATE'!E122))</f>
        <v/>
      </c>
      <c r="E122" s="64" t="str">
        <f>IF(AND('ROSTER UPDATE'!F122=""),"",('ROSTER UPDATE'!F122))</f>
        <v/>
      </c>
      <c r="F122" s="65" t="str">
        <f>IF(AND('ROSTER UPDATE'!C122=""),"",('ROSTER UPDATE'!C122))</f>
        <v/>
      </c>
      <c r="G122" s="87" t="s">
        <v>41</v>
      </c>
      <c r="I122" s="78">
        <f>SUM('ROSTER UPDATE'!H122:'ROSTER UPDATE'!J122)</f>
        <v>0</v>
      </c>
      <c r="J122" s="79">
        <f>SUM('ROSTER UPDATE'!K122:'ROSTER UPDATE'!M122)</f>
        <v>0</v>
      </c>
      <c r="K122" s="79">
        <f>SUM('ROSTER UPDATE'!N122:'ROSTER UPDATE'!P122)</f>
        <v>0</v>
      </c>
      <c r="L122" s="79"/>
      <c r="M122" s="80"/>
      <c r="O122" s="78">
        <f>IF(AND('ROSTER UPDATE'!R122=""),"",('ROSTER UPDATE'!R122))</f>
        <v>0</v>
      </c>
      <c r="P122" s="79">
        <f>IF(AND('ROSTER UPDATE'!S122=""),"",('ROSTER UPDATE'!S122))</f>
        <v>0</v>
      </c>
      <c r="Q122" s="80" t="str">
        <f>IF(AND('ROSTER UPDATE'!T122=""),"",('ROSTER UPDATE'!T122))</f>
        <v/>
      </c>
      <c r="S122" s="78">
        <f>SUM('ROSTER UPDATE'!R122:'ROSTER UPDATE'!T122)</f>
        <v>0</v>
      </c>
      <c r="T122" s="79">
        <f>SUM('ROSTER UPDATE'!U122:'ROSTER UPDATE'!W122)</f>
        <v>0</v>
      </c>
      <c r="U122" s="79">
        <f>SUM('ROSTER UPDATE'!X122:'ROSTER UPDATE'!Z122)</f>
        <v>0</v>
      </c>
      <c r="V122" s="79"/>
      <c r="W122" s="80"/>
    </row>
    <row r="123" spans="2:23" ht="15.75" thickBot="1" x14ac:dyDescent="0.3">
      <c r="B123" s="64" t="str">
        <f>IF(AND('ROSTER UPDATE'!B123=""),"",('ROSTER UPDATE'!B123))</f>
        <v/>
      </c>
      <c r="C123" s="65" t="str">
        <f>IF(AND('ROSTER UPDATE'!E123=""),"",('ROSTER UPDATE'!E123))</f>
        <v/>
      </c>
      <c r="E123" s="64" t="str">
        <f>IF(AND('ROSTER UPDATE'!F123=""),"",('ROSTER UPDATE'!F123))</f>
        <v/>
      </c>
      <c r="F123" s="65" t="str">
        <f>IF(AND('ROSTER UPDATE'!C123=""),"",('ROSTER UPDATE'!C123))</f>
        <v/>
      </c>
      <c r="G123" s="87" t="s">
        <v>41</v>
      </c>
      <c r="I123" s="78">
        <f>SUM('ROSTER UPDATE'!H123:'ROSTER UPDATE'!J123)</f>
        <v>0</v>
      </c>
      <c r="J123" s="79">
        <f>SUM('ROSTER UPDATE'!K123:'ROSTER UPDATE'!M123)</f>
        <v>0</v>
      </c>
      <c r="K123" s="79">
        <f>SUM('ROSTER UPDATE'!N123:'ROSTER UPDATE'!P123)</f>
        <v>0</v>
      </c>
      <c r="L123" s="79"/>
      <c r="M123" s="80"/>
      <c r="O123" s="78">
        <f>IF(AND('ROSTER UPDATE'!R123=""),"",('ROSTER UPDATE'!R123))</f>
        <v>0</v>
      </c>
      <c r="P123" s="79">
        <f>IF(AND('ROSTER UPDATE'!S123=""),"",('ROSTER UPDATE'!S123))</f>
        <v>0</v>
      </c>
      <c r="Q123" s="80" t="str">
        <f>IF(AND('ROSTER UPDATE'!T123=""),"",('ROSTER UPDATE'!T123))</f>
        <v/>
      </c>
      <c r="S123" s="78">
        <f>SUM('ROSTER UPDATE'!R123:'ROSTER UPDATE'!T123)</f>
        <v>0</v>
      </c>
      <c r="T123" s="79">
        <f>SUM('ROSTER UPDATE'!U123:'ROSTER UPDATE'!W123)</f>
        <v>0</v>
      </c>
      <c r="U123" s="79">
        <f>SUM('ROSTER UPDATE'!X123:'ROSTER UPDATE'!Z123)</f>
        <v>0</v>
      </c>
      <c r="V123" s="79"/>
      <c r="W123" s="80"/>
    </row>
    <row r="124" spans="2:23" ht="15.75" thickBot="1" x14ac:dyDescent="0.3">
      <c r="B124" s="64" t="str">
        <f>IF(AND('ROSTER UPDATE'!B124=""),"",('ROSTER UPDATE'!B124))</f>
        <v/>
      </c>
      <c r="C124" s="65" t="str">
        <f>IF(AND('ROSTER UPDATE'!E124=""),"",('ROSTER UPDATE'!E124))</f>
        <v/>
      </c>
      <c r="E124" s="64" t="str">
        <f>IF(AND('ROSTER UPDATE'!F124=""),"",('ROSTER UPDATE'!F124))</f>
        <v/>
      </c>
      <c r="F124" s="65" t="str">
        <f>IF(AND('ROSTER UPDATE'!C124=""),"",('ROSTER UPDATE'!C124))</f>
        <v/>
      </c>
      <c r="G124" s="87" t="s">
        <v>41</v>
      </c>
      <c r="I124" s="78">
        <f>SUM('ROSTER UPDATE'!H124:'ROSTER UPDATE'!J124)</f>
        <v>0</v>
      </c>
      <c r="J124" s="79">
        <f>SUM('ROSTER UPDATE'!K124:'ROSTER UPDATE'!M124)</f>
        <v>0</v>
      </c>
      <c r="K124" s="79">
        <f>SUM('ROSTER UPDATE'!N124:'ROSTER UPDATE'!P124)</f>
        <v>0</v>
      </c>
      <c r="L124" s="79"/>
      <c r="M124" s="80"/>
      <c r="O124" s="78">
        <f>IF(AND('ROSTER UPDATE'!R124=""),"",('ROSTER UPDATE'!R124))</f>
        <v>0</v>
      </c>
      <c r="P124" s="79">
        <f>IF(AND('ROSTER UPDATE'!S124=""),"",('ROSTER UPDATE'!S124))</f>
        <v>0</v>
      </c>
      <c r="Q124" s="80" t="str">
        <f>IF(AND('ROSTER UPDATE'!T124=""),"",('ROSTER UPDATE'!T124))</f>
        <v/>
      </c>
      <c r="S124" s="78">
        <f>SUM('ROSTER UPDATE'!R124:'ROSTER UPDATE'!T124)</f>
        <v>0</v>
      </c>
      <c r="T124" s="79">
        <f>SUM('ROSTER UPDATE'!U124:'ROSTER UPDATE'!W124)</f>
        <v>0</v>
      </c>
      <c r="U124" s="79">
        <f>SUM('ROSTER UPDATE'!X124:'ROSTER UPDATE'!Z124)</f>
        <v>0</v>
      </c>
      <c r="V124" s="79"/>
      <c r="W124" s="80"/>
    </row>
    <row r="125" spans="2:23" ht="15.75" thickBot="1" x14ac:dyDescent="0.3">
      <c r="B125" s="64" t="str">
        <f>IF(AND('ROSTER UPDATE'!B125=""),"",('ROSTER UPDATE'!B125))</f>
        <v/>
      </c>
      <c r="C125" s="65" t="str">
        <f>IF(AND('ROSTER UPDATE'!E125=""),"",('ROSTER UPDATE'!E125))</f>
        <v/>
      </c>
      <c r="E125" s="64" t="str">
        <f>IF(AND('ROSTER UPDATE'!F125=""),"",('ROSTER UPDATE'!F125))</f>
        <v/>
      </c>
      <c r="F125" s="65" t="str">
        <f>IF(AND('ROSTER UPDATE'!C125=""),"",('ROSTER UPDATE'!C125))</f>
        <v/>
      </c>
      <c r="G125" s="87" t="s">
        <v>41</v>
      </c>
      <c r="I125" s="78">
        <f>SUM('ROSTER UPDATE'!H125:'ROSTER UPDATE'!J125)</f>
        <v>0</v>
      </c>
      <c r="J125" s="79">
        <f>SUM('ROSTER UPDATE'!K125:'ROSTER UPDATE'!M125)</f>
        <v>0</v>
      </c>
      <c r="K125" s="79">
        <f>SUM('ROSTER UPDATE'!N125:'ROSTER UPDATE'!P125)</f>
        <v>0</v>
      </c>
      <c r="L125" s="79"/>
      <c r="M125" s="80"/>
      <c r="O125" s="78">
        <f>IF(AND('ROSTER UPDATE'!R125=""),"",('ROSTER UPDATE'!R125))</f>
        <v>0</v>
      </c>
      <c r="P125" s="79">
        <f>IF(AND('ROSTER UPDATE'!S125=""),"",('ROSTER UPDATE'!S125))</f>
        <v>0</v>
      </c>
      <c r="Q125" s="80" t="str">
        <f>IF(AND('ROSTER UPDATE'!T125=""),"",('ROSTER UPDATE'!T125))</f>
        <v/>
      </c>
      <c r="S125" s="78">
        <f>SUM('ROSTER UPDATE'!R125:'ROSTER UPDATE'!T125)</f>
        <v>0</v>
      </c>
      <c r="T125" s="79">
        <f>SUM('ROSTER UPDATE'!U125:'ROSTER UPDATE'!W125)</f>
        <v>0</v>
      </c>
      <c r="U125" s="79">
        <f>SUM('ROSTER UPDATE'!X125:'ROSTER UPDATE'!Z125)</f>
        <v>0</v>
      </c>
      <c r="V125" s="79"/>
      <c r="W125" s="80"/>
    </row>
    <row r="126" spans="2:23" ht="15.75" thickBot="1" x14ac:dyDescent="0.3">
      <c r="B126" s="64" t="str">
        <f>IF(AND('ROSTER UPDATE'!B126=""),"",('ROSTER UPDATE'!B126))</f>
        <v/>
      </c>
      <c r="C126" s="65" t="str">
        <f>IF(AND('ROSTER UPDATE'!E126=""),"",('ROSTER UPDATE'!E126))</f>
        <v/>
      </c>
      <c r="E126" s="64" t="str">
        <f>IF(AND('ROSTER UPDATE'!F126=""),"",('ROSTER UPDATE'!F126))</f>
        <v/>
      </c>
      <c r="F126" s="65" t="str">
        <f>IF(AND('ROSTER UPDATE'!C126=""),"",('ROSTER UPDATE'!C126))</f>
        <v/>
      </c>
      <c r="G126" s="87" t="s">
        <v>41</v>
      </c>
      <c r="I126" s="78">
        <f>SUM('ROSTER UPDATE'!H126:'ROSTER UPDATE'!J126)</f>
        <v>0</v>
      </c>
      <c r="J126" s="79">
        <f>SUM('ROSTER UPDATE'!K126:'ROSTER UPDATE'!M126)</f>
        <v>0</v>
      </c>
      <c r="K126" s="79">
        <f>SUM('ROSTER UPDATE'!N126:'ROSTER UPDATE'!P126)</f>
        <v>0</v>
      </c>
      <c r="L126" s="79"/>
      <c r="M126" s="80"/>
      <c r="O126" s="78">
        <f>IF(AND('ROSTER UPDATE'!R126=""),"",('ROSTER UPDATE'!R126))</f>
        <v>0</v>
      </c>
      <c r="P126" s="79">
        <f>IF(AND('ROSTER UPDATE'!S126=""),"",('ROSTER UPDATE'!S126))</f>
        <v>0</v>
      </c>
      <c r="Q126" s="80" t="str">
        <f>IF(AND('ROSTER UPDATE'!T126=""),"",('ROSTER UPDATE'!T126))</f>
        <v/>
      </c>
      <c r="S126" s="78">
        <f>SUM('ROSTER UPDATE'!R126:'ROSTER UPDATE'!T126)</f>
        <v>0</v>
      </c>
      <c r="T126" s="79">
        <f>SUM('ROSTER UPDATE'!U126:'ROSTER UPDATE'!W126)</f>
        <v>0</v>
      </c>
      <c r="U126" s="79">
        <f>SUM('ROSTER UPDATE'!X126:'ROSTER UPDATE'!Z126)</f>
        <v>0</v>
      </c>
      <c r="V126" s="79"/>
      <c r="W126" s="80"/>
    </row>
    <row r="127" spans="2:23" ht="15.75" thickBot="1" x14ac:dyDescent="0.3">
      <c r="B127" s="64" t="str">
        <f>IF(AND('ROSTER UPDATE'!B127=""),"",('ROSTER UPDATE'!B127))</f>
        <v/>
      </c>
      <c r="C127" s="65" t="str">
        <f>IF(AND('ROSTER UPDATE'!E127=""),"",('ROSTER UPDATE'!E127))</f>
        <v/>
      </c>
      <c r="E127" s="64" t="str">
        <f>IF(AND('ROSTER UPDATE'!F127=""),"",('ROSTER UPDATE'!F127))</f>
        <v/>
      </c>
      <c r="F127" s="65" t="str">
        <f>IF(AND('ROSTER UPDATE'!C127=""),"",('ROSTER UPDATE'!C127))</f>
        <v/>
      </c>
      <c r="G127" s="87" t="s">
        <v>41</v>
      </c>
      <c r="I127" s="78">
        <f>SUM('ROSTER UPDATE'!H127:'ROSTER UPDATE'!J127)</f>
        <v>0</v>
      </c>
      <c r="J127" s="79">
        <f>SUM('ROSTER UPDATE'!K127:'ROSTER UPDATE'!M127)</f>
        <v>0</v>
      </c>
      <c r="K127" s="79">
        <f>SUM('ROSTER UPDATE'!N127:'ROSTER UPDATE'!P127)</f>
        <v>0</v>
      </c>
      <c r="L127" s="79"/>
      <c r="M127" s="80"/>
      <c r="O127" s="78">
        <f>IF(AND('ROSTER UPDATE'!R127=""),"",('ROSTER UPDATE'!R127))</f>
        <v>0</v>
      </c>
      <c r="P127" s="79">
        <f>IF(AND('ROSTER UPDATE'!S127=""),"",('ROSTER UPDATE'!S127))</f>
        <v>0</v>
      </c>
      <c r="Q127" s="80" t="str">
        <f>IF(AND('ROSTER UPDATE'!T127=""),"",('ROSTER UPDATE'!T127))</f>
        <v/>
      </c>
      <c r="S127" s="78">
        <f>SUM('ROSTER UPDATE'!R127:'ROSTER UPDATE'!T127)</f>
        <v>0</v>
      </c>
      <c r="T127" s="79">
        <f>SUM('ROSTER UPDATE'!U127:'ROSTER UPDATE'!W127)</f>
        <v>0</v>
      </c>
      <c r="U127" s="79">
        <f>SUM('ROSTER UPDATE'!X127:'ROSTER UPDATE'!Z127)</f>
        <v>0</v>
      </c>
      <c r="V127" s="79"/>
      <c r="W127" s="80"/>
    </row>
    <row r="128" spans="2:23" ht="15.75" thickBot="1" x14ac:dyDescent="0.3">
      <c r="B128" s="64" t="str">
        <f>IF(AND('ROSTER UPDATE'!B128=""),"",('ROSTER UPDATE'!B128))</f>
        <v/>
      </c>
      <c r="C128" s="65" t="str">
        <f>IF(AND('ROSTER UPDATE'!E128=""),"",('ROSTER UPDATE'!E128))</f>
        <v/>
      </c>
      <c r="E128" s="64" t="str">
        <f>IF(AND('ROSTER UPDATE'!F128=""),"",('ROSTER UPDATE'!F128))</f>
        <v/>
      </c>
      <c r="F128" s="65" t="str">
        <f>IF(AND('ROSTER UPDATE'!C128=""),"",('ROSTER UPDATE'!C128))</f>
        <v/>
      </c>
      <c r="G128" s="87" t="s">
        <v>41</v>
      </c>
      <c r="I128" s="78">
        <f>SUM('ROSTER UPDATE'!H128:'ROSTER UPDATE'!J128)</f>
        <v>0</v>
      </c>
      <c r="J128" s="79">
        <f>SUM('ROSTER UPDATE'!K128:'ROSTER UPDATE'!M128)</f>
        <v>0</v>
      </c>
      <c r="K128" s="79">
        <f>SUM('ROSTER UPDATE'!N128:'ROSTER UPDATE'!P128)</f>
        <v>0</v>
      </c>
      <c r="L128" s="79"/>
      <c r="M128" s="80"/>
      <c r="O128" s="78">
        <f>IF(AND('ROSTER UPDATE'!R128=""),"",('ROSTER UPDATE'!R128))</f>
        <v>0</v>
      </c>
      <c r="P128" s="79">
        <f>IF(AND('ROSTER UPDATE'!S128=""),"",('ROSTER UPDATE'!S128))</f>
        <v>0</v>
      </c>
      <c r="Q128" s="80" t="str">
        <f>IF(AND('ROSTER UPDATE'!T128=""),"",('ROSTER UPDATE'!T128))</f>
        <v/>
      </c>
      <c r="S128" s="78">
        <f>SUM('ROSTER UPDATE'!R128:'ROSTER UPDATE'!T128)</f>
        <v>0</v>
      </c>
      <c r="T128" s="79">
        <f>SUM('ROSTER UPDATE'!U128:'ROSTER UPDATE'!W128)</f>
        <v>0</v>
      </c>
      <c r="U128" s="79">
        <f>SUM('ROSTER UPDATE'!X128:'ROSTER UPDATE'!Z128)</f>
        <v>0</v>
      </c>
      <c r="V128" s="79"/>
      <c r="W128" s="80"/>
    </row>
    <row r="129" spans="2:23" ht="15.75" thickBot="1" x14ac:dyDescent="0.3">
      <c r="B129" s="64" t="str">
        <f>IF(AND('ROSTER UPDATE'!B129=""),"",('ROSTER UPDATE'!B129))</f>
        <v/>
      </c>
      <c r="C129" s="65" t="str">
        <f>IF(AND('ROSTER UPDATE'!E129=""),"",('ROSTER UPDATE'!E129))</f>
        <v/>
      </c>
      <c r="E129" s="64" t="str">
        <f>IF(AND('ROSTER UPDATE'!F129=""),"",('ROSTER UPDATE'!F129))</f>
        <v/>
      </c>
      <c r="F129" s="65" t="str">
        <f>IF(AND('ROSTER UPDATE'!C129=""),"",('ROSTER UPDATE'!C129))</f>
        <v/>
      </c>
      <c r="G129" s="87" t="s">
        <v>41</v>
      </c>
      <c r="I129" s="78">
        <f>SUM('ROSTER UPDATE'!H129:'ROSTER UPDATE'!J129)</f>
        <v>0</v>
      </c>
      <c r="J129" s="79">
        <f>SUM('ROSTER UPDATE'!K129:'ROSTER UPDATE'!M129)</f>
        <v>0</v>
      </c>
      <c r="K129" s="79">
        <f>SUM('ROSTER UPDATE'!N129:'ROSTER UPDATE'!P129)</f>
        <v>0</v>
      </c>
      <c r="L129" s="79"/>
      <c r="M129" s="80"/>
      <c r="O129" s="78">
        <f>IF(AND('ROSTER UPDATE'!R129=""),"",('ROSTER UPDATE'!R129))</f>
        <v>0</v>
      </c>
      <c r="P129" s="79">
        <f>IF(AND('ROSTER UPDATE'!S129=""),"",('ROSTER UPDATE'!S129))</f>
        <v>0</v>
      </c>
      <c r="Q129" s="80" t="str">
        <f>IF(AND('ROSTER UPDATE'!T129=""),"",('ROSTER UPDATE'!T129))</f>
        <v/>
      </c>
      <c r="S129" s="78">
        <f>SUM('ROSTER UPDATE'!R129:'ROSTER UPDATE'!T129)</f>
        <v>0</v>
      </c>
      <c r="T129" s="79">
        <f>SUM('ROSTER UPDATE'!U129:'ROSTER UPDATE'!W129)</f>
        <v>0</v>
      </c>
      <c r="U129" s="79">
        <f>SUM('ROSTER UPDATE'!X129:'ROSTER UPDATE'!Z129)</f>
        <v>0</v>
      </c>
      <c r="V129" s="79"/>
      <c r="W129" s="80"/>
    </row>
    <row r="130" spans="2:23" ht="15.75" thickBot="1" x14ac:dyDescent="0.3">
      <c r="B130" s="64" t="str">
        <f>IF(AND('ROSTER UPDATE'!B130=""),"",('ROSTER UPDATE'!B130))</f>
        <v/>
      </c>
      <c r="C130" s="65" t="str">
        <f>IF(AND('ROSTER UPDATE'!E130=""),"",('ROSTER UPDATE'!E130))</f>
        <v/>
      </c>
      <c r="E130" s="64" t="str">
        <f>IF(AND('ROSTER UPDATE'!F130=""),"",('ROSTER UPDATE'!F130))</f>
        <v/>
      </c>
      <c r="F130" s="65" t="str">
        <f>IF(AND('ROSTER UPDATE'!C130=""),"",('ROSTER UPDATE'!C130))</f>
        <v/>
      </c>
      <c r="G130" s="87" t="s">
        <v>41</v>
      </c>
      <c r="I130" s="78">
        <f>SUM('ROSTER UPDATE'!H130:'ROSTER UPDATE'!J130)</f>
        <v>0</v>
      </c>
      <c r="J130" s="79">
        <f>SUM('ROSTER UPDATE'!K130:'ROSTER UPDATE'!M130)</f>
        <v>0</v>
      </c>
      <c r="K130" s="79">
        <f>SUM('ROSTER UPDATE'!N130:'ROSTER UPDATE'!P130)</f>
        <v>0</v>
      </c>
      <c r="L130" s="79"/>
      <c r="M130" s="80"/>
      <c r="O130" s="78">
        <f>IF(AND('ROSTER UPDATE'!R130=""),"",('ROSTER UPDATE'!R130))</f>
        <v>0</v>
      </c>
      <c r="P130" s="79">
        <f>IF(AND('ROSTER UPDATE'!S130=""),"",('ROSTER UPDATE'!S130))</f>
        <v>0</v>
      </c>
      <c r="Q130" s="80" t="str">
        <f>IF(AND('ROSTER UPDATE'!T130=""),"",('ROSTER UPDATE'!T130))</f>
        <v/>
      </c>
      <c r="S130" s="78">
        <f>SUM('ROSTER UPDATE'!R130:'ROSTER UPDATE'!T130)</f>
        <v>0</v>
      </c>
      <c r="T130" s="79">
        <f>SUM('ROSTER UPDATE'!U130:'ROSTER UPDATE'!W130)</f>
        <v>0</v>
      </c>
      <c r="U130" s="79">
        <f>SUM('ROSTER UPDATE'!X130:'ROSTER UPDATE'!Z130)</f>
        <v>0</v>
      </c>
      <c r="V130" s="79"/>
      <c r="W130" s="80"/>
    </row>
    <row r="131" spans="2:23" ht="15.75" thickBot="1" x14ac:dyDescent="0.3">
      <c r="B131" s="64" t="str">
        <f>IF(AND('ROSTER UPDATE'!B131=""),"",('ROSTER UPDATE'!B131))</f>
        <v/>
      </c>
      <c r="C131" s="65" t="str">
        <f>IF(AND('ROSTER UPDATE'!E131=""),"",('ROSTER UPDATE'!E131))</f>
        <v/>
      </c>
      <c r="E131" s="64" t="str">
        <f>IF(AND('ROSTER UPDATE'!F131=""),"",('ROSTER UPDATE'!F131))</f>
        <v/>
      </c>
      <c r="F131" s="65" t="str">
        <f>IF(AND('ROSTER UPDATE'!C131=""),"",('ROSTER UPDATE'!C131))</f>
        <v/>
      </c>
      <c r="G131" s="87" t="s">
        <v>41</v>
      </c>
      <c r="I131" s="78">
        <f>SUM('ROSTER UPDATE'!H131:'ROSTER UPDATE'!J131)</f>
        <v>0</v>
      </c>
      <c r="J131" s="79">
        <f>SUM('ROSTER UPDATE'!K131:'ROSTER UPDATE'!M131)</f>
        <v>0</v>
      </c>
      <c r="K131" s="79">
        <f>SUM('ROSTER UPDATE'!N131:'ROSTER UPDATE'!P131)</f>
        <v>0</v>
      </c>
      <c r="L131" s="79"/>
      <c r="M131" s="80"/>
      <c r="O131" s="78">
        <f>IF(AND('ROSTER UPDATE'!R131=""),"",('ROSTER UPDATE'!R131))</f>
        <v>0</v>
      </c>
      <c r="P131" s="79">
        <f>IF(AND('ROSTER UPDATE'!S131=""),"",('ROSTER UPDATE'!S131))</f>
        <v>0</v>
      </c>
      <c r="Q131" s="80" t="str">
        <f>IF(AND('ROSTER UPDATE'!T131=""),"",('ROSTER UPDATE'!T131))</f>
        <v/>
      </c>
      <c r="S131" s="78">
        <f>SUM('ROSTER UPDATE'!R131:'ROSTER UPDATE'!T131)</f>
        <v>0</v>
      </c>
      <c r="T131" s="79">
        <f>SUM('ROSTER UPDATE'!U131:'ROSTER UPDATE'!W131)</f>
        <v>0</v>
      </c>
      <c r="U131" s="79">
        <f>SUM('ROSTER UPDATE'!X131:'ROSTER UPDATE'!Z131)</f>
        <v>0</v>
      </c>
      <c r="V131" s="79"/>
      <c r="W131" s="80"/>
    </row>
    <row r="132" spans="2:23" ht="15.75" thickBot="1" x14ac:dyDescent="0.3">
      <c r="B132" s="64" t="str">
        <f>IF(AND('ROSTER UPDATE'!B132=""),"",('ROSTER UPDATE'!B132))</f>
        <v/>
      </c>
      <c r="C132" s="65" t="str">
        <f>IF(AND('ROSTER UPDATE'!E132=""),"",('ROSTER UPDATE'!E132))</f>
        <v/>
      </c>
      <c r="E132" s="64" t="str">
        <f>IF(AND('ROSTER UPDATE'!F132=""),"",('ROSTER UPDATE'!F132))</f>
        <v/>
      </c>
      <c r="F132" s="65" t="str">
        <f>IF(AND('ROSTER UPDATE'!C132=""),"",('ROSTER UPDATE'!C132))</f>
        <v/>
      </c>
      <c r="G132" s="87" t="s">
        <v>41</v>
      </c>
      <c r="I132" s="78">
        <f>SUM('ROSTER UPDATE'!H132:'ROSTER UPDATE'!J132)</f>
        <v>0</v>
      </c>
      <c r="J132" s="79">
        <f>SUM('ROSTER UPDATE'!K132:'ROSTER UPDATE'!M132)</f>
        <v>0</v>
      </c>
      <c r="K132" s="79">
        <f>SUM('ROSTER UPDATE'!N132:'ROSTER UPDATE'!P132)</f>
        <v>0</v>
      </c>
      <c r="L132" s="79"/>
      <c r="M132" s="80"/>
      <c r="O132" s="78">
        <f>IF(AND('ROSTER UPDATE'!R132=""),"",('ROSTER UPDATE'!R132))</f>
        <v>0</v>
      </c>
      <c r="P132" s="79">
        <f>IF(AND('ROSTER UPDATE'!S132=""),"",('ROSTER UPDATE'!S132))</f>
        <v>0</v>
      </c>
      <c r="Q132" s="80" t="str">
        <f>IF(AND('ROSTER UPDATE'!T132=""),"",('ROSTER UPDATE'!T132))</f>
        <v/>
      </c>
      <c r="S132" s="78">
        <f>SUM('ROSTER UPDATE'!R132:'ROSTER UPDATE'!T132)</f>
        <v>0</v>
      </c>
      <c r="T132" s="79">
        <f>SUM('ROSTER UPDATE'!U132:'ROSTER UPDATE'!W132)</f>
        <v>0</v>
      </c>
      <c r="U132" s="79">
        <f>SUM('ROSTER UPDATE'!X132:'ROSTER UPDATE'!Z132)</f>
        <v>0</v>
      </c>
      <c r="V132" s="79"/>
      <c r="W132" s="80"/>
    </row>
    <row r="133" spans="2:23" ht="15.75" thickBot="1" x14ac:dyDescent="0.3">
      <c r="B133" s="64" t="str">
        <f>IF(AND('ROSTER UPDATE'!B133=""),"",('ROSTER UPDATE'!B133))</f>
        <v/>
      </c>
      <c r="C133" s="65" t="str">
        <f>IF(AND('ROSTER UPDATE'!E133=""),"",('ROSTER UPDATE'!E133))</f>
        <v/>
      </c>
      <c r="E133" s="64" t="str">
        <f>IF(AND('ROSTER UPDATE'!F133=""),"",('ROSTER UPDATE'!F133))</f>
        <v/>
      </c>
      <c r="F133" s="65" t="str">
        <f>IF(AND('ROSTER UPDATE'!C133=""),"",('ROSTER UPDATE'!C133))</f>
        <v/>
      </c>
      <c r="G133" s="87" t="s">
        <v>41</v>
      </c>
      <c r="I133" s="78">
        <f>SUM('ROSTER UPDATE'!H133:'ROSTER UPDATE'!J133)</f>
        <v>0</v>
      </c>
      <c r="J133" s="79">
        <f>SUM('ROSTER UPDATE'!K133:'ROSTER UPDATE'!M133)</f>
        <v>0</v>
      </c>
      <c r="K133" s="79">
        <f>SUM('ROSTER UPDATE'!N133:'ROSTER UPDATE'!P133)</f>
        <v>0</v>
      </c>
      <c r="L133" s="79"/>
      <c r="M133" s="80"/>
      <c r="O133" s="78">
        <f>IF(AND('ROSTER UPDATE'!R133=""),"",('ROSTER UPDATE'!R133))</f>
        <v>0</v>
      </c>
      <c r="P133" s="79">
        <f>IF(AND('ROSTER UPDATE'!S133=""),"",('ROSTER UPDATE'!S133))</f>
        <v>0</v>
      </c>
      <c r="Q133" s="80" t="str">
        <f>IF(AND('ROSTER UPDATE'!T133=""),"",('ROSTER UPDATE'!T133))</f>
        <v/>
      </c>
      <c r="S133" s="78">
        <f>SUM('ROSTER UPDATE'!R133:'ROSTER UPDATE'!T133)</f>
        <v>0</v>
      </c>
      <c r="T133" s="79">
        <f>SUM('ROSTER UPDATE'!U133:'ROSTER UPDATE'!W133)</f>
        <v>0</v>
      </c>
      <c r="U133" s="79">
        <f>SUM('ROSTER UPDATE'!X133:'ROSTER UPDATE'!Z133)</f>
        <v>0</v>
      </c>
      <c r="V133" s="79"/>
      <c r="W133" s="80"/>
    </row>
    <row r="134" spans="2:23" ht="15.75" thickBot="1" x14ac:dyDescent="0.3">
      <c r="B134" s="64" t="str">
        <f>IF(AND('ROSTER UPDATE'!B134=""),"",('ROSTER UPDATE'!B134))</f>
        <v/>
      </c>
      <c r="C134" s="65" t="str">
        <f>IF(AND('ROSTER UPDATE'!E134=""),"",('ROSTER UPDATE'!E134))</f>
        <v/>
      </c>
      <c r="E134" s="64" t="str">
        <f>IF(AND('ROSTER UPDATE'!F134=""),"",('ROSTER UPDATE'!F134))</f>
        <v/>
      </c>
      <c r="F134" s="65" t="str">
        <f>IF(AND('ROSTER UPDATE'!C134=""),"",('ROSTER UPDATE'!C134))</f>
        <v/>
      </c>
      <c r="G134" s="87" t="s">
        <v>41</v>
      </c>
      <c r="I134" s="78">
        <f>SUM('ROSTER UPDATE'!H134:'ROSTER UPDATE'!J134)</f>
        <v>0</v>
      </c>
      <c r="J134" s="79">
        <f>SUM('ROSTER UPDATE'!K134:'ROSTER UPDATE'!M134)</f>
        <v>0</v>
      </c>
      <c r="K134" s="79">
        <f>SUM('ROSTER UPDATE'!N134:'ROSTER UPDATE'!P134)</f>
        <v>0</v>
      </c>
      <c r="L134" s="79"/>
      <c r="M134" s="80"/>
      <c r="O134" s="78">
        <f>IF(AND('ROSTER UPDATE'!R134=""),"",('ROSTER UPDATE'!R134))</f>
        <v>0</v>
      </c>
      <c r="P134" s="79">
        <f>IF(AND('ROSTER UPDATE'!S134=""),"",('ROSTER UPDATE'!S134))</f>
        <v>0</v>
      </c>
      <c r="Q134" s="80" t="str">
        <f>IF(AND('ROSTER UPDATE'!T134=""),"",('ROSTER UPDATE'!T134))</f>
        <v/>
      </c>
      <c r="S134" s="78">
        <f>SUM('ROSTER UPDATE'!R134:'ROSTER UPDATE'!T134)</f>
        <v>0</v>
      </c>
      <c r="T134" s="79">
        <f>SUM('ROSTER UPDATE'!U134:'ROSTER UPDATE'!W134)</f>
        <v>0</v>
      </c>
      <c r="U134" s="79">
        <f>SUM('ROSTER UPDATE'!X134:'ROSTER UPDATE'!Z134)</f>
        <v>0</v>
      </c>
      <c r="V134" s="79"/>
      <c r="W134" s="80"/>
    </row>
    <row r="135" spans="2:23" ht="15.75" thickBot="1" x14ac:dyDescent="0.3">
      <c r="B135" s="64" t="str">
        <f>IF(AND('ROSTER UPDATE'!B135=""),"",('ROSTER UPDATE'!B135))</f>
        <v/>
      </c>
      <c r="C135" s="65" t="str">
        <f>IF(AND('ROSTER UPDATE'!E135=""),"",('ROSTER UPDATE'!E135))</f>
        <v/>
      </c>
      <c r="E135" s="64" t="str">
        <f>IF(AND('ROSTER UPDATE'!F135=""),"",('ROSTER UPDATE'!F135))</f>
        <v/>
      </c>
      <c r="F135" s="65" t="str">
        <f>IF(AND('ROSTER UPDATE'!C135=""),"",('ROSTER UPDATE'!C135))</f>
        <v/>
      </c>
      <c r="G135" s="87" t="s">
        <v>41</v>
      </c>
      <c r="I135" s="78">
        <f>SUM('ROSTER UPDATE'!H135:'ROSTER UPDATE'!J135)</f>
        <v>0</v>
      </c>
      <c r="J135" s="79">
        <f>SUM('ROSTER UPDATE'!K135:'ROSTER UPDATE'!M135)</f>
        <v>0</v>
      </c>
      <c r="K135" s="79">
        <f>SUM('ROSTER UPDATE'!N135:'ROSTER UPDATE'!P135)</f>
        <v>0</v>
      </c>
      <c r="L135" s="79"/>
      <c r="M135" s="80"/>
      <c r="O135" s="78">
        <f>IF(AND('ROSTER UPDATE'!R135=""),"",('ROSTER UPDATE'!R135))</f>
        <v>0</v>
      </c>
      <c r="P135" s="79">
        <f>IF(AND('ROSTER UPDATE'!S135=""),"",('ROSTER UPDATE'!S135))</f>
        <v>0</v>
      </c>
      <c r="Q135" s="80" t="str">
        <f>IF(AND('ROSTER UPDATE'!T135=""),"",('ROSTER UPDATE'!T135))</f>
        <v/>
      </c>
      <c r="S135" s="78">
        <f>SUM('ROSTER UPDATE'!R135:'ROSTER UPDATE'!T135)</f>
        <v>0</v>
      </c>
      <c r="T135" s="79">
        <f>SUM('ROSTER UPDATE'!U135:'ROSTER UPDATE'!W135)</f>
        <v>0</v>
      </c>
      <c r="U135" s="79">
        <f>SUM('ROSTER UPDATE'!X135:'ROSTER UPDATE'!Z135)</f>
        <v>0</v>
      </c>
      <c r="V135" s="79"/>
      <c r="W135" s="80"/>
    </row>
    <row r="136" spans="2:23" ht="15.75" thickBot="1" x14ac:dyDescent="0.3">
      <c r="B136" s="64" t="str">
        <f>IF(AND('ROSTER UPDATE'!B136=""),"",('ROSTER UPDATE'!B136))</f>
        <v/>
      </c>
      <c r="C136" s="65" t="str">
        <f>IF(AND('ROSTER UPDATE'!E136=""),"",('ROSTER UPDATE'!E136))</f>
        <v/>
      </c>
      <c r="E136" s="64" t="str">
        <f>IF(AND('ROSTER UPDATE'!F136=""),"",('ROSTER UPDATE'!F136))</f>
        <v/>
      </c>
      <c r="F136" s="65" t="str">
        <f>IF(AND('ROSTER UPDATE'!C136=""),"",('ROSTER UPDATE'!C136))</f>
        <v/>
      </c>
      <c r="G136" s="87" t="s">
        <v>41</v>
      </c>
      <c r="I136" s="78">
        <f>SUM('ROSTER UPDATE'!H136:'ROSTER UPDATE'!J136)</f>
        <v>0</v>
      </c>
      <c r="J136" s="79">
        <f>SUM('ROSTER UPDATE'!K136:'ROSTER UPDATE'!M136)</f>
        <v>0</v>
      </c>
      <c r="K136" s="79">
        <f>SUM('ROSTER UPDATE'!N136:'ROSTER UPDATE'!P136)</f>
        <v>0</v>
      </c>
      <c r="L136" s="79"/>
      <c r="M136" s="80"/>
      <c r="O136" s="78">
        <f>IF(AND('ROSTER UPDATE'!R136=""),"",('ROSTER UPDATE'!R136))</f>
        <v>0</v>
      </c>
      <c r="P136" s="79">
        <f>IF(AND('ROSTER UPDATE'!S136=""),"",('ROSTER UPDATE'!S136))</f>
        <v>0</v>
      </c>
      <c r="Q136" s="80" t="str">
        <f>IF(AND('ROSTER UPDATE'!T136=""),"",('ROSTER UPDATE'!T136))</f>
        <v/>
      </c>
      <c r="S136" s="78">
        <f>SUM('ROSTER UPDATE'!R136:'ROSTER UPDATE'!T136)</f>
        <v>0</v>
      </c>
      <c r="T136" s="79">
        <f>SUM('ROSTER UPDATE'!U136:'ROSTER UPDATE'!W136)</f>
        <v>0</v>
      </c>
      <c r="U136" s="79">
        <f>SUM('ROSTER UPDATE'!X136:'ROSTER UPDATE'!Z136)</f>
        <v>0</v>
      </c>
      <c r="V136" s="79"/>
      <c r="W136" s="80"/>
    </row>
    <row r="137" spans="2:23" ht="15.75" thickBot="1" x14ac:dyDescent="0.3">
      <c r="B137" s="64" t="str">
        <f>IF(AND('ROSTER UPDATE'!B137=""),"",('ROSTER UPDATE'!B137))</f>
        <v/>
      </c>
      <c r="C137" s="65" t="str">
        <f>IF(AND('ROSTER UPDATE'!E137=""),"",('ROSTER UPDATE'!E137))</f>
        <v/>
      </c>
      <c r="E137" s="64" t="str">
        <f>IF(AND('ROSTER UPDATE'!F137=""),"",('ROSTER UPDATE'!F137))</f>
        <v/>
      </c>
      <c r="F137" s="65" t="str">
        <f>IF(AND('ROSTER UPDATE'!C137=""),"",('ROSTER UPDATE'!C137))</f>
        <v/>
      </c>
      <c r="G137" s="87" t="s">
        <v>41</v>
      </c>
      <c r="I137" s="78">
        <f>SUM('ROSTER UPDATE'!H137:'ROSTER UPDATE'!J137)</f>
        <v>0</v>
      </c>
      <c r="J137" s="79">
        <f>SUM('ROSTER UPDATE'!K137:'ROSTER UPDATE'!M137)</f>
        <v>0</v>
      </c>
      <c r="K137" s="79">
        <f>SUM('ROSTER UPDATE'!N137:'ROSTER UPDATE'!P137)</f>
        <v>0</v>
      </c>
      <c r="L137" s="79"/>
      <c r="M137" s="80"/>
      <c r="O137" s="78">
        <f>IF(AND('ROSTER UPDATE'!R137=""),"",('ROSTER UPDATE'!R137))</f>
        <v>0</v>
      </c>
      <c r="P137" s="79">
        <f>IF(AND('ROSTER UPDATE'!S137=""),"",('ROSTER UPDATE'!S137))</f>
        <v>0</v>
      </c>
      <c r="Q137" s="80" t="str">
        <f>IF(AND('ROSTER UPDATE'!T137=""),"",('ROSTER UPDATE'!T137))</f>
        <v/>
      </c>
      <c r="S137" s="78">
        <f>SUM('ROSTER UPDATE'!R137:'ROSTER UPDATE'!T137)</f>
        <v>0</v>
      </c>
      <c r="T137" s="79">
        <f>SUM('ROSTER UPDATE'!U137:'ROSTER UPDATE'!W137)</f>
        <v>0</v>
      </c>
      <c r="U137" s="79">
        <f>SUM('ROSTER UPDATE'!X137:'ROSTER UPDATE'!Z137)</f>
        <v>0</v>
      </c>
      <c r="V137" s="79"/>
      <c r="W137" s="80"/>
    </row>
    <row r="138" spans="2:23" ht="15.75" thickBot="1" x14ac:dyDescent="0.3">
      <c r="B138" s="64" t="str">
        <f>IF(AND('ROSTER UPDATE'!B138=""),"",('ROSTER UPDATE'!B138))</f>
        <v/>
      </c>
      <c r="C138" s="65" t="str">
        <f>IF(AND('ROSTER UPDATE'!E138=""),"",('ROSTER UPDATE'!E138))</f>
        <v/>
      </c>
      <c r="E138" s="64" t="str">
        <f>IF(AND('ROSTER UPDATE'!F138=""),"",('ROSTER UPDATE'!F138))</f>
        <v/>
      </c>
      <c r="F138" s="65" t="str">
        <f>IF(AND('ROSTER UPDATE'!C138=""),"",('ROSTER UPDATE'!C138))</f>
        <v/>
      </c>
      <c r="G138" s="87" t="s">
        <v>41</v>
      </c>
      <c r="I138" s="78">
        <f>SUM('ROSTER UPDATE'!H138:'ROSTER UPDATE'!J138)</f>
        <v>0</v>
      </c>
      <c r="J138" s="79">
        <f>SUM('ROSTER UPDATE'!K138:'ROSTER UPDATE'!M138)</f>
        <v>0</v>
      </c>
      <c r="K138" s="79">
        <f>SUM('ROSTER UPDATE'!N138:'ROSTER UPDATE'!P138)</f>
        <v>0</v>
      </c>
      <c r="L138" s="79"/>
      <c r="M138" s="80"/>
      <c r="O138" s="78">
        <f>IF(AND('ROSTER UPDATE'!R138=""),"",('ROSTER UPDATE'!R138))</f>
        <v>0</v>
      </c>
      <c r="P138" s="79">
        <f>IF(AND('ROSTER UPDATE'!S138=""),"",('ROSTER UPDATE'!S138))</f>
        <v>0</v>
      </c>
      <c r="Q138" s="80" t="str">
        <f>IF(AND('ROSTER UPDATE'!T138=""),"",('ROSTER UPDATE'!T138))</f>
        <v/>
      </c>
      <c r="S138" s="78">
        <f>SUM('ROSTER UPDATE'!R138:'ROSTER UPDATE'!T138)</f>
        <v>0</v>
      </c>
      <c r="T138" s="79">
        <f>SUM('ROSTER UPDATE'!U138:'ROSTER UPDATE'!W138)</f>
        <v>0</v>
      </c>
      <c r="U138" s="79">
        <f>SUM('ROSTER UPDATE'!X138:'ROSTER UPDATE'!Z138)</f>
        <v>0</v>
      </c>
      <c r="V138" s="79"/>
      <c r="W138" s="80"/>
    </row>
    <row r="139" spans="2:23" ht="15.75" thickBot="1" x14ac:dyDescent="0.3">
      <c r="B139" s="64" t="str">
        <f>IF(AND('ROSTER UPDATE'!B139=""),"",('ROSTER UPDATE'!B139))</f>
        <v/>
      </c>
      <c r="C139" s="65" t="str">
        <f>IF(AND('ROSTER UPDATE'!E139=""),"",('ROSTER UPDATE'!E139))</f>
        <v/>
      </c>
      <c r="E139" s="64" t="str">
        <f>IF(AND('ROSTER UPDATE'!F139=""),"",('ROSTER UPDATE'!F139))</f>
        <v/>
      </c>
      <c r="F139" s="65" t="str">
        <f>IF(AND('ROSTER UPDATE'!C139=""),"",('ROSTER UPDATE'!C139))</f>
        <v/>
      </c>
      <c r="G139" s="87" t="s">
        <v>41</v>
      </c>
      <c r="I139" s="78">
        <f>SUM('ROSTER UPDATE'!H139:'ROSTER UPDATE'!J139)</f>
        <v>0</v>
      </c>
      <c r="J139" s="79">
        <f>SUM('ROSTER UPDATE'!K139:'ROSTER UPDATE'!M139)</f>
        <v>0</v>
      </c>
      <c r="K139" s="79">
        <f>SUM('ROSTER UPDATE'!N139:'ROSTER UPDATE'!P139)</f>
        <v>0</v>
      </c>
      <c r="L139" s="79"/>
      <c r="M139" s="80"/>
      <c r="O139" s="78">
        <f>IF(AND('ROSTER UPDATE'!R139=""),"",('ROSTER UPDATE'!R139))</f>
        <v>0</v>
      </c>
      <c r="P139" s="79">
        <f>IF(AND('ROSTER UPDATE'!S139=""),"",('ROSTER UPDATE'!S139))</f>
        <v>0</v>
      </c>
      <c r="Q139" s="80" t="str">
        <f>IF(AND('ROSTER UPDATE'!T139=""),"",('ROSTER UPDATE'!T139))</f>
        <v/>
      </c>
      <c r="S139" s="78">
        <f>SUM('ROSTER UPDATE'!R139:'ROSTER UPDATE'!T139)</f>
        <v>0</v>
      </c>
      <c r="T139" s="79">
        <f>SUM('ROSTER UPDATE'!U139:'ROSTER UPDATE'!W139)</f>
        <v>0</v>
      </c>
      <c r="U139" s="79">
        <f>SUM('ROSTER UPDATE'!X139:'ROSTER UPDATE'!Z139)</f>
        <v>0</v>
      </c>
      <c r="V139" s="79"/>
      <c r="W139" s="80"/>
    </row>
    <row r="140" spans="2:23" ht="15.75" thickBot="1" x14ac:dyDescent="0.3">
      <c r="B140" s="64" t="str">
        <f>IF(AND('ROSTER UPDATE'!B140=""),"",('ROSTER UPDATE'!B140))</f>
        <v/>
      </c>
      <c r="C140" s="65" t="str">
        <f>IF(AND('ROSTER UPDATE'!E140=""),"",('ROSTER UPDATE'!E140))</f>
        <v/>
      </c>
      <c r="E140" s="64" t="str">
        <f>IF(AND('ROSTER UPDATE'!F140=""),"",('ROSTER UPDATE'!F140))</f>
        <v/>
      </c>
      <c r="F140" s="65" t="str">
        <f>IF(AND('ROSTER UPDATE'!C140=""),"",('ROSTER UPDATE'!C140))</f>
        <v/>
      </c>
      <c r="G140" s="87" t="s">
        <v>41</v>
      </c>
      <c r="I140" s="78">
        <f>SUM('ROSTER UPDATE'!H140:'ROSTER UPDATE'!J140)</f>
        <v>0</v>
      </c>
      <c r="J140" s="79">
        <f>SUM('ROSTER UPDATE'!K140:'ROSTER UPDATE'!M140)</f>
        <v>0</v>
      </c>
      <c r="K140" s="79">
        <f>SUM('ROSTER UPDATE'!N140:'ROSTER UPDATE'!P140)</f>
        <v>0</v>
      </c>
      <c r="L140" s="79"/>
      <c r="M140" s="80"/>
      <c r="O140" s="78">
        <f>IF(AND('ROSTER UPDATE'!R140=""),"",('ROSTER UPDATE'!R140))</f>
        <v>0</v>
      </c>
      <c r="P140" s="79">
        <f>IF(AND('ROSTER UPDATE'!S140=""),"",('ROSTER UPDATE'!S140))</f>
        <v>0</v>
      </c>
      <c r="Q140" s="80" t="str">
        <f>IF(AND('ROSTER UPDATE'!T140=""),"",('ROSTER UPDATE'!T140))</f>
        <v/>
      </c>
      <c r="S140" s="78">
        <f>SUM('ROSTER UPDATE'!R140:'ROSTER UPDATE'!T140)</f>
        <v>0</v>
      </c>
      <c r="T140" s="79">
        <f>SUM('ROSTER UPDATE'!U140:'ROSTER UPDATE'!W140)</f>
        <v>0</v>
      </c>
      <c r="U140" s="79">
        <f>SUM('ROSTER UPDATE'!X140:'ROSTER UPDATE'!Z140)</f>
        <v>0</v>
      </c>
      <c r="V140" s="79"/>
      <c r="W140" s="80"/>
    </row>
    <row r="141" spans="2:23" ht="15.75" thickBot="1" x14ac:dyDescent="0.3">
      <c r="B141" s="64" t="str">
        <f>IF(AND('ROSTER UPDATE'!B141=""),"",('ROSTER UPDATE'!B141))</f>
        <v/>
      </c>
      <c r="C141" s="65" t="str">
        <f>IF(AND('ROSTER UPDATE'!E141=""),"",('ROSTER UPDATE'!E141))</f>
        <v/>
      </c>
      <c r="E141" s="64" t="str">
        <f>IF(AND('ROSTER UPDATE'!F141=""),"",('ROSTER UPDATE'!F141))</f>
        <v/>
      </c>
      <c r="F141" s="65" t="str">
        <f>IF(AND('ROSTER UPDATE'!C141=""),"",('ROSTER UPDATE'!C141))</f>
        <v/>
      </c>
      <c r="G141" s="87" t="s">
        <v>41</v>
      </c>
      <c r="I141" s="78">
        <f>SUM('ROSTER UPDATE'!H141:'ROSTER UPDATE'!J141)</f>
        <v>0</v>
      </c>
      <c r="J141" s="79">
        <f>SUM('ROSTER UPDATE'!K141:'ROSTER UPDATE'!M141)</f>
        <v>0</v>
      </c>
      <c r="K141" s="79">
        <f>SUM('ROSTER UPDATE'!N141:'ROSTER UPDATE'!P141)</f>
        <v>0</v>
      </c>
      <c r="L141" s="79"/>
      <c r="M141" s="80"/>
      <c r="O141" s="78">
        <f>IF(AND('ROSTER UPDATE'!R141=""),"",('ROSTER UPDATE'!R141))</f>
        <v>0</v>
      </c>
      <c r="P141" s="79">
        <f>IF(AND('ROSTER UPDATE'!S141=""),"",('ROSTER UPDATE'!S141))</f>
        <v>0</v>
      </c>
      <c r="Q141" s="80" t="str">
        <f>IF(AND('ROSTER UPDATE'!T141=""),"",('ROSTER UPDATE'!T141))</f>
        <v/>
      </c>
      <c r="S141" s="78">
        <f>SUM('ROSTER UPDATE'!R141:'ROSTER UPDATE'!T141)</f>
        <v>0</v>
      </c>
      <c r="T141" s="79">
        <f>SUM('ROSTER UPDATE'!U141:'ROSTER UPDATE'!W141)</f>
        <v>0</v>
      </c>
      <c r="U141" s="79">
        <f>SUM('ROSTER UPDATE'!X141:'ROSTER UPDATE'!Z141)</f>
        <v>0</v>
      </c>
      <c r="V141" s="79"/>
      <c r="W141" s="80"/>
    </row>
    <row r="142" spans="2:23" ht="15.75" thickBot="1" x14ac:dyDescent="0.3">
      <c r="B142" s="64" t="str">
        <f>IF(AND('ROSTER UPDATE'!B142=""),"",('ROSTER UPDATE'!B142))</f>
        <v/>
      </c>
      <c r="C142" s="65" t="str">
        <f>IF(AND('ROSTER UPDATE'!E142=""),"",('ROSTER UPDATE'!E142))</f>
        <v/>
      </c>
      <c r="E142" s="64" t="str">
        <f>IF(AND('ROSTER UPDATE'!F142=""),"",('ROSTER UPDATE'!F142))</f>
        <v/>
      </c>
      <c r="F142" s="65" t="str">
        <f>IF(AND('ROSTER UPDATE'!C142=""),"",('ROSTER UPDATE'!C142))</f>
        <v/>
      </c>
      <c r="G142" s="87" t="s">
        <v>41</v>
      </c>
      <c r="I142" s="78">
        <f>SUM('ROSTER UPDATE'!H142:'ROSTER UPDATE'!J142)</f>
        <v>0</v>
      </c>
      <c r="J142" s="79">
        <f>SUM('ROSTER UPDATE'!K142:'ROSTER UPDATE'!M142)</f>
        <v>0</v>
      </c>
      <c r="K142" s="79">
        <f>SUM('ROSTER UPDATE'!N142:'ROSTER UPDATE'!P142)</f>
        <v>0</v>
      </c>
      <c r="L142" s="79"/>
      <c r="M142" s="80"/>
      <c r="O142" s="78">
        <f>IF(AND('ROSTER UPDATE'!R142=""),"",('ROSTER UPDATE'!R142))</f>
        <v>0</v>
      </c>
      <c r="P142" s="79">
        <f>IF(AND('ROSTER UPDATE'!S142=""),"",('ROSTER UPDATE'!S142))</f>
        <v>0</v>
      </c>
      <c r="Q142" s="80" t="str">
        <f>IF(AND('ROSTER UPDATE'!T142=""),"",('ROSTER UPDATE'!T142))</f>
        <v/>
      </c>
      <c r="S142" s="78">
        <f>SUM('ROSTER UPDATE'!R142:'ROSTER UPDATE'!T142)</f>
        <v>0</v>
      </c>
      <c r="T142" s="79">
        <f>SUM('ROSTER UPDATE'!U142:'ROSTER UPDATE'!W142)</f>
        <v>0</v>
      </c>
      <c r="U142" s="79">
        <f>SUM('ROSTER UPDATE'!X142:'ROSTER UPDATE'!Z142)</f>
        <v>0</v>
      </c>
      <c r="V142" s="79"/>
      <c r="W142" s="80"/>
    </row>
    <row r="143" spans="2:23" ht="15.75" thickBot="1" x14ac:dyDescent="0.3">
      <c r="B143" s="64" t="str">
        <f>IF(AND('ROSTER UPDATE'!B143=""),"",('ROSTER UPDATE'!B143))</f>
        <v/>
      </c>
      <c r="C143" s="65" t="str">
        <f>IF(AND('ROSTER UPDATE'!E143=""),"",('ROSTER UPDATE'!E143))</f>
        <v/>
      </c>
      <c r="E143" s="64" t="str">
        <f>IF(AND('ROSTER UPDATE'!F143=""),"",('ROSTER UPDATE'!F143))</f>
        <v/>
      </c>
      <c r="F143" s="65" t="str">
        <f>IF(AND('ROSTER UPDATE'!C143=""),"",('ROSTER UPDATE'!C143))</f>
        <v/>
      </c>
      <c r="G143" s="87" t="s">
        <v>41</v>
      </c>
      <c r="I143" s="78">
        <f>SUM('ROSTER UPDATE'!H143:'ROSTER UPDATE'!J143)</f>
        <v>0</v>
      </c>
      <c r="J143" s="79">
        <f>SUM('ROSTER UPDATE'!K143:'ROSTER UPDATE'!M143)</f>
        <v>0</v>
      </c>
      <c r="K143" s="79">
        <f>SUM('ROSTER UPDATE'!N143:'ROSTER UPDATE'!P143)</f>
        <v>0</v>
      </c>
      <c r="L143" s="79"/>
      <c r="M143" s="80"/>
      <c r="O143" s="78">
        <f>IF(AND('ROSTER UPDATE'!R143=""),"",('ROSTER UPDATE'!R143))</f>
        <v>0</v>
      </c>
      <c r="P143" s="79">
        <f>IF(AND('ROSTER UPDATE'!S143=""),"",('ROSTER UPDATE'!S143))</f>
        <v>0</v>
      </c>
      <c r="Q143" s="80" t="str">
        <f>IF(AND('ROSTER UPDATE'!T143=""),"",('ROSTER UPDATE'!T143))</f>
        <v/>
      </c>
      <c r="S143" s="78">
        <f>SUM('ROSTER UPDATE'!R143:'ROSTER UPDATE'!T143)</f>
        <v>0</v>
      </c>
      <c r="T143" s="79">
        <f>SUM('ROSTER UPDATE'!U143:'ROSTER UPDATE'!W143)</f>
        <v>0</v>
      </c>
      <c r="U143" s="79">
        <f>SUM('ROSTER UPDATE'!X143:'ROSTER UPDATE'!Z143)</f>
        <v>0</v>
      </c>
      <c r="V143" s="79"/>
      <c r="W143" s="80"/>
    </row>
    <row r="144" spans="2:23" ht="15.75" thickBot="1" x14ac:dyDescent="0.3">
      <c r="B144" s="64" t="str">
        <f>IF(AND('ROSTER UPDATE'!B144=""),"",('ROSTER UPDATE'!B144))</f>
        <v/>
      </c>
      <c r="C144" s="65" t="str">
        <f>IF(AND('ROSTER UPDATE'!E144=""),"",('ROSTER UPDATE'!E144))</f>
        <v/>
      </c>
      <c r="E144" s="64" t="str">
        <f>IF(AND('ROSTER UPDATE'!F144=""),"",('ROSTER UPDATE'!F144))</f>
        <v/>
      </c>
      <c r="F144" s="65" t="str">
        <f>IF(AND('ROSTER UPDATE'!C144=""),"",('ROSTER UPDATE'!C144))</f>
        <v/>
      </c>
      <c r="G144" s="87" t="s">
        <v>41</v>
      </c>
      <c r="I144" s="78">
        <f>SUM('ROSTER UPDATE'!H144:'ROSTER UPDATE'!J144)</f>
        <v>0</v>
      </c>
      <c r="J144" s="79">
        <f>SUM('ROSTER UPDATE'!K144:'ROSTER UPDATE'!M144)</f>
        <v>0</v>
      </c>
      <c r="K144" s="79">
        <f>SUM('ROSTER UPDATE'!N144:'ROSTER UPDATE'!P144)</f>
        <v>0</v>
      </c>
      <c r="L144" s="79"/>
      <c r="M144" s="80"/>
      <c r="O144" s="78">
        <f>IF(AND('ROSTER UPDATE'!R144=""),"",('ROSTER UPDATE'!R144))</f>
        <v>0</v>
      </c>
      <c r="P144" s="79">
        <f>IF(AND('ROSTER UPDATE'!S144=""),"",('ROSTER UPDATE'!S144))</f>
        <v>0</v>
      </c>
      <c r="Q144" s="80" t="str">
        <f>IF(AND('ROSTER UPDATE'!T144=""),"",('ROSTER UPDATE'!T144))</f>
        <v/>
      </c>
      <c r="S144" s="78">
        <f>SUM('ROSTER UPDATE'!R144:'ROSTER UPDATE'!T144)</f>
        <v>0</v>
      </c>
      <c r="T144" s="79">
        <f>SUM('ROSTER UPDATE'!U144:'ROSTER UPDATE'!W144)</f>
        <v>0</v>
      </c>
      <c r="U144" s="79">
        <f>SUM('ROSTER UPDATE'!X144:'ROSTER UPDATE'!Z144)</f>
        <v>0</v>
      </c>
      <c r="V144" s="79"/>
      <c r="W144" s="80"/>
    </row>
    <row r="145" spans="2:23" ht="15.75" thickBot="1" x14ac:dyDescent="0.3">
      <c r="B145" s="64" t="str">
        <f>IF(AND('ROSTER UPDATE'!B145=""),"",('ROSTER UPDATE'!B145))</f>
        <v/>
      </c>
      <c r="C145" s="65" t="str">
        <f>IF(AND('ROSTER UPDATE'!E145=""),"",('ROSTER UPDATE'!E145))</f>
        <v/>
      </c>
      <c r="E145" s="64" t="str">
        <f>IF(AND('ROSTER UPDATE'!F145=""),"",('ROSTER UPDATE'!F145))</f>
        <v/>
      </c>
      <c r="F145" s="65" t="str">
        <f>IF(AND('ROSTER UPDATE'!C145=""),"",('ROSTER UPDATE'!C145))</f>
        <v/>
      </c>
      <c r="G145" s="87" t="s">
        <v>41</v>
      </c>
      <c r="I145" s="78">
        <f>SUM('ROSTER UPDATE'!H145:'ROSTER UPDATE'!J145)</f>
        <v>0</v>
      </c>
      <c r="J145" s="79">
        <f>SUM('ROSTER UPDATE'!K145:'ROSTER UPDATE'!M145)</f>
        <v>0</v>
      </c>
      <c r="K145" s="79">
        <f>SUM('ROSTER UPDATE'!N145:'ROSTER UPDATE'!P145)</f>
        <v>0</v>
      </c>
      <c r="L145" s="79"/>
      <c r="M145" s="80"/>
      <c r="O145" s="78">
        <f>IF(AND('ROSTER UPDATE'!R145=""),"",('ROSTER UPDATE'!R145))</f>
        <v>0</v>
      </c>
      <c r="P145" s="79">
        <f>IF(AND('ROSTER UPDATE'!S145=""),"",('ROSTER UPDATE'!S145))</f>
        <v>0</v>
      </c>
      <c r="Q145" s="80" t="str">
        <f>IF(AND('ROSTER UPDATE'!T145=""),"",('ROSTER UPDATE'!T145))</f>
        <v/>
      </c>
      <c r="S145" s="78">
        <f>SUM('ROSTER UPDATE'!R145:'ROSTER UPDATE'!T145)</f>
        <v>0</v>
      </c>
      <c r="T145" s="79">
        <f>SUM('ROSTER UPDATE'!U145:'ROSTER UPDATE'!W145)</f>
        <v>0</v>
      </c>
      <c r="U145" s="79">
        <f>SUM('ROSTER UPDATE'!X145:'ROSTER UPDATE'!Z145)</f>
        <v>0</v>
      </c>
      <c r="V145" s="79"/>
      <c r="W145" s="80"/>
    </row>
    <row r="146" spans="2:23" ht="15.75" thickBot="1" x14ac:dyDescent="0.3">
      <c r="B146" s="64" t="str">
        <f>IF(AND('ROSTER UPDATE'!B146=""),"",('ROSTER UPDATE'!B146))</f>
        <v/>
      </c>
      <c r="C146" s="65" t="str">
        <f>IF(AND('ROSTER UPDATE'!E146=""),"",('ROSTER UPDATE'!E146))</f>
        <v/>
      </c>
      <c r="E146" s="64" t="str">
        <f>IF(AND('ROSTER UPDATE'!F146=""),"",('ROSTER UPDATE'!F146))</f>
        <v/>
      </c>
      <c r="F146" s="65" t="str">
        <f>IF(AND('ROSTER UPDATE'!C146=""),"",('ROSTER UPDATE'!C146))</f>
        <v/>
      </c>
      <c r="G146" s="87" t="s">
        <v>41</v>
      </c>
      <c r="I146" s="78">
        <f>SUM('ROSTER UPDATE'!H146:'ROSTER UPDATE'!J146)</f>
        <v>0</v>
      </c>
      <c r="J146" s="79">
        <f>SUM('ROSTER UPDATE'!K146:'ROSTER UPDATE'!M146)</f>
        <v>0</v>
      </c>
      <c r="K146" s="79">
        <f>SUM('ROSTER UPDATE'!N146:'ROSTER UPDATE'!P146)</f>
        <v>0</v>
      </c>
      <c r="L146" s="79"/>
      <c r="M146" s="80"/>
      <c r="O146" s="78">
        <f>IF(AND('ROSTER UPDATE'!R146=""),"",('ROSTER UPDATE'!R146))</f>
        <v>0</v>
      </c>
      <c r="P146" s="79">
        <f>IF(AND('ROSTER UPDATE'!S146=""),"",('ROSTER UPDATE'!S146))</f>
        <v>0</v>
      </c>
      <c r="Q146" s="80" t="str">
        <f>IF(AND('ROSTER UPDATE'!T146=""),"",('ROSTER UPDATE'!T146))</f>
        <v/>
      </c>
      <c r="S146" s="78">
        <f>SUM('ROSTER UPDATE'!R146:'ROSTER UPDATE'!T146)</f>
        <v>0</v>
      </c>
      <c r="T146" s="79">
        <f>SUM('ROSTER UPDATE'!U146:'ROSTER UPDATE'!W146)</f>
        <v>0</v>
      </c>
      <c r="U146" s="79">
        <f>SUM('ROSTER UPDATE'!X146:'ROSTER UPDATE'!Z146)</f>
        <v>0</v>
      </c>
      <c r="V146" s="79"/>
      <c r="W146" s="80"/>
    </row>
    <row r="147" spans="2:23" ht="15.75" thickBot="1" x14ac:dyDescent="0.3">
      <c r="B147" s="64" t="str">
        <f>IF(AND('ROSTER UPDATE'!B147=""),"",('ROSTER UPDATE'!B147))</f>
        <v/>
      </c>
      <c r="C147" s="65" t="str">
        <f>IF(AND('ROSTER UPDATE'!E147=""),"",('ROSTER UPDATE'!E147))</f>
        <v/>
      </c>
      <c r="E147" s="64" t="str">
        <f>IF(AND('ROSTER UPDATE'!F147=""),"",('ROSTER UPDATE'!F147))</f>
        <v/>
      </c>
      <c r="F147" s="65" t="str">
        <f>IF(AND('ROSTER UPDATE'!C147=""),"",('ROSTER UPDATE'!C147))</f>
        <v/>
      </c>
      <c r="G147" s="87" t="s">
        <v>41</v>
      </c>
      <c r="I147" s="78">
        <f>SUM('ROSTER UPDATE'!H147:'ROSTER UPDATE'!J147)</f>
        <v>0</v>
      </c>
      <c r="J147" s="79">
        <f>SUM('ROSTER UPDATE'!K147:'ROSTER UPDATE'!M147)</f>
        <v>0</v>
      </c>
      <c r="K147" s="79">
        <f>SUM('ROSTER UPDATE'!N147:'ROSTER UPDATE'!P147)</f>
        <v>0</v>
      </c>
      <c r="L147" s="79"/>
      <c r="M147" s="80"/>
      <c r="O147" s="78">
        <f>IF(AND('ROSTER UPDATE'!R147=""),"",('ROSTER UPDATE'!R147))</f>
        <v>0</v>
      </c>
      <c r="P147" s="79">
        <f>IF(AND('ROSTER UPDATE'!S147=""),"",('ROSTER UPDATE'!S147))</f>
        <v>0</v>
      </c>
      <c r="Q147" s="80" t="str">
        <f>IF(AND('ROSTER UPDATE'!T147=""),"",('ROSTER UPDATE'!T147))</f>
        <v/>
      </c>
      <c r="S147" s="78">
        <f>SUM('ROSTER UPDATE'!R147:'ROSTER UPDATE'!T147)</f>
        <v>0</v>
      </c>
      <c r="T147" s="79">
        <f>SUM('ROSTER UPDATE'!U147:'ROSTER UPDATE'!W147)</f>
        <v>0</v>
      </c>
      <c r="U147" s="79">
        <f>SUM('ROSTER UPDATE'!X147:'ROSTER UPDATE'!Z147)</f>
        <v>0</v>
      </c>
      <c r="V147" s="79"/>
      <c r="W147" s="80"/>
    </row>
    <row r="148" spans="2:23" ht="15.75" thickBot="1" x14ac:dyDescent="0.3">
      <c r="B148" s="64" t="str">
        <f>IF(AND('ROSTER UPDATE'!B148=""),"",('ROSTER UPDATE'!B148))</f>
        <v/>
      </c>
      <c r="C148" s="65" t="str">
        <f>IF(AND('ROSTER UPDATE'!E148=""),"",('ROSTER UPDATE'!E148))</f>
        <v/>
      </c>
      <c r="E148" s="64" t="str">
        <f>IF(AND('ROSTER UPDATE'!F148=""),"",('ROSTER UPDATE'!F148))</f>
        <v/>
      </c>
      <c r="F148" s="65" t="str">
        <f>IF(AND('ROSTER UPDATE'!C148=""),"",('ROSTER UPDATE'!C148))</f>
        <v/>
      </c>
      <c r="G148" s="87" t="s">
        <v>41</v>
      </c>
      <c r="I148" s="78">
        <f>SUM('ROSTER UPDATE'!H148:'ROSTER UPDATE'!J148)</f>
        <v>0</v>
      </c>
      <c r="J148" s="79">
        <f>SUM('ROSTER UPDATE'!K148:'ROSTER UPDATE'!M148)</f>
        <v>0</v>
      </c>
      <c r="K148" s="79">
        <f>SUM('ROSTER UPDATE'!N148:'ROSTER UPDATE'!P148)</f>
        <v>0</v>
      </c>
      <c r="L148" s="79"/>
      <c r="M148" s="80"/>
      <c r="O148" s="78">
        <f>IF(AND('ROSTER UPDATE'!R148=""),"",('ROSTER UPDATE'!R148))</f>
        <v>0</v>
      </c>
      <c r="P148" s="79">
        <f>IF(AND('ROSTER UPDATE'!S148=""),"",('ROSTER UPDATE'!S148))</f>
        <v>0</v>
      </c>
      <c r="Q148" s="80" t="str">
        <f>IF(AND('ROSTER UPDATE'!T148=""),"",('ROSTER UPDATE'!T148))</f>
        <v/>
      </c>
      <c r="S148" s="78">
        <f>SUM('ROSTER UPDATE'!R148:'ROSTER UPDATE'!T148)</f>
        <v>0</v>
      </c>
      <c r="T148" s="79">
        <f>SUM('ROSTER UPDATE'!U148:'ROSTER UPDATE'!W148)</f>
        <v>0</v>
      </c>
      <c r="U148" s="79">
        <f>SUM('ROSTER UPDATE'!X148:'ROSTER UPDATE'!Z148)</f>
        <v>0</v>
      </c>
      <c r="V148" s="79"/>
      <c r="W148" s="80"/>
    </row>
    <row r="149" spans="2:23" ht="15.75" thickBot="1" x14ac:dyDescent="0.3">
      <c r="B149" s="64" t="str">
        <f>IF(AND('ROSTER UPDATE'!B149=""),"",('ROSTER UPDATE'!B149))</f>
        <v/>
      </c>
      <c r="C149" s="65" t="str">
        <f>IF(AND('ROSTER UPDATE'!E149=""),"",('ROSTER UPDATE'!E149))</f>
        <v/>
      </c>
      <c r="E149" s="64" t="str">
        <f>IF(AND('ROSTER UPDATE'!F149=""),"",('ROSTER UPDATE'!F149))</f>
        <v/>
      </c>
      <c r="F149" s="65" t="str">
        <f>IF(AND('ROSTER UPDATE'!C149=""),"",('ROSTER UPDATE'!C149))</f>
        <v/>
      </c>
      <c r="G149" s="87" t="s">
        <v>41</v>
      </c>
      <c r="I149" s="78">
        <f>SUM('ROSTER UPDATE'!H149:'ROSTER UPDATE'!J149)</f>
        <v>0</v>
      </c>
      <c r="J149" s="79">
        <f>SUM('ROSTER UPDATE'!K149:'ROSTER UPDATE'!M149)</f>
        <v>0</v>
      </c>
      <c r="K149" s="79">
        <f>SUM('ROSTER UPDATE'!N149:'ROSTER UPDATE'!P149)</f>
        <v>0</v>
      </c>
      <c r="L149" s="79"/>
      <c r="M149" s="80"/>
      <c r="O149" s="78">
        <f>IF(AND('ROSTER UPDATE'!R149=""),"",('ROSTER UPDATE'!R149))</f>
        <v>0</v>
      </c>
      <c r="P149" s="79">
        <f>IF(AND('ROSTER UPDATE'!S149=""),"",('ROSTER UPDATE'!S149))</f>
        <v>0</v>
      </c>
      <c r="Q149" s="80" t="str">
        <f>IF(AND('ROSTER UPDATE'!T149=""),"",('ROSTER UPDATE'!T149))</f>
        <v/>
      </c>
      <c r="S149" s="78">
        <f>SUM('ROSTER UPDATE'!R149:'ROSTER UPDATE'!T149)</f>
        <v>0</v>
      </c>
      <c r="T149" s="79">
        <f>SUM('ROSTER UPDATE'!U149:'ROSTER UPDATE'!W149)</f>
        <v>0</v>
      </c>
      <c r="U149" s="79">
        <f>SUM('ROSTER UPDATE'!X149:'ROSTER UPDATE'!Z149)</f>
        <v>0</v>
      </c>
      <c r="V149" s="79"/>
      <c r="W149" s="80"/>
    </row>
    <row r="150" spans="2:23" ht="15.75" thickBot="1" x14ac:dyDescent="0.3">
      <c r="B150" s="64" t="str">
        <f>IF(AND('ROSTER UPDATE'!B150=""),"",('ROSTER UPDATE'!B150))</f>
        <v/>
      </c>
      <c r="C150" s="65" t="str">
        <f>IF(AND('ROSTER UPDATE'!E150=""),"",('ROSTER UPDATE'!E150))</f>
        <v/>
      </c>
      <c r="E150" s="64" t="str">
        <f>IF(AND('ROSTER UPDATE'!F150=""),"",('ROSTER UPDATE'!F150))</f>
        <v/>
      </c>
      <c r="F150" s="65" t="str">
        <f>IF(AND('ROSTER UPDATE'!C150=""),"",('ROSTER UPDATE'!C150))</f>
        <v/>
      </c>
      <c r="G150" s="87" t="s">
        <v>41</v>
      </c>
      <c r="I150" s="78">
        <f>SUM('ROSTER UPDATE'!H150:'ROSTER UPDATE'!J150)</f>
        <v>0</v>
      </c>
      <c r="J150" s="79">
        <f>SUM('ROSTER UPDATE'!K150:'ROSTER UPDATE'!M150)</f>
        <v>0</v>
      </c>
      <c r="K150" s="79">
        <f>SUM('ROSTER UPDATE'!N150:'ROSTER UPDATE'!P150)</f>
        <v>0</v>
      </c>
      <c r="L150" s="79"/>
      <c r="M150" s="80"/>
      <c r="O150" s="78">
        <f>IF(AND('ROSTER UPDATE'!R150=""),"",('ROSTER UPDATE'!R150))</f>
        <v>0</v>
      </c>
      <c r="P150" s="79">
        <f>IF(AND('ROSTER UPDATE'!S150=""),"",('ROSTER UPDATE'!S150))</f>
        <v>0</v>
      </c>
      <c r="Q150" s="80" t="str">
        <f>IF(AND('ROSTER UPDATE'!T150=""),"",('ROSTER UPDATE'!T150))</f>
        <v/>
      </c>
      <c r="S150" s="78">
        <f>SUM('ROSTER UPDATE'!R150:'ROSTER UPDATE'!T150)</f>
        <v>0</v>
      </c>
      <c r="T150" s="79">
        <f>SUM('ROSTER UPDATE'!U150:'ROSTER UPDATE'!W150)</f>
        <v>0</v>
      </c>
      <c r="U150" s="79">
        <f>SUM('ROSTER UPDATE'!X150:'ROSTER UPDATE'!Z150)</f>
        <v>0</v>
      </c>
      <c r="V150" s="79"/>
      <c r="W150" s="80"/>
    </row>
    <row r="151" spans="2:23" ht="15.75" thickBot="1" x14ac:dyDescent="0.3">
      <c r="B151" s="64" t="str">
        <f>IF(AND('ROSTER UPDATE'!B151=""),"",('ROSTER UPDATE'!B151))</f>
        <v/>
      </c>
      <c r="C151" s="65" t="str">
        <f>IF(AND('ROSTER UPDATE'!E151=""),"",('ROSTER UPDATE'!E151))</f>
        <v/>
      </c>
      <c r="E151" s="64" t="str">
        <f>IF(AND('ROSTER UPDATE'!F151=""),"",('ROSTER UPDATE'!F151))</f>
        <v/>
      </c>
      <c r="F151" s="65" t="str">
        <f>IF(AND('ROSTER UPDATE'!C151=""),"",('ROSTER UPDATE'!C151))</f>
        <v/>
      </c>
      <c r="G151" s="87" t="s">
        <v>41</v>
      </c>
      <c r="I151" s="78">
        <f>SUM('ROSTER UPDATE'!H151:'ROSTER UPDATE'!J151)</f>
        <v>0</v>
      </c>
      <c r="J151" s="79">
        <f>SUM('ROSTER UPDATE'!K151:'ROSTER UPDATE'!M151)</f>
        <v>0</v>
      </c>
      <c r="K151" s="79">
        <f>SUM('ROSTER UPDATE'!N151:'ROSTER UPDATE'!P151)</f>
        <v>0</v>
      </c>
      <c r="L151" s="79"/>
      <c r="M151" s="80"/>
      <c r="O151" s="78" t="str">
        <f>IF(AND('ROSTER UPDATE'!R151=""),"",('ROSTER UPDATE'!R151))</f>
        <v/>
      </c>
      <c r="P151" s="79" t="str">
        <f>IF(AND('ROSTER UPDATE'!S151=""),"",('ROSTER UPDATE'!S151))</f>
        <v/>
      </c>
      <c r="Q151" s="80" t="str">
        <f>IF(AND('ROSTER UPDATE'!T151=""),"",('ROSTER UPDATE'!T151))</f>
        <v/>
      </c>
      <c r="S151" s="78">
        <f>SUM('ROSTER UPDATE'!R151:'ROSTER UPDATE'!T151)</f>
        <v>0</v>
      </c>
      <c r="T151" s="79">
        <f>SUM('ROSTER UPDATE'!U151:'ROSTER UPDATE'!W151)</f>
        <v>0</v>
      </c>
      <c r="U151" s="79">
        <f>SUM('ROSTER UPDATE'!X151:'ROSTER UPDATE'!Z151)</f>
        <v>0</v>
      </c>
      <c r="V151" s="79"/>
      <c r="W151" s="80"/>
    </row>
    <row r="152" spans="2:23" ht="15.75" thickBot="1" x14ac:dyDescent="0.3">
      <c r="B152" s="64" t="str">
        <f>IF(AND('ROSTER UPDATE'!B152=""),"",('ROSTER UPDATE'!B152))</f>
        <v/>
      </c>
      <c r="C152" s="65" t="str">
        <f>IF(AND('ROSTER UPDATE'!E152=""),"",('ROSTER UPDATE'!E152))</f>
        <v/>
      </c>
      <c r="E152" s="64" t="str">
        <f>IF(AND('ROSTER UPDATE'!F152=""),"",('ROSTER UPDATE'!F152))</f>
        <v/>
      </c>
      <c r="F152" s="65" t="str">
        <f>IF(AND('ROSTER UPDATE'!C152=""),"",('ROSTER UPDATE'!C152))</f>
        <v/>
      </c>
      <c r="G152" s="87" t="s">
        <v>41</v>
      </c>
      <c r="I152" s="78">
        <f>SUM('ROSTER UPDATE'!H152:'ROSTER UPDATE'!J152)</f>
        <v>0</v>
      </c>
      <c r="J152" s="79">
        <f>SUM('ROSTER UPDATE'!K152:'ROSTER UPDATE'!M152)</f>
        <v>0</v>
      </c>
      <c r="K152" s="79">
        <f>SUM('ROSTER UPDATE'!N152:'ROSTER UPDATE'!P152)</f>
        <v>0</v>
      </c>
      <c r="L152" s="79"/>
      <c r="M152" s="80"/>
      <c r="O152" s="78" t="str">
        <f>IF(AND('ROSTER UPDATE'!R152=""),"",('ROSTER UPDATE'!R152))</f>
        <v/>
      </c>
      <c r="P152" s="79" t="str">
        <f>IF(AND('ROSTER UPDATE'!S152=""),"",('ROSTER UPDATE'!S152))</f>
        <v/>
      </c>
      <c r="Q152" s="80" t="str">
        <f>IF(AND('ROSTER UPDATE'!T152=""),"",('ROSTER UPDATE'!T152))</f>
        <v/>
      </c>
      <c r="S152" s="78">
        <f>SUM('ROSTER UPDATE'!R152:'ROSTER UPDATE'!T152)</f>
        <v>0</v>
      </c>
      <c r="T152" s="79">
        <f>SUM('ROSTER UPDATE'!U152:'ROSTER UPDATE'!W152)</f>
        <v>0</v>
      </c>
      <c r="U152" s="79">
        <f>SUM('ROSTER UPDATE'!X152:'ROSTER UPDATE'!Z152)</f>
        <v>0</v>
      </c>
      <c r="V152" s="79"/>
      <c r="W152" s="80"/>
    </row>
    <row r="153" spans="2:23" ht="15.75" thickBot="1" x14ac:dyDescent="0.3">
      <c r="B153" s="64" t="str">
        <f>IF(AND('ROSTER UPDATE'!B153=""),"",('ROSTER UPDATE'!B153))</f>
        <v/>
      </c>
      <c r="C153" s="65" t="str">
        <f>IF(AND('ROSTER UPDATE'!E153=""),"",('ROSTER UPDATE'!E153))</f>
        <v/>
      </c>
      <c r="E153" s="64" t="str">
        <f>IF(AND('ROSTER UPDATE'!F153=""),"",('ROSTER UPDATE'!F153))</f>
        <v/>
      </c>
      <c r="F153" s="65" t="str">
        <f>IF(AND('ROSTER UPDATE'!C153=""),"",('ROSTER UPDATE'!C153))</f>
        <v/>
      </c>
      <c r="G153" s="87" t="s">
        <v>41</v>
      </c>
      <c r="I153" s="78">
        <f>SUM('ROSTER UPDATE'!H153:'ROSTER UPDATE'!J153)</f>
        <v>0</v>
      </c>
      <c r="J153" s="79">
        <f>SUM('ROSTER UPDATE'!K153:'ROSTER UPDATE'!M153)</f>
        <v>0</v>
      </c>
      <c r="K153" s="79">
        <f>SUM('ROSTER UPDATE'!N153:'ROSTER UPDATE'!P153)</f>
        <v>0</v>
      </c>
      <c r="L153" s="79"/>
      <c r="M153" s="80"/>
      <c r="O153" s="78" t="str">
        <f>IF(AND('ROSTER UPDATE'!R153=""),"",('ROSTER UPDATE'!R153))</f>
        <v/>
      </c>
      <c r="P153" s="79" t="str">
        <f>IF(AND('ROSTER UPDATE'!S153=""),"",('ROSTER UPDATE'!S153))</f>
        <v/>
      </c>
      <c r="Q153" s="80" t="str">
        <f>IF(AND('ROSTER UPDATE'!T153=""),"",('ROSTER UPDATE'!T153))</f>
        <v/>
      </c>
      <c r="S153" s="78">
        <f>SUM('ROSTER UPDATE'!R153:'ROSTER UPDATE'!T153)</f>
        <v>0</v>
      </c>
      <c r="T153" s="79">
        <f>SUM('ROSTER UPDATE'!U153:'ROSTER UPDATE'!W153)</f>
        <v>0</v>
      </c>
      <c r="U153" s="79">
        <f>SUM('ROSTER UPDATE'!X153:'ROSTER UPDATE'!Z153)</f>
        <v>0</v>
      </c>
      <c r="V153" s="79"/>
      <c r="W153" s="80"/>
    </row>
    <row r="154" spans="2:23" ht="15.75" thickBot="1" x14ac:dyDescent="0.3">
      <c r="B154" s="64" t="str">
        <f>IF(AND('ROSTER UPDATE'!B154=""),"",('ROSTER UPDATE'!B154))</f>
        <v/>
      </c>
      <c r="C154" s="65" t="str">
        <f>IF(AND('ROSTER UPDATE'!E154=""),"",('ROSTER UPDATE'!E154))</f>
        <v/>
      </c>
      <c r="E154" s="64" t="str">
        <f>IF(AND('ROSTER UPDATE'!F154=""),"",('ROSTER UPDATE'!F154))</f>
        <v/>
      </c>
      <c r="F154" s="65" t="str">
        <f>IF(AND('ROSTER UPDATE'!C154=""),"",('ROSTER UPDATE'!C154))</f>
        <v/>
      </c>
      <c r="G154" s="87" t="s">
        <v>41</v>
      </c>
      <c r="I154" s="78">
        <f>SUM('ROSTER UPDATE'!H154:'ROSTER UPDATE'!J154)</f>
        <v>0</v>
      </c>
      <c r="J154" s="79">
        <f>SUM('ROSTER UPDATE'!K154:'ROSTER UPDATE'!M154)</f>
        <v>0</v>
      </c>
      <c r="K154" s="79">
        <f>SUM('ROSTER UPDATE'!N154:'ROSTER UPDATE'!P154)</f>
        <v>0</v>
      </c>
      <c r="L154" s="79"/>
      <c r="M154" s="80"/>
      <c r="O154" s="78" t="str">
        <f>IF(AND('ROSTER UPDATE'!R154=""),"",('ROSTER UPDATE'!R154))</f>
        <v/>
      </c>
      <c r="P154" s="79" t="str">
        <f>IF(AND('ROSTER UPDATE'!S154=""),"",('ROSTER UPDATE'!S154))</f>
        <v/>
      </c>
      <c r="Q154" s="80" t="str">
        <f>IF(AND('ROSTER UPDATE'!T154=""),"",('ROSTER UPDATE'!T154))</f>
        <v/>
      </c>
      <c r="S154" s="78">
        <f>SUM('ROSTER UPDATE'!R154:'ROSTER UPDATE'!T154)</f>
        <v>0</v>
      </c>
      <c r="T154" s="79">
        <f>SUM('ROSTER UPDATE'!U154:'ROSTER UPDATE'!W154)</f>
        <v>0</v>
      </c>
      <c r="U154" s="79">
        <f>SUM('ROSTER UPDATE'!X154:'ROSTER UPDATE'!Z154)</f>
        <v>0</v>
      </c>
      <c r="V154" s="79"/>
      <c r="W154" s="80"/>
    </row>
    <row r="155" spans="2:23" ht="15.75" thickBot="1" x14ac:dyDescent="0.3">
      <c r="B155" s="64" t="str">
        <f>IF(AND('ROSTER UPDATE'!B155=""),"",('ROSTER UPDATE'!B155))</f>
        <v/>
      </c>
      <c r="C155" s="65" t="str">
        <f>IF(AND('ROSTER UPDATE'!E155=""),"",('ROSTER UPDATE'!E155))</f>
        <v/>
      </c>
      <c r="E155" s="64" t="str">
        <f>IF(AND('ROSTER UPDATE'!F155=""),"",('ROSTER UPDATE'!F155))</f>
        <v/>
      </c>
      <c r="F155" s="65" t="str">
        <f>IF(AND('ROSTER UPDATE'!C155=""),"",('ROSTER UPDATE'!C155))</f>
        <v/>
      </c>
      <c r="G155" s="87" t="s">
        <v>41</v>
      </c>
      <c r="I155" s="78">
        <f>SUM('ROSTER UPDATE'!H155:'ROSTER UPDATE'!J155)</f>
        <v>0</v>
      </c>
      <c r="J155" s="79">
        <f>SUM('ROSTER UPDATE'!K155:'ROSTER UPDATE'!M155)</f>
        <v>0</v>
      </c>
      <c r="K155" s="79">
        <f>SUM('ROSTER UPDATE'!N155:'ROSTER UPDATE'!P155)</f>
        <v>0</v>
      </c>
      <c r="L155" s="79"/>
      <c r="M155" s="80"/>
      <c r="O155" s="78" t="str">
        <f>IF(AND('ROSTER UPDATE'!R155=""),"",('ROSTER UPDATE'!R155))</f>
        <v/>
      </c>
      <c r="P155" s="79" t="str">
        <f>IF(AND('ROSTER UPDATE'!S155=""),"",('ROSTER UPDATE'!S155))</f>
        <v/>
      </c>
      <c r="Q155" s="80" t="str">
        <f>IF(AND('ROSTER UPDATE'!T155=""),"",('ROSTER UPDATE'!T155))</f>
        <v/>
      </c>
      <c r="S155" s="78">
        <f>SUM('ROSTER UPDATE'!R155:'ROSTER UPDATE'!T155)</f>
        <v>0</v>
      </c>
      <c r="T155" s="79">
        <f>SUM('ROSTER UPDATE'!U155:'ROSTER UPDATE'!W155)</f>
        <v>0</v>
      </c>
      <c r="U155" s="79">
        <f>SUM('ROSTER UPDATE'!X155:'ROSTER UPDATE'!Z155)</f>
        <v>0</v>
      </c>
      <c r="V155" s="79"/>
      <c r="W155" s="80"/>
    </row>
    <row r="156" spans="2:23" ht="15.75" thickBot="1" x14ac:dyDescent="0.3">
      <c r="B156" s="64" t="str">
        <f>IF(AND('ROSTER UPDATE'!B156=""),"",('ROSTER UPDATE'!B156))</f>
        <v/>
      </c>
      <c r="C156" s="65" t="str">
        <f>IF(AND('ROSTER UPDATE'!E156=""),"",('ROSTER UPDATE'!E156))</f>
        <v/>
      </c>
      <c r="E156" s="64" t="str">
        <f>IF(AND('ROSTER UPDATE'!F156=""),"",('ROSTER UPDATE'!F156))</f>
        <v/>
      </c>
      <c r="F156" s="65" t="str">
        <f>IF(AND('ROSTER UPDATE'!C156=""),"",('ROSTER UPDATE'!C156))</f>
        <v/>
      </c>
      <c r="G156" s="87" t="s">
        <v>41</v>
      </c>
      <c r="I156" s="78">
        <f>SUM('ROSTER UPDATE'!H156:'ROSTER UPDATE'!J156)</f>
        <v>0</v>
      </c>
      <c r="J156" s="79">
        <f>SUM('ROSTER UPDATE'!K156:'ROSTER UPDATE'!M156)</f>
        <v>0</v>
      </c>
      <c r="K156" s="79">
        <f>SUM('ROSTER UPDATE'!N156:'ROSTER UPDATE'!P156)</f>
        <v>0</v>
      </c>
      <c r="L156" s="79"/>
      <c r="M156" s="80"/>
      <c r="O156" s="78" t="str">
        <f>IF(AND('ROSTER UPDATE'!R156=""),"",('ROSTER UPDATE'!R156))</f>
        <v/>
      </c>
      <c r="P156" s="79" t="str">
        <f>IF(AND('ROSTER UPDATE'!S156=""),"",('ROSTER UPDATE'!S156))</f>
        <v/>
      </c>
      <c r="Q156" s="80" t="str">
        <f>IF(AND('ROSTER UPDATE'!T156=""),"",('ROSTER UPDATE'!T156))</f>
        <v/>
      </c>
      <c r="S156" s="78">
        <f>SUM('ROSTER UPDATE'!R156:'ROSTER UPDATE'!T156)</f>
        <v>0</v>
      </c>
      <c r="T156" s="79">
        <f>SUM('ROSTER UPDATE'!U156:'ROSTER UPDATE'!W156)</f>
        <v>0</v>
      </c>
      <c r="U156" s="79">
        <f>SUM('ROSTER UPDATE'!X156:'ROSTER UPDATE'!Z156)</f>
        <v>0</v>
      </c>
      <c r="V156" s="79"/>
      <c r="W156" s="80"/>
    </row>
    <row r="157" spans="2:23" ht="15.75" thickBot="1" x14ac:dyDescent="0.3">
      <c r="B157" s="64" t="str">
        <f>IF(AND('ROSTER UPDATE'!B157=""),"",('ROSTER UPDATE'!B157))</f>
        <v/>
      </c>
      <c r="C157" s="65" t="str">
        <f>IF(AND('ROSTER UPDATE'!E157=""),"",('ROSTER UPDATE'!E157))</f>
        <v/>
      </c>
      <c r="E157" s="64" t="str">
        <f>IF(AND('ROSTER UPDATE'!F157=""),"",('ROSTER UPDATE'!F157))</f>
        <v/>
      </c>
      <c r="F157" s="65" t="str">
        <f>IF(AND('ROSTER UPDATE'!C157=""),"",('ROSTER UPDATE'!C157))</f>
        <v/>
      </c>
      <c r="G157" s="87" t="s">
        <v>41</v>
      </c>
      <c r="I157" s="78">
        <f>SUM('ROSTER UPDATE'!H157:'ROSTER UPDATE'!J157)</f>
        <v>0</v>
      </c>
      <c r="J157" s="79">
        <f>SUM('ROSTER UPDATE'!K157:'ROSTER UPDATE'!M157)</f>
        <v>0</v>
      </c>
      <c r="K157" s="79">
        <f>SUM('ROSTER UPDATE'!N157:'ROSTER UPDATE'!P157)</f>
        <v>0</v>
      </c>
      <c r="L157" s="79"/>
      <c r="M157" s="80"/>
      <c r="O157" s="78" t="str">
        <f>IF(AND('ROSTER UPDATE'!R157=""),"",('ROSTER UPDATE'!R157))</f>
        <v/>
      </c>
      <c r="P157" s="79" t="str">
        <f>IF(AND('ROSTER UPDATE'!S157=""),"",('ROSTER UPDATE'!S157))</f>
        <v/>
      </c>
      <c r="Q157" s="80" t="str">
        <f>IF(AND('ROSTER UPDATE'!T157=""),"",('ROSTER UPDATE'!T157))</f>
        <v/>
      </c>
      <c r="S157" s="78">
        <f>SUM('ROSTER UPDATE'!R157:'ROSTER UPDATE'!T157)</f>
        <v>0</v>
      </c>
      <c r="T157" s="79">
        <f>SUM('ROSTER UPDATE'!U157:'ROSTER UPDATE'!W157)</f>
        <v>0</v>
      </c>
      <c r="U157" s="79">
        <f>SUM('ROSTER UPDATE'!X157:'ROSTER UPDATE'!Z157)</f>
        <v>0</v>
      </c>
      <c r="V157" s="79"/>
      <c r="W157" s="80"/>
    </row>
    <row r="158" spans="2:23" ht="15.75" thickBot="1" x14ac:dyDescent="0.3">
      <c r="B158" s="64" t="str">
        <f>IF(AND('ROSTER UPDATE'!B158=""),"",('ROSTER UPDATE'!B158))</f>
        <v/>
      </c>
      <c r="C158" s="65" t="str">
        <f>IF(AND('ROSTER UPDATE'!E158=""),"",('ROSTER UPDATE'!E158))</f>
        <v/>
      </c>
      <c r="E158" s="64" t="str">
        <f>IF(AND('ROSTER UPDATE'!F158=""),"",('ROSTER UPDATE'!F158))</f>
        <v/>
      </c>
      <c r="F158" s="65" t="str">
        <f>IF(AND('ROSTER UPDATE'!C158=""),"",('ROSTER UPDATE'!C158))</f>
        <v/>
      </c>
      <c r="G158" s="87" t="s">
        <v>41</v>
      </c>
      <c r="I158" s="78">
        <f>SUM('ROSTER UPDATE'!H158:'ROSTER UPDATE'!J158)</f>
        <v>0</v>
      </c>
      <c r="J158" s="79">
        <f>SUM('ROSTER UPDATE'!K158:'ROSTER UPDATE'!M158)</f>
        <v>0</v>
      </c>
      <c r="K158" s="79">
        <f>SUM('ROSTER UPDATE'!N158:'ROSTER UPDATE'!P158)</f>
        <v>0</v>
      </c>
      <c r="L158" s="79"/>
      <c r="M158" s="80"/>
      <c r="O158" s="78" t="str">
        <f>IF(AND('ROSTER UPDATE'!R158=""),"",('ROSTER UPDATE'!R158))</f>
        <v/>
      </c>
      <c r="P158" s="79" t="str">
        <f>IF(AND('ROSTER UPDATE'!S158=""),"",('ROSTER UPDATE'!S158))</f>
        <v/>
      </c>
      <c r="Q158" s="80" t="str">
        <f>IF(AND('ROSTER UPDATE'!T158=""),"",('ROSTER UPDATE'!T158))</f>
        <v/>
      </c>
      <c r="S158" s="78">
        <f>SUM('ROSTER UPDATE'!R158:'ROSTER UPDATE'!T158)</f>
        <v>0</v>
      </c>
      <c r="T158" s="79">
        <f>SUM('ROSTER UPDATE'!U158:'ROSTER UPDATE'!W158)</f>
        <v>0</v>
      </c>
      <c r="U158" s="79">
        <f>SUM('ROSTER UPDATE'!X158:'ROSTER UPDATE'!Z158)</f>
        <v>0</v>
      </c>
      <c r="V158" s="79"/>
      <c r="W158" s="80"/>
    </row>
    <row r="159" spans="2:23" ht="15.75" thickBot="1" x14ac:dyDescent="0.3">
      <c r="B159" s="64" t="str">
        <f>IF(AND('ROSTER UPDATE'!B159=""),"",('ROSTER UPDATE'!B159))</f>
        <v/>
      </c>
      <c r="C159" s="65" t="str">
        <f>IF(AND('ROSTER UPDATE'!E159=""),"",('ROSTER UPDATE'!E159))</f>
        <v/>
      </c>
      <c r="E159" s="64" t="str">
        <f>IF(AND('ROSTER UPDATE'!F159=""),"",('ROSTER UPDATE'!F159))</f>
        <v/>
      </c>
      <c r="F159" s="65" t="str">
        <f>IF(AND('ROSTER UPDATE'!C159=""),"",('ROSTER UPDATE'!C159))</f>
        <v/>
      </c>
      <c r="G159" s="87" t="s">
        <v>41</v>
      </c>
      <c r="I159" s="78">
        <f>SUM('ROSTER UPDATE'!H159:'ROSTER UPDATE'!J159)</f>
        <v>0</v>
      </c>
      <c r="J159" s="79">
        <f>SUM('ROSTER UPDATE'!K159:'ROSTER UPDATE'!M159)</f>
        <v>0</v>
      </c>
      <c r="K159" s="79">
        <f>SUM('ROSTER UPDATE'!N159:'ROSTER UPDATE'!P159)</f>
        <v>0</v>
      </c>
      <c r="L159" s="79"/>
      <c r="M159" s="80"/>
      <c r="O159" s="78" t="str">
        <f>IF(AND('ROSTER UPDATE'!R159=""),"",('ROSTER UPDATE'!R159))</f>
        <v/>
      </c>
      <c r="P159" s="79" t="str">
        <f>IF(AND('ROSTER UPDATE'!S159=""),"",('ROSTER UPDATE'!S159))</f>
        <v/>
      </c>
      <c r="Q159" s="80" t="str">
        <f>IF(AND('ROSTER UPDATE'!T159=""),"",('ROSTER UPDATE'!T159))</f>
        <v/>
      </c>
      <c r="S159" s="78">
        <f>SUM('ROSTER UPDATE'!R159:'ROSTER UPDATE'!T159)</f>
        <v>0</v>
      </c>
      <c r="T159" s="79">
        <f>SUM('ROSTER UPDATE'!U159:'ROSTER UPDATE'!W159)</f>
        <v>0</v>
      </c>
      <c r="U159" s="79">
        <f>SUM('ROSTER UPDATE'!X159:'ROSTER UPDATE'!Z159)</f>
        <v>0</v>
      </c>
      <c r="V159" s="79"/>
      <c r="W159" s="80"/>
    </row>
    <row r="160" spans="2:23" ht="15.75" thickBot="1" x14ac:dyDescent="0.3">
      <c r="B160" s="64" t="str">
        <f>IF(AND('ROSTER UPDATE'!B160=""),"",('ROSTER UPDATE'!B160))</f>
        <v/>
      </c>
      <c r="C160" s="65" t="str">
        <f>IF(AND('ROSTER UPDATE'!E160=""),"",('ROSTER UPDATE'!E160))</f>
        <v/>
      </c>
      <c r="E160" s="64" t="str">
        <f>IF(AND('ROSTER UPDATE'!F160=""),"",('ROSTER UPDATE'!F160))</f>
        <v/>
      </c>
      <c r="F160" s="65" t="str">
        <f>IF(AND('ROSTER UPDATE'!C160=""),"",('ROSTER UPDATE'!C160))</f>
        <v/>
      </c>
      <c r="G160" s="87" t="s">
        <v>41</v>
      </c>
      <c r="I160" s="78">
        <f>SUM('ROSTER UPDATE'!H160:'ROSTER UPDATE'!J160)</f>
        <v>0</v>
      </c>
      <c r="J160" s="79">
        <f>SUM('ROSTER UPDATE'!K160:'ROSTER UPDATE'!M160)</f>
        <v>0</v>
      </c>
      <c r="K160" s="79">
        <f>SUM('ROSTER UPDATE'!N160:'ROSTER UPDATE'!P160)</f>
        <v>0</v>
      </c>
      <c r="L160" s="79"/>
      <c r="M160" s="80"/>
      <c r="O160" s="78" t="str">
        <f>IF(AND('ROSTER UPDATE'!R160=""),"",('ROSTER UPDATE'!R160))</f>
        <v/>
      </c>
      <c r="P160" s="79" t="str">
        <f>IF(AND('ROSTER UPDATE'!S160=""),"",('ROSTER UPDATE'!S160))</f>
        <v/>
      </c>
      <c r="Q160" s="80" t="str">
        <f>IF(AND('ROSTER UPDATE'!T160=""),"",('ROSTER UPDATE'!T160))</f>
        <v/>
      </c>
      <c r="S160" s="78">
        <f>SUM('ROSTER UPDATE'!R160:'ROSTER UPDATE'!T160)</f>
        <v>0</v>
      </c>
      <c r="T160" s="79">
        <f>SUM('ROSTER UPDATE'!U160:'ROSTER UPDATE'!W160)</f>
        <v>0</v>
      </c>
      <c r="U160" s="79">
        <f>SUM('ROSTER UPDATE'!X160:'ROSTER UPDATE'!Z160)</f>
        <v>0</v>
      </c>
      <c r="V160" s="79"/>
      <c r="W160" s="80"/>
    </row>
    <row r="161" spans="2:23" ht="15.75" thickBot="1" x14ac:dyDescent="0.3">
      <c r="B161" s="64" t="str">
        <f>IF(AND('ROSTER UPDATE'!B161=""),"",('ROSTER UPDATE'!B161))</f>
        <v/>
      </c>
      <c r="C161" s="65" t="str">
        <f>IF(AND('ROSTER UPDATE'!E161=""),"",('ROSTER UPDATE'!E161))</f>
        <v/>
      </c>
      <c r="E161" s="64" t="str">
        <f>IF(AND('ROSTER UPDATE'!F161=""),"",('ROSTER UPDATE'!F161))</f>
        <v/>
      </c>
      <c r="F161" s="65" t="str">
        <f>IF(AND('ROSTER UPDATE'!C161=""),"",('ROSTER UPDATE'!C161))</f>
        <v/>
      </c>
      <c r="G161" s="87" t="s">
        <v>41</v>
      </c>
      <c r="I161" s="78">
        <f>SUM('ROSTER UPDATE'!H161:'ROSTER UPDATE'!J161)</f>
        <v>0</v>
      </c>
      <c r="J161" s="79">
        <f>SUM('ROSTER UPDATE'!K161:'ROSTER UPDATE'!M161)</f>
        <v>0</v>
      </c>
      <c r="K161" s="79">
        <f>SUM('ROSTER UPDATE'!N161:'ROSTER UPDATE'!P161)</f>
        <v>0</v>
      </c>
      <c r="L161" s="79"/>
      <c r="M161" s="80"/>
      <c r="O161" s="78" t="str">
        <f>IF(AND('ROSTER UPDATE'!R161=""),"",('ROSTER UPDATE'!R161))</f>
        <v/>
      </c>
      <c r="P161" s="79" t="str">
        <f>IF(AND('ROSTER UPDATE'!S161=""),"",('ROSTER UPDATE'!S161))</f>
        <v/>
      </c>
      <c r="Q161" s="80" t="str">
        <f>IF(AND('ROSTER UPDATE'!T161=""),"",('ROSTER UPDATE'!T161))</f>
        <v/>
      </c>
      <c r="S161" s="78">
        <f>SUM('ROSTER UPDATE'!R161:'ROSTER UPDATE'!T161)</f>
        <v>0</v>
      </c>
      <c r="T161" s="79">
        <f>SUM('ROSTER UPDATE'!U161:'ROSTER UPDATE'!W161)</f>
        <v>0</v>
      </c>
      <c r="U161" s="79">
        <f>SUM('ROSTER UPDATE'!X161:'ROSTER UPDATE'!Z161)</f>
        <v>0</v>
      </c>
      <c r="V161" s="79"/>
      <c r="W161" s="80"/>
    </row>
    <row r="162" spans="2:23" ht="15.75" thickBot="1" x14ac:dyDescent="0.3">
      <c r="B162" s="64" t="str">
        <f>IF(AND('ROSTER UPDATE'!B162=""),"",('ROSTER UPDATE'!B162))</f>
        <v/>
      </c>
      <c r="C162" s="65" t="str">
        <f>IF(AND('ROSTER UPDATE'!E162=""),"",('ROSTER UPDATE'!E162))</f>
        <v/>
      </c>
      <c r="E162" s="64" t="str">
        <f>IF(AND('ROSTER UPDATE'!F162=""),"",('ROSTER UPDATE'!F162))</f>
        <v/>
      </c>
      <c r="F162" s="65" t="str">
        <f>IF(AND('ROSTER UPDATE'!C162=""),"",('ROSTER UPDATE'!C162))</f>
        <v/>
      </c>
      <c r="G162" s="87" t="s">
        <v>41</v>
      </c>
      <c r="I162" s="78">
        <f>SUM('ROSTER UPDATE'!H162:'ROSTER UPDATE'!J162)</f>
        <v>0</v>
      </c>
      <c r="J162" s="79">
        <f>SUM('ROSTER UPDATE'!K162:'ROSTER UPDATE'!M162)</f>
        <v>0</v>
      </c>
      <c r="K162" s="79">
        <f>SUM('ROSTER UPDATE'!N162:'ROSTER UPDATE'!P162)</f>
        <v>0</v>
      </c>
      <c r="L162" s="79"/>
      <c r="M162" s="80"/>
      <c r="O162" s="78" t="str">
        <f>IF(AND('ROSTER UPDATE'!R162=""),"",('ROSTER UPDATE'!R162))</f>
        <v/>
      </c>
      <c r="P162" s="79" t="str">
        <f>IF(AND('ROSTER UPDATE'!S162=""),"",('ROSTER UPDATE'!S162))</f>
        <v/>
      </c>
      <c r="Q162" s="80" t="str">
        <f>IF(AND('ROSTER UPDATE'!T162=""),"",('ROSTER UPDATE'!T162))</f>
        <v/>
      </c>
      <c r="S162" s="78">
        <f>SUM('ROSTER UPDATE'!R162:'ROSTER UPDATE'!T162)</f>
        <v>0</v>
      </c>
      <c r="T162" s="79">
        <f>SUM('ROSTER UPDATE'!U162:'ROSTER UPDATE'!W162)</f>
        <v>0</v>
      </c>
      <c r="U162" s="79">
        <f>SUM('ROSTER UPDATE'!X162:'ROSTER UPDATE'!Z162)</f>
        <v>0</v>
      </c>
      <c r="V162" s="79"/>
      <c r="W162" s="80"/>
    </row>
    <row r="163" spans="2:23" ht="15.75" thickBot="1" x14ac:dyDescent="0.3">
      <c r="B163" s="64" t="str">
        <f>IF(AND('ROSTER UPDATE'!B163=""),"",('ROSTER UPDATE'!B163))</f>
        <v/>
      </c>
      <c r="C163" s="65" t="str">
        <f>IF(AND('ROSTER UPDATE'!E163=""),"",('ROSTER UPDATE'!E163))</f>
        <v/>
      </c>
      <c r="E163" s="64" t="str">
        <f>IF(AND('ROSTER UPDATE'!F163=""),"",('ROSTER UPDATE'!F163))</f>
        <v/>
      </c>
      <c r="F163" s="65" t="str">
        <f>IF(AND('ROSTER UPDATE'!C163=""),"",('ROSTER UPDATE'!C163))</f>
        <v/>
      </c>
      <c r="G163" s="87" t="s">
        <v>41</v>
      </c>
      <c r="I163" s="78">
        <f>SUM('ROSTER UPDATE'!H163:'ROSTER UPDATE'!J163)</f>
        <v>0</v>
      </c>
      <c r="J163" s="79">
        <f>SUM('ROSTER UPDATE'!K163:'ROSTER UPDATE'!M163)</f>
        <v>0</v>
      </c>
      <c r="K163" s="79">
        <f>SUM('ROSTER UPDATE'!N163:'ROSTER UPDATE'!P163)</f>
        <v>0</v>
      </c>
      <c r="L163" s="79"/>
      <c r="M163" s="80"/>
      <c r="O163" s="78" t="str">
        <f>IF(AND('ROSTER UPDATE'!R163=""),"",('ROSTER UPDATE'!R163))</f>
        <v/>
      </c>
      <c r="P163" s="79" t="str">
        <f>IF(AND('ROSTER UPDATE'!S163=""),"",('ROSTER UPDATE'!S163))</f>
        <v/>
      </c>
      <c r="Q163" s="80" t="str">
        <f>IF(AND('ROSTER UPDATE'!T163=""),"",('ROSTER UPDATE'!T163))</f>
        <v/>
      </c>
      <c r="S163" s="78">
        <f>SUM('ROSTER UPDATE'!R163:'ROSTER UPDATE'!T163)</f>
        <v>0</v>
      </c>
      <c r="T163" s="79">
        <f>SUM('ROSTER UPDATE'!U163:'ROSTER UPDATE'!W163)</f>
        <v>0</v>
      </c>
      <c r="U163" s="79">
        <f>SUM('ROSTER UPDATE'!X163:'ROSTER UPDATE'!Z163)</f>
        <v>0</v>
      </c>
      <c r="V163" s="79"/>
      <c r="W163" s="80"/>
    </row>
    <row r="164" spans="2:23" ht="15.75" thickBot="1" x14ac:dyDescent="0.3">
      <c r="B164" s="64" t="str">
        <f>IF(AND('ROSTER UPDATE'!B164=""),"",('ROSTER UPDATE'!B164))</f>
        <v/>
      </c>
      <c r="C164" s="65" t="str">
        <f>IF(AND('ROSTER UPDATE'!E164=""),"",('ROSTER UPDATE'!E164))</f>
        <v/>
      </c>
      <c r="E164" s="64" t="str">
        <f>IF(AND('ROSTER UPDATE'!F164=""),"",('ROSTER UPDATE'!F164))</f>
        <v/>
      </c>
      <c r="F164" s="65" t="str">
        <f>IF(AND('ROSTER UPDATE'!C164=""),"",('ROSTER UPDATE'!C164))</f>
        <v/>
      </c>
      <c r="G164" s="87" t="s">
        <v>41</v>
      </c>
      <c r="I164" s="78">
        <f>SUM('ROSTER UPDATE'!H164:'ROSTER UPDATE'!J164)</f>
        <v>0</v>
      </c>
      <c r="J164" s="79">
        <f>SUM('ROSTER UPDATE'!K164:'ROSTER UPDATE'!M164)</f>
        <v>0</v>
      </c>
      <c r="K164" s="79">
        <f>SUM('ROSTER UPDATE'!N164:'ROSTER UPDATE'!P164)</f>
        <v>0</v>
      </c>
      <c r="L164" s="79"/>
      <c r="M164" s="80"/>
      <c r="O164" s="78" t="str">
        <f>IF(AND('ROSTER UPDATE'!R164=""),"",('ROSTER UPDATE'!R164))</f>
        <v/>
      </c>
      <c r="P164" s="79" t="str">
        <f>IF(AND('ROSTER UPDATE'!S164=""),"",('ROSTER UPDATE'!S164))</f>
        <v/>
      </c>
      <c r="Q164" s="80" t="str">
        <f>IF(AND('ROSTER UPDATE'!T164=""),"",('ROSTER UPDATE'!T164))</f>
        <v/>
      </c>
      <c r="S164" s="78">
        <f>SUM('ROSTER UPDATE'!R164:'ROSTER UPDATE'!T164)</f>
        <v>0</v>
      </c>
      <c r="T164" s="79">
        <f>SUM('ROSTER UPDATE'!U164:'ROSTER UPDATE'!W164)</f>
        <v>0</v>
      </c>
      <c r="U164" s="79">
        <f>SUM('ROSTER UPDATE'!X164:'ROSTER UPDATE'!Z164)</f>
        <v>0</v>
      </c>
      <c r="V164" s="79"/>
      <c r="W164" s="80"/>
    </row>
    <row r="165" spans="2:23" ht="15.75" thickBot="1" x14ac:dyDescent="0.3">
      <c r="B165" s="64" t="str">
        <f>IF(AND('ROSTER UPDATE'!B165=""),"",('ROSTER UPDATE'!B165))</f>
        <v/>
      </c>
      <c r="C165" s="65" t="str">
        <f>IF(AND('ROSTER UPDATE'!E165=""),"",('ROSTER UPDATE'!E165))</f>
        <v/>
      </c>
      <c r="E165" s="64" t="str">
        <f>IF(AND('ROSTER UPDATE'!F165=""),"",('ROSTER UPDATE'!F165))</f>
        <v/>
      </c>
      <c r="F165" s="65" t="str">
        <f>IF(AND('ROSTER UPDATE'!C165=""),"",('ROSTER UPDATE'!C165))</f>
        <v/>
      </c>
      <c r="G165" s="87" t="s">
        <v>41</v>
      </c>
      <c r="I165" s="78">
        <f>SUM('ROSTER UPDATE'!H165:'ROSTER UPDATE'!J165)</f>
        <v>0</v>
      </c>
      <c r="J165" s="79">
        <f>SUM('ROSTER UPDATE'!K165:'ROSTER UPDATE'!M165)</f>
        <v>0</v>
      </c>
      <c r="K165" s="79">
        <f>SUM('ROSTER UPDATE'!N165:'ROSTER UPDATE'!P165)</f>
        <v>0</v>
      </c>
      <c r="L165" s="79"/>
      <c r="M165" s="80"/>
      <c r="O165" s="78" t="str">
        <f>IF(AND('ROSTER UPDATE'!R165=""),"",('ROSTER UPDATE'!R165))</f>
        <v/>
      </c>
      <c r="P165" s="79" t="str">
        <f>IF(AND('ROSTER UPDATE'!S165=""),"",('ROSTER UPDATE'!S165))</f>
        <v/>
      </c>
      <c r="Q165" s="80" t="str">
        <f>IF(AND('ROSTER UPDATE'!T165=""),"",('ROSTER UPDATE'!T165))</f>
        <v/>
      </c>
      <c r="S165" s="78">
        <f>SUM('ROSTER UPDATE'!R165:'ROSTER UPDATE'!T165)</f>
        <v>0</v>
      </c>
      <c r="T165" s="79">
        <f>SUM('ROSTER UPDATE'!U165:'ROSTER UPDATE'!W165)</f>
        <v>0</v>
      </c>
      <c r="U165" s="79">
        <f>SUM('ROSTER UPDATE'!X165:'ROSTER UPDATE'!Z165)</f>
        <v>0</v>
      </c>
      <c r="V165" s="79"/>
      <c r="W165" s="80"/>
    </row>
    <row r="166" spans="2:23" ht="15.75" thickBot="1" x14ac:dyDescent="0.3">
      <c r="B166" s="64" t="str">
        <f>IF(AND('ROSTER UPDATE'!B166=""),"",('ROSTER UPDATE'!B166))</f>
        <v/>
      </c>
      <c r="C166" s="65" t="str">
        <f>IF(AND('ROSTER UPDATE'!E166=""),"",('ROSTER UPDATE'!E166))</f>
        <v/>
      </c>
      <c r="E166" s="64" t="str">
        <f>IF(AND('ROSTER UPDATE'!F166=""),"",('ROSTER UPDATE'!F166))</f>
        <v/>
      </c>
      <c r="F166" s="65" t="str">
        <f>IF(AND('ROSTER UPDATE'!C166=""),"",('ROSTER UPDATE'!C166))</f>
        <v/>
      </c>
      <c r="G166" s="87" t="s">
        <v>41</v>
      </c>
      <c r="I166" s="78">
        <f>SUM('ROSTER UPDATE'!H166:'ROSTER UPDATE'!J166)</f>
        <v>0</v>
      </c>
      <c r="J166" s="79">
        <f>SUM('ROSTER UPDATE'!K166:'ROSTER UPDATE'!M166)</f>
        <v>0</v>
      </c>
      <c r="K166" s="79">
        <f>SUM('ROSTER UPDATE'!N166:'ROSTER UPDATE'!P166)</f>
        <v>0</v>
      </c>
      <c r="L166" s="79"/>
      <c r="M166" s="80"/>
      <c r="O166" s="78" t="str">
        <f>IF(AND('ROSTER UPDATE'!R166=""),"",('ROSTER UPDATE'!R166))</f>
        <v/>
      </c>
      <c r="P166" s="79" t="str">
        <f>IF(AND('ROSTER UPDATE'!S166=""),"",('ROSTER UPDATE'!S166))</f>
        <v/>
      </c>
      <c r="Q166" s="80" t="str">
        <f>IF(AND('ROSTER UPDATE'!T166=""),"",('ROSTER UPDATE'!T166))</f>
        <v/>
      </c>
      <c r="S166" s="78">
        <f>SUM('ROSTER UPDATE'!R166:'ROSTER UPDATE'!T166)</f>
        <v>0</v>
      </c>
      <c r="T166" s="79">
        <f>SUM('ROSTER UPDATE'!U166:'ROSTER UPDATE'!W166)</f>
        <v>0</v>
      </c>
      <c r="U166" s="79">
        <f>SUM('ROSTER UPDATE'!X166:'ROSTER UPDATE'!Z166)</f>
        <v>0</v>
      </c>
      <c r="V166" s="79"/>
      <c r="W166" s="80"/>
    </row>
    <row r="167" spans="2:23" ht="15.75" thickBot="1" x14ac:dyDescent="0.3">
      <c r="B167" s="64" t="str">
        <f>IF(AND('ROSTER UPDATE'!B167=""),"",('ROSTER UPDATE'!B167))</f>
        <v/>
      </c>
      <c r="C167" s="65" t="str">
        <f>IF(AND('ROSTER UPDATE'!E167=""),"",('ROSTER UPDATE'!E167))</f>
        <v/>
      </c>
      <c r="E167" s="64" t="str">
        <f>IF(AND('ROSTER UPDATE'!F167=""),"",('ROSTER UPDATE'!F167))</f>
        <v/>
      </c>
      <c r="F167" s="65" t="str">
        <f>IF(AND('ROSTER UPDATE'!C167=""),"",('ROSTER UPDATE'!C167))</f>
        <v/>
      </c>
      <c r="G167" s="87" t="s">
        <v>41</v>
      </c>
      <c r="I167" s="78">
        <f>SUM('ROSTER UPDATE'!H167:'ROSTER UPDATE'!J167)</f>
        <v>0</v>
      </c>
      <c r="J167" s="79">
        <f>SUM('ROSTER UPDATE'!K167:'ROSTER UPDATE'!M167)</f>
        <v>0</v>
      </c>
      <c r="K167" s="79">
        <f>SUM('ROSTER UPDATE'!N167:'ROSTER UPDATE'!P167)</f>
        <v>0</v>
      </c>
      <c r="L167" s="79"/>
      <c r="M167" s="80"/>
      <c r="O167" s="78" t="str">
        <f>IF(AND('ROSTER UPDATE'!R167=""),"",('ROSTER UPDATE'!R167))</f>
        <v/>
      </c>
      <c r="P167" s="79" t="str">
        <f>IF(AND('ROSTER UPDATE'!S167=""),"",('ROSTER UPDATE'!S167))</f>
        <v/>
      </c>
      <c r="Q167" s="80" t="str">
        <f>IF(AND('ROSTER UPDATE'!T167=""),"",('ROSTER UPDATE'!T167))</f>
        <v/>
      </c>
      <c r="S167" s="78">
        <f>SUM('ROSTER UPDATE'!R167:'ROSTER UPDATE'!T167)</f>
        <v>0</v>
      </c>
      <c r="T167" s="79">
        <f>SUM('ROSTER UPDATE'!U167:'ROSTER UPDATE'!W167)</f>
        <v>0</v>
      </c>
      <c r="U167" s="79">
        <f>SUM('ROSTER UPDATE'!X167:'ROSTER UPDATE'!Z167)</f>
        <v>0</v>
      </c>
      <c r="V167" s="79"/>
      <c r="W167" s="80"/>
    </row>
    <row r="168" spans="2:23" ht="15.75" thickBot="1" x14ac:dyDescent="0.3">
      <c r="B168" s="64" t="str">
        <f>IF(AND('ROSTER UPDATE'!B168=""),"",('ROSTER UPDATE'!B168))</f>
        <v/>
      </c>
      <c r="C168" s="65" t="str">
        <f>IF(AND('ROSTER UPDATE'!E168=""),"",('ROSTER UPDATE'!E168))</f>
        <v/>
      </c>
      <c r="E168" s="64" t="str">
        <f>IF(AND('ROSTER UPDATE'!F168=""),"",('ROSTER UPDATE'!F168))</f>
        <v/>
      </c>
      <c r="F168" s="65" t="str">
        <f>IF(AND('ROSTER UPDATE'!C168=""),"",('ROSTER UPDATE'!C168))</f>
        <v/>
      </c>
      <c r="G168" s="87" t="s">
        <v>41</v>
      </c>
      <c r="I168" s="78">
        <f>SUM('ROSTER UPDATE'!H168:'ROSTER UPDATE'!J168)</f>
        <v>0</v>
      </c>
      <c r="J168" s="79">
        <f>SUM('ROSTER UPDATE'!K168:'ROSTER UPDATE'!M168)</f>
        <v>0</v>
      </c>
      <c r="K168" s="79">
        <f>SUM('ROSTER UPDATE'!N168:'ROSTER UPDATE'!P168)</f>
        <v>0</v>
      </c>
      <c r="L168" s="79"/>
      <c r="M168" s="80"/>
      <c r="O168" s="78" t="str">
        <f>IF(AND('ROSTER UPDATE'!R168=""),"",('ROSTER UPDATE'!R168))</f>
        <v/>
      </c>
      <c r="P168" s="79" t="str">
        <f>IF(AND('ROSTER UPDATE'!S168=""),"",('ROSTER UPDATE'!S168))</f>
        <v/>
      </c>
      <c r="Q168" s="80" t="str">
        <f>IF(AND('ROSTER UPDATE'!T168=""),"",('ROSTER UPDATE'!T168))</f>
        <v/>
      </c>
      <c r="S168" s="78">
        <f>SUM('ROSTER UPDATE'!R168:'ROSTER UPDATE'!T168)</f>
        <v>0</v>
      </c>
      <c r="T168" s="79">
        <f>SUM('ROSTER UPDATE'!U168:'ROSTER UPDATE'!W168)</f>
        <v>0</v>
      </c>
      <c r="U168" s="79">
        <f>SUM('ROSTER UPDATE'!X168:'ROSTER UPDATE'!Z168)</f>
        <v>0</v>
      </c>
      <c r="V168" s="79"/>
      <c r="W168" s="80"/>
    </row>
    <row r="169" spans="2:23" ht="15.75" thickBot="1" x14ac:dyDescent="0.3">
      <c r="B169" s="64" t="str">
        <f>IF(AND('ROSTER UPDATE'!B169=""),"",('ROSTER UPDATE'!B169))</f>
        <v/>
      </c>
      <c r="C169" s="65" t="str">
        <f>IF(AND('ROSTER UPDATE'!E169=""),"",('ROSTER UPDATE'!E169))</f>
        <v/>
      </c>
      <c r="E169" s="64" t="str">
        <f>IF(AND('ROSTER UPDATE'!F169=""),"",('ROSTER UPDATE'!F169))</f>
        <v/>
      </c>
      <c r="F169" s="65" t="str">
        <f>IF(AND('ROSTER UPDATE'!C169=""),"",('ROSTER UPDATE'!C169))</f>
        <v/>
      </c>
      <c r="G169" s="87" t="s">
        <v>41</v>
      </c>
      <c r="I169" s="78">
        <f>SUM('ROSTER UPDATE'!H169:'ROSTER UPDATE'!J169)</f>
        <v>0</v>
      </c>
      <c r="J169" s="79">
        <f>SUM('ROSTER UPDATE'!K169:'ROSTER UPDATE'!M169)</f>
        <v>0</v>
      </c>
      <c r="K169" s="79">
        <f>SUM('ROSTER UPDATE'!N169:'ROSTER UPDATE'!P169)</f>
        <v>0</v>
      </c>
      <c r="L169" s="79"/>
      <c r="M169" s="80"/>
      <c r="O169" s="78" t="str">
        <f>IF(AND('ROSTER UPDATE'!R169=""),"",('ROSTER UPDATE'!R169))</f>
        <v/>
      </c>
      <c r="P169" s="79" t="str">
        <f>IF(AND('ROSTER UPDATE'!S169=""),"",('ROSTER UPDATE'!S169))</f>
        <v/>
      </c>
      <c r="Q169" s="80" t="str">
        <f>IF(AND('ROSTER UPDATE'!T169=""),"",('ROSTER UPDATE'!T169))</f>
        <v/>
      </c>
      <c r="S169" s="78">
        <f>SUM('ROSTER UPDATE'!R169:'ROSTER UPDATE'!T169)</f>
        <v>0</v>
      </c>
      <c r="T169" s="79">
        <f>SUM('ROSTER UPDATE'!U169:'ROSTER UPDATE'!W169)</f>
        <v>0</v>
      </c>
      <c r="U169" s="79">
        <f>SUM('ROSTER UPDATE'!X169:'ROSTER UPDATE'!Z169)</f>
        <v>0</v>
      </c>
      <c r="V169" s="79"/>
      <c r="W169" s="80"/>
    </row>
    <row r="170" spans="2:23" ht="15.75" thickBot="1" x14ac:dyDescent="0.3">
      <c r="B170" s="64" t="str">
        <f>IF(AND('ROSTER UPDATE'!B170=""),"",('ROSTER UPDATE'!B170))</f>
        <v/>
      </c>
      <c r="C170" s="65" t="str">
        <f>IF(AND('ROSTER UPDATE'!E170=""),"",('ROSTER UPDATE'!E170))</f>
        <v/>
      </c>
      <c r="E170" s="64" t="str">
        <f>IF(AND('ROSTER UPDATE'!F170=""),"",('ROSTER UPDATE'!F170))</f>
        <v/>
      </c>
      <c r="F170" s="65" t="str">
        <f>IF(AND('ROSTER UPDATE'!C170=""),"",('ROSTER UPDATE'!C170))</f>
        <v/>
      </c>
      <c r="G170" s="87" t="s">
        <v>41</v>
      </c>
      <c r="I170" s="78">
        <f>SUM('ROSTER UPDATE'!H170:'ROSTER UPDATE'!J170)</f>
        <v>0</v>
      </c>
      <c r="J170" s="79">
        <f>SUM('ROSTER UPDATE'!K170:'ROSTER UPDATE'!M170)</f>
        <v>0</v>
      </c>
      <c r="K170" s="79">
        <f>SUM('ROSTER UPDATE'!N170:'ROSTER UPDATE'!P170)</f>
        <v>0</v>
      </c>
      <c r="L170" s="79"/>
      <c r="M170" s="80"/>
      <c r="O170" s="78" t="str">
        <f>IF(AND('ROSTER UPDATE'!R170=""),"",('ROSTER UPDATE'!R170))</f>
        <v/>
      </c>
      <c r="P170" s="79" t="str">
        <f>IF(AND('ROSTER UPDATE'!S170=""),"",('ROSTER UPDATE'!S170))</f>
        <v/>
      </c>
      <c r="Q170" s="80" t="str">
        <f>IF(AND('ROSTER UPDATE'!T170=""),"",('ROSTER UPDATE'!T170))</f>
        <v/>
      </c>
      <c r="S170" s="78">
        <f>SUM('ROSTER UPDATE'!R170:'ROSTER UPDATE'!T170)</f>
        <v>0</v>
      </c>
      <c r="T170" s="79">
        <f>SUM('ROSTER UPDATE'!U170:'ROSTER UPDATE'!W170)</f>
        <v>0</v>
      </c>
      <c r="U170" s="79">
        <f>SUM('ROSTER UPDATE'!X170:'ROSTER UPDATE'!Z170)</f>
        <v>0</v>
      </c>
      <c r="V170" s="79"/>
      <c r="W170" s="80"/>
    </row>
    <row r="171" spans="2:23" ht="15.75" thickBot="1" x14ac:dyDescent="0.3">
      <c r="B171" s="64" t="str">
        <f>IF(AND('ROSTER UPDATE'!B171=""),"",('ROSTER UPDATE'!B171))</f>
        <v/>
      </c>
      <c r="C171" s="65" t="str">
        <f>IF(AND('ROSTER UPDATE'!E171=""),"",('ROSTER UPDATE'!E171))</f>
        <v/>
      </c>
      <c r="E171" s="64" t="str">
        <f>IF(AND('ROSTER UPDATE'!F171=""),"",('ROSTER UPDATE'!F171))</f>
        <v/>
      </c>
      <c r="F171" s="65" t="str">
        <f>IF(AND('ROSTER UPDATE'!C171=""),"",('ROSTER UPDATE'!C171))</f>
        <v/>
      </c>
      <c r="G171" s="87" t="s">
        <v>41</v>
      </c>
      <c r="I171" s="78">
        <f>SUM('ROSTER UPDATE'!H171:'ROSTER UPDATE'!J171)</f>
        <v>0</v>
      </c>
      <c r="J171" s="79">
        <f>SUM('ROSTER UPDATE'!K171:'ROSTER UPDATE'!M171)</f>
        <v>0</v>
      </c>
      <c r="K171" s="79">
        <f>SUM('ROSTER UPDATE'!N171:'ROSTER UPDATE'!P171)</f>
        <v>0</v>
      </c>
      <c r="L171" s="79"/>
      <c r="M171" s="80"/>
      <c r="O171" s="78" t="str">
        <f>IF(AND('ROSTER UPDATE'!R171=""),"",('ROSTER UPDATE'!R171))</f>
        <v/>
      </c>
      <c r="P171" s="79" t="str">
        <f>IF(AND('ROSTER UPDATE'!S171=""),"",('ROSTER UPDATE'!S171))</f>
        <v/>
      </c>
      <c r="Q171" s="80" t="str">
        <f>IF(AND('ROSTER UPDATE'!T171=""),"",('ROSTER UPDATE'!T171))</f>
        <v/>
      </c>
      <c r="S171" s="78">
        <f>SUM('ROSTER UPDATE'!R171:'ROSTER UPDATE'!T171)</f>
        <v>0</v>
      </c>
      <c r="T171" s="79">
        <f>SUM('ROSTER UPDATE'!U171:'ROSTER UPDATE'!W171)</f>
        <v>0</v>
      </c>
      <c r="U171" s="79">
        <f>SUM('ROSTER UPDATE'!X171:'ROSTER UPDATE'!Z171)</f>
        <v>0</v>
      </c>
      <c r="V171" s="79"/>
      <c r="W171" s="80"/>
    </row>
    <row r="172" spans="2:23" ht="15.75" thickBot="1" x14ac:dyDescent="0.3">
      <c r="B172" s="64" t="str">
        <f>IF(AND('ROSTER UPDATE'!B172=""),"",('ROSTER UPDATE'!B172))</f>
        <v/>
      </c>
      <c r="C172" s="65" t="str">
        <f>IF(AND('ROSTER UPDATE'!E172=""),"",('ROSTER UPDATE'!E172))</f>
        <v/>
      </c>
      <c r="E172" s="64" t="str">
        <f>IF(AND('ROSTER UPDATE'!F172=""),"",('ROSTER UPDATE'!F172))</f>
        <v/>
      </c>
      <c r="F172" s="65" t="str">
        <f>IF(AND('ROSTER UPDATE'!C172=""),"",('ROSTER UPDATE'!C172))</f>
        <v/>
      </c>
      <c r="G172" s="87" t="s">
        <v>41</v>
      </c>
      <c r="I172" s="78">
        <f>SUM('ROSTER UPDATE'!H172:'ROSTER UPDATE'!J172)</f>
        <v>0</v>
      </c>
      <c r="J172" s="79">
        <f>SUM('ROSTER UPDATE'!K172:'ROSTER UPDATE'!M172)</f>
        <v>0</v>
      </c>
      <c r="K172" s="79">
        <f>SUM('ROSTER UPDATE'!N172:'ROSTER UPDATE'!P172)</f>
        <v>0</v>
      </c>
      <c r="L172" s="79"/>
      <c r="M172" s="80"/>
      <c r="O172" s="78" t="str">
        <f>IF(AND('ROSTER UPDATE'!R172=""),"",('ROSTER UPDATE'!R172))</f>
        <v/>
      </c>
      <c r="P172" s="79" t="str">
        <f>IF(AND('ROSTER UPDATE'!S172=""),"",('ROSTER UPDATE'!S172))</f>
        <v/>
      </c>
      <c r="Q172" s="80" t="str">
        <f>IF(AND('ROSTER UPDATE'!T172=""),"",('ROSTER UPDATE'!T172))</f>
        <v/>
      </c>
      <c r="S172" s="78">
        <f>SUM('ROSTER UPDATE'!R172:'ROSTER UPDATE'!T172)</f>
        <v>0</v>
      </c>
      <c r="T172" s="79">
        <f>SUM('ROSTER UPDATE'!U172:'ROSTER UPDATE'!W172)</f>
        <v>0</v>
      </c>
      <c r="U172" s="79">
        <f>SUM('ROSTER UPDATE'!X172:'ROSTER UPDATE'!Z172)</f>
        <v>0</v>
      </c>
      <c r="V172" s="79"/>
      <c r="W172" s="80"/>
    </row>
    <row r="173" spans="2:23" ht="15.75" thickBot="1" x14ac:dyDescent="0.3">
      <c r="B173" s="64" t="str">
        <f>IF(AND('ROSTER UPDATE'!B173=""),"",('ROSTER UPDATE'!B173))</f>
        <v/>
      </c>
      <c r="C173" s="65" t="str">
        <f>IF(AND('ROSTER UPDATE'!E173=""),"",('ROSTER UPDATE'!E173))</f>
        <v/>
      </c>
      <c r="E173" s="64" t="str">
        <f>IF(AND('ROSTER UPDATE'!F173=""),"",('ROSTER UPDATE'!F173))</f>
        <v/>
      </c>
      <c r="F173" s="65" t="str">
        <f>IF(AND('ROSTER UPDATE'!C173=""),"",('ROSTER UPDATE'!C173))</f>
        <v/>
      </c>
      <c r="G173" s="87" t="s">
        <v>41</v>
      </c>
      <c r="I173" s="78">
        <f>SUM('ROSTER UPDATE'!H173:'ROSTER UPDATE'!J173)</f>
        <v>0</v>
      </c>
      <c r="J173" s="79">
        <f>SUM('ROSTER UPDATE'!K173:'ROSTER UPDATE'!M173)</f>
        <v>0</v>
      </c>
      <c r="K173" s="79">
        <f>SUM('ROSTER UPDATE'!N173:'ROSTER UPDATE'!P173)</f>
        <v>0</v>
      </c>
      <c r="L173" s="79"/>
      <c r="M173" s="80"/>
      <c r="O173" s="78" t="str">
        <f>IF(AND('ROSTER UPDATE'!R173=""),"",('ROSTER UPDATE'!R173))</f>
        <v/>
      </c>
      <c r="P173" s="79" t="str">
        <f>IF(AND('ROSTER UPDATE'!S173=""),"",('ROSTER UPDATE'!S173))</f>
        <v/>
      </c>
      <c r="Q173" s="80" t="str">
        <f>IF(AND('ROSTER UPDATE'!T173=""),"",('ROSTER UPDATE'!T173))</f>
        <v/>
      </c>
      <c r="S173" s="78">
        <f>SUM('ROSTER UPDATE'!R173:'ROSTER UPDATE'!T173)</f>
        <v>0</v>
      </c>
      <c r="T173" s="79">
        <f>SUM('ROSTER UPDATE'!U173:'ROSTER UPDATE'!W173)</f>
        <v>0</v>
      </c>
      <c r="U173" s="79">
        <f>SUM('ROSTER UPDATE'!X173:'ROSTER UPDATE'!Z173)</f>
        <v>0</v>
      </c>
      <c r="V173" s="79"/>
      <c r="W173" s="80"/>
    </row>
    <row r="174" spans="2:23" ht="15.75" thickBot="1" x14ac:dyDescent="0.3">
      <c r="B174" s="64" t="str">
        <f>IF(AND('ROSTER UPDATE'!B174=""),"",('ROSTER UPDATE'!B174))</f>
        <v/>
      </c>
      <c r="C174" s="65" t="str">
        <f>IF(AND('ROSTER UPDATE'!E174=""),"",('ROSTER UPDATE'!E174))</f>
        <v/>
      </c>
      <c r="E174" s="64" t="str">
        <f>IF(AND('ROSTER UPDATE'!F174=""),"",('ROSTER UPDATE'!F174))</f>
        <v/>
      </c>
      <c r="F174" s="65" t="str">
        <f>IF(AND('ROSTER UPDATE'!C174=""),"",('ROSTER UPDATE'!C174))</f>
        <v/>
      </c>
      <c r="G174" s="87" t="s">
        <v>41</v>
      </c>
      <c r="I174" s="78">
        <f>SUM('ROSTER UPDATE'!H174:'ROSTER UPDATE'!J174)</f>
        <v>0</v>
      </c>
      <c r="J174" s="79">
        <f>SUM('ROSTER UPDATE'!K174:'ROSTER UPDATE'!M174)</f>
        <v>0</v>
      </c>
      <c r="K174" s="79">
        <f>SUM('ROSTER UPDATE'!N174:'ROSTER UPDATE'!P174)</f>
        <v>0</v>
      </c>
      <c r="L174" s="79"/>
      <c r="M174" s="80"/>
      <c r="O174" s="78" t="str">
        <f>IF(AND('ROSTER UPDATE'!R174=""),"",('ROSTER UPDATE'!R174))</f>
        <v/>
      </c>
      <c r="P174" s="79" t="str">
        <f>IF(AND('ROSTER UPDATE'!S174=""),"",('ROSTER UPDATE'!S174))</f>
        <v/>
      </c>
      <c r="Q174" s="80" t="str">
        <f>IF(AND('ROSTER UPDATE'!T174=""),"",('ROSTER UPDATE'!T174))</f>
        <v/>
      </c>
      <c r="S174" s="78">
        <f>SUM('ROSTER UPDATE'!R174:'ROSTER UPDATE'!T174)</f>
        <v>0</v>
      </c>
      <c r="T174" s="79">
        <f>SUM('ROSTER UPDATE'!U174:'ROSTER UPDATE'!W174)</f>
        <v>0</v>
      </c>
      <c r="U174" s="79">
        <f>SUM('ROSTER UPDATE'!X174:'ROSTER UPDATE'!Z174)</f>
        <v>0</v>
      </c>
      <c r="V174" s="79"/>
      <c r="W174" s="80"/>
    </row>
    <row r="175" spans="2:23" ht="15.75" thickBot="1" x14ac:dyDescent="0.3">
      <c r="B175" s="64" t="str">
        <f>IF(AND('ROSTER UPDATE'!B175=""),"",('ROSTER UPDATE'!B175))</f>
        <v/>
      </c>
      <c r="C175" s="65" t="str">
        <f>IF(AND('ROSTER UPDATE'!E175=""),"",('ROSTER UPDATE'!E175))</f>
        <v/>
      </c>
      <c r="E175" s="64" t="str">
        <f>IF(AND('ROSTER UPDATE'!F175=""),"",('ROSTER UPDATE'!F175))</f>
        <v/>
      </c>
      <c r="F175" s="65" t="str">
        <f>IF(AND('ROSTER UPDATE'!C175=""),"",('ROSTER UPDATE'!C175))</f>
        <v/>
      </c>
      <c r="G175" s="87" t="s">
        <v>41</v>
      </c>
      <c r="I175" s="78">
        <f>SUM('ROSTER UPDATE'!H175:'ROSTER UPDATE'!J175)</f>
        <v>0</v>
      </c>
      <c r="J175" s="79">
        <f>SUM('ROSTER UPDATE'!K175:'ROSTER UPDATE'!M175)</f>
        <v>0</v>
      </c>
      <c r="K175" s="79">
        <f>SUM('ROSTER UPDATE'!N175:'ROSTER UPDATE'!P175)</f>
        <v>0</v>
      </c>
      <c r="L175" s="79"/>
      <c r="M175" s="80"/>
      <c r="O175" s="78" t="str">
        <f>IF(AND('ROSTER UPDATE'!R175=""),"",('ROSTER UPDATE'!R175))</f>
        <v/>
      </c>
      <c r="P175" s="79" t="str">
        <f>IF(AND('ROSTER UPDATE'!S175=""),"",('ROSTER UPDATE'!S175))</f>
        <v/>
      </c>
      <c r="Q175" s="80" t="str">
        <f>IF(AND('ROSTER UPDATE'!T175=""),"",('ROSTER UPDATE'!T175))</f>
        <v/>
      </c>
      <c r="S175" s="78">
        <f>SUM('ROSTER UPDATE'!R175:'ROSTER UPDATE'!T175)</f>
        <v>0</v>
      </c>
      <c r="T175" s="79">
        <f>SUM('ROSTER UPDATE'!U175:'ROSTER UPDATE'!W175)</f>
        <v>0</v>
      </c>
      <c r="U175" s="79">
        <f>SUM('ROSTER UPDATE'!X175:'ROSTER UPDATE'!Z175)</f>
        <v>0</v>
      </c>
      <c r="V175" s="79"/>
      <c r="W175" s="80"/>
    </row>
    <row r="176" spans="2:23" ht="15.75" thickBot="1" x14ac:dyDescent="0.3">
      <c r="B176" s="64" t="str">
        <f>IF(AND('ROSTER UPDATE'!B176=""),"",('ROSTER UPDATE'!B176))</f>
        <v/>
      </c>
      <c r="C176" s="65" t="str">
        <f>IF(AND('ROSTER UPDATE'!E176=""),"",('ROSTER UPDATE'!E176))</f>
        <v/>
      </c>
      <c r="E176" s="64" t="str">
        <f>IF(AND('ROSTER UPDATE'!F176=""),"",('ROSTER UPDATE'!F176))</f>
        <v/>
      </c>
      <c r="F176" s="65" t="str">
        <f>IF(AND('ROSTER UPDATE'!C176=""),"",('ROSTER UPDATE'!C176))</f>
        <v/>
      </c>
      <c r="G176" s="87" t="s">
        <v>41</v>
      </c>
      <c r="I176" s="78">
        <f>SUM('ROSTER UPDATE'!H176:'ROSTER UPDATE'!J176)</f>
        <v>0</v>
      </c>
      <c r="J176" s="79">
        <f>SUM('ROSTER UPDATE'!K176:'ROSTER UPDATE'!M176)</f>
        <v>0</v>
      </c>
      <c r="K176" s="79">
        <f>SUM('ROSTER UPDATE'!N176:'ROSTER UPDATE'!P176)</f>
        <v>0</v>
      </c>
      <c r="L176" s="79"/>
      <c r="M176" s="80"/>
      <c r="O176" s="78" t="str">
        <f>IF(AND('ROSTER UPDATE'!R176=""),"",('ROSTER UPDATE'!R176))</f>
        <v/>
      </c>
      <c r="P176" s="79" t="str">
        <f>IF(AND('ROSTER UPDATE'!S176=""),"",('ROSTER UPDATE'!S176))</f>
        <v/>
      </c>
      <c r="Q176" s="80" t="str">
        <f>IF(AND('ROSTER UPDATE'!T176=""),"",('ROSTER UPDATE'!T176))</f>
        <v/>
      </c>
      <c r="S176" s="78">
        <f>SUM('ROSTER UPDATE'!R176:'ROSTER UPDATE'!T176)</f>
        <v>0</v>
      </c>
      <c r="T176" s="79">
        <f>SUM('ROSTER UPDATE'!U176:'ROSTER UPDATE'!W176)</f>
        <v>0</v>
      </c>
      <c r="U176" s="79">
        <f>SUM('ROSTER UPDATE'!X176:'ROSTER UPDATE'!Z176)</f>
        <v>0</v>
      </c>
      <c r="V176" s="79"/>
      <c r="W176" s="80"/>
    </row>
    <row r="177" spans="2:23" ht="15.75" thickBot="1" x14ac:dyDescent="0.3">
      <c r="B177" s="64" t="str">
        <f>IF(AND('ROSTER UPDATE'!B177=""),"",('ROSTER UPDATE'!B177))</f>
        <v/>
      </c>
      <c r="C177" s="65" t="str">
        <f>IF(AND('ROSTER UPDATE'!E177=""),"",('ROSTER UPDATE'!E177))</f>
        <v/>
      </c>
      <c r="E177" s="64" t="str">
        <f>IF(AND('ROSTER UPDATE'!F177=""),"",('ROSTER UPDATE'!F177))</f>
        <v/>
      </c>
      <c r="F177" s="65" t="str">
        <f>IF(AND('ROSTER UPDATE'!C177=""),"",('ROSTER UPDATE'!C177))</f>
        <v/>
      </c>
      <c r="G177" s="87" t="s">
        <v>41</v>
      </c>
      <c r="I177" s="78">
        <f>SUM('ROSTER UPDATE'!H177:'ROSTER UPDATE'!J177)</f>
        <v>0</v>
      </c>
      <c r="J177" s="79">
        <f>SUM('ROSTER UPDATE'!K177:'ROSTER UPDATE'!M177)</f>
        <v>0</v>
      </c>
      <c r="K177" s="79">
        <f>SUM('ROSTER UPDATE'!N177:'ROSTER UPDATE'!P177)</f>
        <v>0</v>
      </c>
      <c r="L177" s="79"/>
      <c r="M177" s="80"/>
      <c r="O177" s="78" t="str">
        <f>IF(AND('ROSTER UPDATE'!R177=""),"",('ROSTER UPDATE'!R177))</f>
        <v/>
      </c>
      <c r="P177" s="79" t="str">
        <f>IF(AND('ROSTER UPDATE'!S177=""),"",('ROSTER UPDATE'!S177))</f>
        <v/>
      </c>
      <c r="Q177" s="80" t="str">
        <f>IF(AND('ROSTER UPDATE'!T177=""),"",('ROSTER UPDATE'!T177))</f>
        <v/>
      </c>
      <c r="S177" s="78">
        <f>SUM('ROSTER UPDATE'!R177:'ROSTER UPDATE'!T177)</f>
        <v>0</v>
      </c>
      <c r="T177" s="79">
        <f>SUM('ROSTER UPDATE'!U177:'ROSTER UPDATE'!W177)</f>
        <v>0</v>
      </c>
      <c r="U177" s="79">
        <f>SUM('ROSTER UPDATE'!X177:'ROSTER UPDATE'!Z177)</f>
        <v>0</v>
      </c>
      <c r="V177" s="79"/>
      <c r="W177" s="80"/>
    </row>
    <row r="178" spans="2:23" ht="15.75" thickBot="1" x14ac:dyDescent="0.3">
      <c r="B178" s="64" t="str">
        <f>IF(AND('ROSTER UPDATE'!B178=""),"",('ROSTER UPDATE'!B178))</f>
        <v/>
      </c>
      <c r="C178" s="65" t="str">
        <f>IF(AND('ROSTER UPDATE'!E178=""),"",('ROSTER UPDATE'!E178))</f>
        <v/>
      </c>
      <c r="E178" s="64" t="str">
        <f>IF(AND('ROSTER UPDATE'!F178=""),"",('ROSTER UPDATE'!F178))</f>
        <v/>
      </c>
      <c r="F178" s="65" t="str">
        <f>IF(AND('ROSTER UPDATE'!C178=""),"",('ROSTER UPDATE'!C178))</f>
        <v/>
      </c>
      <c r="G178" s="87" t="s">
        <v>41</v>
      </c>
      <c r="I178" s="78">
        <f>SUM('ROSTER UPDATE'!H178:'ROSTER UPDATE'!J178)</f>
        <v>0</v>
      </c>
      <c r="J178" s="79">
        <f>SUM('ROSTER UPDATE'!K178:'ROSTER UPDATE'!M178)</f>
        <v>0</v>
      </c>
      <c r="K178" s="79">
        <f>SUM('ROSTER UPDATE'!N178:'ROSTER UPDATE'!P178)</f>
        <v>0</v>
      </c>
      <c r="L178" s="79"/>
      <c r="M178" s="80"/>
      <c r="O178" s="78" t="str">
        <f>IF(AND('ROSTER UPDATE'!R178=""),"",('ROSTER UPDATE'!R178))</f>
        <v/>
      </c>
      <c r="P178" s="79" t="str">
        <f>IF(AND('ROSTER UPDATE'!S178=""),"",('ROSTER UPDATE'!S178))</f>
        <v/>
      </c>
      <c r="Q178" s="80" t="str">
        <f>IF(AND('ROSTER UPDATE'!T178=""),"",('ROSTER UPDATE'!T178))</f>
        <v/>
      </c>
      <c r="S178" s="78">
        <f>SUM('ROSTER UPDATE'!R178:'ROSTER UPDATE'!T178)</f>
        <v>0</v>
      </c>
      <c r="T178" s="79">
        <f>SUM('ROSTER UPDATE'!U178:'ROSTER UPDATE'!W178)</f>
        <v>0</v>
      </c>
      <c r="U178" s="79">
        <f>SUM('ROSTER UPDATE'!X178:'ROSTER UPDATE'!Z178)</f>
        <v>0</v>
      </c>
      <c r="V178" s="79"/>
      <c r="W178" s="80"/>
    </row>
    <row r="179" spans="2:23" ht="15.75" thickBot="1" x14ac:dyDescent="0.3">
      <c r="B179" s="64" t="str">
        <f>IF(AND('ROSTER UPDATE'!B179=""),"",('ROSTER UPDATE'!B179))</f>
        <v/>
      </c>
      <c r="C179" s="65" t="str">
        <f>IF(AND('ROSTER UPDATE'!E179=""),"",('ROSTER UPDATE'!E179))</f>
        <v/>
      </c>
      <c r="E179" s="64" t="str">
        <f>IF(AND('ROSTER UPDATE'!F179=""),"",('ROSTER UPDATE'!F179))</f>
        <v/>
      </c>
      <c r="F179" s="65" t="str">
        <f>IF(AND('ROSTER UPDATE'!C179=""),"",('ROSTER UPDATE'!C179))</f>
        <v/>
      </c>
      <c r="G179" s="87" t="s">
        <v>41</v>
      </c>
      <c r="I179" s="78">
        <f>SUM('ROSTER UPDATE'!H179:'ROSTER UPDATE'!J179)</f>
        <v>0</v>
      </c>
      <c r="J179" s="79">
        <f>SUM('ROSTER UPDATE'!K179:'ROSTER UPDATE'!M179)</f>
        <v>0</v>
      </c>
      <c r="K179" s="79">
        <f>SUM('ROSTER UPDATE'!N179:'ROSTER UPDATE'!P179)</f>
        <v>0</v>
      </c>
      <c r="L179" s="79"/>
      <c r="M179" s="80"/>
      <c r="O179" s="78" t="str">
        <f>IF(AND('ROSTER UPDATE'!R179=""),"",('ROSTER UPDATE'!R179))</f>
        <v/>
      </c>
      <c r="P179" s="79" t="str">
        <f>IF(AND('ROSTER UPDATE'!S179=""),"",('ROSTER UPDATE'!S179))</f>
        <v/>
      </c>
      <c r="Q179" s="80" t="str">
        <f>IF(AND('ROSTER UPDATE'!T179=""),"",('ROSTER UPDATE'!T179))</f>
        <v/>
      </c>
      <c r="S179" s="78">
        <f>SUM('ROSTER UPDATE'!R179:'ROSTER UPDATE'!T179)</f>
        <v>0</v>
      </c>
      <c r="T179" s="79">
        <f>SUM('ROSTER UPDATE'!U179:'ROSTER UPDATE'!W179)</f>
        <v>0</v>
      </c>
      <c r="U179" s="79">
        <f>SUM('ROSTER UPDATE'!X179:'ROSTER UPDATE'!Z179)</f>
        <v>0</v>
      </c>
      <c r="V179" s="79"/>
      <c r="W179" s="80"/>
    </row>
    <row r="180" spans="2:23" ht="15.75" thickBot="1" x14ac:dyDescent="0.3">
      <c r="B180" s="64" t="str">
        <f>IF(AND('ROSTER UPDATE'!B180=""),"",('ROSTER UPDATE'!B180))</f>
        <v/>
      </c>
      <c r="C180" s="65" t="str">
        <f>IF(AND('ROSTER UPDATE'!E180=""),"",('ROSTER UPDATE'!E180))</f>
        <v/>
      </c>
      <c r="E180" s="64" t="str">
        <f>IF(AND('ROSTER UPDATE'!F180=""),"",('ROSTER UPDATE'!F180))</f>
        <v/>
      </c>
      <c r="F180" s="65" t="str">
        <f>IF(AND('ROSTER UPDATE'!C180=""),"",('ROSTER UPDATE'!C180))</f>
        <v/>
      </c>
      <c r="G180" s="87" t="s">
        <v>41</v>
      </c>
      <c r="I180" s="78">
        <f>SUM('ROSTER UPDATE'!H180:'ROSTER UPDATE'!J180)</f>
        <v>0</v>
      </c>
      <c r="J180" s="79">
        <f>SUM('ROSTER UPDATE'!K180:'ROSTER UPDATE'!M180)</f>
        <v>0</v>
      </c>
      <c r="K180" s="79">
        <f>SUM('ROSTER UPDATE'!N180:'ROSTER UPDATE'!P180)</f>
        <v>0</v>
      </c>
      <c r="L180" s="79"/>
      <c r="M180" s="80"/>
      <c r="O180" s="78" t="str">
        <f>IF(AND('ROSTER UPDATE'!R180=""),"",('ROSTER UPDATE'!R180))</f>
        <v/>
      </c>
      <c r="P180" s="79" t="str">
        <f>IF(AND('ROSTER UPDATE'!S180=""),"",('ROSTER UPDATE'!S180))</f>
        <v/>
      </c>
      <c r="Q180" s="80" t="str">
        <f>IF(AND('ROSTER UPDATE'!T180=""),"",('ROSTER UPDATE'!T180))</f>
        <v/>
      </c>
      <c r="S180" s="78">
        <f>SUM('ROSTER UPDATE'!R180:'ROSTER UPDATE'!T180)</f>
        <v>0</v>
      </c>
      <c r="T180" s="79">
        <f>SUM('ROSTER UPDATE'!U180:'ROSTER UPDATE'!W180)</f>
        <v>0</v>
      </c>
      <c r="U180" s="79">
        <f>SUM('ROSTER UPDATE'!X180:'ROSTER UPDATE'!Z180)</f>
        <v>0</v>
      </c>
      <c r="V180" s="79"/>
      <c r="W180" s="80"/>
    </row>
    <row r="181" spans="2:23" ht="15.75" thickBot="1" x14ac:dyDescent="0.3">
      <c r="B181" s="64" t="str">
        <f>IF(AND('ROSTER UPDATE'!B181=""),"",('ROSTER UPDATE'!B181))</f>
        <v/>
      </c>
      <c r="C181" s="65" t="str">
        <f>IF(AND('ROSTER UPDATE'!E181=""),"",('ROSTER UPDATE'!E181))</f>
        <v/>
      </c>
      <c r="E181" s="64" t="str">
        <f>IF(AND('ROSTER UPDATE'!F181=""),"",('ROSTER UPDATE'!F181))</f>
        <v/>
      </c>
      <c r="F181" s="65" t="str">
        <f>IF(AND('ROSTER UPDATE'!C181=""),"",('ROSTER UPDATE'!C181))</f>
        <v/>
      </c>
      <c r="G181" s="87" t="s">
        <v>41</v>
      </c>
      <c r="I181" s="78">
        <f>SUM('ROSTER UPDATE'!H181:'ROSTER UPDATE'!J181)</f>
        <v>0</v>
      </c>
      <c r="J181" s="79">
        <f>SUM('ROSTER UPDATE'!K181:'ROSTER UPDATE'!M181)</f>
        <v>0</v>
      </c>
      <c r="K181" s="79">
        <f>SUM('ROSTER UPDATE'!N181:'ROSTER UPDATE'!P181)</f>
        <v>0</v>
      </c>
      <c r="L181" s="79"/>
      <c r="M181" s="80"/>
      <c r="O181" s="78" t="str">
        <f>IF(AND('ROSTER UPDATE'!R181=""),"",('ROSTER UPDATE'!R181))</f>
        <v/>
      </c>
      <c r="P181" s="79" t="str">
        <f>IF(AND('ROSTER UPDATE'!S181=""),"",('ROSTER UPDATE'!S181))</f>
        <v/>
      </c>
      <c r="Q181" s="80" t="str">
        <f>IF(AND('ROSTER UPDATE'!T181=""),"",('ROSTER UPDATE'!T181))</f>
        <v/>
      </c>
      <c r="S181" s="78">
        <f>SUM('ROSTER UPDATE'!R181:'ROSTER UPDATE'!T181)</f>
        <v>0</v>
      </c>
      <c r="T181" s="79">
        <f>SUM('ROSTER UPDATE'!U181:'ROSTER UPDATE'!W181)</f>
        <v>0</v>
      </c>
      <c r="U181" s="79">
        <f>SUM('ROSTER UPDATE'!X181:'ROSTER UPDATE'!Z181)</f>
        <v>0</v>
      </c>
      <c r="V181" s="79"/>
      <c r="W181" s="80"/>
    </row>
    <row r="182" spans="2:23" ht="15.75" thickBot="1" x14ac:dyDescent="0.3">
      <c r="B182" s="64" t="str">
        <f>IF(AND('ROSTER UPDATE'!B182=""),"",('ROSTER UPDATE'!B182))</f>
        <v/>
      </c>
      <c r="C182" s="65" t="str">
        <f>IF(AND('ROSTER UPDATE'!E182=""),"",('ROSTER UPDATE'!E182))</f>
        <v/>
      </c>
      <c r="E182" s="64" t="str">
        <f>IF(AND('ROSTER UPDATE'!F182=""),"",('ROSTER UPDATE'!F182))</f>
        <v/>
      </c>
      <c r="F182" s="65" t="str">
        <f>IF(AND('ROSTER UPDATE'!C182=""),"",('ROSTER UPDATE'!C182))</f>
        <v/>
      </c>
      <c r="G182" s="87" t="s">
        <v>41</v>
      </c>
      <c r="I182" s="78">
        <f>SUM('ROSTER UPDATE'!H182:'ROSTER UPDATE'!J182)</f>
        <v>0</v>
      </c>
      <c r="J182" s="79">
        <f>SUM('ROSTER UPDATE'!K182:'ROSTER UPDATE'!M182)</f>
        <v>0</v>
      </c>
      <c r="K182" s="79">
        <f>SUM('ROSTER UPDATE'!N182:'ROSTER UPDATE'!P182)</f>
        <v>0</v>
      </c>
      <c r="L182" s="79"/>
      <c r="M182" s="80"/>
      <c r="O182" s="78" t="str">
        <f>IF(AND('ROSTER UPDATE'!R182=""),"",('ROSTER UPDATE'!R182))</f>
        <v/>
      </c>
      <c r="P182" s="79" t="str">
        <f>IF(AND('ROSTER UPDATE'!S182=""),"",('ROSTER UPDATE'!S182))</f>
        <v/>
      </c>
      <c r="Q182" s="80" t="str">
        <f>IF(AND('ROSTER UPDATE'!T182=""),"",('ROSTER UPDATE'!T182))</f>
        <v/>
      </c>
      <c r="S182" s="78">
        <f>SUM('ROSTER UPDATE'!R182:'ROSTER UPDATE'!T182)</f>
        <v>0</v>
      </c>
      <c r="T182" s="79">
        <f>SUM('ROSTER UPDATE'!U182:'ROSTER UPDATE'!W182)</f>
        <v>0</v>
      </c>
      <c r="U182" s="79">
        <f>SUM('ROSTER UPDATE'!X182:'ROSTER UPDATE'!Z182)</f>
        <v>0</v>
      </c>
      <c r="V182" s="79"/>
      <c r="W182" s="80"/>
    </row>
    <row r="183" spans="2:23" ht="15.75" thickBot="1" x14ac:dyDescent="0.3">
      <c r="B183" s="64" t="str">
        <f>IF(AND('ROSTER UPDATE'!B183=""),"",('ROSTER UPDATE'!B183))</f>
        <v/>
      </c>
      <c r="C183" s="65" t="str">
        <f>IF(AND('ROSTER UPDATE'!E183=""),"",('ROSTER UPDATE'!E183))</f>
        <v/>
      </c>
      <c r="E183" s="64" t="str">
        <f>IF(AND('ROSTER UPDATE'!F183=""),"",('ROSTER UPDATE'!F183))</f>
        <v/>
      </c>
      <c r="F183" s="65" t="str">
        <f>IF(AND('ROSTER UPDATE'!C183=""),"",('ROSTER UPDATE'!C183))</f>
        <v/>
      </c>
      <c r="G183" s="87" t="s">
        <v>41</v>
      </c>
      <c r="I183" s="78">
        <f>SUM('ROSTER UPDATE'!H183:'ROSTER UPDATE'!J183)</f>
        <v>0</v>
      </c>
      <c r="J183" s="79">
        <f>SUM('ROSTER UPDATE'!K183:'ROSTER UPDATE'!M183)</f>
        <v>0</v>
      </c>
      <c r="K183" s="79">
        <f>SUM('ROSTER UPDATE'!N183:'ROSTER UPDATE'!P183)</f>
        <v>0</v>
      </c>
      <c r="L183" s="79"/>
      <c r="M183" s="80"/>
      <c r="O183" s="78" t="str">
        <f>IF(AND('ROSTER UPDATE'!R183=""),"",('ROSTER UPDATE'!R183))</f>
        <v/>
      </c>
      <c r="P183" s="79" t="str">
        <f>IF(AND('ROSTER UPDATE'!S183=""),"",('ROSTER UPDATE'!S183))</f>
        <v/>
      </c>
      <c r="Q183" s="80" t="str">
        <f>IF(AND('ROSTER UPDATE'!T183=""),"",('ROSTER UPDATE'!T183))</f>
        <v/>
      </c>
      <c r="S183" s="78">
        <f>SUM('ROSTER UPDATE'!R183:'ROSTER UPDATE'!T183)</f>
        <v>0</v>
      </c>
      <c r="T183" s="79">
        <f>SUM('ROSTER UPDATE'!U183:'ROSTER UPDATE'!W183)</f>
        <v>0</v>
      </c>
      <c r="U183" s="79">
        <f>SUM('ROSTER UPDATE'!X183:'ROSTER UPDATE'!Z183)</f>
        <v>0</v>
      </c>
      <c r="V183" s="79"/>
      <c r="W183" s="80"/>
    </row>
    <row r="184" spans="2:23" ht="15.75" thickBot="1" x14ac:dyDescent="0.3">
      <c r="B184" s="64" t="str">
        <f>IF(AND('ROSTER UPDATE'!B184=""),"",('ROSTER UPDATE'!B184))</f>
        <v/>
      </c>
      <c r="C184" s="65" t="str">
        <f>IF(AND('ROSTER UPDATE'!E184=""),"",('ROSTER UPDATE'!E184))</f>
        <v/>
      </c>
      <c r="E184" s="64" t="str">
        <f>IF(AND('ROSTER UPDATE'!F184=""),"",('ROSTER UPDATE'!F184))</f>
        <v/>
      </c>
      <c r="F184" s="65" t="str">
        <f>IF(AND('ROSTER UPDATE'!C184=""),"",('ROSTER UPDATE'!C184))</f>
        <v/>
      </c>
      <c r="G184" s="87" t="s">
        <v>41</v>
      </c>
      <c r="I184" s="78">
        <f>SUM('ROSTER UPDATE'!H184:'ROSTER UPDATE'!J184)</f>
        <v>0</v>
      </c>
      <c r="J184" s="79">
        <f>SUM('ROSTER UPDATE'!K184:'ROSTER UPDATE'!M184)</f>
        <v>0</v>
      </c>
      <c r="K184" s="79">
        <f>SUM('ROSTER UPDATE'!N184:'ROSTER UPDATE'!P184)</f>
        <v>0</v>
      </c>
      <c r="L184" s="79"/>
      <c r="M184" s="80"/>
      <c r="O184" s="78" t="str">
        <f>IF(AND('ROSTER UPDATE'!R184=""),"",('ROSTER UPDATE'!R184))</f>
        <v/>
      </c>
      <c r="P184" s="79" t="str">
        <f>IF(AND('ROSTER UPDATE'!S184=""),"",('ROSTER UPDATE'!S184))</f>
        <v/>
      </c>
      <c r="Q184" s="80" t="str">
        <f>IF(AND('ROSTER UPDATE'!T184=""),"",('ROSTER UPDATE'!T184))</f>
        <v/>
      </c>
      <c r="S184" s="78">
        <f>SUM('ROSTER UPDATE'!R184:'ROSTER UPDATE'!T184)</f>
        <v>0</v>
      </c>
      <c r="T184" s="79">
        <f>SUM('ROSTER UPDATE'!U184:'ROSTER UPDATE'!W184)</f>
        <v>0</v>
      </c>
      <c r="U184" s="79">
        <f>SUM('ROSTER UPDATE'!X184:'ROSTER UPDATE'!Z184)</f>
        <v>0</v>
      </c>
      <c r="V184" s="79"/>
      <c r="W184" s="80"/>
    </row>
    <row r="185" spans="2:23" ht="15.75" thickBot="1" x14ac:dyDescent="0.3">
      <c r="B185" s="64" t="str">
        <f>IF(AND('ROSTER UPDATE'!B185=""),"",('ROSTER UPDATE'!B185))</f>
        <v/>
      </c>
      <c r="C185" s="65" t="str">
        <f>IF(AND('ROSTER UPDATE'!E185=""),"",('ROSTER UPDATE'!E185))</f>
        <v/>
      </c>
      <c r="E185" s="64" t="str">
        <f>IF(AND('ROSTER UPDATE'!F185=""),"",('ROSTER UPDATE'!F185))</f>
        <v/>
      </c>
      <c r="F185" s="65" t="str">
        <f>IF(AND('ROSTER UPDATE'!C185=""),"",('ROSTER UPDATE'!C185))</f>
        <v/>
      </c>
      <c r="G185" s="87" t="s">
        <v>41</v>
      </c>
      <c r="I185" s="78">
        <f>SUM('ROSTER UPDATE'!H185:'ROSTER UPDATE'!J185)</f>
        <v>0</v>
      </c>
      <c r="J185" s="79">
        <f>SUM('ROSTER UPDATE'!K185:'ROSTER UPDATE'!M185)</f>
        <v>0</v>
      </c>
      <c r="K185" s="79">
        <f>SUM('ROSTER UPDATE'!N185:'ROSTER UPDATE'!P185)</f>
        <v>0</v>
      </c>
      <c r="L185" s="79"/>
      <c r="M185" s="80"/>
      <c r="O185" s="78" t="str">
        <f>IF(AND('ROSTER UPDATE'!R185=""),"",('ROSTER UPDATE'!R185))</f>
        <v/>
      </c>
      <c r="P185" s="79" t="str">
        <f>IF(AND('ROSTER UPDATE'!S185=""),"",('ROSTER UPDATE'!S185))</f>
        <v/>
      </c>
      <c r="Q185" s="80" t="str">
        <f>IF(AND('ROSTER UPDATE'!T185=""),"",('ROSTER UPDATE'!T185))</f>
        <v/>
      </c>
      <c r="S185" s="78">
        <f>SUM('ROSTER UPDATE'!R185:'ROSTER UPDATE'!T185)</f>
        <v>0</v>
      </c>
      <c r="T185" s="79">
        <f>SUM('ROSTER UPDATE'!U185:'ROSTER UPDATE'!W185)</f>
        <v>0</v>
      </c>
      <c r="U185" s="79">
        <f>SUM('ROSTER UPDATE'!X185:'ROSTER UPDATE'!Z185)</f>
        <v>0</v>
      </c>
      <c r="V185" s="79"/>
      <c r="W185" s="80"/>
    </row>
    <row r="186" spans="2:23" ht="15.75" thickBot="1" x14ac:dyDescent="0.3">
      <c r="B186" s="64" t="str">
        <f>IF(AND('ROSTER UPDATE'!B186=""),"",('ROSTER UPDATE'!B186))</f>
        <v/>
      </c>
      <c r="C186" s="65" t="str">
        <f>IF(AND('ROSTER UPDATE'!E186=""),"",('ROSTER UPDATE'!E186))</f>
        <v/>
      </c>
      <c r="E186" s="64" t="str">
        <f>IF(AND('ROSTER UPDATE'!F186=""),"",('ROSTER UPDATE'!F186))</f>
        <v/>
      </c>
      <c r="F186" s="65" t="str">
        <f>IF(AND('ROSTER UPDATE'!C186=""),"",('ROSTER UPDATE'!C186))</f>
        <v/>
      </c>
      <c r="G186" s="87" t="s">
        <v>41</v>
      </c>
      <c r="I186" s="78">
        <f>SUM('ROSTER UPDATE'!H186:'ROSTER UPDATE'!J186)</f>
        <v>0</v>
      </c>
      <c r="J186" s="79">
        <f>SUM('ROSTER UPDATE'!K186:'ROSTER UPDATE'!M186)</f>
        <v>0</v>
      </c>
      <c r="K186" s="79">
        <f>SUM('ROSTER UPDATE'!N186:'ROSTER UPDATE'!P186)</f>
        <v>0</v>
      </c>
      <c r="L186" s="79"/>
      <c r="M186" s="80"/>
      <c r="O186" s="78" t="str">
        <f>IF(AND('ROSTER UPDATE'!R186=""),"",('ROSTER UPDATE'!R186))</f>
        <v/>
      </c>
      <c r="P186" s="79" t="str">
        <f>IF(AND('ROSTER UPDATE'!S186=""),"",('ROSTER UPDATE'!S186))</f>
        <v/>
      </c>
      <c r="Q186" s="80" t="str">
        <f>IF(AND('ROSTER UPDATE'!T186=""),"",('ROSTER UPDATE'!T186))</f>
        <v/>
      </c>
      <c r="S186" s="78">
        <f>SUM('ROSTER UPDATE'!R186:'ROSTER UPDATE'!T186)</f>
        <v>0</v>
      </c>
      <c r="T186" s="79">
        <f>SUM('ROSTER UPDATE'!U186:'ROSTER UPDATE'!W186)</f>
        <v>0</v>
      </c>
      <c r="U186" s="79">
        <f>SUM('ROSTER UPDATE'!X186:'ROSTER UPDATE'!Z186)</f>
        <v>0</v>
      </c>
      <c r="V186" s="79"/>
      <c r="W186" s="80"/>
    </row>
    <row r="187" spans="2:23" ht="15.75" thickBot="1" x14ac:dyDescent="0.3">
      <c r="B187" s="64" t="str">
        <f>IF(AND('ROSTER UPDATE'!B187=""),"",('ROSTER UPDATE'!B187))</f>
        <v/>
      </c>
      <c r="C187" s="65" t="str">
        <f>IF(AND('ROSTER UPDATE'!E187=""),"",('ROSTER UPDATE'!E187))</f>
        <v/>
      </c>
      <c r="E187" s="64" t="str">
        <f>IF(AND('ROSTER UPDATE'!F187=""),"",('ROSTER UPDATE'!F187))</f>
        <v/>
      </c>
      <c r="F187" s="65" t="str">
        <f>IF(AND('ROSTER UPDATE'!C187=""),"",('ROSTER UPDATE'!C187))</f>
        <v/>
      </c>
      <c r="G187" s="87" t="s">
        <v>41</v>
      </c>
      <c r="I187" s="78">
        <f>SUM('ROSTER UPDATE'!H187:'ROSTER UPDATE'!J187)</f>
        <v>0</v>
      </c>
      <c r="J187" s="79">
        <f>SUM('ROSTER UPDATE'!K187:'ROSTER UPDATE'!M187)</f>
        <v>0</v>
      </c>
      <c r="K187" s="79">
        <f>SUM('ROSTER UPDATE'!N187:'ROSTER UPDATE'!P187)</f>
        <v>0</v>
      </c>
      <c r="L187" s="79"/>
      <c r="M187" s="80"/>
      <c r="O187" s="78" t="str">
        <f>IF(AND('ROSTER UPDATE'!R187=""),"",('ROSTER UPDATE'!R187))</f>
        <v/>
      </c>
      <c r="P187" s="79" t="str">
        <f>IF(AND('ROSTER UPDATE'!S187=""),"",('ROSTER UPDATE'!S187))</f>
        <v/>
      </c>
      <c r="Q187" s="80" t="str">
        <f>IF(AND('ROSTER UPDATE'!T187=""),"",('ROSTER UPDATE'!T187))</f>
        <v/>
      </c>
      <c r="S187" s="78">
        <f>SUM('ROSTER UPDATE'!R187:'ROSTER UPDATE'!T187)</f>
        <v>0</v>
      </c>
      <c r="T187" s="79">
        <f>SUM('ROSTER UPDATE'!U187:'ROSTER UPDATE'!W187)</f>
        <v>0</v>
      </c>
      <c r="U187" s="79">
        <f>SUM('ROSTER UPDATE'!X187:'ROSTER UPDATE'!Z187)</f>
        <v>0</v>
      </c>
      <c r="V187" s="79"/>
      <c r="W187" s="80"/>
    </row>
    <row r="188" spans="2:23" ht="15.75" thickBot="1" x14ac:dyDescent="0.3">
      <c r="B188" s="64" t="str">
        <f>IF(AND('ROSTER UPDATE'!B188=""),"",('ROSTER UPDATE'!B188))</f>
        <v/>
      </c>
      <c r="C188" s="65" t="str">
        <f>IF(AND('ROSTER UPDATE'!E188=""),"",('ROSTER UPDATE'!E188))</f>
        <v/>
      </c>
      <c r="E188" s="64" t="str">
        <f>IF(AND('ROSTER UPDATE'!F188=""),"",('ROSTER UPDATE'!F188))</f>
        <v/>
      </c>
      <c r="F188" s="65" t="str">
        <f>IF(AND('ROSTER UPDATE'!C188=""),"",('ROSTER UPDATE'!C188))</f>
        <v/>
      </c>
      <c r="G188" s="87" t="s">
        <v>41</v>
      </c>
      <c r="I188" s="78">
        <f>SUM('ROSTER UPDATE'!H188:'ROSTER UPDATE'!J188)</f>
        <v>0</v>
      </c>
      <c r="J188" s="79">
        <f>SUM('ROSTER UPDATE'!K188:'ROSTER UPDATE'!M188)</f>
        <v>0</v>
      </c>
      <c r="K188" s="79">
        <f>SUM('ROSTER UPDATE'!N188:'ROSTER UPDATE'!P188)</f>
        <v>0</v>
      </c>
      <c r="L188" s="79"/>
      <c r="M188" s="80"/>
      <c r="O188" s="78" t="str">
        <f>IF(AND('ROSTER UPDATE'!R188=""),"",('ROSTER UPDATE'!R188))</f>
        <v/>
      </c>
      <c r="P188" s="79" t="str">
        <f>IF(AND('ROSTER UPDATE'!S188=""),"",('ROSTER UPDATE'!S188))</f>
        <v/>
      </c>
      <c r="Q188" s="80" t="str">
        <f>IF(AND('ROSTER UPDATE'!T188=""),"",('ROSTER UPDATE'!T188))</f>
        <v/>
      </c>
      <c r="S188" s="78">
        <f>SUM('ROSTER UPDATE'!R188:'ROSTER UPDATE'!T188)</f>
        <v>0</v>
      </c>
      <c r="T188" s="79">
        <f>SUM('ROSTER UPDATE'!U188:'ROSTER UPDATE'!W188)</f>
        <v>0</v>
      </c>
      <c r="U188" s="79">
        <f>SUM('ROSTER UPDATE'!X188:'ROSTER UPDATE'!Z188)</f>
        <v>0</v>
      </c>
      <c r="V188" s="79"/>
      <c r="W188" s="80"/>
    </row>
    <row r="189" spans="2:23" ht="15.75" thickBot="1" x14ac:dyDescent="0.3">
      <c r="B189" s="64" t="str">
        <f>IF(AND('ROSTER UPDATE'!B189=""),"",('ROSTER UPDATE'!B189))</f>
        <v/>
      </c>
      <c r="C189" s="65" t="str">
        <f>IF(AND('ROSTER UPDATE'!E189=""),"",('ROSTER UPDATE'!E189))</f>
        <v/>
      </c>
      <c r="E189" s="64" t="str">
        <f>IF(AND('ROSTER UPDATE'!F189=""),"",('ROSTER UPDATE'!F189))</f>
        <v/>
      </c>
      <c r="F189" s="65" t="str">
        <f>IF(AND('ROSTER UPDATE'!C189=""),"",('ROSTER UPDATE'!C189))</f>
        <v/>
      </c>
      <c r="G189" s="87" t="s">
        <v>41</v>
      </c>
      <c r="I189" s="78">
        <f>SUM('ROSTER UPDATE'!H189:'ROSTER UPDATE'!J189)</f>
        <v>0</v>
      </c>
      <c r="J189" s="79">
        <f>SUM('ROSTER UPDATE'!K189:'ROSTER UPDATE'!M189)</f>
        <v>0</v>
      </c>
      <c r="K189" s="79">
        <f>SUM('ROSTER UPDATE'!N189:'ROSTER UPDATE'!P189)</f>
        <v>0</v>
      </c>
      <c r="L189" s="79"/>
      <c r="M189" s="80"/>
      <c r="O189" s="78" t="str">
        <f>IF(AND('ROSTER UPDATE'!R189=""),"",('ROSTER UPDATE'!R189))</f>
        <v/>
      </c>
      <c r="P189" s="79" t="str">
        <f>IF(AND('ROSTER UPDATE'!S189=""),"",('ROSTER UPDATE'!S189))</f>
        <v/>
      </c>
      <c r="Q189" s="80" t="str">
        <f>IF(AND('ROSTER UPDATE'!T189=""),"",('ROSTER UPDATE'!T189))</f>
        <v/>
      </c>
      <c r="S189" s="78">
        <f>SUM('ROSTER UPDATE'!R189:'ROSTER UPDATE'!T189)</f>
        <v>0</v>
      </c>
      <c r="T189" s="79">
        <f>SUM('ROSTER UPDATE'!U189:'ROSTER UPDATE'!W189)</f>
        <v>0</v>
      </c>
      <c r="U189" s="79">
        <f>SUM('ROSTER UPDATE'!X189:'ROSTER UPDATE'!Z189)</f>
        <v>0</v>
      </c>
      <c r="V189" s="79"/>
      <c r="W189" s="80"/>
    </row>
    <row r="190" spans="2:23" ht="15.75" thickBot="1" x14ac:dyDescent="0.3">
      <c r="B190" s="64" t="str">
        <f>IF(AND('ROSTER UPDATE'!B190=""),"",('ROSTER UPDATE'!B190))</f>
        <v/>
      </c>
      <c r="C190" s="65" t="str">
        <f>IF(AND('ROSTER UPDATE'!E190=""),"",('ROSTER UPDATE'!E190))</f>
        <v/>
      </c>
      <c r="E190" s="64" t="str">
        <f>IF(AND('ROSTER UPDATE'!F190=""),"",('ROSTER UPDATE'!F190))</f>
        <v/>
      </c>
      <c r="F190" s="65" t="str">
        <f>IF(AND('ROSTER UPDATE'!C190=""),"",('ROSTER UPDATE'!C190))</f>
        <v/>
      </c>
      <c r="G190" s="87" t="s">
        <v>41</v>
      </c>
      <c r="I190" s="78">
        <f>SUM('ROSTER UPDATE'!H190:'ROSTER UPDATE'!J190)</f>
        <v>0</v>
      </c>
      <c r="J190" s="79">
        <f>SUM('ROSTER UPDATE'!K190:'ROSTER UPDATE'!M190)</f>
        <v>0</v>
      </c>
      <c r="K190" s="79">
        <f>SUM('ROSTER UPDATE'!N190:'ROSTER UPDATE'!P190)</f>
        <v>0</v>
      </c>
      <c r="L190" s="79"/>
      <c r="M190" s="80"/>
      <c r="O190" s="78" t="str">
        <f>IF(AND('ROSTER UPDATE'!R190=""),"",('ROSTER UPDATE'!R190))</f>
        <v/>
      </c>
      <c r="P190" s="79" t="str">
        <f>IF(AND('ROSTER UPDATE'!S190=""),"",('ROSTER UPDATE'!S190))</f>
        <v/>
      </c>
      <c r="Q190" s="80" t="str">
        <f>IF(AND('ROSTER UPDATE'!T190=""),"",('ROSTER UPDATE'!T190))</f>
        <v/>
      </c>
      <c r="S190" s="78">
        <f>SUM('ROSTER UPDATE'!R190:'ROSTER UPDATE'!T190)</f>
        <v>0</v>
      </c>
      <c r="T190" s="79">
        <f>SUM('ROSTER UPDATE'!U190:'ROSTER UPDATE'!W190)</f>
        <v>0</v>
      </c>
      <c r="U190" s="79">
        <f>SUM('ROSTER UPDATE'!X190:'ROSTER UPDATE'!Z190)</f>
        <v>0</v>
      </c>
      <c r="V190" s="79"/>
      <c r="W190" s="80"/>
    </row>
    <row r="191" spans="2:23" ht="15.75" thickBot="1" x14ac:dyDescent="0.3">
      <c r="B191" s="64" t="str">
        <f>IF(AND('ROSTER UPDATE'!B191=""),"",('ROSTER UPDATE'!B191))</f>
        <v/>
      </c>
      <c r="C191" s="65" t="str">
        <f>IF(AND('ROSTER UPDATE'!E191=""),"",('ROSTER UPDATE'!E191))</f>
        <v/>
      </c>
      <c r="E191" s="64" t="str">
        <f>IF(AND('ROSTER UPDATE'!F191=""),"",('ROSTER UPDATE'!F191))</f>
        <v/>
      </c>
      <c r="F191" s="65" t="str">
        <f>IF(AND('ROSTER UPDATE'!C191=""),"",('ROSTER UPDATE'!C191))</f>
        <v/>
      </c>
      <c r="G191" s="87" t="s">
        <v>41</v>
      </c>
      <c r="I191" s="78">
        <f>SUM('ROSTER UPDATE'!H191:'ROSTER UPDATE'!J191)</f>
        <v>0</v>
      </c>
      <c r="J191" s="79">
        <f>SUM('ROSTER UPDATE'!K191:'ROSTER UPDATE'!M191)</f>
        <v>0</v>
      </c>
      <c r="K191" s="79">
        <f>SUM('ROSTER UPDATE'!N191:'ROSTER UPDATE'!P191)</f>
        <v>0</v>
      </c>
      <c r="L191" s="79"/>
      <c r="M191" s="80"/>
      <c r="O191" s="78" t="str">
        <f>IF(AND('ROSTER UPDATE'!R191=""),"",('ROSTER UPDATE'!R191))</f>
        <v/>
      </c>
      <c r="P191" s="79" t="str">
        <f>IF(AND('ROSTER UPDATE'!S191=""),"",('ROSTER UPDATE'!S191))</f>
        <v/>
      </c>
      <c r="Q191" s="80" t="str">
        <f>IF(AND('ROSTER UPDATE'!T191=""),"",('ROSTER UPDATE'!T191))</f>
        <v/>
      </c>
      <c r="S191" s="78">
        <f>SUM('ROSTER UPDATE'!R191:'ROSTER UPDATE'!T191)</f>
        <v>0</v>
      </c>
      <c r="T191" s="79">
        <f>SUM('ROSTER UPDATE'!U191:'ROSTER UPDATE'!W191)</f>
        <v>0</v>
      </c>
      <c r="U191" s="79">
        <f>SUM('ROSTER UPDATE'!X191:'ROSTER UPDATE'!Z191)</f>
        <v>0</v>
      </c>
      <c r="V191" s="79"/>
      <c r="W191" s="80"/>
    </row>
    <row r="192" spans="2:23" ht="15.75" thickBot="1" x14ac:dyDescent="0.3">
      <c r="B192" s="64" t="str">
        <f>IF(AND('ROSTER UPDATE'!B192=""),"",('ROSTER UPDATE'!B192))</f>
        <v/>
      </c>
      <c r="C192" s="65" t="str">
        <f>IF(AND('ROSTER UPDATE'!E192=""),"",('ROSTER UPDATE'!E192))</f>
        <v/>
      </c>
      <c r="E192" s="64" t="str">
        <f>IF(AND('ROSTER UPDATE'!F192=""),"",('ROSTER UPDATE'!F192))</f>
        <v/>
      </c>
      <c r="F192" s="65" t="str">
        <f>IF(AND('ROSTER UPDATE'!C192=""),"",('ROSTER UPDATE'!C192))</f>
        <v/>
      </c>
      <c r="G192" s="87" t="s">
        <v>41</v>
      </c>
      <c r="I192" s="78">
        <f>SUM('ROSTER UPDATE'!H192:'ROSTER UPDATE'!J192)</f>
        <v>0</v>
      </c>
      <c r="J192" s="79">
        <f>SUM('ROSTER UPDATE'!K192:'ROSTER UPDATE'!M192)</f>
        <v>0</v>
      </c>
      <c r="K192" s="79">
        <f>SUM('ROSTER UPDATE'!N192:'ROSTER UPDATE'!P192)</f>
        <v>0</v>
      </c>
      <c r="L192" s="79"/>
      <c r="M192" s="80"/>
      <c r="O192" s="78" t="str">
        <f>IF(AND('ROSTER UPDATE'!R192=""),"",('ROSTER UPDATE'!R192))</f>
        <v/>
      </c>
      <c r="P192" s="79" t="str">
        <f>IF(AND('ROSTER UPDATE'!S192=""),"",('ROSTER UPDATE'!S192))</f>
        <v/>
      </c>
      <c r="Q192" s="80" t="str">
        <f>IF(AND('ROSTER UPDATE'!T192=""),"",('ROSTER UPDATE'!T192))</f>
        <v/>
      </c>
      <c r="S192" s="78">
        <f>SUM('ROSTER UPDATE'!R192:'ROSTER UPDATE'!T192)</f>
        <v>0</v>
      </c>
      <c r="T192" s="79">
        <f>SUM('ROSTER UPDATE'!U192:'ROSTER UPDATE'!W192)</f>
        <v>0</v>
      </c>
      <c r="U192" s="79">
        <f>SUM('ROSTER UPDATE'!X192:'ROSTER UPDATE'!Z192)</f>
        <v>0</v>
      </c>
      <c r="V192" s="79"/>
      <c r="W192" s="80"/>
    </row>
    <row r="193" spans="2:23" ht="15.75" thickBot="1" x14ac:dyDescent="0.3">
      <c r="B193" s="64" t="str">
        <f>IF(AND('ROSTER UPDATE'!B193=""),"",('ROSTER UPDATE'!B193))</f>
        <v/>
      </c>
      <c r="C193" s="65" t="str">
        <f>IF(AND('ROSTER UPDATE'!E193=""),"",('ROSTER UPDATE'!E193))</f>
        <v/>
      </c>
      <c r="E193" s="64" t="str">
        <f>IF(AND('ROSTER UPDATE'!F193=""),"",('ROSTER UPDATE'!F193))</f>
        <v/>
      </c>
      <c r="F193" s="65" t="str">
        <f>IF(AND('ROSTER UPDATE'!C193=""),"",('ROSTER UPDATE'!C193))</f>
        <v/>
      </c>
      <c r="G193" s="87" t="s">
        <v>41</v>
      </c>
      <c r="I193" s="78">
        <f>SUM('ROSTER UPDATE'!H193:'ROSTER UPDATE'!J193)</f>
        <v>0</v>
      </c>
      <c r="J193" s="79">
        <f>SUM('ROSTER UPDATE'!K193:'ROSTER UPDATE'!M193)</f>
        <v>0</v>
      </c>
      <c r="K193" s="79">
        <f>SUM('ROSTER UPDATE'!N193:'ROSTER UPDATE'!P193)</f>
        <v>0</v>
      </c>
      <c r="L193" s="79"/>
      <c r="M193" s="80"/>
      <c r="O193" s="78" t="str">
        <f>IF(AND('ROSTER UPDATE'!R193=""),"",('ROSTER UPDATE'!R193))</f>
        <v/>
      </c>
      <c r="P193" s="79" t="str">
        <f>IF(AND('ROSTER UPDATE'!S193=""),"",('ROSTER UPDATE'!S193))</f>
        <v/>
      </c>
      <c r="Q193" s="80" t="str">
        <f>IF(AND('ROSTER UPDATE'!T193=""),"",('ROSTER UPDATE'!T193))</f>
        <v/>
      </c>
      <c r="S193" s="78">
        <f>SUM('ROSTER UPDATE'!R193:'ROSTER UPDATE'!T193)</f>
        <v>0</v>
      </c>
      <c r="T193" s="79">
        <f>SUM('ROSTER UPDATE'!U193:'ROSTER UPDATE'!W193)</f>
        <v>0</v>
      </c>
      <c r="U193" s="79">
        <f>SUM('ROSTER UPDATE'!X193:'ROSTER UPDATE'!Z193)</f>
        <v>0</v>
      </c>
      <c r="V193" s="79"/>
      <c r="W193" s="80"/>
    </row>
    <row r="194" spans="2:23" ht="15.75" thickBot="1" x14ac:dyDescent="0.3">
      <c r="B194" s="64" t="str">
        <f>IF(AND('ROSTER UPDATE'!B194=""),"",('ROSTER UPDATE'!B194))</f>
        <v/>
      </c>
      <c r="C194" s="65" t="str">
        <f>IF(AND('ROSTER UPDATE'!E194=""),"",('ROSTER UPDATE'!E194))</f>
        <v/>
      </c>
      <c r="E194" s="64" t="str">
        <f>IF(AND('ROSTER UPDATE'!F194=""),"",('ROSTER UPDATE'!F194))</f>
        <v/>
      </c>
      <c r="F194" s="65" t="str">
        <f>IF(AND('ROSTER UPDATE'!C194=""),"",('ROSTER UPDATE'!C194))</f>
        <v/>
      </c>
      <c r="G194" s="87" t="s">
        <v>41</v>
      </c>
      <c r="I194" s="78">
        <f>SUM('ROSTER UPDATE'!H194:'ROSTER UPDATE'!J194)</f>
        <v>0</v>
      </c>
      <c r="J194" s="79">
        <f>SUM('ROSTER UPDATE'!K194:'ROSTER UPDATE'!M194)</f>
        <v>0</v>
      </c>
      <c r="K194" s="79">
        <f>SUM('ROSTER UPDATE'!N194:'ROSTER UPDATE'!P194)</f>
        <v>0</v>
      </c>
      <c r="L194" s="79"/>
      <c r="M194" s="80"/>
      <c r="O194" s="78" t="str">
        <f>IF(AND('ROSTER UPDATE'!R194=""),"",('ROSTER UPDATE'!R194))</f>
        <v/>
      </c>
      <c r="P194" s="79" t="str">
        <f>IF(AND('ROSTER UPDATE'!S194=""),"",('ROSTER UPDATE'!S194))</f>
        <v/>
      </c>
      <c r="Q194" s="80" t="str">
        <f>IF(AND('ROSTER UPDATE'!T194=""),"",('ROSTER UPDATE'!T194))</f>
        <v/>
      </c>
      <c r="S194" s="78">
        <f>SUM('ROSTER UPDATE'!R194:'ROSTER UPDATE'!T194)</f>
        <v>0</v>
      </c>
      <c r="T194" s="79">
        <f>SUM('ROSTER UPDATE'!U194:'ROSTER UPDATE'!W194)</f>
        <v>0</v>
      </c>
      <c r="U194" s="79">
        <f>SUM('ROSTER UPDATE'!X194:'ROSTER UPDATE'!Z194)</f>
        <v>0</v>
      </c>
      <c r="V194" s="79"/>
      <c r="W194" s="80"/>
    </row>
    <row r="195" spans="2:23" ht="15.75" thickBot="1" x14ac:dyDescent="0.3">
      <c r="B195" s="64" t="str">
        <f>IF(AND('ROSTER UPDATE'!B195=""),"",('ROSTER UPDATE'!B195))</f>
        <v/>
      </c>
      <c r="C195" s="65" t="str">
        <f>IF(AND('ROSTER UPDATE'!E195=""),"",('ROSTER UPDATE'!E195))</f>
        <v/>
      </c>
      <c r="E195" s="64" t="str">
        <f>IF(AND('ROSTER UPDATE'!F195=""),"",('ROSTER UPDATE'!F195))</f>
        <v/>
      </c>
      <c r="F195" s="65" t="str">
        <f>IF(AND('ROSTER UPDATE'!C195=""),"",('ROSTER UPDATE'!C195))</f>
        <v/>
      </c>
      <c r="G195" s="87" t="s">
        <v>41</v>
      </c>
      <c r="I195" s="78">
        <f>SUM('ROSTER UPDATE'!H195:'ROSTER UPDATE'!J195)</f>
        <v>0</v>
      </c>
      <c r="J195" s="79">
        <f>SUM('ROSTER UPDATE'!K195:'ROSTER UPDATE'!M195)</f>
        <v>0</v>
      </c>
      <c r="K195" s="79">
        <f>SUM('ROSTER UPDATE'!N195:'ROSTER UPDATE'!P195)</f>
        <v>0</v>
      </c>
      <c r="L195" s="79"/>
      <c r="M195" s="80"/>
      <c r="O195" s="78" t="str">
        <f>IF(AND('ROSTER UPDATE'!R195=""),"",('ROSTER UPDATE'!R195))</f>
        <v/>
      </c>
      <c r="P195" s="79" t="str">
        <f>IF(AND('ROSTER UPDATE'!S195=""),"",('ROSTER UPDATE'!S195))</f>
        <v/>
      </c>
      <c r="Q195" s="80" t="str">
        <f>IF(AND('ROSTER UPDATE'!T195=""),"",('ROSTER UPDATE'!T195))</f>
        <v/>
      </c>
      <c r="S195" s="78">
        <f>SUM('ROSTER UPDATE'!R195:'ROSTER UPDATE'!T195)</f>
        <v>0</v>
      </c>
      <c r="T195" s="79">
        <f>SUM('ROSTER UPDATE'!U195:'ROSTER UPDATE'!W195)</f>
        <v>0</v>
      </c>
      <c r="U195" s="79">
        <f>SUM('ROSTER UPDATE'!X195:'ROSTER UPDATE'!Z195)</f>
        <v>0</v>
      </c>
      <c r="V195" s="79"/>
      <c r="W195" s="80"/>
    </row>
    <row r="196" spans="2:23" ht="15.75" thickBot="1" x14ac:dyDescent="0.3">
      <c r="B196" s="64" t="str">
        <f>IF(AND('ROSTER UPDATE'!B196=""),"",('ROSTER UPDATE'!B196))</f>
        <v/>
      </c>
      <c r="C196" s="65" t="str">
        <f>IF(AND('ROSTER UPDATE'!E196=""),"",('ROSTER UPDATE'!E196))</f>
        <v/>
      </c>
      <c r="E196" s="64" t="str">
        <f>IF(AND('ROSTER UPDATE'!F196=""),"",('ROSTER UPDATE'!F196))</f>
        <v/>
      </c>
      <c r="F196" s="65" t="str">
        <f>IF(AND('ROSTER UPDATE'!C196=""),"",('ROSTER UPDATE'!C196))</f>
        <v/>
      </c>
      <c r="G196" s="87" t="s">
        <v>41</v>
      </c>
      <c r="I196" s="78">
        <f>SUM('ROSTER UPDATE'!H196:'ROSTER UPDATE'!J196)</f>
        <v>0</v>
      </c>
      <c r="J196" s="79">
        <f>SUM('ROSTER UPDATE'!K196:'ROSTER UPDATE'!M196)</f>
        <v>0</v>
      </c>
      <c r="K196" s="79">
        <f>SUM('ROSTER UPDATE'!N196:'ROSTER UPDATE'!P196)</f>
        <v>0</v>
      </c>
      <c r="L196" s="79"/>
      <c r="M196" s="80"/>
      <c r="O196" s="78" t="str">
        <f>IF(AND('ROSTER UPDATE'!R196=""),"",('ROSTER UPDATE'!R196))</f>
        <v/>
      </c>
      <c r="P196" s="79" t="str">
        <f>IF(AND('ROSTER UPDATE'!S196=""),"",('ROSTER UPDATE'!S196))</f>
        <v/>
      </c>
      <c r="Q196" s="80" t="str">
        <f>IF(AND('ROSTER UPDATE'!T196=""),"",('ROSTER UPDATE'!T196))</f>
        <v/>
      </c>
      <c r="S196" s="78">
        <f>SUM('ROSTER UPDATE'!R196:'ROSTER UPDATE'!T196)</f>
        <v>0</v>
      </c>
      <c r="T196" s="79">
        <f>SUM('ROSTER UPDATE'!U196:'ROSTER UPDATE'!W196)</f>
        <v>0</v>
      </c>
      <c r="U196" s="79">
        <f>SUM('ROSTER UPDATE'!X196:'ROSTER UPDATE'!Z196)</f>
        <v>0</v>
      </c>
      <c r="V196" s="79"/>
      <c r="W196" s="80"/>
    </row>
    <row r="197" spans="2:23" ht="15.75" thickBot="1" x14ac:dyDescent="0.3">
      <c r="B197" s="64" t="str">
        <f>IF(AND('ROSTER UPDATE'!B197=""),"",('ROSTER UPDATE'!B197))</f>
        <v/>
      </c>
      <c r="C197" s="65" t="str">
        <f>IF(AND('ROSTER UPDATE'!E197=""),"",('ROSTER UPDATE'!E197))</f>
        <v/>
      </c>
      <c r="E197" s="64" t="str">
        <f>IF(AND('ROSTER UPDATE'!F197=""),"",('ROSTER UPDATE'!F197))</f>
        <v/>
      </c>
      <c r="F197" s="65" t="str">
        <f>IF(AND('ROSTER UPDATE'!C197=""),"",('ROSTER UPDATE'!C197))</f>
        <v/>
      </c>
      <c r="G197" s="87" t="s">
        <v>41</v>
      </c>
      <c r="I197" s="78">
        <f>SUM('ROSTER UPDATE'!H197:'ROSTER UPDATE'!J197)</f>
        <v>0</v>
      </c>
      <c r="J197" s="79">
        <f>SUM('ROSTER UPDATE'!K197:'ROSTER UPDATE'!M197)</f>
        <v>0</v>
      </c>
      <c r="K197" s="79">
        <f>SUM('ROSTER UPDATE'!N197:'ROSTER UPDATE'!P197)</f>
        <v>0</v>
      </c>
      <c r="L197" s="79"/>
      <c r="M197" s="80"/>
      <c r="O197" s="78" t="str">
        <f>IF(AND('ROSTER UPDATE'!R197=""),"",('ROSTER UPDATE'!R197))</f>
        <v/>
      </c>
      <c r="P197" s="79" t="str">
        <f>IF(AND('ROSTER UPDATE'!S197=""),"",('ROSTER UPDATE'!S197))</f>
        <v/>
      </c>
      <c r="Q197" s="80" t="str">
        <f>IF(AND('ROSTER UPDATE'!T197=""),"",('ROSTER UPDATE'!T197))</f>
        <v/>
      </c>
      <c r="S197" s="78">
        <f>SUM('ROSTER UPDATE'!R197:'ROSTER UPDATE'!T197)</f>
        <v>0</v>
      </c>
      <c r="T197" s="79">
        <f>SUM('ROSTER UPDATE'!U197:'ROSTER UPDATE'!W197)</f>
        <v>0</v>
      </c>
      <c r="U197" s="79">
        <f>SUM('ROSTER UPDATE'!X197:'ROSTER UPDATE'!Z197)</f>
        <v>0</v>
      </c>
      <c r="V197" s="79"/>
      <c r="W197" s="80"/>
    </row>
    <row r="198" spans="2:23" ht="15.75" thickBot="1" x14ac:dyDescent="0.3">
      <c r="B198" s="64" t="str">
        <f>IF(AND('ROSTER UPDATE'!B198=""),"",('ROSTER UPDATE'!B198))</f>
        <v/>
      </c>
      <c r="C198" s="65" t="str">
        <f>IF(AND('ROSTER UPDATE'!E198=""),"",('ROSTER UPDATE'!E198))</f>
        <v/>
      </c>
      <c r="E198" s="64" t="str">
        <f>IF(AND('ROSTER UPDATE'!F198=""),"",('ROSTER UPDATE'!F198))</f>
        <v/>
      </c>
      <c r="F198" s="65" t="str">
        <f>IF(AND('ROSTER UPDATE'!C198=""),"",('ROSTER UPDATE'!C198))</f>
        <v/>
      </c>
      <c r="G198" s="87" t="s">
        <v>41</v>
      </c>
      <c r="I198" s="78">
        <f>SUM('ROSTER UPDATE'!H198:'ROSTER UPDATE'!J198)</f>
        <v>0</v>
      </c>
      <c r="J198" s="79">
        <f>SUM('ROSTER UPDATE'!K198:'ROSTER UPDATE'!M198)</f>
        <v>0</v>
      </c>
      <c r="K198" s="79">
        <f>SUM('ROSTER UPDATE'!N198:'ROSTER UPDATE'!P198)</f>
        <v>0</v>
      </c>
      <c r="L198" s="79"/>
      <c r="M198" s="80"/>
      <c r="O198" s="78" t="str">
        <f>IF(AND('ROSTER UPDATE'!R198=""),"",('ROSTER UPDATE'!R198))</f>
        <v/>
      </c>
      <c r="P198" s="79" t="str">
        <f>IF(AND('ROSTER UPDATE'!S198=""),"",('ROSTER UPDATE'!S198))</f>
        <v/>
      </c>
      <c r="Q198" s="80" t="str">
        <f>IF(AND('ROSTER UPDATE'!T198=""),"",('ROSTER UPDATE'!T198))</f>
        <v/>
      </c>
      <c r="S198" s="78">
        <f>SUM('ROSTER UPDATE'!R198:'ROSTER UPDATE'!T198)</f>
        <v>0</v>
      </c>
      <c r="T198" s="79">
        <f>SUM('ROSTER UPDATE'!U198:'ROSTER UPDATE'!W198)</f>
        <v>0</v>
      </c>
      <c r="U198" s="79">
        <f>SUM('ROSTER UPDATE'!X198:'ROSTER UPDATE'!Z198)</f>
        <v>0</v>
      </c>
      <c r="V198" s="79"/>
      <c r="W198" s="80"/>
    </row>
    <row r="199" spans="2:23" ht="15.75" thickBot="1" x14ac:dyDescent="0.3">
      <c r="B199" s="64" t="str">
        <f>IF(AND('ROSTER UPDATE'!B199=""),"",('ROSTER UPDATE'!B199))</f>
        <v/>
      </c>
      <c r="C199" s="65" t="str">
        <f>IF(AND('ROSTER UPDATE'!E199=""),"",('ROSTER UPDATE'!E199))</f>
        <v/>
      </c>
      <c r="E199" s="64" t="str">
        <f>IF(AND('ROSTER UPDATE'!F199=""),"",('ROSTER UPDATE'!F199))</f>
        <v/>
      </c>
      <c r="F199" s="65" t="str">
        <f>IF(AND('ROSTER UPDATE'!C199=""),"",('ROSTER UPDATE'!C199))</f>
        <v/>
      </c>
      <c r="G199" s="87" t="s">
        <v>41</v>
      </c>
      <c r="I199" s="78">
        <f>SUM('ROSTER UPDATE'!H199:'ROSTER UPDATE'!J199)</f>
        <v>0</v>
      </c>
      <c r="J199" s="79">
        <f>SUM('ROSTER UPDATE'!K199:'ROSTER UPDATE'!M199)</f>
        <v>0</v>
      </c>
      <c r="K199" s="79">
        <f>SUM('ROSTER UPDATE'!N199:'ROSTER UPDATE'!P199)</f>
        <v>0</v>
      </c>
      <c r="L199" s="79"/>
      <c r="M199" s="80"/>
      <c r="O199" s="78" t="str">
        <f>IF(AND('ROSTER UPDATE'!R199=""),"",('ROSTER UPDATE'!R199))</f>
        <v/>
      </c>
      <c r="P199" s="79" t="str">
        <f>IF(AND('ROSTER UPDATE'!S199=""),"",('ROSTER UPDATE'!S199))</f>
        <v/>
      </c>
      <c r="Q199" s="80" t="str">
        <f>IF(AND('ROSTER UPDATE'!T199=""),"",('ROSTER UPDATE'!T199))</f>
        <v/>
      </c>
      <c r="S199" s="78">
        <f>SUM('ROSTER UPDATE'!R199:'ROSTER UPDATE'!T199)</f>
        <v>0</v>
      </c>
      <c r="T199" s="79">
        <f>SUM('ROSTER UPDATE'!U199:'ROSTER UPDATE'!W199)</f>
        <v>0</v>
      </c>
      <c r="U199" s="79">
        <f>SUM('ROSTER UPDATE'!X199:'ROSTER UPDATE'!Z199)</f>
        <v>0</v>
      </c>
      <c r="V199" s="79"/>
      <c r="W199" s="80"/>
    </row>
    <row r="200" spans="2:23" ht="15.75" thickBot="1" x14ac:dyDescent="0.3">
      <c r="B200" s="64" t="str">
        <f>IF(AND('ROSTER UPDATE'!B200=""),"",('ROSTER UPDATE'!B200))</f>
        <v/>
      </c>
      <c r="C200" s="65" t="str">
        <f>IF(AND('ROSTER UPDATE'!E200=""),"",('ROSTER UPDATE'!E200))</f>
        <v/>
      </c>
      <c r="E200" s="64" t="str">
        <f>IF(AND('ROSTER UPDATE'!F200=""),"",('ROSTER UPDATE'!F200))</f>
        <v/>
      </c>
      <c r="F200" s="65" t="str">
        <f>IF(AND('ROSTER UPDATE'!C200=""),"",('ROSTER UPDATE'!C200))</f>
        <v/>
      </c>
      <c r="G200" s="87" t="s">
        <v>41</v>
      </c>
      <c r="I200" s="78">
        <f>SUM('ROSTER UPDATE'!H200:'ROSTER UPDATE'!J200)</f>
        <v>0</v>
      </c>
      <c r="J200" s="79">
        <f>SUM('ROSTER UPDATE'!K200:'ROSTER UPDATE'!M200)</f>
        <v>0</v>
      </c>
      <c r="K200" s="79">
        <f>SUM('ROSTER UPDATE'!N200:'ROSTER UPDATE'!P200)</f>
        <v>0</v>
      </c>
      <c r="L200" s="79"/>
      <c r="M200" s="80"/>
      <c r="O200" s="78" t="str">
        <f>IF(AND('ROSTER UPDATE'!R200=""),"",('ROSTER UPDATE'!R200))</f>
        <v/>
      </c>
      <c r="P200" s="79" t="str">
        <f>IF(AND('ROSTER UPDATE'!S200=""),"",('ROSTER UPDATE'!S200))</f>
        <v/>
      </c>
      <c r="Q200" s="80" t="str">
        <f>IF(AND('ROSTER UPDATE'!T200=""),"",('ROSTER UPDATE'!T200))</f>
        <v/>
      </c>
      <c r="S200" s="78">
        <f>SUM('ROSTER UPDATE'!R200:'ROSTER UPDATE'!T200)</f>
        <v>0</v>
      </c>
      <c r="T200" s="79">
        <f>SUM('ROSTER UPDATE'!U200:'ROSTER UPDATE'!W200)</f>
        <v>0</v>
      </c>
      <c r="U200" s="79">
        <f>SUM('ROSTER UPDATE'!X200:'ROSTER UPDATE'!Z200)</f>
        <v>0</v>
      </c>
      <c r="V200" s="79"/>
      <c r="W200" s="80"/>
    </row>
    <row r="201" spans="2:23" ht="15.75" thickBot="1" x14ac:dyDescent="0.3">
      <c r="B201" s="64" t="str">
        <f>IF(AND('ROSTER UPDATE'!B201=""),"",('ROSTER UPDATE'!B201))</f>
        <v/>
      </c>
      <c r="C201" s="65" t="str">
        <f>IF(AND('ROSTER UPDATE'!E201=""),"",('ROSTER UPDATE'!E201))</f>
        <v/>
      </c>
      <c r="E201" s="64" t="str">
        <f>IF(AND('ROSTER UPDATE'!F201=""),"",('ROSTER UPDATE'!F201))</f>
        <v/>
      </c>
      <c r="F201" s="65" t="str">
        <f>IF(AND('ROSTER UPDATE'!C201=""),"",('ROSTER UPDATE'!C201))</f>
        <v/>
      </c>
      <c r="G201" s="87" t="s">
        <v>41</v>
      </c>
      <c r="I201" s="78">
        <f>SUM('ROSTER UPDATE'!H201:'ROSTER UPDATE'!J201)</f>
        <v>0</v>
      </c>
      <c r="J201" s="79">
        <f>SUM('ROSTER UPDATE'!K201:'ROSTER UPDATE'!M201)</f>
        <v>0</v>
      </c>
      <c r="K201" s="79">
        <f>SUM('ROSTER UPDATE'!N201:'ROSTER UPDATE'!P201)</f>
        <v>0</v>
      </c>
      <c r="L201" s="79"/>
      <c r="M201" s="80"/>
      <c r="O201" s="78" t="str">
        <f>IF(AND('ROSTER UPDATE'!R201=""),"",('ROSTER UPDATE'!R201))</f>
        <v/>
      </c>
      <c r="P201" s="79" t="str">
        <f>IF(AND('ROSTER UPDATE'!S201=""),"",('ROSTER UPDATE'!S201))</f>
        <v/>
      </c>
      <c r="Q201" s="80" t="str">
        <f>IF(AND('ROSTER UPDATE'!T201=""),"",('ROSTER UPDATE'!T201))</f>
        <v/>
      </c>
      <c r="S201" s="78">
        <f>SUM('ROSTER UPDATE'!R201:'ROSTER UPDATE'!T201)</f>
        <v>0</v>
      </c>
      <c r="T201" s="79">
        <f>SUM('ROSTER UPDATE'!U201:'ROSTER UPDATE'!W201)</f>
        <v>0</v>
      </c>
      <c r="U201" s="79">
        <f>SUM('ROSTER UPDATE'!X201:'ROSTER UPDATE'!Z201)</f>
        <v>0</v>
      </c>
      <c r="V201" s="79"/>
      <c r="W201" s="80"/>
    </row>
    <row r="202" spans="2:23" ht="15.75" thickBot="1" x14ac:dyDescent="0.3">
      <c r="B202" s="64" t="str">
        <f>IF(AND('ROSTER UPDATE'!B202=""),"",('ROSTER UPDATE'!B202))</f>
        <v/>
      </c>
      <c r="C202" s="65" t="str">
        <f>IF(AND('ROSTER UPDATE'!E202=""),"",('ROSTER UPDATE'!E202))</f>
        <v/>
      </c>
      <c r="E202" s="64" t="str">
        <f>IF(AND('ROSTER UPDATE'!F202=""),"",('ROSTER UPDATE'!F202))</f>
        <v/>
      </c>
      <c r="F202" s="65" t="str">
        <f>IF(AND('ROSTER UPDATE'!C202=""),"",('ROSTER UPDATE'!C202))</f>
        <v/>
      </c>
      <c r="G202" s="87" t="s">
        <v>41</v>
      </c>
      <c r="I202" s="78">
        <f>SUM('ROSTER UPDATE'!H202:'ROSTER UPDATE'!J202)</f>
        <v>0</v>
      </c>
      <c r="J202" s="79">
        <f>SUM('ROSTER UPDATE'!K202:'ROSTER UPDATE'!M202)</f>
        <v>0</v>
      </c>
      <c r="K202" s="79">
        <f>SUM('ROSTER UPDATE'!N202:'ROSTER UPDATE'!P202)</f>
        <v>0</v>
      </c>
      <c r="L202" s="79"/>
      <c r="M202" s="80"/>
      <c r="O202" s="78" t="str">
        <f>IF(AND('ROSTER UPDATE'!R202=""),"",('ROSTER UPDATE'!R202))</f>
        <v/>
      </c>
      <c r="P202" s="79" t="str">
        <f>IF(AND('ROSTER UPDATE'!S202=""),"",('ROSTER UPDATE'!S202))</f>
        <v/>
      </c>
      <c r="Q202" s="80" t="str">
        <f>IF(AND('ROSTER UPDATE'!T202=""),"",('ROSTER UPDATE'!T202))</f>
        <v/>
      </c>
      <c r="S202" s="78">
        <f>SUM('ROSTER UPDATE'!R202:'ROSTER UPDATE'!T202)</f>
        <v>0</v>
      </c>
      <c r="T202" s="79">
        <f>SUM('ROSTER UPDATE'!U202:'ROSTER UPDATE'!W202)</f>
        <v>0</v>
      </c>
      <c r="U202" s="79">
        <f>SUM('ROSTER UPDATE'!X202:'ROSTER UPDATE'!Z202)</f>
        <v>0</v>
      </c>
      <c r="V202" s="79"/>
      <c r="W202" s="80"/>
    </row>
    <row r="203" spans="2:23" ht="15.75" thickBot="1" x14ac:dyDescent="0.3">
      <c r="B203" s="64" t="str">
        <f>IF(AND('ROSTER UPDATE'!B203=""),"",('ROSTER UPDATE'!B203))</f>
        <v/>
      </c>
      <c r="C203" s="65" t="str">
        <f>IF(AND('ROSTER UPDATE'!E203=""),"",('ROSTER UPDATE'!E203))</f>
        <v/>
      </c>
      <c r="E203" s="64" t="str">
        <f>IF(AND('ROSTER UPDATE'!F203=""),"",('ROSTER UPDATE'!F203))</f>
        <v/>
      </c>
      <c r="F203" s="65" t="str">
        <f>IF(AND('ROSTER UPDATE'!C203=""),"",('ROSTER UPDATE'!C203))</f>
        <v/>
      </c>
      <c r="G203" s="87" t="s">
        <v>41</v>
      </c>
      <c r="I203" s="78">
        <f>SUM('ROSTER UPDATE'!H203:'ROSTER UPDATE'!J203)</f>
        <v>0</v>
      </c>
      <c r="J203" s="79">
        <f>SUM('ROSTER UPDATE'!K203:'ROSTER UPDATE'!M203)</f>
        <v>0</v>
      </c>
      <c r="K203" s="79">
        <f>SUM('ROSTER UPDATE'!N203:'ROSTER UPDATE'!P203)</f>
        <v>0</v>
      </c>
      <c r="L203" s="79"/>
      <c r="M203" s="80"/>
      <c r="O203" s="78" t="str">
        <f>IF(AND('ROSTER UPDATE'!R203=""),"",('ROSTER UPDATE'!R203))</f>
        <v/>
      </c>
      <c r="P203" s="79" t="str">
        <f>IF(AND('ROSTER UPDATE'!S203=""),"",('ROSTER UPDATE'!S203))</f>
        <v/>
      </c>
      <c r="Q203" s="80" t="str">
        <f>IF(AND('ROSTER UPDATE'!T203=""),"",('ROSTER UPDATE'!T203))</f>
        <v/>
      </c>
      <c r="S203" s="78">
        <f>SUM('ROSTER UPDATE'!R203:'ROSTER UPDATE'!T203)</f>
        <v>0</v>
      </c>
      <c r="T203" s="79">
        <f>SUM('ROSTER UPDATE'!U203:'ROSTER UPDATE'!W203)</f>
        <v>0</v>
      </c>
      <c r="U203" s="79">
        <f>SUM('ROSTER UPDATE'!X203:'ROSTER UPDATE'!Z203)</f>
        <v>0</v>
      </c>
      <c r="V203" s="79"/>
      <c r="W203" s="80"/>
    </row>
    <row r="204" spans="2:23" ht="15.75" thickBot="1" x14ac:dyDescent="0.3">
      <c r="B204" s="64" t="str">
        <f>IF(AND('ROSTER UPDATE'!B204=""),"",('ROSTER UPDATE'!B204))</f>
        <v/>
      </c>
      <c r="C204" s="65" t="str">
        <f>IF(AND('ROSTER UPDATE'!E204=""),"",('ROSTER UPDATE'!E204))</f>
        <v/>
      </c>
      <c r="E204" s="64" t="str">
        <f>IF(AND('ROSTER UPDATE'!F204=""),"",('ROSTER UPDATE'!F204))</f>
        <v/>
      </c>
      <c r="F204" s="65" t="str">
        <f>IF(AND('ROSTER UPDATE'!C204=""),"",('ROSTER UPDATE'!C204))</f>
        <v/>
      </c>
      <c r="G204" s="87" t="s">
        <v>41</v>
      </c>
      <c r="I204" s="78">
        <f>SUM('ROSTER UPDATE'!H204:'ROSTER UPDATE'!J204)</f>
        <v>0</v>
      </c>
      <c r="J204" s="79">
        <f>SUM('ROSTER UPDATE'!K204:'ROSTER UPDATE'!M204)</f>
        <v>0</v>
      </c>
      <c r="K204" s="79">
        <f>SUM('ROSTER UPDATE'!N204:'ROSTER UPDATE'!P204)</f>
        <v>0</v>
      </c>
      <c r="L204" s="79"/>
      <c r="M204" s="80"/>
      <c r="O204" s="78" t="str">
        <f>IF(AND('ROSTER UPDATE'!R204=""),"",('ROSTER UPDATE'!R204))</f>
        <v/>
      </c>
      <c r="P204" s="79" t="str">
        <f>IF(AND('ROSTER UPDATE'!S204=""),"",('ROSTER UPDATE'!S204))</f>
        <v/>
      </c>
      <c r="Q204" s="80" t="str">
        <f>IF(AND('ROSTER UPDATE'!T204=""),"",('ROSTER UPDATE'!T204))</f>
        <v/>
      </c>
      <c r="S204" s="78">
        <f>SUM('ROSTER UPDATE'!R204:'ROSTER UPDATE'!T204)</f>
        <v>0</v>
      </c>
      <c r="T204" s="79">
        <f>SUM('ROSTER UPDATE'!U204:'ROSTER UPDATE'!W204)</f>
        <v>0</v>
      </c>
      <c r="U204" s="79">
        <f>SUM('ROSTER UPDATE'!X204:'ROSTER UPDATE'!Z204)</f>
        <v>0</v>
      </c>
      <c r="V204" s="79"/>
      <c r="W204" s="80"/>
    </row>
    <row r="205" spans="2:23" ht="15.75" thickBot="1" x14ac:dyDescent="0.3">
      <c r="B205" s="64" t="str">
        <f>IF(AND('ROSTER UPDATE'!B205=""),"",('ROSTER UPDATE'!B205))</f>
        <v/>
      </c>
      <c r="C205" s="65" t="str">
        <f>IF(AND('ROSTER UPDATE'!E205=""),"",('ROSTER UPDATE'!E205))</f>
        <v/>
      </c>
      <c r="E205" s="64" t="str">
        <f>IF(AND('ROSTER UPDATE'!F205=""),"",('ROSTER UPDATE'!F205))</f>
        <v/>
      </c>
      <c r="F205" s="65" t="str">
        <f>IF(AND('ROSTER UPDATE'!C205=""),"",('ROSTER UPDATE'!C205))</f>
        <v/>
      </c>
      <c r="G205" s="87" t="s">
        <v>41</v>
      </c>
      <c r="I205" s="78">
        <f>SUM('ROSTER UPDATE'!H205:'ROSTER UPDATE'!J205)</f>
        <v>0</v>
      </c>
      <c r="J205" s="79">
        <f>SUM('ROSTER UPDATE'!K205:'ROSTER UPDATE'!M205)</f>
        <v>0</v>
      </c>
      <c r="K205" s="79">
        <f>SUM('ROSTER UPDATE'!N205:'ROSTER UPDATE'!P205)</f>
        <v>0</v>
      </c>
      <c r="L205" s="79"/>
      <c r="M205" s="80"/>
      <c r="O205" s="78" t="str">
        <f>IF(AND('ROSTER UPDATE'!R205=""),"",('ROSTER UPDATE'!R205))</f>
        <v/>
      </c>
      <c r="P205" s="79" t="str">
        <f>IF(AND('ROSTER UPDATE'!S205=""),"",('ROSTER UPDATE'!S205))</f>
        <v/>
      </c>
      <c r="Q205" s="80" t="str">
        <f>IF(AND('ROSTER UPDATE'!T205=""),"",('ROSTER UPDATE'!T205))</f>
        <v/>
      </c>
      <c r="S205" s="78">
        <f>SUM('ROSTER UPDATE'!R205:'ROSTER UPDATE'!T205)</f>
        <v>0</v>
      </c>
      <c r="T205" s="79">
        <f>SUM('ROSTER UPDATE'!U205:'ROSTER UPDATE'!W205)</f>
        <v>0</v>
      </c>
      <c r="U205" s="79">
        <f>SUM('ROSTER UPDATE'!X205:'ROSTER UPDATE'!Z205)</f>
        <v>0</v>
      </c>
      <c r="V205" s="79"/>
      <c r="W205" s="80"/>
    </row>
    <row r="206" spans="2:23" ht="15.75" thickBot="1" x14ac:dyDescent="0.3">
      <c r="B206" s="64" t="str">
        <f>IF(AND('ROSTER UPDATE'!B206=""),"",('ROSTER UPDATE'!B206))</f>
        <v/>
      </c>
      <c r="C206" s="65" t="str">
        <f>IF(AND('ROSTER UPDATE'!E206=""),"",('ROSTER UPDATE'!E206))</f>
        <v/>
      </c>
      <c r="E206" s="64" t="str">
        <f>IF(AND('ROSTER UPDATE'!F206=""),"",('ROSTER UPDATE'!F206))</f>
        <v/>
      </c>
      <c r="F206" s="65" t="str">
        <f>IF(AND('ROSTER UPDATE'!C206=""),"",('ROSTER UPDATE'!C206))</f>
        <v/>
      </c>
      <c r="G206" s="87" t="s">
        <v>41</v>
      </c>
      <c r="I206" s="78">
        <f>SUM('ROSTER UPDATE'!H206:'ROSTER UPDATE'!J206)</f>
        <v>0</v>
      </c>
      <c r="J206" s="79">
        <f>SUM('ROSTER UPDATE'!K206:'ROSTER UPDATE'!M206)</f>
        <v>0</v>
      </c>
      <c r="K206" s="79">
        <f>SUM('ROSTER UPDATE'!N206:'ROSTER UPDATE'!P206)</f>
        <v>0</v>
      </c>
      <c r="L206" s="79"/>
      <c r="M206" s="80"/>
      <c r="O206" s="78" t="str">
        <f>IF(AND('ROSTER UPDATE'!R206=""),"",('ROSTER UPDATE'!R206))</f>
        <v/>
      </c>
      <c r="P206" s="79" t="str">
        <f>IF(AND('ROSTER UPDATE'!S206=""),"",('ROSTER UPDATE'!S206))</f>
        <v/>
      </c>
      <c r="Q206" s="80" t="str">
        <f>IF(AND('ROSTER UPDATE'!T206=""),"",('ROSTER UPDATE'!T206))</f>
        <v/>
      </c>
      <c r="S206" s="78">
        <f>SUM('ROSTER UPDATE'!R206:'ROSTER UPDATE'!T206)</f>
        <v>0</v>
      </c>
      <c r="T206" s="79">
        <f>SUM('ROSTER UPDATE'!U206:'ROSTER UPDATE'!W206)</f>
        <v>0</v>
      </c>
      <c r="U206" s="79">
        <f>SUM('ROSTER UPDATE'!X206:'ROSTER UPDATE'!Z206)</f>
        <v>0</v>
      </c>
      <c r="V206" s="79"/>
      <c r="W206" s="80"/>
    </row>
    <row r="207" spans="2:23" ht="15.75" thickBot="1" x14ac:dyDescent="0.3">
      <c r="B207" s="64" t="str">
        <f>IF(AND('ROSTER UPDATE'!B207=""),"",('ROSTER UPDATE'!B207))</f>
        <v/>
      </c>
      <c r="C207" s="65" t="str">
        <f>IF(AND('ROSTER UPDATE'!E207=""),"",('ROSTER UPDATE'!E207))</f>
        <v/>
      </c>
      <c r="E207" s="64" t="str">
        <f>IF(AND('ROSTER UPDATE'!F207=""),"",('ROSTER UPDATE'!F207))</f>
        <v/>
      </c>
      <c r="F207" s="65" t="str">
        <f>IF(AND('ROSTER UPDATE'!C207=""),"",('ROSTER UPDATE'!C207))</f>
        <v/>
      </c>
      <c r="G207" s="87" t="s">
        <v>41</v>
      </c>
      <c r="I207" s="78">
        <f>SUM('ROSTER UPDATE'!H207:'ROSTER UPDATE'!J207)</f>
        <v>0</v>
      </c>
      <c r="J207" s="79">
        <f>SUM('ROSTER UPDATE'!K207:'ROSTER UPDATE'!M207)</f>
        <v>0</v>
      </c>
      <c r="K207" s="79">
        <f>SUM('ROSTER UPDATE'!N207:'ROSTER UPDATE'!P207)</f>
        <v>0</v>
      </c>
      <c r="L207" s="79"/>
      <c r="M207" s="80"/>
      <c r="O207" s="78" t="str">
        <f>IF(AND('ROSTER UPDATE'!R207=""),"",('ROSTER UPDATE'!R207))</f>
        <v/>
      </c>
      <c r="P207" s="79" t="str">
        <f>IF(AND('ROSTER UPDATE'!S207=""),"",('ROSTER UPDATE'!S207))</f>
        <v/>
      </c>
      <c r="Q207" s="80" t="str">
        <f>IF(AND('ROSTER UPDATE'!T207=""),"",('ROSTER UPDATE'!T207))</f>
        <v/>
      </c>
      <c r="S207" s="78">
        <f>SUM('ROSTER UPDATE'!R207:'ROSTER UPDATE'!T207)</f>
        <v>0</v>
      </c>
      <c r="T207" s="79">
        <f>SUM('ROSTER UPDATE'!U207:'ROSTER UPDATE'!W207)</f>
        <v>0</v>
      </c>
      <c r="U207" s="79">
        <f>SUM('ROSTER UPDATE'!X207:'ROSTER UPDATE'!Z207)</f>
        <v>0</v>
      </c>
      <c r="V207" s="79"/>
      <c r="W207" s="80"/>
    </row>
    <row r="208" spans="2:23" ht="15.75" thickBot="1" x14ac:dyDescent="0.3">
      <c r="B208" s="64" t="str">
        <f>IF(AND('ROSTER UPDATE'!B208=""),"",('ROSTER UPDATE'!B208))</f>
        <v/>
      </c>
      <c r="C208" s="65" t="str">
        <f>IF(AND('ROSTER UPDATE'!E208=""),"",('ROSTER UPDATE'!E208))</f>
        <v/>
      </c>
      <c r="E208" s="64" t="str">
        <f>IF(AND('ROSTER UPDATE'!F208=""),"",('ROSTER UPDATE'!F208))</f>
        <v/>
      </c>
      <c r="F208" s="65" t="str">
        <f>IF(AND('ROSTER UPDATE'!C208=""),"",('ROSTER UPDATE'!C208))</f>
        <v/>
      </c>
      <c r="G208" s="87" t="s">
        <v>41</v>
      </c>
      <c r="I208" s="78">
        <f>SUM('ROSTER UPDATE'!H208:'ROSTER UPDATE'!J208)</f>
        <v>0</v>
      </c>
      <c r="J208" s="79">
        <f>SUM('ROSTER UPDATE'!K208:'ROSTER UPDATE'!M208)</f>
        <v>0</v>
      </c>
      <c r="K208" s="79">
        <f>SUM('ROSTER UPDATE'!N208:'ROSTER UPDATE'!P208)</f>
        <v>0</v>
      </c>
      <c r="L208" s="79"/>
      <c r="M208" s="80"/>
      <c r="O208" s="78" t="str">
        <f>IF(AND('ROSTER UPDATE'!R208=""),"",('ROSTER UPDATE'!R208))</f>
        <v/>
      </c>
      <c r="P208" s="79" t="str">
        <f>IF(AND('ROSTER UPDATE'!S208=""),"",('ROSTER UPDATE'!S208))</f>
        <v/>
      </c>
      <c r="Q208" s="80" t="str">
        <f>IF(AND('ROSTER UPDATE'!T208=""),"",('ROSTER UPDATE'!T208))</f>
        <v/>
      </c>
      <c r="S208" s="78">
        <f>SUM('ROSTER UPDATE'!R208:'ROSTER UPDATE'!T208)</f>
        <v>0</v>
      </c>
      <c r="T208" s="79">
        <f>SUM('ROSTER UPDATE'!U208:'ROSTER UPDATE'!W208)</f>
        <v>0</v>
      </c>
      <c r="U208" s="79">
        <f>SUM('ROSTER UPDATE'!X208:'ROSTER UPDATE'!Z208)</f>
        <v>0</v>
      </c>
      <c r="V208" s="79"/>
      <c r="W208" s="80"/>
    </row>
    <row r="209" spans="2:23" ht="15.75" thickBot="1" x14ac:dyDescent="0.3">
      <c r="B209" s="64" t="str">
        <f>IF(AND('ROSTER UPDATE'!B209=""),"",('ROSTER UPDATE'!B209))</f>
        <v/>
      </c>
      <c r="C209" s="65" t="str">
        <f>IF(AND('ROSTER UPDATE'!E209=""),"",('ROSTER UPDATE'!E209))</f>
        <v/>
      </c>
      <c r="E209" s="64" t="str">
        <f>IF(AND('ROSTER UPDATE'!F209=""),"",('ROSTER UPDATE'!F209))</f>
        <v/>
      </c>
      <c r="F209" s="65" t="str">
        <f>IF(AND('ROSTER UPDATE'!C209=""),"",('ROSTER UPDATE'!C209))</f>
        <v/>
      </c>
      <c r="G209" s="87" t="s">
        <v>41</v>
      </c>
      <c r="I209" s="78">
        <f>SUM('ROSTER UPDATE'!H209:'ROSTER UPDATE'!J209)</f>
        <v>0</v>
      </c>
      <c r="J209" s="79">
        <f>SUM('ROSTER UPDATE'!K209:'ROSTER UPDATE'!M209)</f>
        <v>0</v>
      </c>
      <c r="K209" s="79">
        <f>SUM('ROSTER UPDATE'!N209:'ROSTER UPDATE'!P209)</f>
        <v>0</v>
      </c>
      <c r="L209" s="79"/>
      <c r="M209" s="80"/>
      <c r="O209" s="78" t="str">
        <f>IF(AND('ROSTER UPDATE'!R209=""),"",('ROSTER UPDATE'!R209))</f>
        <v/>
      </c>
      <c r="P209" s="79" t="str">
        <f>IF(AND('ROSTER UPDATE'!S209=""),"",('ROSTER UPDATE'!S209))</f>
        <v/>
      </c>
      <c r="Q209" s="80" t="str">
        <f>IF(AND('ROSTER UPDATE'!T209=""),"",('ROSTER UPDATE'!T209))</f>
        <v/>
      </c>
      <c r="S209" s="78">
        <f>SUM('ROSTER UPDATE'!R209:'ROSTER UPDATE'!T209)</f>
        <v>0</v>
      </c>
      <c r="T209" s="79">
        <f>SUM('ROSTER UPDATE'!U209:'ROSTER UPDATE'!W209)</f>
        <v>0</v>
      </c>
      <c r="U209" s="79">
        <f>SUM('ROSTER UPDATE'!X209:'ROSTER UPDATE'!Z209)</f>
        <v>0</v>
      </c>
      <c r="V209" s="79"/>
      <c r="W209" s="80"/>
    </row>
    <row r="210" spans="2:23" ht="15.75" thickBot="1" x14ac:dyDescent="0.3">
      <c r="B210" s="64" t="str">
        <f>IF(AND('ROSTER UPDATE'!B210=""),"",('ROSTER UPDATE'!B210))</f>
        <v/>
      </c>
      <c r="C210" s="65" t="str">
        <f>IF(AND('ROSTER UPDATE'!E210=""),"",('ROSTER UPDATE'!E210))</f>
        <v/>
      </c>
      <c r="E210" s="64" t="str">
        <f>IF(AND('ROSTER UPDATE'!F210=""),"",('ROSTER UPDATE'!F210))</f>
        <v/>
      </c>
      <c r="F210" s="65" t="str">
        <f>IF(AND('ROSTER UPDATE'!C210=""),"",('ROSTER UPDATE'!C210))</f>
        <v/>
      </c>
      <c r="G210" s="87" t="s">
        <v>41</v>
      </c>
      <c r="I210" s="78">
        <f>SUM('ROSTER UPDATE'!H210:'ROSTER UPDATE'!J210)</f>
        <v>0</v>
      </c>
      <c r="J210" s="79">
        <f>SUM('ROSTER UPDATE'!K210:'ROSTER UPDATE'!M210)</f>
        <v>0</v>
      </c>
      <c r="K210" s="79">
        <f>SUM('ROSTER UPDATE'!N210:'ROSTER UPDATE'!P210)</f>
        <v>0</v>
      </c>
      <c r="L210" s="79"/>
      <c r="M210" s="80"/>
      <c r="O210" s="78" t="str">
        <f>IF(AND('ROSTER UPDATE'!R210=""),"",('ROSTER UPDATE'!R210))</f>
        <v/>
      </c>
      <c r="P210" s="79" t="str">
        <f>IF(AND('ROSTER UPDATE'!S210=""),"",('ROSTER UPDATE'!S210))</f>
        <v/>
      </c>
      <c r="Q210" s="80" t="str">
        <f>IF(AND('ROSTER UPDATE'!T210=""),"",('ROSTER UPDATE'!T210))</f>
        <v/>
      </c>
      <c r="S210" s="78">
        <f>SUM('ROSTER UPDATE'!R210:'ROSTER UPDATE'!T210)</f>
        <v>0</v>
      </c>
      <c r="T210" s="79">
        <f>SUM('ROSTER UPDATE'!U210:'ROSTER UPDATE'!W210)</f>
        <v>0</v>
      </c>
      <c r="U210" s="79">
        <f>SUM('ROSTER UPDATE'!X210:'ROSTER UPDATE'!Z210)</f>
        <v>0</v>
      </c>
      <c r="V210" s="79"/>
      <c r="W210" s="80"/>
    </row>
    <row r="211" spans="2:23" ht="15.75" thickBot="1" x14ac:dyDescent="0.3">
      <c r="B211" s="64" t="str">
        <f>IF(AND('ROSTER UPDATE'!B211=""),"",('ROSTER UPDATE'!B211))</f>
        <v/>
      </c>
      <c r="C211" s="65" t="str">
        <f>IF(AND('ROSTER UPDATE'!E211=""),"",('ROSTER UPDATE'!E211))</f>
        <v/>
      </c>
      <c r="E211" s="64" t="str">
        <f>IF(AND('ROSTER UPDATE'!F211=""),"",('ROSTER UPDATE'!F211))</f>
        <v/>
      </c>
      <c r="F211" s="65" t="str">
        <f>IF(AND('ROSTER UPDATE'!C211=""),"",('ROSTER UPDATE'!C211))</f>
        <v/>
      </c>
      <c r="G211" s="87" t="s">
        <v>41</v>
      </c>
      <c r="I211" s="78">
        <f>SUM('ROSTER UPDATE'!H211:'ROSTER UPDATE'!J211)</f>
        <v>0</v>
      </c>
      <c r="J211" s="79">
        <f>SUM('ROSTER UPDATE'!K211:'ROSTER UPDATE'!M211)</f>
        <v>0</v>
      </c>
      <c r="K211" s="79">
        <f>SUM('ROSTER UPDATE'!N211:'ROSTER UPDATE'!P211)</f>
        <v>0</v>
      </c>
      <c r="L211" s="79"/>
      <c r="M211" s="80"/>
      <c r="O211" s="78" t="str">
        <f>IF(AND('ROSTER UPDATE'!R211=""),"",('ROSTER UPDATE'!R211))</f>
        <v/>
      </c>
      <c r="P211" s="79" t="str">
        <f>IF(AND('ROSTER UPDATE'!S211=""),"",('ROSTER UPDATE'!S211))</f>
        <v/>
      </c>
      <c r="Q211" s="80" t="str">
        <f>IF(AND('ROSTER UPDATE'!T211=""),"",('ROSTER UPDATE'!T211))</f>
        <v/>
      </c>
      <c r="S211" s="78">
        <f>SUM('ROSTER UPDATE'!R211:'ROSTER UPDATE'!T211)</f>
        <v>0</v>
      </c>
      <c r="T211" s="79">
        <f>SUM('ROSTER UPDATE'!U211:'ROSTER UPDATE'!W211)</f>
        <v>0</v>
      </c>
      <c r="U211" s="79">
        <f>SUM('ROSTER UPDATE'!X211:'ROSTER UPDATE'!Z211)</f>
        <v>0</v>
      </c>
      <c r="V211" s="79"/>
      <c r="W211" s="80"/>
    </row>
    <row r="212" spans="2:23" ht="15.75" thickBot="1" x14ac:dyDescent="0.3">
      <c r="B212" s="64" t="str">
        <f>IF(AND('ROSTER UPDATE'!B212=""),"",('ROSTER UPDATE'!B212))</f>
        <v/>
      </c>
      <c r="C212" s="65" t="str">
        <f>IF(AND('ROSTER UPDATE'!E212=""),"",('ROSTER UPDATE'!E212))</f>
        <v/>
      </c>
      <c r="E212" s="64" t="str">
        <f>IF(AND('ROSTER UPDATE'!F212=""),"",('ROSTER UPDATE'!F212))</f>
        <v/>
      </c>
      <c r="F212" s="65" t="str">
        <f>IF(AND('ROSTER UPDATE'!C212=""),"",('ROSTER UPDATE'!C212))</f>
        <v/>
      </c>
      <c r="G212" s="87" t="s">
        <v>41</v>
      </c>
      <c r="I212" s="78">
        <f>SUM('ROSTER UPDATE'!H212:'ROSTER UPDATE'!J212)</f>
        <v>0</v>
      </c>
      <c r="J212" s="79">
        <f>SUM('ROSTER UPDATE'!K212:'ROSTER UPDATE'!M212)</f>
        <v>0</v>
      </c>
      <c r="K212" s="79">
        <f>SUM('ROSTER UPDATE'!N212:'ROSTER UPDATE'!P212)</f>
        <v>0</v>
      </c>
      <c r="L212" s="79"/>
      <c r="M212" s="80"/>
      <c r="O212" s="78" t="str">
        <f>IF(AND('ROSTER UPDATE'!R212=""),"",('ROSTER UPDATE'!R212))</f>
        <v/>
      </c>
      <c r="P212" s="79" t="str">
        <f>IF(AND('ROSTER UPDATE'!S212=""),"",('ROSTER UPDATE'!S212))</f>
        <v/>
      </c>
      <c r="Q212" s="80" t="str">
        <f>IF(AND('ROSTER UPDATE'!T212=""),"",('ROSTER UPDATE'!T212))</f>
        <v/>
      </c>
      <c r="S212" s="78">
        <f>SUM('ROSTER UPDATE'!R212:'ROSTER UPDATE'!T212)</f>
        <v>0</v>
      </c>
      <c r="T212" s="79">
        <f>SUM('ROSTER UPDATE'!U212:'ROSTER UPDATE'!W212)</f>
        <v>0</v>
      </c>
      <c r="U212" s="79">
        <f>SUM('ROSTER UPDATE'!X212:'ROSTER UPDATE'!Z212)</f>
        <v>0</v>
      </c>
      <c r="V212" s="79"/>
      <c r="W212" s="80"/>
    </row>
    <row r="213" spans="2:23" ht="15.75" thickBot="1" x14ac:dyDescent="0.3">
      <c r="B213" s="64" t="str">
        <f>IF(AND('ROSTER UPDATE'!B213=""),"",('ROSTER UPDATE'!B213))</f>
        <v/>
      </c>
      <c r="C213" s="65" t="str">
        <f>IF(AND('ROSTER UPDATE'!E213=""),"",('ROSTER UPDATE'!E213))</f>
        <v/>
      </c>
      <c r="E213" s="64" t="str">
        <f>IF(AND('ROSTER UPDATE'!F213=""),"",('ROSTER UPDATE'!F213))</f>
        <v/>
      </c>
      <c r="F213" s="65" t="str">
        <f>IF(AND('ROSTER UPDATE'!C213=""),"",('ROSTER UPDATE'!C213))</f>
        <v/>
      </c>
      <c r="G213" s="87" t="s">
        <v>41</v>
      </c>
      <c r="I213" s="78">
        <f>SUM('ROSTER UPDATE'!H213:'ROSTER UPDATE'!J213)</f>
        <v>0</v>
      </c>
      <c r="J213" s="79">
        <f>SUM('ROSTER UPDATE'!K213:'ROSTER UPDATE'!M213)</f>
        <v>0</v>
      </c>
      <c r="K213" s="79">
        <f>SUM('ROSTER UPDATE'!N213:'ROSTER UPDATE'!P213)</f>
        <v>0</v>
      </c>
      <c r="L213" s="79"/>
      <c r="M213" s="80"/>
      <c r="O213" s="78" t="str">
        <f>IF(AND('ROSTER UPDATE'!R213=""),"",('ROSTER UPDATE'!R213))</f>
        <v/>
      </c>
      <c r="P213" s="79" t="str">
        <f>IF(AND('ROSTER UPDATE'!S213=""),"",('ROSTER UPDATE'!S213))</f>
        <v/>
      </c>
      <c r="Q213" s="80" t="str">
        <f>IF(AND('ROSTER UPDATE'!T213=""),"",('ROSTER UPDATE'!T213))</f>
        <v/>
      </c>
      <c r="S213" s="78">
        <f>SUM('ROSTER UPDATE'!R213:'ROSTER UPDATE'!T213)</f>
        <v>0</v>
      </c>
      <c r="T213" s="79">
        <f>SUM('ROSTER UPDATE'!U213:'ROSTER UPDATE'!W213)</f>
        <v>0</v>
      </c>
      <c r="U213" s="79">
        <f>SUM('ROSTER UPDATE'!X213:'ROSTER UPDATE'!Z213)</f>
        <v>0</v>
      </c>
      <c r="V213" s="79"/>
      <c r="W213" s="80"/>
    </row>
    <row r="214" spans="2:23" ht="15.75" thickBot="1" x14ac:dyDescent="0.3">
      <c r="B214" s="64" t="str">
        <f>IF(AND('ROSTER UPDATE'!B214=""),"",('ROSTER UPDATE'!B214))</f>
        <v/>
      </c>
      <c r="C214" s="65" t="str">
        <f>IF(AND('ROSTER UPDATE'!E214=""),"",('ROSTER UPDATE'!E214))</f>
        <v/>
      </c>
      <c r="E214" s="64" t="str">
        <f>IF(AND('ROSTER UPDATE'!F214=""),"",('ROSTER UPDATE'!F214))</f>
        <v/>
      </c>
      <c r="F214" s="65" t="str">
        <f>IF(AND('ROSTER UPDATE'!C214=""),"",('ROSTER UPDATE'!C214))</f>
        <v/>
      </c>
      <c r="G214" s="87" t="s">
        <v>41</v>
      </c>
      <c r="I214" s="78">
        <f>SUM('ROSTER UPDATE'!H214:'ROSTER UPDATE'!J214)</f>
        <v>0</v>
      </c>
      <c r="J214" s="79">
        <f>SUM('ROSTER UPDATE'!K214:'ROSTER UPDATE'!M214)</f>
        <v>0</v>
      </c>
      <c r="K214" s="79">
        <f>SUM('ROSTER UPDATE'!N214:'ROSTER UPDATE'!P214)</f>
        <v>0</v>
      </c>
      <c r="L214" s="79"/>
      <c r="M214" s="80"/>
      <c r="O214" s="78" t="str">
        <f>IF(AND('ROSTER UPDATE'!R214=""),"",('ROSTER UPDATE'!R214))</f>
        <v/>
      </c>
      <c r="P214" s="79" t="str">
        <f>IF(AND('ROSTER UPDATE'!S214=""),"",('ROSTER UPDATE'!S214))</f>
        <v/>
      </c>
      <c r="Q214" s="80" t="str">
        <f>IF(AND('ROSTER UPDATE'!T214=""),"",('ROSTER UPDATE'!T214))</f>
        <v/>
      </c>
      <c r="S214" s="78">
        <f>SUM('ROSTER UPDATE'!R214:'ROSTER UPDATE'!T214)</f>
        <v>0</v>
      </c>
      <c r="T214" s="79">
        <f>SUM('ROSTER UPDATE'!U214:'ROSTER UPDATE'!W214)</f>
        <v>0</v>
      </c>
      <c r="U214" s="79">
        <f>SUM('ROSTER UPDATE'!X214:'ROSTER UPDATE'!Z214)</f>
        <v>0</v>
      </c>
      <c r="V214" s="79"/>
      <c r="W214" s="80"/>
    </row>
    <row r="215" spans="2:23" ht="15.75" thickBot="1" x14ac:dyDescent="0.3">
      <c r="B215" s="64" t="str">
        <f>IF(AND('ROSTER UPDATE'!B215=""),"",('ROSTER UPDATE'!B215))</f>
        <v/>
      </c>
      <c r="C215" s="65" t="str">
        <f>IF(AND('ROSTER UPDATE'!E215=""),"",('ROSTER UPDATE'!E215))</f>
        <v/>
      </c>
      <c r="E215" s="64" t="str">
        <f>IF(AND('ROSTER UPDATE'!F215=""),"",('ROSTER UPDATE'!F215))</f>
        <v/>
      </c>
      <c r="F215" s="65" t="str">
        <f>IF(AND('ROSTER UPDATE'!C215=""),"",('ROSTER UPDATE'!C215))</f>
        <v/>
      </c>
      <c r="G215" s="87" t="s">
        <v>41</v>
      </c>
      <c r="I215" s="78">
        <f>SUM('ROSTER UPDATE'!H215:'ROSTER UPDATE'!J215)</f>
        <v>0</v>
      </c>
      <c r="J215" s="79">
        <f>SUM('ROSTER UPDATE'!K215:'ROSTER UPDATE'!M215)</f>
        <v>0</v>
      </c>
      <c r="K215" s="79">
        <f>SUM('ROSTER UPDATE'!N215:'ROSTER UPDATE'!P215)</f>
        <v>0</v>
      </c>
      <c r="L215" s="79"/>
      <c r="M215" s="80"/>
      <c r="O215" s="78" t="str">
        <f>IF(AND('ROSTER UPDATE'!R215=""),"",('ROSTER UPDATE'!R215))</f>
        <v/>
      </c>
      <c r="P215" s="79" t="str">
        <f>IF(AND('ROSTER UPDATE'!S215=""),"",('ROSTER UPDATE'!S215))</f>
        <v/>
      </c>
      <c r="Q215" s="80" t="str">
        <f>IF(AND('ROSTER UPDATE'!T215=""),"",('ROSTER UPDATE'!T215))</f>
        <v/>
      </c>
      <c r="S215" s="78">
        <f>SUM('ROSTER UPDATE'!R215:'ROSTER UPDATE'!T215)</f>
        <v>0</v>
      </c>
      <c r="T215" s="79">
        <f>SUM('ROSTER UPDATE'!U215:'ROSTER UPDATE'!W215)</f>
        <v>0</v>
      </c>
      <c r="U215" s="79">
        <f>SUM('ROSTER UPDATE'!X215:'ROSTER UPDATE'!Z215)</f>
        <v>0</v>
      </c>
      <c r="V215" s="79"/>
      <c r="W215" s="80"/>
    </row>
    <row r="216" spans="2:23" ht="15.75" thickBot="1" x14ac:dyDescent="0.3">
      <c r="B216" s="64" t="str">
        <f>IF(AND('ROSTER UPDATE'!B216=""),"",('ROSTER UPDATE'!B216))</f>
        <v/>
      </c>
      <c r="C216" s="65" t="str">
        <f>IF(AND('ROSTER UPDATE'!E216=""),"",('ROSTER UPDATE'!E216))</f>
        <v/>
      </c>
      <c r="E216" s="64" t="str">
        <f>IF(AND('ROSTER UPDATE'!F216=""),"",('ROSTER UPDATE'!F216))</f>
        <v/>
      </c>
      <c r="F216" s="65" t="str">
        <f>IF(AND('ROSTER UPDATE'!C216=""),"",('ROSTER UPDATE'!C216))</f>
        <v/>
      </c>
      <c r="G216" s="87" t="s">
        <v>41</v>
      </c>
      <c r="I216" s="78">
        <f>SUM('ROSTER UPDATE'!H216:'ROSTER UPDATE'!J216)</f>
        <v>0</v>
      </c>
      <c r="J216" s="79">
        <f>SUM('ROSTER UPDATE'!K216:'ROSTER UPDATE'!M216)</f>
        <v>0</v>
      </c>
      <c r="K216" s="79">
        <f>SUM('ROSTER UPDATE'!N216:'ROSTER UPDATE'!P216)</f>
        <v>0</v>
      </c>
      <c r="L216" s="79"/>
      <c r="M216" s="80"/>
      <c r="O216" s="78" t="str">
        <f>IF(AND('ROSTER UPDATE'!R216=""),"",('ROSTER UPDATE'!R216))</f>
        <v/>
      </c>
      <c r="P216" s="79" t="str">
        <f>IF(AND('ROSTER UPDATE'!S216=""),"",('ROSTER UPDATE'!S216))</f>
        <v/>
      </c>
      <c r="Q216" s="80" t="str">
        <f>IF(AND('ROSTER UPDATE'!T216=""),"",('ROSTER UPDATE'!T216))</f>
        <v/>
      </c>
      <c r="S216" s="78">
        <f>SUM('ROSTER UPDATE'!R216:'ROSTER UPDATE'!T216)</f>
        <v>0</v>
      </c>
      <c r="T216" s="79">
        <f>SUM('ROSTER UPDATE'!U216:'ROSTER UPDATE'!W216)</f>
        <v>0</v>
      </c>
      <c r="U216" s="79">
        <f>SUM('ROSTER UPDATE'!X216:'ROSTER UPDATE'!Z216)</f>
        <v>0</v>
      </c>
      <c r="V216" s="79"/>
      <c r="W216" s="80"/>
    </row>
    <row r="217" spans="2:23" ht="15.75" thickBot="1" x14ac:dyDescent="0.3">
      <c r="B217" s="64" t="str">
        <f>IF(AND('ROSTER UPDATE'!B217=""),"",('ROSTER UPDATE'!B217))</f>
        <v/>
      </c>
      <c r="C217" s="65" t="str">
        <f>IF(AND('ROSTER UPDATE'!E217=""),"",('ROSTER UPDATE'!E217))</f>
        <v/>
      </c>
      <c r="E217" s="64" t="str">
        <f>IF(AND('ROSTER UPDATE'!F217=""),"",('ROSTER UPDATE'!F217))</f>
        <v/>
      </c>
      <c r="F217" s="65" t="str">
        <f>IF(AND('ROSTER UPDATE'!C217=""),"",('ROSTER UPDATE'!C217))</f>
        <v/>
      </c>
      <c r="G217" s="87" t="s">
        <v>41</v>
      </c>
      <c r="I217" s="78">
        <f>SUM('ROSTER UPDATE'!H217:'ROSTER UPDATE'!J217)</f>
        <v>0</v>
      </c>
      <c r="J217" s="79">
        <f>SUM('ROSTER UPDATE'!K217:'ROSTER UPDATE'!M217)</f>
        <v>0</v>
      </c>
      <c r="K217" s="79">
        <f>SUM('ROSTER UPDATE'!N217:'ROSTER UPDATE'!P217)</f>
        <v>0</v>
      </c>
      <c r="L217" s="79"/>
      <c r="M217" s="80"/>
      <c r="O217" s="78" t="str">
        <f>IF(AND('ROSTER UPDATE'!R217=""),"",('ROSTER UPDATE'!R217))</f>
        <v/>
      </c>
      <c r="P217" s="79" t="str">
        <f>IF(AND('ROSTER UPDATE'!S217=""),"",('ROSTER UPDATE'!S217))</f>
        <v/>
      </c>
      <c r="Q217" s="80" t="str">
        <f>IF(AND('ROSTER UPDATE'!T217=""),"",('ROSTER UPDATE'!T217))</f>
        <v/>
      </c>
      <c r="S217" s="78">
        <f>SUM('ROSTER UPDATE'!R217:'ROSTER UPDATE'!T217)</f>
        <v>0</v>
      </c>
      <c r="T217" s="79">
        <f>SUM('ROSTER UPDATE'!U217:'ROSTER UPDATE'!W217)</f>
        <v>0</v>
      </c>
      <c r="U217" s="79">
        <f>SUM('ROSTER UPDATE'!X217:'ROSTER UPDATE'!Z217)</f>
        <v>0</v>
      </c>
      <c r="V217" s="79"/>
      <c r="W217" s="80"/>
    </row>
    <row r="218" spans="2:23" ht="15.75" thickBot="1" x14ac:dyDescent="0.3">
      <c r="B218" s="64" t="str">
        <f>IF(AND('ROSTER UPDATE'!B218=""),"",('ROSTER UPDATE'!B218))</f>
        <v/>
      </c>
      <c r="C218" s="65" t="str">
        <f>IF(AND('ROSTER UPDATE'!E218=""),"",('ROSTER UPDATE'!E218))</f>
        <v/>
      </c>
      <c r="E218" s="64" t="str">
        <f>IF(AND('ROSTER UPDATE'!F218=""),"",('ROSTER UPDATE'!F218))</f>
        <v/>
      </c>
      <c r="F218" s="65" t="str">
        <f>IF(AND('ROSTER UPDATE'!C218=""),"",('ROSTER UPDATE'!C218))</f>
        <v/>
      </c>
      <c r="G218" s="87" t="s">
        <v>41</v>
      </c>
      <c r="I218" s="78">
        <f>SUM('ROSTER UPDATE'!H218:'ROSTER UPDATE'!J218)</f>
        <v>0</v>
      </c>
      <c r="J218" s="79">
        <f>SUM('ROSTER UPDATE'!K218:'ROSTER UPDATE'!M218)</f>
        <v>0</v>
      </c>
      <c r="K218" s="79">
        <f>SUM('ROSTER UPDATE'!N218:'ROSTER UPDATE'!P218)</f>
        <v>0</v>
      </c>
      <c r="L218" s="79"/>
      <c r="M218" s="80"/>
      <c r="O218" s="78" t="str">
        <f>IF(AND('ROSTER UPDATE'!R218=""),"",('ROSTER UPDATE'!R218))</f>
        <v/>
      </c>
      <c r="P218" s="79" t="str">
        <f>IF(AND('ROSTER UPDATE'!S218=""),"",('ROSTER UPDATE'!S218))</f>
        <v/>
      </c>
      <c r="Q218" s="80" t="str">
        <f>IF(AND('ROSTER UPDATE'!T218=""),"",('ROSTER UPDATE'!T218))</f>
        <v/>
      </c>
      <c r="S218" s="78">
        <f>SUM('ROSTER UPDATE'!R218:'ROSTER UPDATE'!T218)</f>
        <v>0</v>
      </c>
      <c r="T218" s="79">
        <f>SUM('ROSTER UPDATE'!U218:'ROSTER UPDATE'!W218)</f>
        <v>0</v>
      </c>
      <c r="U218" s="79">
        <f>SUM('ROSTER UPDATE'!X218:'ROSTER UPDATE'!Z218)</f>
        <v>0</v>
      </c>
      <c r="V218" s="79"/>
      <c r="W218" s="80"/>
    </row>
    <row r="219" spans="2:23" ht="15.75" thickBot="1" x14ac:dyDescent="0.3">
      <c r="B219" s="64" t="str">
        <f>IF(AND('ROSTER UPDATE'!B219=""),"",('ROSTER UPDATE'!B219))</f>
        <v/>
      </c>
      <c r="C219" s="65" t="str">
        <f>IF(AND('ROSTER UPDATE'!E219=""),"",('ROSTER UPDATE'!E219))</f>
        <v/>
      </c>
      <c r="E219" s="64" t="str">
        <f>IF(AND('ROSTER UPDATE'!F219=""),"",('ROSTER UPDATE'!F219))</f>
        <v/>
      </c>
      <c r="F219" s="65" t="str">
        <f>IF(AND('ROSTER UPDATE'!C219=""),"",('ROSTER UPDATE'!C219))</f>
        <v/>
      </c>
      <c r="G219" s="87" t="s">
        <v>41</v>
      </c>
      <c r="I219" s="78">
        <f>SUM('ROSTER UPDATE'!H219:'ROSTER UPDATE'!J219)</f>
        <v>0</v>
      </c>
      <c r="J219" s="79">
        <f>SUM('ROSTER UPDATE'!K219:'ROSTER UPDATE'!M219)</f>
        <v>0</v>
      </c>
      <c r="K219" s="79">
        <f>SUM('ROSTER UPDATE'!N219:'ROSTER UPDATE'!P219)</f>
        <v>0</v>
      </c>
      <c r="L219" s="79"/>
      <c r="M219" s="80"/>
      <c r="O219" s="78" t="str">
        <f>IF(AND('ROSTER UPDATE'!R219=""),"",('ROSTER UPDATE'!R219))</f>
        <v/>
      </c>
      <c r="P219" s="79" t="str">
        <f>IF(AND('ROSTER UPDATE'!S219=""),"",('ROSTER UPDATE'!S219))</f>
        <v/>
      </c>
      <c r="Q219" s="80" t="str">
        <f>IF(AND('ROSTER UPDATE'!T219=""),"",('ROSTER UPDATE'!T219))</f>
        <v/>
      </c>
      <c r="S219" s="78">
        <f>SUM('ROSTER UPDATE'!R219:'ROSTER UPDATE'!T219)</f>
        <v>0</v>
      </c>
      <c r="T219" s="79">
        <f>SUM('ROSTER UPDATE'!U219:'ROSTER UPDATE'!W219)</f>
        <v>0</v>
      </c>
      <c r="U219" s="79">
        <f>SUM('ROSTER UPDATE'!X219:'ROSTER UPDATE'!Z219)</f>
        <v>0</v>
      </c>
      <c r="V219" s="79"/>
      <c r="W219" s="80"/>
    </row>
    <row r="220" spans="2:23" ht="15.75" thickBot="1" x14ac:dyDescent="0.3">
      <c r="B220" s="64" t="str">
        <f>IF(AND('ROSTER UPDATE'!B220=""),"",('ROSTER UPDATE'!B220))</f>
        <v/>
      </c>
      <c r="C220" s="65" t="str">
        <f>IF(AND('ROSTER UPDATE'!E220=""),"",('ROSTER UPDATE'!E220))</f>
        <v/>
      </c>
      <c r="E220" s="64" t="str">
        <f>IF(AND('ROSTER UPDATE'!F220=""),"",('ROSTER UPDATE'!F220))</f>
        <v/>
      </c>
      <c r="F220" s="65" t="str">
        <f>IF(AND('ROSTER UPDATE'!C220=""),"",('ROSTER UPDATE'!C220))</f>
        <v/>
      </c>
      <c r="G220" s="87" t="s">
        <v>41</v>
      </c>
      <c r="I220" s="78">
        <f>SUM('ROSTER UPDATE'!H220:'ROSTER UPDATE'!J220)</f>
        <v>0</v>
      </c>
      <c r="J220" s="79">
        <f>SUM('ROSTER UPDATE'!K220:'ROSTER UPDATE'!M220)</f>
        <v>0</v>
      </c>
      <c r="K220" s="79">
        <f>SUM('ROSTER UPDATE'!N220:'ROSTER UPDATE'!P220)</f>
        <v>0</v>
      </c>
      <c r="L220" s="79"/>
      <c r="M220" s="80"/>
      <c r="O220" s="78" t="str">
        <f>IF(AND('ROSTER UPDATE'!R220=""),"",('ROSTER UPDATE'!R220))</f>
        <v/>
      </c>
      <c r="P220" s="79" t="str">
        <f>IF(AND('ROSTER UPDATE'!S220=""),"",('ROSTER UPDATE'!S220))</f>
        <v/>
      </c>
      <c r="Q220" s="80" t="str">
        <f>IF(AND('ROSTER UPDATE'!T220=""),"",('ROSTER UPDATE'!T220))</f>
        <v/>
      </c>
      <c r="S220" s="78">
        <f>SUM('ROSTER UPDATE'!R220:'ROSTER UPDATE'!T220)</f>
        <v>0</v>
      </c>
      <c r="T220" s="79">
        <f>SUM('ROSTER UPDATE'!U220:'ROSTER UPDATE'!W220)</f>
        <v>0</v>
      </c>
      <c r="U220" s="79">
        <f>SUM('ROSTER UPDATE'!X220:'ROSTER UPDATE'!Z220)</f>
        <v>0</v>
      </c>
      <c r="V220" s="79"/>
      <c r="W220" s="80"/>
    </row>
    <row r="221" spans="2:23" ht="15.75" thickBot="1" x14ac:dyDescent="0.3">
      <c r="B221" s="64" t="str">
        <f>IF(AND('ROSTER UPDATE'!B221=""),"",('ROSTER UPDATE'!B221))</f>
        <v/>
      </c>
      <c r="C221" s="65" t="str">
        <f>IF(AND('ROSTER UPDATE'!E221=""),"",('ROSTER UPDATE'!E221))</f>
        <v/>
      </c>
      <c r="E221" s="64" t="str">
        <f>IF(AND('ROSTER UPDATE'!F221=""),"",('ROSTER UPDATE'!F221))</f>
        <v/>
      </c>
      <c r="F221" s="65" t="str">
        <f>IF(AND('ROSTER UPDATE'!C221=""),"",('ROSTER UPDATE'!C221))</f>
        <v/>
      </c>
      <c r="G221" s="87" t="s">
        <v>41</v>
      </c>
      <c r="I221" s="78">
        <f>SUM('ROSTER UPDATE'!H221:'ROSTER UPDATE'!J221)</f>
        <v>0</v>
      </c>
      <c r="J221" s="79">
        <f>SUM('ROSTER UPDATE'!K221:'ROSTER UPDATE'!M221)</f>
        <v>0</v>
      </c>
      <c r="K221" s="79">
        <f>SUM('ROSTER UPDATE'!N221:'ROSTER UPDATE'!P221)</f>
        <v>0</v>
      </c>
      <c r="L221" s="79"/>
      <c r="M221" s="80"/>
      <c r="O221" s="78" t="str">
        <f>IF(AND('ROSTER UPDATE'!R221=""),"",('ROSTER UPDATE'!R221))</f>
        <v/>
      </c>
      <c r="P221" s="79" t="str">
        <f>IF(AND('ROSTER UPDATE'!S221=""),"",('ROSTER UPDATE'!S221))</f>
        <v/>
      </c>
      <c r="Q221" s="80" t="str">
        <f>IF(AND('ROSTER UPDATE'!T221=""),"",('ROSTER UPDATE'!T221))</f>
        <v/>
      </c>
      <c r="S221" s="78">
        <f>SUM('ROSTER UPDATE'!R221:'ROSTER UPDATE'!T221)</f>
        <v>0</v>
      </c>
      <c r="T221" s="79">
        <f>SUM('ROSTER UPDATE'!U221:'ROSTER UPDATE'!W221)</f>
        <v>0</v>
      </c>
      <c r="U221" s="79">
        <f>SUM('ROSTER UPDATE'!X221:'ROSTER UPDATE'!Z221)</f>
        <v>0</v>
      </c>
      <c r="V221" s="79"/>
      <c r="W221" s="80"/>
    </row>
    <row r="222" spans="2:23" ht="15.75" thickBot="1" x14ac:dyDescent="0.3">
      <c r="B222" s="64" t="str">
        <f>IF(AND('ROSTER UPDATE'!B222=""),"",('ROSTER UPDATE'!B222))</f>
        <v/>
      </c>
      <c r="C222" s="65" t="str">
        <f>IF(AND('ROSTER UPDATE'!E222=""),"",('ROSTER UPDATE'!E222))</f>
        <v/>
      </c>
      <c r="E222" s="64" t="str">
        <f>IF(AND('ROSTER UPDATE'!F222=""),"",('ROSTER UPDATE'!F222))</f>
        <v/>
      </c>
      <c r="F222" s="65" t="str">
        <f>IF(AND('ROSTER UPDATE'!C222=""),"",('ROSTER UPDATE'!C222))</f>
        <v/>
      </c>
      <c r="G222" s="87" t="s">
        <v>41</v>
      </c>
      <c r="I222" s="78">
        <f>SUM('ROSTER UPDATE'!H222:'ROSTER UPDATE'!J222)</f>
        <v>0</v>
      </c>
      <c r="J222" s="79">
        <f>SUM('ROSTER UPDATE'!K222:'ROSTER UPDATE'!M222)</f>
        <v>0</v>
      </c>
      <c r="K222" s="79">
        <f>SUM('ROSTER UPDATE'!N222:'ROSTER UPDATE'!P222)</f>
        <v>0</v>
      </c>
      <c r="L222" s="79"/>
      <c r="M222" s="80"/>
      <c r="O222" s="78" t="str">
        <f>IF(AND('ROSTER UPDATE'!R222=""),"",('ROSTER UPDATE'!R222))</f>
        <v/>
      </c>
      <c r="P222" s="79" t="str">
        <f>IF(AND('ROSTER UPDATE'!S222=""),"",('ROSTER UPDATE'!S222))</f>
        <v/>
      </c>
      <c r="Q222" s="80" t="str">
        <f>IF(AND('ROSTER UPDATE'!T222=""),"",('ROSTER UPDATE'!T222))</f>
        <v/>
      </c>
      <c r="S222" s="78">
        <f>SUM('ROSTER UPDATE'!R222:'ROSTER UPDATE'!T222)</f>
        <v>0</v>
      </c>
      <c r="T222" s="79">
        <f>SUM('ROSTER UPDATE'!U222:'ROSTER UPDATE'!W222)</f>
        <v>0</v>
      </c>
      <c r="U222" s="79">
        <f>SUM('ROSTER UPDATE'!X222:'ROSTER UPDATE'!Z222)</f>
        <v>0</v>
      </c>
      <c r="V222" s="79"/>
      <c r="W222" s="80"/>
    </row>
    <row r="223" spans="2:23" ht="15.75" thickBot="1" x14ac:dyDescent="0.3">
      <c r="B223" s="64" t="str">
        <f>IF(AND('ROSTER UPDATE'!B223=""),"",('ROSTER UPDATE'!B223))</f>
        <v/>
      </c>
      <c r="C223" s="65" t="str">
        <f>IF(AND('ROSTER UPDATE'!E223=""),"",('ROSTER UPDATE'!E223))</f>
        <v/>
      </c>
      <c r="E223" s="64" t="str">
        <f>IF(AND('ROSTER UPDATE'!F223=""),"",('ROSTER UPDATE'!F223))</f>
        <v/>
      </c>
      <c r="F223" s="65" t="str">
        <f>IF(AND('ROSTER UPDATE'!C223=""),"",('ROSTER UPDATE'!C223))</f>
        <v/>
      </c>
      <c r="G223" s="87" t="s">
        <v>41</v>
      </c>
      <c r="I223" s="78">
        <f>SUM('ROSTER UPDATE'!H223:'ROSTER UPDATE'!J223)</f>
        <v>0</v>
      </c>
      <c r="J223" s="79">
        <f>SUM('ROSTER UPDATE'!K223:'ROSTER UPDATE'!M223)</f>
        <v>0</v>
      </c>
      <c r="K223" s="79">
        <f>SUM('ROSTER UPDATE'!N223:'ROSTER UPDATE'!P223)</f>
        <v>0</v>
      </c>
      <c r="L223" s="79"/>
      <c r="M223" s="80"/>
      <c r="O223" s="78" t="str">
        <f>IF(AND('ROSTER UPDATE'!R223=""),"",('ROSTER UPDATE'!R223))</f>
        <v/>
      </c>
      <c r="P223" s="79" t="str">
        <f>IF(AND('ROSTER UPDATE'!S223=""),"",('ROSTER UPDATE'!S223))</f>
        <v/>
      </c>
      <c r="Q223" s="80" t="str">
        <f>IF(AND('ROSTER UPDATE'!T223=""),"",('ROSTER UPDATE'!T223))</f>
        <v/>
      </c>
      <c r="S223" s="78">
        <f>SUM('ROSTER UPDATE'!R223:'ROSTER UPDATE'!T223)</f>
        <v>0</v>
      </c>
      <c r="T223" s="79">
        <f>SUM('ROSTER UPDATE'!U223:'ROSTER UPDATE'!W223)</f>
        <v>0</v>
      </c>
      <c r="U223" s="79">
        <f>SUM('ROSTER UPDATE'!X223:'ROSTER UPDATE'!Z223)</f>
        <v>0</v>
      </c>
      <c r="V223" s="79"/>
      <c r="W223" s="80"/>
    </row>
    <row r="224" spans="2:23" ht="15.75" thickBot="1" x14ac:dyDescent="0.3">
      <c r="B224" s="64" t="str">
        <f>IF(AND('ROSTER UPDATE'!B224=""),"",('ROSTER UPDATE'!B224))</f>
        <v/>
      </c>
      <c r="C224" s="65" t="str">
        <f>IF(AND('ROSTER UPDATE'!E224=""),"",('ROSTER UPDATE'!E224))</f>
        <v/>
      </c>
      <c r="E224" s="64" t="str">
        <f>IF(AND('ROSTER UPDATE'!F224=""),"",('ROSTER UPDATE'!F224))</f>
        <v/>
      </c>
      <c r="F224" s="65" t="str">
        <f>IF(AND('ROSTER UPDATE'!C224=""),"",('ROSTER UPDATE'!C224))</f>
        <v/>
      </c>
      <c r="G224" s="87" t="s">
        <v>41</v>
      </c>
      <c r="I224" s="78">
        <f>SUM('ROSTER UPDATE'!H224:'ROSTER UPDATE'!J224)</f>
        <v>0</v>
      </c>
      <c r="J224" s="79">
        <f>SUM('ROSTER UPDATE'!K224:'ROSTER UPDATE'!M224)</f>
        <v>0</v>
      </c>
      <c r="K224" s="79">
        <f>SUM('ROSTER UPDATE'!N224:'ROSTER UPDATE'!P224)</f>
        <v>0</v>
      </c>
      <c r="L224" s="79"/>
      <c r="M224" s="80"/>
      <c r="O224" s="78" t="str">
        <f>IF(AND('ROSTER UPDATE'!R224=""),"",('ROSTER UPDATE'!R224))</f>
        <v/>
      </c>
      <c r="P224" s="79" t="str">
        <f>IF(AND('ROSTER UPDATE'!S224=""),"",('ROSTER UPDATE'!S224))</f>
        <v/>
      </c>
      <c r="Q224" s="80" t="str">
        <f>IF(AND('ROSTER UPDATE'!T224=""),"",('ROSTER UPDATE'!T224))</f>
        <v/>
      </c>
      <c r="S224" s="78">
        <f>SUM('ROSTER UPDATE'!R224:'ROSTER UPDATE'!T224)</f>
        <v>0</v>
      </c>
      <c r="T224" s="79">
        <f>SUM('ROSTER UPDATE'!U224:'ROSTER UPDATE'!W224)</f>
        <v>0</v>
      </c>
      <c r="U224" s="79">
        <f>SUM('ROSTER UPDATE'!X224:'ROSTER UPDATE'!Z224)</f>
        <v>0</v>
      </c>
      <c r="V224" s="79"/>
      <c r="W224" s="80"/>
    </row>
    <row r="225" spans="2:23" ht="15.75" thickBot="1" x14ac:dyDescent="0.3">
      <c r="B225" s="64" t="str">
        <f>IF(AND('ROSTER UPDATE'!B225=""),"",('ROSTER UPDATE'!B225))</f>
        <v/>
      </c>
      <c r="C225" s="65" t="str">
        <f>IF(AND('ROSTER UPDATE'!E225=""),"",('ROSTER UPDATE'!E225))</f>
        <v/>
      </c>
      <c r="E225" s="64" t="str">
        <f>IF(AND('ROSTER UPDATE'!F225=""),"",('ROSTER UPDATE'!F225))</f>
        <v/>
      </c>
      <c r="F225" s="65" t="str">
        <f>IF(AND('ROSTER UPDATE'!C225=""),"",('ROSTER UPDATE'!C225))</f>
        <v/>
      </c>
      <c r="G225" s="87" t="s">
        <v>41</v>
      </c>
      <c r="I225" s="78">
        <f>SUM('ROSTER UPDATE'!H225:'ROSTER UPDATE'!J225)</f>
        <v>0</v>
      </c>
      <c r="J225" s="79">
        <f>SUM('ROSTER UPDATE'!K225:'ROSTER UPDATE'!M225)</f>
        <v>0</v>
      </c>
      <c r="K225" s="79">
        <f>SUM('ROSTER UPDATE'!N225:'ROSTER UPDATE'!P225)</f>
        <v>0</v>
      </c>
      <c r="L225" s="79"/>
      <c r="M225" s="80"/>
      <c r="O225" s="78" t="str">
        <f>IF(AND('ROSTER UPDATE'!R225=""),"",('ROSTER UPDATE'!R225))</f>
        <v/>
      </c>
      <c r="P225" s="79" t="str">
        <f>IF(AND('ROSTER UPDATE'!S225=""),"",('ROSTER UPDATE'!S225))</f>
        <v/>
      </c>
      <c r="Q225" s="80" t="str">
        <f>IF(AND('ROSTER UPDATE'!T225=""),"",('ROSTER UPDATE'!T225))</f>
        <v/>
      </c>
      <c r="S225" s="78">
        <f>SUM('ROSTER UPDATE'!R225:'ROSTER UPDATE'!T225)</f>
        <v>0</v>
      </c>
      <c r="T225" s="79">
        <f>SUM('ROSTER UPDATE'!U225:'ROSTER UPDATE'!W225)</f>
        <v>0</v>
      </c>
      <c r="U225" s="79">
        <f>SUM('ROSTER UPDATE'!X225:'ROSTER UPDATE'!Z225)</f>
        <v>0</v>
      </c>
      <c r="V225" s="79"/>
      <c r="W225" s="80"/>
    </row>
    <row r="226" spans="2:23" ht="15.75" thickBot="1" x14ac:dyDescent="0.3">
      <c r="B226" s="64" t="str">
        <f>IF(AND('ROSTER UPDATE'!B226=""),"",('ROSTER UPDATE'!B226))</f>
        <v/>
      </c>
      <c r="C226" s="65" t="str">
        <f>IF(AND('ROSTER UPDATE'!E226=""),"",('ROSTER UPDATE'!E226))</f>
        <v/>
      </c>
      <c r="E226" s="64" t="str">
        <f>IF(AND('ROSTER UPDATE'!F226=""),"",('ROSTER UPDATE'!F226))</f>
        <v/>
      </c>
      <c r="F226" s="65" t="str">
        <f>IF(AND('ROSTER UPDATE'!C226=""),"",('ROSTER UPDATE'!C226))</f>
        <v/>
      </c>
      <c r="G226" s="87" t="s">
        <v>41</v>
      </c>
      <c r="I226" s="78">
        <f>SUM('ROSTER UPDATE'!H226:'ROSTER UPDATE'!J226)</f>
        <v>0</v>
      </c>
      <c r="J226" s="79">
        <f>SUM('ROSTER UPDATE'!K226:'ROSTER UPDATE'!M226)</f>
        <v>0</v>
      </c>
      <c r="K226" s="79">
        <f>SUM('ROSTER UPDATE'!N226:'ROSTER UPDATE'!P226)</f>
        <v>0</v>
      </c>
      <c r="L226" s="79"/>
      <c r="M226" s="80"/>
      <c r="O226" s="78" t="str">
        <f>IF(AND('ROSTER UPDATE'!R226=""),"",('ROSTER UPDATE'!R226))</f>
        <v/>
      </c>
      <c r="P226" s="79" t="str">
        <f>IF(AND('ROSTER UPDATE'!S226=""),"",('ROSTER UPDATE'!S226))</f>
        <v/>
      </c>
      <c r="Q226" s="80" t="str">
        <f>IF(AND('ROSTER UPDATE'!T226=""),"",('ROSTER UPDATE'!T226))</f>
        <v/>
      </c>
      <c r="S226" s="78">
        <f>SUM('ROSTER UPDATE'!R226:'ROSTER UPDATE'!T226)</f>
        <v>0</v>
      </c>
      <c r="T226" s="79">
        <f>SUM('ROSTER UPDATE'!U226:'ROSTER UPDATE'!W226)</f>
        <v>0</v>
      </c>
      <c r="U226" s="79">
        <f>SUM('ROSTER UPDATE'!X226:'ROSTER UPDATE'!Z226)</f>
        <v>0</v>
      </c>
      <c r="V226" s="79"/>
      <c r="W226" s="80"/>
    </row>
    <row r="227" spans="2:23" ht="15.75" thickBot="1" x14ac:dyDescent="0.3">
      <c r="B227" s="64" t="str">
        <f>IF(AND('ROSTER UPDATE'!B227=""),"",('ROSTER UPDATE'!B227))</f>
        <v/>
      </c>
      <c r="C227" s="65" t="str">
        <f>IF(AND('ROSTER UPDATE'!E227=""),"",('ROSTER UPDATE'!E227))</f>
        <v/>
      </c>
      <c r="E227" s="64" t="str">
        <f>IF(AND('ROSTER UPDATE'!F227=""),"",('ROSTER UPDATE'!F227))</f>
        <v/>
      </c>
      <c r="F227" s="65" t="str">
        <f>IF(AND('ROSTER UPDATE'!C227=""),"",('ROSTER UPDATE'!C227))</f>
        <v/>
      </c>
      <c r="G227" s="87" t="s">
        <v>41</v>
      </c>
      <c r="I227" s="78">
        <f>SUM('ROSTER UPDATE'!H227:'ROSTER UPDATE'!J227)</f>
        <v>0</v>
      </c>
      <c r="J227" s="79">
        <f>SUM('ROSTER UPDATE'!K227:'ROSTER UPDATE'!M227)</f>
        <v>0</v>
      </c>
      <c r="K227" s="79">
        <f>SUM('ROSTER UPDATE'!N227:'ROSTER UPDATE'!P227)</f>
        <v>0</v>
      </c>
      <c r="L227" s="79"/>
      <c r="M227" s="80"/>
      <c r="O227" s="78" t="str">
        <f>IF(AND('ROSTER UPDATE'!R227=""),"",('ROSTER UPDATE'!R227))</f>
        <v/>
      </c>
      <c r="P227" s="79" t="str">
        <f>IF(AND('ROSTER UPDATE'!S227=""),"",('ROSTER UPDATE'!S227))</f>
        <v/>
      </c>
      <c r="Q227" s="80" t="str">
        <f>IF(AND('ROSTER UPDATE'!T227=""),"",('ROSTER UPDATE'!T227))</f>
        <v/>
      </c>
      <c r="S227" s="78">
        <f>SUM('ROSTER UPDATE'!R227:'ROSTER UPDATE'!T227)</f>
        <v>0</v>
      </c>
      <c r="T227" s="79">
        <f>SUM('ROSTER UPDATE'!U227:'ROSTER UPDATE'!W227)</f>
        <v>0</v>
      </c>
      <c r="U227" s="79">
        <f>SUM('ROSTER UPDATE'!X227:'ROSTER UPDATE'!Z227)</f>
        <v>0</v>
      </c>
      <c r="V227" s="79"/>
      <c r="W227" s="80"/>
    </row>
    <row r="228" spans="2:23" ht="15.75" thickBot="1" x14ac:dyDescent="0.3">
      <c r="B228" s="64" t="str">
        <f>IF(AND('ROSTER UPDATE'!B228=""),"",('ROSTER UPDATE'!B228))</f>
        <v/>
      </c>
      <c r="C228" s="65" t="str">
        <f>IF(AND('ROSTER UPDATE'!E228=""),"",('ROSTER UPDATE'!E228))</f>
        <v/>
      </c>
      <c r="E228" s="64" t="str">
        <f>IF(AND('ROSTER UPDATE'!F228=""),"",('ROSTER UPDATE'!F228))</f>
        <v/>
      </c>
      <c r="F228" s="65" t="str">
        <f>IF(AND('ROSTER UPDATE'!C228=""),"",('ROSTER UPDATE'!C228))</f>
        <v/>
      </c>
      <c r="G228" s="87" t="s">
        <v>41</v>
      </c>
      <c r="I228" s="78">
        <f>SUM('ROSTER UPDATE'!H228:'ROSTER UPDATE'!J228)</f>
        <v>0</v>
      </c>
      <c r="J228" s="79">
        <f>SUM('ROSTER UPDATE'!K228:'ROSTER UPDATE'!M228)</f>
        <v>0</v>
      </c>
      <c r="K228" s="79">
        <f>SUM('ROSTER UPDATE'!N228:'ROSTER UPDATE'!P228)</f>
        <v>0</v>
      </c>
      <c r="L228" s="79"/>
      <c r="M228" s="80"/>
      <c r="O228" s="78" t="str">
        <f>IF(AND('ROSTER UPDATE'!R228=""),"",('ROSTER UPDATE'!R228))</f>
        <v/>
      </c>
      <c r="P228" s="79" t="str">
        <f>IF(AND('ROSTER UPDATE'!S228=""),"",('ROSTER UPDATE'!S228))</f>
        <v/>
      </c>
      <c r="Q228" s="80" t="str">
        <f>IF(AND('ROSTER UPDATE'!T228=""),"",('ROSTER UPDATE'!T228))</f>
        <v/>
      </c>
      <c r="S228" s="78">
        <f>SUM('ROSTER UPDATE'!R228:'ROSTER UPDATE'!T228)</f>
        <v>0</v>
      </c>
      <c r="T228" s="79">
        <f>SUM('ROSTER UPDATE'!U228:'ROSTER UPDATE'!W228)</f>
        <v>0</v>
      </c>
      <c r="U228" s="79">
        <f>SUM('ROSTER UPDATE'!X228:'ROSTER UPDATE'!Z228)</f>
        <v>0</v>
      </c>
      <c r="V228" s="79"/>
      <c r="W228" s="80"/>
    </row>
    <row r="229" spans="2:23" ht="15.75" thickBot="1" x14ac:dyDescent="0.3">
      <c r="B229" s="64" t="str">
        <f>IF(AND('ROSTER UPDATE'!B229=""),"",('ROSTER UPDATE'!B229))</f>
        <v/>
      </c>
      <c r="C229" s="65" t="str">
        <f>IF(AND('ROSTER UPDATE'!E229=""),"",('ROSTER UPDATE'!E229))</f>
        <v/>
      </c>
      <c r="E229" s="64" t="str">
        <f>IF(AND('ROSTER UPDATE'!F229=""),"",('ROSTER UPDATE'!F229))</f>
        <v/>
      </c>
      <c r="F229" s="65" t="str">
        <f>IF(AND('ROSTER UPDATE'!C229=""),"",('ROSTER UPDATE'!C229))</f>
        <v/>
      </c>
      <c r="G229" s="87" t="s">
        <v>41</v>
      </c>
      <c r="I229" s="78">
        <f>SUM('ROSTER UPDATE'!H229:'ROSTER UPDATE'!J229)</f>
        <v>0</v>
      </c>
      <c r="J229" s="79">
        <f>SUM('ROSTER UPDATE'!K229:'ROSTER UPDATE'!M229)</f>
        <v>0</v>
      </c>
      <c r="K229" s="79">
        <f>SUM('ROSTER UPDATE'!N229:'ROSTER UPDATE'!P229)</f>
        <v>0</v>
      </c>
      <c r="L229" s="79"/>
      <c r="M229" s="80"/>
      <c r="O229" s="78" t="str">
        <f>IF(AND('ROSTER UPDATE'!R229=""),"",('ROSTER UPDATE'!R229))</f>
        <v/>
      </c>
      <c r="P229" s="79" t="str">
        <f>IF(AND('ROSTER UPDATE'!S229=""),"",('ROSTER UPDATE'!S229))</f>
        <v/>
      </c>
      <c r="Q229" s="80" t="str">
        <f>IF(AND('ROSTER UPDATE'!T229=""),"",('ROSTER UPDATE'!T229))</f>
        <v/>
      </c>
      <c r="S229" s="78">
        <f>SUM('ROSTER UPDATE'!R229:'ROSTER UPDATE'!T229)</f>
        <v>0</v>
      </c>
      <c r="T229" s="79">
        <f>SUM('ROSTER UPDATE'!U229:'ROSTER UPDATE'!W229)</f>
        <v>0</v>
      </c>
      <c r="U229" s="79">
        <f>SUM('ROSTER UPDATE'!X229:'ROSTER UPDATE'!Z229)</f>
        <v>0</v>
      </c>
      <c r="V229" s="79"/>
      <c r="W229" s="80"/>
    </row>
    <row r="230" spans="2:23" ht="15.75" thickBot="1" x14ac:dyDescent="0.3">
      <c r="B230" s="64" t="str">
        <f>IF(AND('ROSTER UPDATE'!B230=""),"",('ROSTER UPDATE'!B230))</f>
        <v/>
      </c>
      <c r="C230" s="65" t="str">
        <f>IF(AND('ROSTER UPDATE'!E230=""),"",('ROSTER UPDATE'!E230))</f>
        <v/>
      </c>
      <c r="E230" s="64" t="str">
        <f>IF(AND('ROSTER UPDATE'!F230=""),"",('ROSTER UPDATE'!F230))</f>
        <v/>
      </c>
      <c r="F230" s="65" t="str">
        <f>IF(AND('ROSTER UPDATE'!C230=""),"",('ROSTER UPDATE'!C230))</f>
        <v/>
      </c>
      <c r="G230" s="87" t="s">
        <v>41</v>
      </c>
      <c r="I230" s="78">
        <f>SUM('ROSTER UPDATE'!H230:'ROSTER UPDATE'!J230)</f>
        <v>0</v>
      </c>
      <c r="J230" s="79">
        <f>SUM('ROSTER UPDATE'!K230:'ROSTER UPDATE'!M230)</f>
        <v>0</v>
      </c>
      <c r="K230" s="79">
        <f>SUM('ROSTER UPDATE'!N230:'ROSTER UPDATE'!P230)</f>
        <v>0</v>
      </c>
      <c r="L230" s="79"/>
      <c r="M230" s="80"/>
      <c r="O230" s="78" t="str">
        <f>IF(AND('ROSTER UPDATE'!R230=""),"",('ROSTER UPDATE'!R230))</f>
        <v/>
      </c>
      <c r="P230" s="79" t="str">
        <f>IF(AND('ROSTER UPDATE'!S230=""),"",('ROSTER UPDATE'!S230))</f>
        <v/>
      </c>
      <c r="Q230" s="80" t="str">
        <f>IF(AND('ROSTER UPDATE'!T230=""),"",('ROSTER UPDATE'!T230))</f>
        <v/>
      </c>
      <c r="S230" s="78">
        <f>SUM('ROSTER UPDATE'!R230:'ROSTER UPDATE'!T230)</f>
        <v>0</v>
      </c>
      <c r="T230" s="79">
        <f>SUM('ROSTER UPDATE'!U230:'ROSTER UPDATE'!W230)</f>
        <v>0</v>
      </c>
      <c r="U230" s="79">
        <f>SUM('ROSTER UPDATE'!X230:'ROSTER UPDATE'!Z230)</f>
        <v>0</v>
      </c>
      <c r="V230" s="79"/>
      <c r="W230" s="80"/>
    </row>
    <row r="231" spans="2:23" ht="15.75" thickBot="1" x14ac:dyDescent="0.3">
      <c r="B231" s="64" t="str">
        <f>IF(AND('ROSTER UPDATE'!B231=""),"",('ROSTER UPDATE'!B231))</f>
        <v/>
      </c>
      <c r="C231" s="65" t="str">
        <f>IF(AND('ROSTER UPDATE'!E231=""),"",('ROSTER UPDATE'!E231))</f>
        <v/>
      </c>
      <c r="E231" s="64" t="str">
        <f>IF(AND('ROSTER UPDATE'!F231=""),"",('ROSTER UPDATE'!F231))</f>
        <v/>
      </c>
      <c r="F231" s="65" t="str">
        <f>IF(AND('ROSTER UPDATE'!C231=""),"",('ROSTER UPDATE'!C231))</f>
        <v/>
      </c>
      <c r="G231" s="87" t="s">
        <v>41</v>
      </c>
      <c r="I231" s="78">
        <f>SUM('ROSTER UPDATE'!H231:'ROSTER UPDATE'!J231)</f>
        <v>0</v>
      </c>
      <c r="J231" s="79">
        <f>SUM('ROSTER UPDATE'!K231:'ROSTER UPDATE'!M231)</f>
        <v>0</v>
      </c>
      <c r="K231" s="79">
        <f>SUM('ROSTER UPDATE'!N231:'ROSTER UPDATE'!P231)</f>
        <v>0</v>
      </c>
      <c r="L231" s="79"/>
      <c r="M231" s="80"/>
      <c r="O231" s="78" t="str">
        <f>IF(AND('ROSTER UPDATE'!R231=""),"",('ROSTER UPDATE'!R231))</f>
        <v/>
      </c>
      <c r="P231" s="79" t="str">
        <f>IF(AND('ROSTER UPDATE'!S231=""),"",('ROSTER UPDATE'!S231))</f>
        <v/>
      </c>
      <c r="Q231" s="80" t="str">
        <f>IF(AND('ROSTER UPDATE'!T231=""),"",('ROSTER UPDATE'!T231))</f>
        <v/>
      </c>
      <c r="S231" s="78">
        <f>SUM('ROSTER UPDATE'!R231:'ROSTER UPDATE'!T231)</f>
        <v>0</v>
      </c>
      <c r="T231" s="79">
        <f>SUM('ROSTER UPDATE'!U231:'ROSTER UPDATE'!W231)</f>
        <v>0</v>
      </c>
      <c r="U231" s="79">
        <f>SUM('ROSTER UPDATE'!X231:'ROSTER UPDATE'!Z231)</f>
        <v>0</v>
      </c>
      <c r="V231" s="79"/>
      <c r="W231" s="80"/>
    </row>
    <row r="232" spans="2:23" ht="15.75" thickBot="1" x14ac:dyDescent="0.3">
      <c r="B232" s="64" t="str">
        <f>IF(AND('ROSTER UPDATE'!B232=""),"",('ROSTER UPDATE'!B232))</f>
        <v/>
      </c>
      <c r="C232" s="65" t="str">
        <f>IF(AND('ROSTER UPDATE'!E232=""),"",('ROSTER UPDATE'!E232))</f>
        <v/>
      </c>
      <c r="E232" s="64" t="str">
        <f>IF(AND('ROSTER UPDATE'!F232=""),"",('ROSTER UPDATE'!F232))</f>
        <v/>
      </c>
      <c r="F232" s="65" t="str">
        <f>IF(AND('ROSTER UPDATE'!C232=""),"",('ROSTER UPDATE'!C232))</f>
        <v/>
      </c>
      <c r="G232" s="87" t="s">
        <v>41</v>
      </c>
      <c r="I232" s="78">
        <f>SUM('ROSTER UPDATE'!H232:'ROSTER UPDATE'!J232)</f>
        <v>0</v>
      </c>
      <c r="J232" s="79">
        <f>SUM('ROSTER UPDATE'!K232:'ROSTER UPDATE'!M232)</f>
        <v>0</v>
      </c>
      <c r="K232" s="79">
        <f>SUM('ROSTER UPDATE'!N232:'ROSTER UPDATE'!P232)</f>
        <v>0</v>
      </c>
      <c r="L232" s="79"/>
      <c r="M232" s="80"/>
      <c r="O232" s="78" t="str">
        <f>IF(AND('ROSTER UPDATE'!R232=""),"",('ROSTER UPDATE'!R232))</f>
        <v/>
      </c>
      <c r="P232" s="79" t="str">
        <f>IF(AND('ROSTER UPDATE'!S232=""),"",('ROSTER UPDATE'!S232))</f>
        <v/>
      </c>
      <c r="Q232" s="80" t="str">
        <f>IF(AND('ROSTER UPDATE'!T232=""),"",('ROSTER UPDATE'!T232))</f>
        <v/>
      </c>
      <c r="S232" s="78">
        <f>SUM('ROSTER UPDATE'!R232:'ROSTER UPDATE'!T232)</f>
        <v>0</v>
      </c>
      <c r="T232" s="79">
        <f>SUM('ROSTER UPDATE'!U232:'ROSTER UPDATE'!W232)</f>
        <v>0</v>
      </c>
      <c r="U232" s="79">
        <f>SUM('ROSTER UPDATE'!X232:'ROSTER UPDATE'!Z232)</f>
        <v>0</v>
      </c>
      <c r="V232" s="79"/>
      <c r="W232" s="80"/>
    </row>
    <row r="233" spans="2:23" ht="15.75" thickBot="1" x14ac:dyDescent="0.3">
      <c r="B233" s="64" t="str">
        <f>IF(AND('ROSTER UPDATE'!B233=""),"",('ROSTER UPDATE'!B233))</f>
        <v/>
      </c>
      <c r="C233" s="65" t="str">
        <f>IF(AND('ROSTER UPDATE'!E233=""),"",('ROSTER UPDATE'!E233))</f>
        <v/>
      </c>
      <c r="E233" s="64" t="str">
        <f>IF(AND('ROSTER UPDATE'!F233=""),"",('ROSTER UPDATE'!F233))</f>
        <v/>
      </c>
      <c r="F233" s="65" t="str">
        <f>IF(AND('ROSTER UPDATE'!C233=""),"",('ROSTER UPDATE'!C233))</f>
        <v/>
      </c>
      <c r="G233" s="87" t="s">
        <v>41</v>
      </c>
      <c r="I233" s="78">
        <f>SUM('ROSTER UPDATE'!H233:'ROSTER UPDATE'!J233)</f>
        <v>0</v>
      </c>
      <c r="J233" s="79">
        <f>SUM('ROSTER UPDATE'!K233:'ROSTER UPDATE'!M233)</f>
        <v>0</v>
      </c>
      <c r="K233" s="79">
        <f>SUM('ROSTER UPDATE'!N233:'ROSTER UPDATE'!P233)</f>
        <v>0</v>
      </c>
      <c r="L233" s="79"/>
      <c r="M233" s="80"/>
      <c r="O233" s="78" t="str">
        <f>IF(AND('ROSTER UPDATE'!R233=""),"",('ROSTER UPDATE'!R233))</f>
        <v/>
      </c>
      <c r="P233" s="79" t="str">
        <f>IF(AND('ROSTER UPDATE'!S233=""),"",('ROSTER UPDATE'!S233))</f>
        <v/>
      </c>
      <c r="Q233" s="80" t="str">
        <f>IF(AND('ROSTER UPDATE'!T233=""),"",('ROSTER UPDATE'!T233))</f>
        <v/>
      </c>
      <c r="S233" s="78">
        <f>SUM('ROSTER UPDATE'!R233:'ROSTER UPDATE'!T233)</f>
        <v>0</v>
      </c>
      <c r="T233" s="79">
        <f>SUM('ROSTER UPDATE'!U233:'ROSTER UPDATE'!W233)</f>
        <v>0</v>
      </c>
      <c r="U233" s="79">
        <f>SUM('ROSTER UPDATE'!X233:'ROSTER UPDATE'!Z233)</f>
        <v>0</v>
      </c>
      <c r="V233" s="79"/>
      <c r="W233" s="80"/>
    </row>
    <row r="234" spans="2:23" ht="15.75" thickBot="1" x14ac:dyDescent="0.3">
      <c r="B234" s="64" t="str">
        <f>IF(AND('ROSTER UPDATE'!B234=""),"",('ROSTER UPDATE'!B234))</f>
        <v/>
      </c>
      <c r="C234" s="65" t="str">
        <f>IF(AND('ROSTER UPDATE'!E234=""),"",('ROSTER UPDATE'!E234))</f>
        <v/>
      </c>
      <c r="E234" s="64" t="str">
        <f>IF(AND('ROSTER UPDATE'!F234=""),"",('ROSTER UPDATE'!F234))</f>
        <v/>
      </c>
      <c r="F234" s="65" t="str">
        <f>IF(AND('ROSTER UPDATE'!C234=""),"",('ROSTER UPDATE'!C234))</f>
        <v/>
      </c>
      <c r="G234" s="87" t="s">
        <v>41</v>
      </c>
      <c r="I234" s="78">
        <f>SUM('ROSTER UPDATE'!H234:'ROSTER UPDATE'!J234)</f>
        <v>0</v>
      </c>
      <c r="J234" s="79">
        <f>SUM('ROSTER UPDATE'!K234:'ROSTER UPDATE'!M234)</f>
        <v>0</v>
      </c>
      <c r="K234" s="79">
        <f>SUM('ROSTER UPDATE'!N234:'ROSTER UPDATE'!P234)</f>
        <v>0</v>
      </c>
      <c r="L234" s="79"/>
      <c r="M234" s="80"/>
      <c r="O234" s="78" t="str">
        <f>IF(AND('ROSTER UPDATE'!R234=""),"",('ROSTER UPDATE'!R234))</f>
        <v/>
      </c>
      <c r="P234" s="79" t="str">
        <f>IF(AND('ROSTER UPDATE'!S234=""),"",('ROSTER UPDATE'!S234))</f>
        <v/>
      </c>
      <c r="Q234" s="80" t="str">
        <f>IF(AND('ROSTER UPDATE'!T234=""),"",('ROSTER UPDATE'!T234))</f>
        <v/>
      </c>
      <c r="S234" s="78">
        <f>SUM('ROSTER UPDATE'!R234:'ROSTER UPDATE'!T234)</f>
        <v>0</v>
      </c>
      <c r="T234" s="79">
        <f>SUM('ROSTER UPDATE'!U234:'ROSTER UPDATE'!W234)</f>
        <v>0</v>
      </c>
      <c r="U234" s="79">
        <f>SUM('ROSTER UPDATE'!X234:'ROSTER UPDATE'!Z234)</f>
        <v>0</v>
      </c>
      <c r="V234" s="79"/>
      <c r="W234" s="80"/>
    </row>
    <row r="235" spans="2:23" ht="15.75" thickBot="1" x14ac:dyDescent="0.3">
      <c r="B235" s="64" t="str">
        <f>IF(AND('ROSTER UPDATE'!B235=""),"",('ROSTER UPDATE'!B235))</f>
        <v/>
      </c>
      <c r="C235" s="65" t="str">
        <f>IF(AND('ROSTER UPDATE'!E235=""),"",('ROSTER UPDATE'!E235))</f>
        <v/>
      </c>
      <c r="E235" s="64" t="str">
        <f>IF(AND('ROSTER UPDATE'!F235=""),"",('ROSTER UPDATE'!F235))</f>
        <v/>
      </c>
      <c r="F235" s="65" t="str">
        <f>IF(AND('ROSTER UPDATE'!C235=""),"",('ROSTER UPDATE'!C235))</f>
        <v/>
      </c>
      <c r="G235" s="87" t="s">
        <v>41</v>
      </c>
      <c r="I235" s="78">
        <f>SUM('ROSTER UPDATE'!H235:'ROSTER UPDATE'!J235)</f>
        <v>0</v>
      </c>
      <c r="J235" s="79">
        <f>SUM('ROSTER UPDATE'!K235:'ROSTER UPDATE'!M235)</f>
        <v>0</v>
      </c>
      <c r="K235" s="79">
        <f>SUM('ROSTER UPDATE'!N235:'ROSTER UPDATE'!P235)</f>
        <v>0</v>
      </c>
      <c r="L235" s="79"/>
      <c r="M235" s="80"/>
      <c r="O235" s="78" t="str">
        <f>IF(AND('ROSTER UPDATE'!R235=""),"",('ROSTER UPDATE'!R235))</f>
        <v/>
      </c>
      <c r="P235" s="79" t="str">
        <f>IF(AND('ROSTER UPDATE'!S235=""),"",('ROSTER UPDATE'!S235))</f>
        <v/>
      </c>
      <c r="Q235" s="80" t="str">
        <f>IF(AND('ROSTER UPDATE'!T235=""),"",('ROSTER UPDATE'!T235))</f>
        <v/>
      </c>
      <c r="S235" s="78">
        <f>SUM('ROSTER UPDATE'!R235:'ROSTER UPDATE'!T235)</f>
        <v>0</v>
      </c>
      <c r="T235" s="79">
        <f>SUM('ROSTER UPDATE'!U235:'ROSTER UPDATE'!W235)</f>
        <v>0</v>
      </c>
      <c r="U235" s="79">
        <f>SUM('ROSTER UPDATE'!X235:'ROSTER UPDATE'!Z235)</f>
        <v>0</v>
      </c>
      <c r="V235" s="79"/>
      <c r="W235" s="80"/>
    </row>
    <row r="236" spans="2:23" ht="15.75" thickBot="1" x14ac:dyDescent="0.3">
      <c r="B236" s="64" t="str">
        <f>IF(AND('ROSTER UPDATE'!B236=""),"",('ROSTER UPDATE'!B236))</f>
        <v/>
      </c>
      <c r="C236" s="65" t="str">
        <f>IF(AND('ROSTER UPDATE'!E236=""),"",('ROSTER UPDATE'!E236))</f>
        <v/>
      </c>
      <c r="E236" s="64" t="str">
        <f>IF(AND('ROSTER UPDATE'!F236=""),"",('ROSTER UPDATE'!F236))</f>
        <v/>
      </c>
      <c r="F236" s="65" t="str">
        <f>IF(AND('ROSTER UPDATE'!C236=""),"",('ROSTER UPDATE'!C236))</f>
        <v/>
      </c>
      <c r="G236" s="87" t="s">
        <v>41</v>
      </c>
      <c r="I236" s="78">
        <f>SUM('ROSTER UPDATE'!H236:'ROSTER UPDATE'!J236)</f>
        <v>0</v>
      </c>
      <c r="J236" s="79">
        <f>SUM('ROSTER UPDATE'!K236:'ROSTER UPDATE'!M236)</f>
        <v>0</v>
      </c>
      <c r="K236" s="79">
        <f>SUM('ROSTER UPDATE'!N236:'ROSTER UPDATE'!P236)</f>
        <v>0</v>
      </c>
      <c r="L236" s="79"/>
      <c r="M236" s="80"/>
      <c r="O236" s="78" t="str">
        <f>IF(AND('ROSTER UPDATE'!R236=""),"",('ROSTER UPDATE'!R236))</f>
        <v/>
      </c>
      <c r="P236" s="79" t="str">
        <f>IF(AND('ROSTER UPDATE'!S236=""),"",('ROSTER UPDATE'!S236))</f>
        <v/>
      </c>
      <c r="Q236" s="80" t="str">
        <f>IF(AND('ROSTER UPDATE'!T236=""),"",('ROSTER UPDATE'!T236))</f>
        <v/>
      </c>
      <c r="S236" s="78">
        <f>SUM('ROSTER UPDATE'!R236:'ROSTER UPDATE'!T236)</f>
        <v>0</v>
      </c>
      <c r="T236" s="79">
        <f>SUM('ROSTER UPDATE'!U236:'ROSTER UPDATE'!W236)</f>
        <v>0</v>
      </c>
      <c r="U236" s="79">
        <f>SUM('ROSTER UPDATE'!X236:'ROSTER UPDATE'!Z236)</f>
        <v>0</v>
      </c>
      <c r="V236" s="79"/>
      <c r="W236" s="80"/>
    </row>
    <row r="237" spans="2:23" ht="15.75" thickBot="1" x14ac:dyDescent="0.3">
      <c r="B237" s="64" t="str">
        <f>IF(AND('ROSTER UPDATE'!B237=""),"",('ROSTER UPDATE'!B237))</f>
        <v/>
      </c>
      <c r="C237" s="65" t="str">
        <f>IF(AND('ROSTER UPDATE'!E237=""),"",('ROSTER UPDATE'!E237))</f>
        <v/>
      </c>
      <c r="E237" s="64" t="str">
        <f>IF(AND('ROSTER UPDATE'!F237=""),"",('ROSTER UPDATE'!F237))</f>
        <v/>
      </c>
      <c r="F237" s="65" t="str">
        <f>IF(AND('ROSTER UPDATE'!C237=""),"",('ROSTER UPDATE'!C237))</f>
        <v/>
      </c>
      <c r="G237" s="87" t="s">
        <v>41</v>
      </c>
      <c r="I237" s="78">
        <f>SUM('ROSTER UPDATE'!H237:'ROSTER UPDATE'!J237)</f>
        <v>0</v>
      </c>
      <c r="J237" s="79">
        <f>SUM('ROSTER UPDATE'!K237:'ROSTER UPDATE'!M237)</f>
        <v>0</v>
      </c>
      <c r="K237" s="79">
        <f>SUM('ROSTER UPDATE'!N237:'ROSTER UPDATE'!P237)</f>
        <v>0</v>
      </c>
      <c r="L237" s="79"/>
      <c r="M237" s="80"/>
      <c r="O237" s="78" t="str">
        <f>IF(AND('ROSTER UPDATE'!R237=""),"",('ROSTER UPDATE'!R237))</f>
        <v/>
      </c>
      <c r="P237" s="79" t="str">
        <f>IF(AND('ROSTER UPDATE'!S237=""),"",('ROSTER UPDATE'!S237))</f>
        <v/>
      </c>
      <c r="Q237" s="80" t="str">
        <f>IF(AND('ROSTER UPDATE'!T237=""),"",('ROSTER UPDATE'!T237))</f>
        <v/>
      </c>
      <c r="S237" s="78">
        <f>SUM('ROSTER UPDATE'!R237:'ROSTER UPDATE'!T237)</f>
        <v>0</v>
      </c>
      <c r="T237" s="79">
        <f>SUM('ROSTER UPDATE'!U237:'ROSTER UPDATE'!W237)</f>
        <v>0</v>
      </c>
      <c r="U237" s="79">
        <f>SUM('ROSTER UPDATE'!X237:'ROSTER UPDATE'!Z237)</f>
        <v>0</v>
      </c>
      <c r="V237" s="79"/>
      <c r="W237" s="80"/>
    </row>
    <row r="238" spans="2:23" ht="15.75" thickBot="1" x14ac:dyDescent="0.3">
      <c r="B238" s="64" t="str">
        <f>IF(AND('ROSTER UPDATE'!B238=""),"",('ROSTER UPDATE'!B238))</f>
        <v/>
      </c>
      <c r="C238" s="65" t="str">
        <f>IF(AND('ROSTER UPDATE'!E238=""),"",('ROSTER UPDATE'!E238))</f>
        <v/>
      </c>
      <c r="E238" s="64" t="str">
        <f>IF(AND('ROSTER UPDATE'!F238=""),"",('ROSTER UPDATE'!F238))</f>
        <v/>
      </c>
      <c r="F238" s="65" t="str">
        <f>IF(AND('ROSTER UPDATE'!C238=""),"",('ROSTER UPDATE'!C238))</f>
        <v/>
      </c>
      <c r="G238" s="87" t="s">
        <v>41</v>
      </c>
      <c r="I238" s="78">
        <f>SUM('ROSTER UPDATE'!H238:'ROSTER UPDATE'!J238)</f>
        <v>0</v>
      </c>
      <c r="J238" s="79">
        <f>SUM('ROSTER UPDATE'!K238:'ROSTER UPDATE'!M238)</f>
        <v>0</v>
      </c>
      <c r="K238" s="79">
        <f>SUM('ROSTER UPDATE'!N238:'ROSTER UPDATE'!P238)</f>
        <v>0</v>
      </c>
      <c r="L238" s="79"/>
      <c r="M238" s="80"/>
      <c r="O238" s="78" t="str">
        <f>IF(AND('ROSTER UPDATE'!R238=""),"",('ROSTER UPDATE'!R238))</f>
        <v/>
      </c>
      <c r="P238" s="79" t="str">
        <f>IF(AND('ROSTER UPDATE'!S238=""),"",('ROSTER UPDATE'!S238))</f>
        <v/>
      </c>
      <c r="Q238" s="80" t="str">
        <f>IF(AND('ROSTER UPDATE'!T238=""),"",('ROSTER UPDATE'!T238))</f>
        <v/>
      </c>
      <c r="S238" s="78">
        <f>SUM('ROSTER UPDATE'!R238:'ROSTER UPDATE'!T238)</f>
        <v>0</v>
      </c>
      <c r="T238" s="79">
        <f>SUM('ROSTER UPDATE'!U238:'ROSTER UPDATE'!W238)</f>
        <v>0</v>
      </c>
      <c r="U238" s="79">
        <f>SUM('ROSTER UPDATE'!X238:'ROSTER UPDATE'!Z238)</f>
        <v>0</v>
      </c>
      <c r="V238" s="79"/>
      <c r="W238" s="80"/>
    </row>
    <row r="239" spans="2:23" ht="15.75" thickBot="1" x14ac:dyDescent="0.3">
      <c r="B239" s="64" t="str">
        <f>IF(AND('ROSTER UPDATE'!B239=""),"",('ROSTER UPDATE'!B239))</f>
        <v/>
      </c>
      <c r="C239" s="65" t="str">
        <f>IF(AND('ROSTER UPDATE'!E239=""),"",('ROSTER UPDATE'!E239))</f>
        <v/>
      </c>
      <c r="E239" s="64" t="str">
        <f>IF(AND('ROSTER UPDATE'!F239=""),"",('ROSTER UPDATE'!F239))</f>
        <v/>
      </c>
      <c r="F239" s="65" t="str">
        <f>IF(AND('ROSTER UPDATE'!C239=""),"",('ROSTER UPDATE'!C239))</f>
        <v/>
      </c>
      <c r="G239" s="87" t="s">
        <v>41</v>
      </c>
      <c r="I239" s="78">
        <f>SUM('ROSTER UPDATE'!H239:'ROSTER UPDATE'!J239)</f>
        <v>0</v>
      </c>
      <c r="J239" s="79">
        <f>SUM('ROSTER UPDATE'!K239:'ROSTER UPDATE'!M239)</f>
        <v>0</v>
      </c>
      <c r="K239" s="79">
        <f>SUM('ROSTER UPDATE'!N239:'ROSTER UPDATE'!P239)</f>
        <v>0</v>
      </c>
      <c r="L239" s="79"/>
      <c r="M239" s="80"/>
      <c r="O239" s="78" t="str">
        <f>IF(AND('ROSTER UPDATE'!R239=""),"",('ROSTER UPDATE'!R239))</f>
        <v/>
      </c>
      <c r="P239" s="79" t="str">
        <f>IF(AND('ROSTER UPDATE'!S239=""),"",('ROSTER UPDATE'!S239))</f>
        <v/>
      </c>
      <c r="Q239" s="80" t="str">
        <f>IF(AND('ROSTER UPDATE'!T239=""),"",('ROSTER UPDATE'!T239))</f>
        <v/>
      </c>
      <c r="S239" s="78">
        <f>SUM('ROSTER UPDATE'!R239:'ROSTER UPDATE'!T239)</f>
        <v>0</v>
      </c>
      <c r="T239" s="79">
        <f>SUM('ROSTER UPDATE'!U239:'ROSTER UPDATE'!W239)</f>
        <v>0</v>
      </c>
      <c r="U239" s="79">
        <f>SUM('ROSTER UPDATE'!X239:'ROSTER UPDATE'!Z239)</f>
        <v>0</v>
      </c>
      <c r="V239" s="79"/>
      <c r="W239" s="80"/>
    </row>
    <row r="240" spans="2:23" ht="15.75" thickBot="1" x14ac:dyDescent="0.3">
      <c r="B240" s="64" t="str">
        <f>IF(AND('ROSTER UPDATE'!B240=""),"",('ROSTER UPDATE'!B240))</f>
        <v/>
      </c>
      <c r="C240" s="65" t="str">
        <f>IF(AND('ROSTER UPDATE'!E240=""),"",('ROSTER UPDATE'!E240))</f>
        <v/>
      </c>
      <c r="E240" s="64" t="str">
        <f>IF(AND('ROSTER UPDATE'!F240=""),"",('ROSTER UPDATE'!F240))</f>
        <v/>
      </c>
      <c r="F240" s="65" t="str">
        <f>IF(AND('ROSTER UPDATE'!C240=""),"",('ROSTER UPDATE'!C240))</f>
        <v/>
      </c>
      <c r="G240" s="87" t="s">
        <v>41</v>
      </c>
      <c r="I240" s="78">
        <f>SUM('ROSTER UPDATE'!H240:'ROSTER UPDATE'!J240)</f>
        <v>0</v>
      </c>
      <c r="J240" s="79">
        <f>SUM('ROSTER UPDATE'!K240:'ROSTER UPDATE'!M240)</f>
        <v>0</v>
      </c>
      <c r="K240" s="79">
        <f>SUM('ROSTER UPDATE'!N240:'ROSTER UPDATE'!P240)</f>
        <v>0</v>
      </c>
      <c r="L240" s="79"/>
      <c r="M240" s="80"/>
      <c r="O240" s="78" t="str">
        <f>IF(AND('ROSTER UPDATE'!R240=""),"",('ROSTER UPDATE'!R240))</f>
        <v/>
      </c>
      <c r="P240" s="79" t="str">
        <f>IF(AND('ROSTER UPDATE'!S240=""),"",('ROSTER UPDATE'!S240))</f>
        <v/>
      </c>
      <c r="Q240" s="80" t="str">
        <f>IF(AND('ROSTER UPDATE'!T240=""),"",('ROSTER UPDATE'!T240))</f>
        <v/>
      </c>
      <c r="S240" s="78">
        <f>SUM('ROSTER UPDATE'!R240:'ROSTER UPDATE'!T240)</f>
        <v>0</v>
      </c>
      <c r="T240" s="79">
        <f>SUM('ROSTER UPDATE'!U240:'ROSTER UPDATE'!W240)</f>
        <v>0</v>
      </c>
      <c r="U240" s="79">
        <f>SUM('ROSTER UPDATE'!X240:'ROSTER UPDATE'!Z240)</f>
        <v>0</v>
      </c>
      <c r="V240" s="79"/>
      <c r="W240" s="80"/>
    </row>
    <row r="241" spans="2:23" ht="15.75" thickBot="1" x14ac:dyDescent="0.3">
      <c r="B241" s="64" t="str">
        <f>IF(AND('ROSTER UPDATE'!B241=""),"",('ROSTER UPDATE'!B241))</f>
        <v/>
      </c>
      <c r="C241" s="65" t="str">
        <f>IF(AND('ROSTER UPDATE'!E241=""),"",('ROSTER UPDATE'!E241))</f>
        <v/>
      </c>
      <c r="E241" s="64" t="str">
        <f>IF(AND('ROSTER UPDATE'!F241=""),"",('ROSTER UPDATE'!F241))</f>
        <v/>
      </c>
      <c r="F241" s="65" t="str">
        <f>IF(AND('ROSTER UPDATE'!C241=""),"",('ROSTER UPDATE'!C241))</f>
        <v/>
      </c>
      <c r="G241" s="87" t="s">
        <v>41</v>
      </c>
      <c r="I241" s="78">
        <f>SUM('ROSTER UPDATE'!H241:'ROSTER UPDATE'!J241)</f>
        <v>0</v>
      </c>
      <c r="J241" s="79">
        <f>SUM('ROSTER UPDATE'!K241:'ROSTER UPDATE'!M241)</f>
        <v>0</v>
      </c>
      <c r="K241" s="79">
        <f>SUM('ROSTER UPDATE'!N241:'ROSTER UPDATE'!P241)</f>
        <v>0</v>
      </c>
      <c r="L241" s="79"/>
      <c r="M241" s="80"/>
      <c r="O241" s="78" t="str">
        <f>IF(AND('ROSTER UPDATE'!R241=""),"",('ROSTER UPDATE'!R241))</f>
        <v/>
      </c>
      <c r="P241" s="79" t="str">
        <f>IF(AND('ROSTER UPDATE'!S241=""),"",('ROSTER UPDATE'!S241))</f>
        <v/>
      </c>
      <c r="Q241" s="80" t="str">
        <f>IF(AND('ROSTER UPDATE'!T241=""),"",('ROSTER UPDATE'!T241))</f>
        <v/>
      </c>
      <c r="S241" s="78">
        <f>SUM('ROSTER UPDATE'!R241:'ROSTER UPDATE'!T241)</f>
        <v>0</v>
      </c>
      <c r="T241" s="79">
        <f>SUM('ROSTER UPDATE'!U241:'ROSTER UPDATE'!W241)</f>
        <v>0</v>
      </c>
      <c r="U241" s="79">
        <f>SUM('ROSTER UPDATE'!X241:'ROSTER UPDATE'!Z241)</f>
        <v>0</v>
      </c>
      <c r="V241" s="79"/>
      <c r="W241" s="80"/>
    </row>
    <row r="242" spans="2:23" ht="15.75" thickBot="1" x14ac:dyDescent="0.3">
      <c r="B242" s="64" t="str">
        <f>IF(AND('ROSTER UPDATE'!B242=""),"",('ROSTER UPDATE'!B242))</f>
        <v/>
      </c>
      <c r="C242" s="65" t="str">
        <f>IF(AND('ROSTER UPDATE'!E242=""),"",('ROSTER UPDATE'!E242))</f>
        <v/>
      </c>
      <c r="E242" s="64" t="str">
        <f>IF(AND('ROSTER UPDATE'!F242=""),"",('ROSTER UPDATE'!F242))</f>
        <v/>
      </c>
      <c r="F242" s="65" t="str">
        <f>IF(AND('ROSTER UPDATE'!C242=""),"",('ROSTER UPDATE'!C242))</f>
        <v/>
      </c>
      <c r="G242" s="87" t="s">
        <v>41</v>
      </c>
      <c r="I242" s="78">
        <f>SUM('ROSTER UPDATE'!H242:'ROSTER UPDATE'!J242)</f>
        <v>0</v>
      </c>
      <c r="J242" s="79">
        <f>SUM('ROSTER UPDATE'!K242:'ROSTER UPDATE'!M242)</f>
        <v>0</v>
      </c>
      <c r="K242" s="79">
        <f>SUM('ROSTER UPDATE'!N242:'ROSTER UPDATE'!P242)</f>
        <v>0</v>
      </c>
      <c r="L242" s="79"/>
      <c r="M242" s="80"/>
      <c r="O242" s="78" t="str">
        <f>IF(AND('ROSTER UPDATE'!R242=""),"",('ROSTER UPDATE'!R242))</f>
        <v/>
      </c>
      <c r="P242" s="79" t="str">
        <f>IF(AND('ROSTER UPDATE'!S242=""),"",('ROSTER UPDATE'!S242))</f>
        <v/>
      </c>
      <c r="Q242" s="80" t="str">
        <f>IF(AND('ROSTER UPDATE'!T242=""),"",('ROSTER UPDATE'!T242))</f>
        <v/>
      </c>
      <c r="S242" s="78">
        <f>SUM('ROSTER UPDATE'!R242:'ROSTER UPDATE'!T242)</f>
        <v>0</v>
      </c>
      <c r="T242" s="79">
        <f>SUM('ROSTER UPDATE'!U242:'ROSTER UPDATE'!W242)</f>
        <v>0</v>
      </c>
      <c r="U242" s="79">
        <f>SUM('ROSTER UPDATE'!X242:'ROSTER UPDATE'!Z242)</f>
        <v>0</v>
      </c>
      <c r="V242" s="79"/>
      <c r="W242" s="80"/>
    </row>
    <row r="243" spans="2:23" ht="15.75" thickBot="1" x14ac:dyDescent="0.3">
      <c r="B243" s="64" t="str">
        <f>IF(AND('ROSTER UPDATE'!B243=""),"",('ROSTER UPDATE'!B243))</f>
        <v/>
      </c>
      <c r="C243" s="65" t="str">
        <f>IF(AND('ROSTER UPDATE'!E243=""),"",('ROSTER UPDATE'!E243))</f>
        <v/>
      </c>
      <c r="E243" s="64" t="str">
        <f>IF(AND('ROSTER UPDATE'!F243=""),"",('ROSTER UPDATE'!F243))</f>
        <v/>
      </c>
      <c r="F243" s="65" t="str">
        <f>IF(AND('ROSTER UPDATE'!C243=""),"",('ROSTER UPDATE'!C243))</f>
        <v/>
      </c>
      <c r="G243" s="87" t="s">
        <v>41</v>
      </c>
      <c r="I243" s="78">
        <f>SUM('ROSTER UPDATE'!H243:'ROSTER UPDATE'!J243)</f>
        <v>0</v>
      </c>
      <c r="J243" s="79">
        <f>SUM('ROSTER UPDATE'!K243:'ROSTER UPDATE'!M243)</f>
        <v>0</v>
      </c>
      <c r="K243" s="79">
        <f>SUM('ROSTER UPDATE'!N243:'ROSTER UPDATE'!P243)</f>
        <v>0</v>
      </c>
      <c r="L243" s="79"/>
      <c r="M243" s="80"/>
      <c r="O243" s="78" t="str">
        <f>IF(AND('ROSTER UPDATE'!R243=""),"",('ROSTER UPDATE'!R243))</f>
        <v/>
      </c>
      <c r="P243" s="79" t="str">
        <f>IF(AND('ROSTER UPDATE'!S243=""),"",('ROSTER UPDATE'!S243))</f>
        <v/>
      </c>
      <c r="Q243" s="80" t="str">
        <f>IF(AND('ROSTER UPDATE'!T243=""),"",('ROSTER UPDATE'!T243))</f>
        <v/>
      </c>
      <c r="S243" s="78">
        <f>SUM('ROSTER UPDATE'!R243:'ROSTER UPDATE'!T243)</f>
        <v>0</v>
      </c>
      <c r="T243" s="79">
        <f>SUM('ROSTER UPDATE'!U243:'ROSTER UPDATE'!W243)</f>
        <v>0</v>
      </c>
      <c r="U243" s="79">
        <f>SUM('ROSTER UPDATE'!X243:'ROSTER UPDATE'!Z243)</f>
        <v>0</v>
      </c>
      <c r="V243" s="79"/>
      <c r="W243" s="80"/>
    </row>
    <row r="244" spans="2:23" ht="15.75" thickBot="1" x14ac:dyDescent="0.3">
      <c r="B244" s="64" t="str">
        <f>IF(AND('ROSTER UPDATE'!B244=""),"",('ROSTER UPDATE'!B244))</f>
        <v/>
      </c>
      <c r="C244" s="65" t="str">
        <f>IF(AND('ROSTER UPDATE'!E244=""),"",('ROSTER UPDATE'!E244))</f>
        <v/>
      </c>
      <c r="E244" s="64" t="str">
        <f>IF(AND('ROSTER UPDATE'!F244=""),"",('ROSTER UPDATE'!F244))</f>
        <v/>
      </c>
      <c r="F244" s="65" t="str">
        <f>IF(AND('ROSTER UPDATE'!C244=""),"",('ROSTER UPDATE'!C244))</f>
        <v/>
      </c>
      <c r="G244" s="87" t="s">
        <v>41</v>
      </c>
      <c r="I244" s="78">
        <f>SUM('ROSTER UPDATE'!H244:'ROSTER UPDATE'!J244)</f>
        <v>0</v>
      </c>
      <c r="J244" s="79">
        <f>SUM('ROSTER UPDATE'!K244:'ROSTER UPDATE'!M244)</f>
        <v>0</v>
      </c>
      <c r="K244" s="79">
        <f>SUM('ROSTER UPDATE'!N244:'ROSTER UPDATE'!P244)</f>
        <v>0</v>
      </c>
      <c r="L244" s="79"/>
      <c r="M244" s="80"/>
      <c r="O244" s="78" t="str">
        <f>IF(AND('ROSTER UPDATE'!R244=""),"",('ROSTER UPDATE'!R244))</f>
        <v/>
      </c>
      <c r="P244" s="79" t="str">
        <f>IF(AND('ROSTER UPDATE'!S244=""),"",('ROSTER UPDATE'!S244))</f>
        <v/>
      </c>
      <c r="Q244" s="80" t="str">
        <f>IF(AND('ROSTER UPDATE'!T244=""),"",('ROSTER UPDATE'!T244))</f>
        <v/>
      </c>
      <c r="S244" s="78">
        <f>SUM('ROSTER UPDATE'!R244:'ROSTER UPDATE'!T244)</f>
        <v>0</v>
      </c>
      <c r="T244" s="79">
        <f>SUM('ROSTER UPDATE'!U244:'ROSTER UPDATE'!W244)</f>
        <v>0</v>
      </c>
      <c r="U244" s="79">
        <f>SUM('ROSTER UPDATE'!X244:'ROSTER UPDATE'!Z244)</f>
        <v>0</v>
      </c>
      <c r="V244" s="79"/>
      <c r="W244" s="80"/>
    </row>
    <row r="245" spans="2:23" ht="15.75" thickBot="1" x14ac:dyDescent="0.3">
      <c r="B245" s="64" t="str">
        <f>IF(AND('ROSTER UPDATE'!B245=""),"",('ROSTER UPDATE'!B245))</f>
        <v/>
      </c>
      <c r="C245" s="65" t="str">
        <f>IF(AND('ROSTER UPDATE'!E245=""),"",('ROSTER UPDATE'!E245))</f>
        <v/>
      </c>
      <c r="E245" s="64" t="str">
        <f>IF(AND('ROSTER UPDATE'!F245=""),"",('ROSTER UPDATE'!F245))</f>
        <v/>
      </c>
      <c r="F245" s="65" t="str">
        <f>IF(AND('ROSTER UPDATE'!C245=""),"",('ROSTER UPDATE'!C245))</f>
        <v/>
      </c>
      <c r="G245" s="87" t="s">
        <v>41</v>
      </c>
      <c r="I245" s="78">
        <f>SUM('ROSTER UPDATE'!H245:'ROSTER UPDATE'!J245)</f>
        <v>0</v>
      </c>
      <c r="J245" s="79">
        <f>SUM('ROSTER UPDATE'!K245:'ROSTER UPDATE'!M245)</f>
        <v>0</v>
      </c>
      <c r="K245" s="79">
        <f>SUM('ROSTER UPDATE'!N245:'ROSTER UPDATE'!P245)</f>
        <v>0</v>
      </c>
      <c r="L245" s="79"/>
      <c r="M245" s="80"/>
      <c r="O245" s="78" t="str">
        <f>IF(AND('ROSTER UPDATE'!R245=""),"",('ROSTER UPDATE'!R245))</f>
        <v/>
      </c>
      <c r="P245" s="79" t="str">
        <f>IF(AND('ROSTER UPDATE'!S245=""),"",('ROSTER UPDATE'!S245))</f>
        <v/>
      </c>
      <c r="Q245" s="80" t="str">
        <f>IF(AND('ROSTER UPDATE'!T245=""),"",('ROSTER UPDATE'!T245))</f>
        <v/>
      </c>
      <c r="S245" s="78">
        <f>SUM('ROSTER UPDATE'!R245:'ROSTER UPDATE'!T245)</f>
        <v>0</v>
      </c>
      <c r="T245" s="79">
        <f>SUM('ROSTER UPDATE'!U245:'ROSTER UPDATE'!W245)</f>
        <v>0</v>
      </c>
      <c r="U245" s="79">
        <f>SUM('ROSTER UPDATE'!X245:'ROSTER UPDATE'!Z245)</f>
        <v>0</v>
      </c>
      <c r="V245" s="79"/>
      <c r="W245" s="80"/>
    </row>
    <row r="246" spans="2:23" ht="15.75" thickBot="1" x14ac:dyDescent="0.3">
      <c r="B246" s="64" t="str">
        <f>IF(AND('ROSTER UPDATE'!B246=""),"",('ROSTER UPDATE'!B246))</f>
        <v/>
      </c>
      <c r="C246" s="65" t="str">
        <f>IF(AND('ROSTER UPDATE'!E246=""),"",('ROSTER UPDATE'!E246))</f>
        <v/>
      </c>
      <c r="E246" s="64" t="str">
        <f>IF(AND('ROSTER UPDATE'!F246=""),"",('ROSTER UPDATE'!F246))</f>
        <v/>
      </c>
      <c r="F246" s="65" t="str">
        <f>IF(AND('ROSTER UPDATE'!C246=""),"",('ROSTER UPDATE'!C246))</f>
        <v/>
      </c>
      <c r="G246" s="87" t="s">
        <v>41</v>
      </c>
      <c r="I246" s="78">
        <f>SUM('ROSTER UPDATE'!H246:'ROSTER UPDATE'!J246)</f>
        <v>0</v>
      </c>
      <c r="J246" s="79">
        <f>SUM('ROSTER UPDATE'!K246:'ROSTER UPDATE'!M246)</f>
        <v>0</v>
      </c>
      <c r="K246" s="79">
        <f>SUM('ROSTER UPDATE'!N246:'ROSTER UPDATE'!P246)</f>
        <v>0</v>
      </c>
      <c r="L246" s="79"/>
      <c r="M246" s="80"/>
      <c r="O246" s="78" t="str">
        <f>IF(AND('ROSTER UPDATE'!R246=""),"",('ROSTER UPDATE'!R246))</f>
        <v/>
      </c>
      <c r="P246" s="79" t="str">
        <f>IF(AND('ROSTER UPDATE'!S246=""),"",('ROSTER UPDATE'!S246))</f>
        <v/>
      </c>
      <c r="Q246" s="80" t="str">
        <f>IF(AND('ROSTER UPDATE'!T246=""),"",('ROSTER UPDATE'!T246))</f>
        <v/>
      </c>
      <c r="S246" s="78">
        <f>SUM('ROSTER UPDATE'!R246:'ROSTER UPDATE'!T246)</f>
        <v>0</v>
      </c>
      <c r="T246" s="79">
        <f>SUM('ROSTER UPDATE'!U246:'ROSTER UPDATE'!W246)</f>
        <v>0</v>
      </c>
      <c r="U246" s="79">
        <f>SUM('ROSTER UPDATE'!X246:'ROSTER UPDATE'!Z246)</f>
        <v>0</v>
      </c>
      <c r="V246" s="79"/>
      <c r="W246" s="80"/>
    </row>
    <row r="247" spans="2:23" ht="15.75" thickBot="1" x14ac:dyDescent="0.3">
      <c r="B247" s="64" t="str">
        <f>IF(AND('ROSTER UPDATE'!B247=""),"",('ROSTER UPDATE'!B247))</f>
        <v/>
      </c>
      <c r="C247" s="65" t="str">
        <f>IF(AND('ROSTER UPDATE'!E247=""),"",('ROSTER UPDATE'!E247))</f>
        <v/>
      </c>
      <c r="E247" s="64" t="str">
        <f>IF(AND('ROSTER UPDATE'!F247=""),"",('ROSTER UPDATE'!F247))</f>
        <v/>
      </c>
      <c r="F247" s="65" t="str">
        <f>IF(AND('ROSTER UPDATE'!C247=""),"",('ROSTER UPDATE'!C247))</f>
        <v/>
      </c>
      <c r="G247" s="87" t="s">
        <v>41</v>
      </c>
      <c r="I247" s="78">
        <f>SUM('ROSTER UPDATE'!H247:'ROSTER UPDATE'!J247)</f>
        <v>0</v>
      </c>
      <c r="J247" s="79">
        <f>SUM('ROSTER UPDATE'!K247:'ROSTER UPDATE'!M247)</f>
        <v>0</v>
      </c>
      <c r="K247" s="79">
        <f>SUM('ROSTER UPDATE'!N247:'ROSTER UPDATE'!P247)</f>
        <v>0</v>
      </c>
      <c r="L247" s="79"/>
      <c r="M247" s="80"/>
      <c r="O247" s="78" t="str">
        <f>IF(AND('ROSTER UPDATE'!R247=""),"",('ROSTER UPDATE'!R247))</f>
        <v/>
      </c>
      <c r="P247" s="79" t="str">
        <f>IF(AND('ROSTER UPDATE'!S247=""),"",('ROSTER UPDATE'!S247))</f>
        <v/>
      </c>
      <c r="Q247" s="80" t="str">
        <f>IF(AND('ROSTER UPDATE'!T247=""),"",('ROSTER UPDATE'!T247))</f>
        <v/>
      </c>
      <c r="S247" s="78">
        <f>SUM('ROSTER UPDATE'!R247:'ROSTER UPDATE'!T247)</f>
        <v>0</v>
      </c>
      <c r="T247" s="79">
        <f>SUM('ROSTER UPDATE'!U247:'ROSTER UPDATE'!W247)</f>
        <v>0</v>
      </c>
      <c r="U247" s="79">
        <f>SUM('ROSTER UPDATE'!X247:'ROSTER UPDATE'!Z247)</f>
        <v>0</v>
      </c>
      <c r="V247" s="79"/>
      <c r="W247" s="80"/>
    </row>
    <row r="248" spans="2:23" ht="15.75" thickBot="1" x14ac:dyDescent="0.3">
      <c r="B248" s="64" t="str">
        <f>IF(AND('ROSTER UPDATE'!B248=""),"",('ROSTER UPDATE'!B248))</f>
        <v/>
      </c>
      <c r="C248" s="65" t="str">
        <f>IF(AND('ROSTER UPDATE'!E248=""),"",('ROSTER UPDATE'!E248))</f>
        <v/>
      </c>
      <c r="E248" s="64" t="str">
        <f>IF(AND('ROSTER UPDATE'!F248=""),"",('ROSTER UPDATE'!F248))</f>
        <v/>
      </c>
      <c r="F248" s="65" t="str">
        <f>IF(AND('ROSTER UPDATE'!C248=""),"",('ROSTER UPDATE'!C248))</f>
        <v/>
      </c>
      <c r="G248" s="87" t="s">
        <v>41</v>
      </c>
      <c r="I248" s="78">
        <f>SUM('ROSTER UPDATE'!H248:'ROSTER UPDATE'!J248)</f>
        <v>0</v>
      </c>
      <c r="J248" s="79">
        <f>SUM('ROSTER UPDATE'!K248:'ROSTER UPDATE'!M248)</f>
        <v>0</v>
      </c>
      <c r="K248" s="79">
        <f>SUM('ROSTER UPDATE'!N248:'ROSTER UPDATE'!P248)</f>
        <v>0</v>
      </c>
      <c r="L248" s="79"/>
      <c r="M248" s="80"/>
      <c r="O248" s="78" t="str">
        <f>IF(AND('ROSTER UPDATE'!R248=""),"",('ROSTER UPDATE'!R248))</f>
        <v/>
      </c>
      <c r="P248" s="79" t="str">
        <f>IF(AND('ROSTER UPDATE'!S248=""),"",('ROSTER UPDATE'!S248))</f>
        <v/>
      </c>
      <c r="Q248" s="80" t="str">
        <f>IF(AND('ROSTER UPDATE'!T248=""),"",('ROSTER UPDATE'!T248))</f>
        <v/>
      </c>
      <c r="S248" s="78">
        <f>SUM('ROSTER UPDATE'!R248:'ROSTER UPDATE'!T248)</f>
        <v>0</v>
      </c>
      <c r="T248" s="79">
        <f>SUM('ROSTER UPDATE'!U248:'ROSTER UPDATE'!W248)</f>
        <v>0</v>
      </c>
      <c r="U248" s="79">
        <f>SUM('ROSTER UPDATE'!X248:'ROSTER UPDATE'!Z248)</f>
        <v>0</v>
      </c>
      <c r="V248" s="79"/>
      <c r="W248" s="80"/>
    </row>
    <row r="249" spans="2:23" ht="15.75" thickBot="1" x14ac:dyDescent="0.3">
      <c r="B249" s="64" t="str">
        <f>IF(AND('ROSTER UPDATE'!B249=""),"",('ROSTER UPDATE'!B249))</f>
        <v/>
      </c>
      <c r="C249" s="65" t="str">
        <f>IF(AND('ROSTER UPDATE'!E249=""),"",('ROSTER UPDATE'!E249))</f>
        <v/>
      </c>
      <c r="E249" s="64" t="str">
        <f>IF(AND('ROSTER UPDATE'!F249=""),"",('ROSTER UPDATE'!F249))</f>
        <v/>
      </c>
      <c r="F249" s="65" t="str">
        <f>IF(AND('ROSTER UPDATE'!C249=""),"",('ROSTER UPDATE'!C249))</f>
        <v/>
      </c>
      <c r="G249" s="87" t="s">
        <v>41</v>
      </c>
      <c r="I249" s="78">
        <f>SUM('ROSTER UPDATE'!H249:'ROSTER UPDATE'!J249)</f>
        <v>0</v>
      </c>
      <c r="J249" s="79">
        <f>SUM('ROSTER UPDATE'!K249:'ROSTER UPDATE'!M249)</f>
        <v>0</v>
      </c>
      <c r="K249" s="79">
        <f>SUM('ROSTER UPDATE'!N249:'ROSTER UPDATE'!P249)</f>
        <v>0</v>
      </c>
      <c r="L249" s="79"/>
      <c r="M249" s="80"/>
      <c r="O249" s="78" t="str">
        <f>IF(AND('ROSTER UPDATE'!R249=""),"",('ROSTER UPDATE'!R249))</f>
        <v/>
      </c>
      <c r="P249" s="79" t="str">
        <f>IF(AND('ROSTER UPDATE'!S249=""),"",('ROSTER UPDATE'!S249))</f>
        <v/>
      </c>
      <c r="Q249" s="80" t="str">
        <f>IF(AND('ROSTER UPDATE'!T249=""),"",('ROSTER UPDATE'!T249))</f>
        <v/>
      </c>
      <c r="S249" s="78">
        <f>SUM('ROSTER UPDATE'!R249:'ROSTER UPDATE'!T249)</f>
        <v>0</v>
      </c>
      <c r="T249" s="79">
        <f>SUM('ROSTER UPDATE'!U249:'ROSTER UPDATE'!W249)</f>
        <v>0</v>
      </c>
      <c r="U249" s="79">
        <f>SUM('ROSTER UPDATE'!X249:'ROSTER UPDATE'!Z249)</f>
        <v>0</v>
      </c>
      <c r="V249" s="79"/>
      <c r="W249" s="80"/>
    </row>
    <row r="250" spans="2:23" ht="15.75" thickBot="1" x14ac:dyDescent="0.3">
      <c r="B250" s="64" t="str">
        <f>IF(AND('ROSTER UPDATE'!B250=""),"",('ROSTER UPDATE'!B250))</f>
        <v/>
      </c>
      <c r="C250" s="65" t="str">
        <f>IF(AND('ROSTER UPDATE'!E250=""),"",('ROSTER UPDATE'!E250))</f>
        <v/>
      </c>
      <c r="E250" s="64" t="str">
        <f>IF(AND('ROSTER UPDATE'!F250=""),"",('ROSTER UPDATE'!F250))</f>
        <v/>
      </c>
      <c r="F250" s="65" t="str">
        <f>IF(AND('ROSTER UPDATE'!C250=""),"",('ROSTER UPDATE'!C250))</f>
        <v/>
      </c>
      <c r="G250" s="87" t="s">
        <v>41</v>
      </c>
      <c r="I250" s="78">
        <f>SUM('ROSTER UPDATE'!H250:'ROSTER UPDATE'!J250)</f>
        <v>0</v>
      </c>
      <c r="J250" s="79">
        <f>SUM('ROSTER UPDATE'!K250:'ROSTER UPDATE'!M250)</f>
        <v>0</v>
      </c>
      <c r="K250" s="79">
        <f>SUM('ROSTER UPDATE'!N250:'ROSTER UPDATE'!P250)</f>
        <v>0</v>
      </c>
      <c r="L250" s="79"/>
      <c r="M250" s="80"/>
      <c r="O250" s="78" t="str">
        <f>IF(AND('ROSTER UPDATE'!R250=""),"",('ROSTER UPDATE'!R250))</f>
        <v/>
      </c>
      <c r="P250" s="79" t="str">
        <f>IF(AND('ROSTER UPDATE'!S250=""),"",('ROSTER UPDATE'!S250))</f>
        <v/>
      </c>
      <c r="Q250" s="80" t="str">
        <f>IF(AND('ROSTER UPDATE'!T250=""),"",('ROSTER UPDATE'!T250))</f>
        <v/>
      </c>
      <c r="S250" s="78">
        <f>SUM('ROSTER UPDATE'!R250:'ROSTER UPDATE'!T250)</f>
        <v>0</v>
      </c>
      <c r="T250" s="79">
        <f>SUM('ROSTER UPDATE'!U250:'ROSTER UPDATE'!W250)</f>
        <v>0</v>
      </c>
      <c r="U250" s="79">
        <f>SUM('ROSTER UPDATE'!X250:'ROSTER UPDATE'!Z250)</f>
        <v>0</v>
      </c>
      <c r="V250" s="79"/>
      <c r="W250" s="80"/>
    </row>
    <row r="251" spans="2:23" ht="15.75" thickBot="1" x14ac:dyDescent="0.3">
      <c r="B251" s="64" t="str">
        <f>IF(AND('ROSTER UPDATE'!B251=""),"",('ROSTER UPDATE'!B251))</f>
        <v/>
      </c>
      <c r="C251" s="65" t="str">
        <f>IF(AND('ROSTER UPDATE'!E251=""),"",('ROSTER UPDATE'!E251))</f>
        <v/>
      </c>
      <c r="E251" s="64" t="str">
        <f>IF(AND('ROSTER UPDATE'!F251=""),"",('ROSTER UPDATE'!F251))</f>
        <v/>
      </c>
      <c r="F251" s="65" t="str">
        <f>IF(AND('ROSTER UPDATE'!C251=""),"",('ROSTER UPDATE'!C251))</f>
        <v/>
      </c>
      <c r="G251" s="87" t="s">
        <v>41</v>
      </c>
      <c r="I251" s="78">
        <f>SUM('ROSTER UPDATE'!H251:'ROSTER UPDATE'!J251)</f>
        <v>0</v>
      </c>
      <c r="J251" s="79">
        <f>SUM('ROSTER UPDATE'!K251:'ROSTER UPDATE'!M251)</f>
        <v>0</v>
      </c>
      <c r="K251" s="79">
        <f>SUM('ROSTER UPDATE'!N251:'ROSTER UPDATE'!P251)</f>
        <v>0</v>
      </c>
      <c r="L251" s="79"/>
      <c r="M251" s="80"/>
      <c r="O251" s="78" t="str">
        <f>IF(AND('ROSTER UPDATE'!R251=""),"",('ROSTER UPDATE'!R251))</f>
        <v/>
      </c>
      <c r="P251" s="79" t="str">
        <f>IF(AND('ROSTER UPDATE'!S251=""),"",('ROSTER UPDATE'!S251))</f>
        <v/>
      </c>
      <c r="Q251" s="80" t="str">
        <f>IF(AND('ROSTER UPDATE'!T251=""),"",('ROSTER UPDATE'!T251))</f>
        <v/>
      </c>
      <c r="S251" s="78">
        <f>SUM('ROSTER UPDATE'!R251:'ROSTER UPDATE'!T251)</f>
        <v>0</v>
      </c>
      <c r="T251" s="79">
        <f>SUM('ROSTER UPDATE'!U251:'ROSTER UPDATE'!W251)</f>
        <v>0</v>
      </c>
      <c r="U251" s="79">
        <f>SUM('ROSTER UPDATE'!X251:'ROSTER UPDATE'!Z251)</f>
        <v>0</v>
      </c>
      <c r="V251" s="79"/>
      <c r="W251" s="80"/>
    </row>
    <row r="252" spans="2:23" ht="15.75" thickBot="1" x14ac:dyDescent="0.3">
      <c r="B252" s="64" t="str">
        <f>IF(AND('ROSTER UPDATE'!B252=""),"",('ROSTER UPDATE'!B252))</f>
        <v/>
      </c>
      <c r="C252" s="65" t="str">
        <f>IF(AND('ROSTER UPDATE'!E252=""),"",('ROSTER UPDATE'!E252))</f>
        <v/>
      </c>
      <c r="E252" s="64" t="str">
        <f>IF(AND('ROSTER UPDATE'!F252=""),"",('ROSTER UPDATE'!F252))</f>
        <v/>
      </c>
      <c r="F252" s="65" t="str">
        <f>IF(AND('ROSTER UPDATE'!C252=""),"",('ROSTER UPDATE'!C252))</f>
        <v/>
      </c>
      <c r="G252" s="87" t="s">
        <v>41</v>
      </c>
      <c r="I252" s="78">
        <f>SUM('ROSTER UPDATE'!H252:'ROSTER UPDATE'!J252)</f>
        <v>0</v>
      </c>
      <c r="J252" s="79">
        <f>SUM('ROSTER UPDATE'!K252:'ROSTER UPDATE'!M252)</f>
        <v>0</v>
      </c>
      <c r="K252" s="79">
        <f>SUM('ROSTER UPDATE'!N252:'ROSTER UPDATE'!P252)</f>
        <v>0</v>
      </c>
      <c r="L252" s="79"/>
      <c r="M252" s="80"/>
      <c r="O252" s="78" t="str">
        <f>IF(AND('ROSTER UPDATE'!R252=""),"",('ROSTER UPDATE'!R252))</f>
        <v/>
      </c>
      <c r="P252" s="79" t="str">
        <f>IF(AND('ROSTER UPDATE'!S252=""),"",('ROSTER UPDATE'!S252))</f>
        <v/>
      </c>
      <c r="Q252" s="80" t="str">
        <f>IF(AND('ROSTER UPDATE'!T252=""),"",('ROSTER UPDATE'!T252))</f>
        <v/>
      </c>
      <c r="S252" s="78">
        <f>SUM('ROSTER UPDATE'!R252:'ROSTER UPDATE'!T252)</f>
        <v>0</v>
      </c>
      <c r="T252" s="79">
        <f>SUM('ROSTER UPDATE'!U252:'ROSTER UPDATE'!W252)</f>
        <v>0</v>
      </c>
      <c r="U252" s="79">
        <f>SUM('ROSTER UPDATE'!X252:'ROSTER UPDATE'!Z252)</f>
        <v>0</v>
      </c>
      <c r="V252" s="79"/>
      <c r="W252" s="80"/>
    </row>
    <row r="253" spans="2:23" ht="15.75" thickBot="1" x14ac:dyDescent="0.3">
      <c r="B253" s="64" t="str">
        <f>IF(AND('ROSTER UPDATE'!B253=""),"",('ROSTER UPDATE'!B253))</f>
        <v/>
      </c>
      <c r="C253" s="65" t="str">
        <f>IF(AND('ROSTER UPDATE'!E253=""),"",('ROSTER UPDATE'!E253))</f>
        <v/>
      </c>
      <c r="E253" s="64" t="str">
        <f>IF(AND('ROSTER UPDATE'!F253=""),"",('ROSTER UPDATE'!F253))</f>
        <v/>
      </c>
      <c r="F253" s="65" t="str">
        <f>IF(AND('ROSTER UPDATE'!C253=""),"",('ROSTER UPDATE'!C253))</f>
        <v/>
      </c>
      <c r="G253" s="87" t="s">
        <v>41</v>
      </c>
      <c r="I253" s="78">
        <f>SUM('ROSTER UPDATE'!H253:'ROSTER UPDATE'!J253)</f>
        <v>0</v>
      </c>
      <c r="J253" s="79">
        <f>SUM('ROSTER UPDATE'!K253:'ROSTER UPDATE'!M253)</f>
        <v>0</v>
      </c>
      <c r="K253" s="79">
        <f>SUM('ROSTER UPDATE'!N253:'ROSTER UPDATE'!P253)</f>
        <v>0</v>
      </c>
      <c r="L253" s="79"/>
      <c r="M253" s="80"/>
      <c r="O253" s="78" t="str">
        <f>IF(AND('ROSTER UPDATE'!R253=""),"",('ROSTER UPDATE'!R253))</f>
        <v/>
      </c>
      <c r="P253" s="79" t="str">
        <f>IF(AND('ROSTER UPDATE'!S253=""),"",('ROSTER UPDATE'!S253))</f>
        <v/>
      </c>
      <c r="Q253" s="80" t="str">
        <f>IF(AND('ROSTER UPDATE'!T253=""),"",('ROSTER UPDATE'!T253))</f>
        <v/>
      </c>
      <c r="S253" s="78">
        <f>SUM('ROSTER UPDATE'!R253:'ROSTER UPDATE'!T253)</f>
        <v>0</v>
      </c>
      <c r="T253" s="79">
        <f>SUM('ROSTER UPDATE'!U253:'ROSTER UPDATE'!W253)</f>
        <v>0</v>
      </c>
      <c r="U253" s="79">
        <f>SUM('ROSTER UPDATE'!X253:'ROSTER UPDATE'!Z253)</f>
        <v>0</v>
      </c>
      <c r="V253" s="79"/>
      <c r="W253" s="80"/>
    </row>
    <row r="254" spans="2:23" ht="15.75" thickBot="1" x14ac:dyDescent="0.3">
      <c r="B254" s="64" t="str">
        <f>IF(AND('ROSTER UPDATE'!B254=""),"",('ROSTER UPDATE'!B254))</f>
        <v/>
      </c>
      <c r="C254" s="65" t="str">
        <f>IF(AND('ROSTER UPDATE'!E254=""),"",('ROSTER UPDATE'!E254))</f>
        <v/>
      </c>
      <c r="E254" s="64" t="str">
        <f>IF(AND('ROSTER UPDATE'!F254=""),"",('ROSTER UPDATE'!F254))</f>
        <v/>
      </c>
      <c r="F254" s="65" t="str">
        <f>IF(AND('ROSTER UPDATE'!C254=""),"",('ROSTER UPDATE'!C254))</f>
        <v/>
      </c>
      <c r="G254" s="87" t="s">
        <v>41</v>
      </c>
      <c r="I254" s="78">
        <f>SUM('ROSTER UPDATE'!H254:'ROSTER UPDATE'!J254)</f>
        <v>0</v>
      </c>
      <c r="J254" s="79">
        <f>SUM('ROSTER UPDATE'!K254:'ROSTER UPDATE'!M254)</f>
        <v>0</v>
      </c>
      <c r="K254" s="79">
        <f>SUM('ROSTER UPDATE'!N254:'ROSTER UPDATE'!P254)</f>
        <v>0</v>
      </c>
      <c r="L254" s="79"/>
      <c r="M254" s="80"/>
      <c r="O254" s="78" t="str">
        <f>IF(AND('ROSTER UPDATE'!R254=""),"",('ROSTER UPDATE'!R254))</f>
        <v/>
      </c>
      <c r="P254" s="79" t="str">
        <f>IF(AND('ROSTER UPDATE'!S254=""),"",('ROSTER UPDATE'!S254))</f>
        <v/>
      </c>
      <c r="Q254" s="80" t="str">
        <f>IF(AND('ROSTER UPDATE'!T254=""),"",('ROSTER UPDATE'!T254))</f>
        <v/>
      </c>
      <c r="S254" s="78">
        <f>SUM('ROSTER UPDATE'!R254:'ROSTER UPDATE'!T254)</f>
        <v>0</v>
      </c>
      <c r="T254" s="79">
        <f>SUM('ROSTER UPDATE'!U254:'ROSTER UPDATE'!W254)</f>
        <v>0</v>
      </c>
      <c r="U254" s="79">
        <f>SUM('ROSTER UPDATE'!X254:'ROSTER UPDATE'!Z254)</f>
        <v>0</v>
      </c>
      <c r="V254" s="79"/>
      <c r="W254" s="80"/>
    </row>
    <row r="255" spans="2:23" ht="15.75" thickBot="1" x14ac:dyDescent="0.3">
      <c r="B255" s="64" t="str">
        <f>IF(AND('ROSTER UPDATE'!B255=""),"",('ROSTER UPDATE'!B255))</f>
        <v/>
      </c>
      <c r="C255" s="65" t="str">
        <f>IF(AND('ROSTER UPDATE'!E255=""),"",('ROSTER UPDATE'!E255))</f>
        <v/>
      </c>
      <c r="E255" s="64" t="str">
        <f>IF(AND('ROSTER UPDATE'!F255=""),"",('ROSTER UPDATE'!F255))</f>
        <v/>
      </c>
      <c r="F255" s="65" t="str">
        <f>IF(AND('ROSTER UPDATE'!C255=""),"",('ROSTER UPDATE'!C255))</f>
        <v/>
      </c>
      <c r="G255" s="87" t="s">
        <v>41</v>
      </c>
      <c r="I255" s="78">
        <f>SUM('ROSTER UPDATE'!H255:'ROSTER UPDATE'!J255)</f>
        <v>0</v>
      </c>
      <c r="J255" s="79">
        <f>SUM('ROSTER UPDATE'!K255:'ROSTER UPDATE'!M255)</f>
        <v>0</v>
      </c>
      <c r="K255" s="79">
        <f>SUM('ROSTER UPDATE'!N255:'ROSTER UPDATE'!P255)</f>
        <v>0</v>
      </c>
      <c r="L255" s="79"/>
      <c r="M255" s="80"/>
      <c r="O255" s="78" t="str">
        <f>IF(AND('ROSTER UPDATE'!R255=""),"",('ROSTER UPDATE'!R255))</f>
        <v/>
      </c>
      <c r="P255" s="79" t="str">
        <f>IF(AND('ROSTER UPDATE'!S255=""),"",('ROSTER UPDATE'!S255))</f>
        <v/>
      </c>
      <c r="Q255" s="80" t="str">
        <f>IF(AND('ROSTER UPDATE'!T255=""),"",('ROSTER UPDATE'!T255))</f>
        <v/>
      </c>
      <c r="S255" s="78">
        <f>SUM('ROSTER UPDATE'!R255:'ROSTER UPDATE'!T255)</f>
        <v>0</v>
      </c>
      <c r="T255" s="79">
        <f>SUM('ROSTER UPDATE'!U255:'ROSTER UPDATE'!W255)</f>
        <v>0</v>
      </c>
      <c r="U255" s="79">
        <f>SUM('ROSTER UPDATE'!X255:'ROSTER UPDATE'!Z255)</f>
        <v>0</v>
      </c>
      <c r="V255" s="79"/>
      <c r="W255" s="80"/>
    </row>
    <row r="256" spans="2:23" ht="15.75" thickBot="1" x14ac:dyDescent="0.3">
      <c r="B256" s="64" t="str">
        <f>IF(AND('ROSTER UPDATE'!B256=""),"",('ROSTER UPDATE'!B256))</f>
        <v/>
      </c>
      <c r="C256" s="65" t="str">
        <f>IF(AND('ROSTER UPDATE'!E256=""),"",('ROSTER UPDATE'!E256))</f>
        <v/>
      </c>
      <c r="E256" s="64" t="str">
        <f>IF(AND('ROSTER UPDATE'!F256=""),"",('ROSTER UPDATE'!F256))</f>
        <v/>
      </c>
      <c r="F256" s="65" t="str">
        <f>IF(AND('ROSTER UPDATE'!C256=""),"",('ROSTER UPDATE'!C256))</f>
        <v/>
      </c>
      <c r="G256" s="87" t="s">
        <v>41</v>
      </c>
      <c r="I256" s="78">
        <f>SUM('ROSTER UPDATE'!H256:'ROSTER UPDATE'!J256)</f>
        <v>0</v>
      </c>
      <c r="J256" s="79">
        <f>SUM('ROSTER UPDATE'!K256:'ROSTER UPDATE'!M256)</f>
        <v>0</v>
      </c>
      <c r="K256" s="79">
        <f>SUM('ROSTER UPDATE'!N256:'ROSTER UPDATE'!P256)</f>
        <v>0</v>
      </c>
      <c r="L256" s="79"/>
      <c r="M256" s="80"/>
      <c r="O256" s="78" t="str">
        <f>IF(AND('ROSTER UPDATE'!R256=""),"",('ROSTER UPDATE'!R256))</f>
        <v/>
      </c>
      <c r="P256" s="79" t="str">
        <f>IF(AND('ROSTER UPDATE'!S256=""),"",('ROSTER UPDATE'!S256))</f>
        <v/>
      </c>
      <c r="Q256" s="80" t="str">
        <f>IF(AND('ROSTER UPDATE'!T256=""),"",('ROSTER UPDATE'!T256))</f>
        <v/>
      </c>
      <c r="S256" s="78">
        <f>SUM('ROSTER UPDATE'!R256:'ROSTER UPDATE'!T256)</f>
        <v>0</v>
      </c>
      <c r="T256" s="79">
        <f>SUM('ROSTER UPDATE'!U256:'ROSTER UPDATE'!W256)</f>
        <v>0</v>
      </c>
      <c r="U256" s="79">
        <f>SUM('ROSTER UPDATE'!X256:'ROSTER UPDATE'!Z256)</f>
        <v>0</v>
      </c>
      <c r="V256" s="79"/>
      <c r="W256" s="80"/>
    </row>
    <row r="257" spans="2:23" ht="15.75" thickBot="1" x14ac:dyDescent="0.3">
      <c r="B257" s="64" t="str">
        <f>IF(AND('ROSTER UPDATE'!B257=""),"",('ROSTER UPDATE'!B257))</f>
        <v/>
      </c>
      <c r="C257" s="65" t="str">
        <f>IF(AND('ROSTER UPDATE'!E257=""),"",('ROSTER UPDATE'!E257))</f>
        <v/>
      </c>
      <c r="E257" s="64" t="str">
        <f>IF(AND('ROSTER UPDATE'!F257=""),"",('ROSTER UPDATE'!F257))</f>
        <v/>
      </c>
      <c r="F257" s="65" t="str">
        <f>IF(AND('ROSTER UPDATE'!C257=""),"",('ROSTER UPDATE'!C257))</f>
        <v/>
      </c>
      <c r="G257" s="87" t="s">
        <v>41</v>
      </c>
      <c r="I257" s="78">
        <f>SUM('ROSTER UPDATE'!H257:'ROSTER UPDATE'!J257)</f>
        <v>0</v>
      </c>
      <c r="J257" s="79">
        <f>SUM('ROSTER UPDATE'!K257:'ROSTER UPDATE'!M257)</f>
        <v>0</v>
      </c>
      <c r="K257" s="79">
        <f>SUM('ROSTER UPDATE'!N257:'ROSTER UPDATE'!P257)</f>
        <v>0</v>
      </c>
      <c r="L257" s="79"/>
      <c r="M257" s="80"/>
      <c r="O257" s="78" t="str">
        <f>IF(AND('ROSTER UPDATE'!R257=""),"",('ROSTER UPDATE'!R257))</f>
        <v/>
      </c>
      <c r="P257" s="79" t="str">
        <f>IF(AND('ROSTER UPDATE'!S257=""),"",('ROSTER UPDATE'!S257))</f>
        <v/>
      </c>
      <c r="Q257" s="80" t="str">
        <f>IF(AND('ROSTER UPDATE'!T257=""),"",('ROSTER UPDATE'!T257))</f>
        <v/>
      </c>
      <c r="S257" s="78">
        <f>SUM('ROSTER UPDATE'!R257:'ROSTER UPDATE'!T257)</f>
        <v>0</v>
      </c>
      <c r="T257" s="79">
        <f>SUM('ROSTER UPDATE'!U257:'ROSTER UPDATE'!W257)</f>
        <v>0</v>
      </c>
      <c r="U257" s="79">
        <f>SUM('ROSTER UPDATE'!X257:'ROSTER UPDATE'!Z257)</f>
        <v>0</v>
      </c>
      <c r="V257" s="79"/>
      <c r="W257" s="80"/>
    </row>
    <row r="258" spans="2:23" ht="15.75" thickBot="1" x14ac:dyDescent="0.3">
      <c r="B258" s="64" t="str">
        <f>IF(AND('ROSTER UPDATE'!B258=""),"",('ROSTER UPDATE'!B258))</f>
        <v/>
      </c>
      <c r="C258" s="65" t="str">
        <f>IF(AND('ROSTER UPDATE'!E258=""),"",('ROSTER UPDATE'!E258))</f>
        <v/>
      </c>
      <c r="E258" s="64" t="str">
        <f>IF(AND('ROSTER UPDATE'!F258=""),"",('ROSTER UPDATE'!F258))</f>
        <v/>
      </c>
      <c r="F258" s="65" t="str">
        <f>IF(AND('ROSTER UPDATE'!C258=""),"",('ROSTER UPDATE'!C258))</f>
        <v/>
      </c>
      <c r="G258" s="87" t="s">
        <v>41</v>
      </c>
      <c r="I258" s="78">
        <f>SUM('ROSTER UPDATE'!H258:'ROSTER UPDATE'!J258)</f>
        <v>0</v>
      </c>
      <c r="J258" s="79">
        <f>SUM('ROSTER UPDATE'!K258:'ROSTER UPDATE'!M258)</f>
        <v>0</v>
      </c>
      <c r="K258" s="79">
        <f>SUM('ROSTER UPDATE'!N258:'ROSTER UPDATE'!P258)</f>
        <v>0</v>
      </c>
      <c r="L258" s="79"/>
      <c r="M258" s="80"/>
      <c r="O258" s="78" t="str">
        <f>IF(AND('ROSTER UPDATE'!R258=""),"",('ROSTER UPDATE'!R258))</f>
        <v/>
      </c>
      <c r="P258" s="79" t="str">
        <f>IF(AND('ROSTER UPDATE'!S258=""),"",('ROSTER UPDATE'!S258))</f>
        <v/>
      </c>
      <c r="Q258" s="80" t="str">
        <f>IF(AND('ROSTER UPDATE'!T258=""),"",('ROSTER UPDATE'!T258))</f>
        <v/>
      </c>
      <c r="S258" s="78">
        <f>SUM('ROSTER UPDATE'!R258:'ROSTER UPDATE'!T258)</f>
        <v>0</v>
      </c>
      <c r="T258" s="79">
        <f>SUM('ROSTER UPDATE'!U258:'ROSTER UPDATE'!W258)</f>
        <v>0</v>
      </c>
      <c r="U258" s="79">
        <f>SUM('ROSTER UPDATE'!X258:'ROSTER UPDATE'!Z258)</f>
        <v>0</v>
      </c>
      <c r="V258" s="79"/>
      <c r="W258" s="80"/>
    </row>
    <row r="259" spans="2:23" ht="15.75" thickBot="1" x14ac:dyDescent="0.3">
      <c r="B259" s="64" t="str">
        <f>IF(AND('ROSTER UPDATE'!B259=""),"",('ROSTER UPDATE'!B259))</f>
        <v/>
      </c>
      <c r="C259" s="65" t="str">
        <f>IF(AND('ROSTER UPDATE'!E259=""),"",('ROSTER UPDATE'!E259))</f>
        <v/>
      </c>
      <c r="E259" s="64" t="str">
        <f>IF(AND('ROSTER UPDATE'!F259=""),"",('ROSTER UPDATE'!F259))</f>
        <v/>
      </c>
      <c r="F259" s="65" t="str">
        <f>IF(AND('ROSTER UPDATE'!C259=""),"",('ROSTER UPDATE'!C259))</f>
        <v/>
      </c>
      <c r="G259" s="87" t="s">
        <v>41</v>
      </c>
      <c r="I259" s="78">
        <f>SUM('ROSTER UPDATE'!H259:'ROSTER UPDATE'!J259)</f>
        <v>0</v>
      </c>
      <c r="J259" s="79">
        <f>SUM('ROSTER UPDATE'!K259:'ROSTER UPDATE'!M259)</f>
        <v>0</v>
      </c>
      <c r="K259" s="79">
        <f>SUM('ROSTER UPDATE'!N259:'ROSTER UPDATE'!P259)</f>
        <v>0</v>
      </c>
      <c r="L259" s="79"/>
      <c r="M259" s="80"/>
      <c r="O259" s="78" t="str">
        <f>IF(AND('ROSTER UPDATE'!R259=""),"",('ROSTER UPDATE'!R259))</f>
        <v/>
      </c>
      <c r="P259" s="79" t="str">
        <f>IF(AND('ROSTER UPDATE'!S259=""),"",('ROSTER UPDATE'!S259))</f>
        <v/>
      </c>
      <c r="Q259" s="80" t="str">
        <f>IF(AND('ROSTER UPDATE'!T259=""),"",('ROSTER UPDATE'!T259))</f>
        <v/>
      </c>
      <c r="S259" s="78">
        <f>SUM('ROSTER UPDATE'!R259:'ROSTER UPDATE'!T259)</f>
        <v>0</v>
      </c>
      <c r="T259" s="79">
        <f>SUM('ROSTER UPDATE'!U259:'ROSTER UPDATE'!W259)</f>
        <v>0</v>
      </c>
      <c r="U259" s="79">
        <f>SUM('ROSTER UPDATE'!X259:'ROSTER UPDATE'!Z259)</f>
        <v>0</v>
      </c>
      <c r="V259" s="79"/>
      <c r="W259" s="80"/>
    </row>
    <row r="260" spans="2:23" ht="15.75" thickBot="1" x14ac:dyDescent="0.3">
      <c r="B260" s="64" t="str">
        <f>IF(AND('ROSTER UPDATE'!B260=""),"",('ROSTER UPDATE'!B260))</f>
        <v/>
      </c>
      <c r="C260" s="65" t="str">
        <f>IF(AND('ROSTER UPDATE'!E260=""),"",('ROSTER UPDATE'!E260))</f>
        <v/>
      </c>
      <c r="E260" s="64" t="str">
        <f>IF(AND('ROSTER UPDATE'!F260=""),"",('ROSTER UPDATE'!F260))</f>
        <v/>
      </c>
      <c r="F260" s="65" t="str">
        <f>IF(AND('ROSTER UPDATE'!C260=""),"",('ROSTER UPDATE'!C260))</f>
        <v/>
      </c>
      <c r="G260" s="87" t="s">
        <v>41</v>
      </c>
      <c r="I260" s="78">
        <f>SUM('ROSTER UPDATE'!H260:'ROSTER UPDATE'!J260)</f>
        <v>0</v>
      </c>
      <c r="J260" s="79">
        <f>SUM('ROSTER UPDATE'!K260:'ROSTER UPDATE'!M260)</f>
        <v>0</v>
      </c>
      <c r="K260" s="79">
        <f>SUM('ROSTER UPDATE'!N260:'ROSTER UPDATE'!P260)</f>
        <v>0</v>
      </c>
      <c r="L260" s="79"/>
      <c r="M260" s="80"/>
      <c r="O260" s="78" t="str">
        <f>IF(AND('ROSTER UPDATE'!R260=""),"",('ROSTER UPDATE'!R260))</f>
        <v/>
      </c>
      <c r="P260" s="79" t="str">
        <f>IF(AND('ROSTER UPDATE'!S260=""),"",('ROSTER UPDATE'!S260))</f>
        <v/>
      </c>
      <c r="Q260" s="80" t="str">
        <f>IF(AND('ROSTER UPDATE'!T260=""),"",('ROSTER UPDATE'!T260))</f>
        <v/>
      </c>
      <c r="S260" s="78">
        <f>SUM('ROSTER UPDATE'!R260:'ROSTER UPDATE'!T260)</f>
        <v>0</v>
      </c>
      <c r="T260" s="79">
        <f>SUM('ROSTER UPDATE'!U260:'ROSTER UPDATE'!W260)</f>
        <v>0</v>
      </c>
      <c r="U260" s="79">
        <f>SUM('ROSTER UPDATE'!X260:'ROSTER UPDATE'!Z260)</f>
        <v>0</v>
      </c>
      <c r="V260" s="79"/>
      <c r="W260" s="80"/>
    </row>
    <row r="261" spans="2:23" ht="15.75" thickBot="1" x14ac:dyDescent="0.3">
      <c r="B261" s="64" t="str">
        <f>IF(AND('ROSTER UPDATE'!B261=""),"",('ROSTER UPDATE'!B261))</f>
        <v/>
      </c>
      <c r="C261" s="65" t="str">
        <f>IF(AND('ROSTER UPDATE'!E261=""),"",('ROSTER UPDATE'!E261))</f>
        <v/>
      </c>
      <c r="E261" s="64" t="str">
        <f>IF(AND('ROSTER UPDATE'!F261=""),"",('ROSTER UPDATE'!F261))</f>
        <v/>
      </c>
      <c r="F261" s="65" t="str">
        <f>IF(AND('ROSTER UPDATE'!C261=""),"",('ROSTER UPDATE'!C261))</f>
        <v/>
      </c>
      <c r="G261" s="87" t="s">
        <v>41</v>
      </c>
      <c r="I261" s="78">
        <f>SUM('ROSTER UPDATE'!H261:'ROSTER UPDATE'!J261)</f>
        <v>0</v>
      </c>
      <c r="J261" s="79">
        <f>SUM('ROSTER UPDATE'!K261:'ROSTER UPDATE'!M261)</f>
        <v>0</v>
      </c>
      <c r="K261" s="79">
        <f>SUM('ROSTER UPDATE'!N261:'ROSTER UPDATE'!P261)</f>
        <v>0</v>
      </c>
      <c r="L261" s="79"/>
      <c r="M261" s="80"/>
      <c r="O261" s="78" t="str">
        <f>IF(AND('ROSTER UPDATE'!R261=""),"",('ROSTER UPDATE'!R261))</f>
        <v/>
      </c>
      <c r="P261" s="79" t="str">
        <f>IF(AND('ROSTER UPDATE'!S261=""),"",('ROSTER UPDATE'!S261))</f>
        <v/>
      </c>
      <c r="Q261" s="80" t="str">
        <f>IF(AND('ROSTER UPDATE'!T261=""),"",('ROSTER UPDATE'!T261))</f>
        <v/>
      </c>
      <c r="S261" s="78">
        <f>SUM('ROSTER UPDATE'!R261:'ROSTER UPDATE'!T261)</f>
        <v>0</v>
      </c>
      <c r="T261" s="79">
        <f>SUM('ROSTER UPDATE'!U261:'ROSTER UPDATE'!W261)</f>
        <v>0</v>
      </c>
      <c r="U261" s="79">
        <f>SUM('ROSTER UPDATE'!X261:'ROSTER UPDATE'!Z261)</f>
        <v>0</v>
      </c>
      <c r="V261" s="79"/>
      <c r="W261" s="80"/>
    </row>
    <row r="262" spans="2:23" ht="15.75" thickBot="1" x14ac:dyDescent="0.3">
      <c r="B262" s="64" t="str">
        <f>IF(AND('ROSTER UPDATE'!B262=""),"",('ROSTER UPDATE'!B262))</f>
        <v/>
      </c>
      <c r="C262" s="65" t="str">
        <f>IF(AND('ROSTER UPDATE'!E262=""),"",('ROSTER UPDATE'!E262))</f>
        <v/>
      </c>
      <c r="E262" s="64" t="str">
        <f>IF(AND('ROSTER UPDATE'!F262=""),"",('ROSTER UPDATE'!F262))</f>
        <v/>
      </c>
      <c r="F262" s="65" t="str">
        <f>IF(AND('ROSTER UPDATE'!C262=""),"",('ROSTER UPDATE'!C262))</f>
        <v/>
      </c>
      <c r="G262" s="87" t="s">
        <v>41</v>
      </c>
      <c r="I262" s="78">
        <f>SUM('ROSTER UPDATE'!H262:'ROSTER UPDATE'!J262)</f>
        <v>0</v>
      </c>
      <c r="J262" s="79">
        <f>SUM('ROSTER UPDATE'!K262:'ROSTER UPDATE'!M262)</f>
        <v>0</v>
      </c>
      <c r="K262" s="79">
        <f>SUM('ROSTER UPDATE'!N262:'ROSTER UPDATE'!P262)</f>
        <v>0</v>
      </c>
      <c r="L262" s="79"/>
      <c r="M262" s="80"/>
      <c r="O262" s="78" t="str">
        <f>IF(AND('ROSTER UPDATE'!R262=""),"",('ROSTER UPDATE'!R262))</f>
        <v/>
      </c>
      <c r="P262" s="79" t="str">
        <f>IF(AND('ROSTER UPDATE'!S262=""),"",('ROSTER UPDATE'!S262))</f>
        <v/>
      </c>
      <c r="Q262" s="80" t="str">
        <f>IF(AND('ROSTER UPDATE'!T262=""),"",('ROSTER UPDATE'!T262))</f>
        <v/>
      </c>
      <c r="S262" s="78">
        <f>SUM('ROSTER UPDATE'!R262:'ROSTER UPDATE'!T262)</f>
        <v>0</v>
      </c>
      <c r="T262" s="79">
        <f>SUM('ROSTER UPDATE'!U262:'ROSTER UPDATE'!W262)</f>
        <v>0</v>
      </c>
      <c r="U262" s="79">
        <f>SUM('ROSTER UPDATE'!X262:'ROSTER UPDATE'!Z262)</f>
        <v>0</v>
      </c>
      <c r="V262" s="79"/>
      <c r="W262" s="80"/>
    </row>
    <row r="263" spans="2:23" ht="15.75" thickBot="1" x14ac:dyDescent="0.3">
      <c r="B263" s="64" t="str">
        <f>IF(AND('ROSTER UPDATE'!B263=""),"",('ROSTER UPDATE'!B263))</f>
        <v/>
      </c>
      <c r="C263" s="65" t="str">
        <f>IF(AND('ROSTER UPDATE'!E263=""),"",('ROSTER UPDATE'!E263))</f>
        <v/>
      </c>
      <c r="E263" s="64" t="str">
        <f>IF(AND('ROSTER UPDATE'!F263=""),"",('ROSTER UPDATE'!F263))</f>
        <v/>
      </c>
      <c r="F263" s="65" t="str">
        <f>IF(AND('ROSTER UPDATE'!C263=""),"",('ROSTER UPDATE'!C263))</f>
        <v/>
      </c>
      <c r="G263" s="87" t="s">
        <v>41</v>
      </c>
      <c r="I263" s="78">
        <f>SUM('ROSTER UPDATE'!H263:'ROSTER UPDATE'!J263)</f>
        <v>0</v>
      </c>
      <c r="J263" s="79">
        <f>SUM('ROSTER UPDATE'!K263:'ROSTER UPDATE'!M263)</f>
        <v>0</v>
      </c>
      <c r="K263" s="79">
        <f>SUM('ROSTER UPDATE'!N263:'ROSTER UPDATE'!P263)</f>
        <v>0</v>
      </c>
      <c r="L263" s="79"/>
      <c r="M263" s="80"/>
      <c r="O263" s="78" t="str">
        <f>IF(AND('ROSTER UPDATE'!R263=""),"",('ROSTER UPDATE'!R263))</f>
        <v/>
      </c>
      <c r="P263" s="79" t="str">
        <f>IF(AND('ROSTER UPDATE'!S263=""),"",('ROSTER UPDATE'!S263))</f>
        <v/>
      </c>
      <c r="Q263" s="80" t="str">
        <f>IF(AND('ROSTER UPDATE'!T263=""),"",('ROSTER UPDATE'!T263))</f>
        <v/>
      </c>
      <c r="S263" s="78">
        <f>SUM('ROSTER UPDATE'!R263:'ROSTER UPDATE'!T263)</f>
        <v>0</v>
      </c>
      <c r="T263" s="79">
        <f>SUM('ROSTER UPDATE'!U263:'ROSTER UPDATE'!W263)</f>
        <v>0</v>
      </c>
      <c r="U263" s="79">
        <f>SUM('ROSTER UPDATE'!X263:'ROSTER UPDATE'!Z263)</f>
        <v>0</v>
      </c>
      <c r="V263" s="79"/>
      <c r="W263" s="80"/>
    </row>
    <row r="264" spans="2:23" ht="15.75" thickBot="1" x14ac:dyDescent="0.3">
      <c r="B264" s="64" t="str">
        <f>IF(AND('ROSTER UPDATE'!B264=""),"",('ROSTER UPDATE'!B264))</f>
        <v/>
      </c>
      <c r="C264" s="65" t="str">
        <f>IF(AND('ROSTER UPDATE'!E264=""),"",('ROSTER UPDATE'!E264))</f>
        <v/>
      </c>
      <c r="E264" s="64" t="str">
        <f>IF(AND('ROSTER UPDATE'!F264=""),"",('ROSTER UPDATE'!F264))</f>
        <v/>
      </c>
      <c r="F264" s="65" t="str">
        <f>IF(AND('ROSTER UPDATE'!C264=""),"",('ROSTER UPDATE'!C264))</f>
        <v/>
      </c>
      <c r="G264" s="87" t="s">
        <v>41</v>
      </c>
      <c r="I264" s="78">
        <f>SUM('ROSTER UPDATE'!H264:'ROSTER UPDATE'!J264)</f>
        <v>0</v>
      </c>
      <c r="J264" s="79">
        <f>SUM('ROSTER UPDATE'!K264:'ROSTER UPDATE'!M264)</f>
        <v>0</v>
      </c>
      <c r="K264" s="79">
        <f>SUM('ROSTER UPDATE'!N264:'ROSTER UPDATE'!P264)</f>
        <v>0</v>
      </c>
      <c r="L264" s="79"/>
      <c r="M264" s="80"/>
      <c r="O264" s="78" t="str">
        <f>IF(AND('ROSTER UPDATE'!R264=""),"",('ROSTER UPDATE'!R264))</f>
        <v/>
      </c>
      <c r="P264" s="79" t="str">
        <f>IF(AND('ROSTER UPDATE'!S264=""),"",('ROSTER UPDATE'!S264))</f>
        <v/>
      </c>
      <c r="Q264" s="80" t="str">
        <f>IF(AND('ROSTER UPDATE'!T264=""),"",('ROSTER UPDATE'!T264))</f>
        <v/>
      </c>
      <c r="S264" s="78">
        <f>SUM('ROSTER UPDATE'!R264:'ROSTER UPDATE'!T264)</f>
        <v>0</v>
      </c>
      <c r="T264" s="79">
        <f>SUM('ROSTER UPDATE'!U264:'ROSTER UPDATE'!W264)</f>
        <v>0</v>
      </c>
      <c r="U264" s="79">
        <f>SUM('ROSTER UPDATE'!X264:'ROSTER UPDATE'!Z264)</f>
        <v>0</v>
      </c>
      <c r="V264" s="79"/>
      <c r="W264" s="80"/>
    </row>
    <row r="265" spans="2:23" ht="15.75" thickBot="1" x14ac:dyDescent="0.3">
      <c r="B265" s="64" t="str">
        <f>IF(AND('ROSTER UPDATE'!B265=""),"",('ROSTER UPDATE'!B265))</f>
        <v/>
      </c>
      <c r="C265" s="65" t="str">
        <f>IF(AND('ROSTER UPDATE'!E265=""),"",('ROSTER UPDATE'!E265))</f>
        <v/>
      </c>
      <c r="E265" s="64" t="str">
        <f>IF(AND('ROSTER UPDATE'!F265=""),"",('ROSTER UPDATE'!F265))</f>
        <v/>
      </c>
      <c r="F265" s="65" t="str">
        <f>IF(AND('ROSTER UPDATE'!C265=""),"",('ROSTER UPDATE'!C265))</f>
        <v/>
      </c>
      <c r="G265" s="87" t="s">
        <v>41</v>
      </c>
      <c r="I265" s="78">
        <f>SUM('ROSTER UPDATE'!H265:'ROSTER UPDATE'!J265)</f>
        <v>0</v>
      </c>
      <c r="J265" s="79">
        <f>SUM('ROSTER UPDATE'!K265:'ROSTER UPDATE'!M265)</f>
        <v>0</v>
      </c>
      <c r="K265" s="79">
        <f>SUM('ROSTER UPDATE'!N265:'ROSTER UPDATE'!P265)</f>
        <v>0</v>
      </c>
      <c r="L265" s="79"/>
      <c r="M265" s="80"/>
      <c r="O265" s="78" t="str">
        <f>IF(AND('ROSTER UPDATE'!R265=""),"",('ROSTER UPDATE'!R265))</f>
        <v/>
      </c>
      <c r="P265" s="79" t="str">
        <f>IF(AND('ROSTER UPDATE'!S265=""),"",('ROSTER UPDATE'!S265))</f>
        <v/>
      </c>
      <c r="Q265" s="80" t="str">
        <f>IF(AND('ROSTER UPDATE'!T265=""),"",('ROSTER UPDATE'!T265))</f>
        <v/>
      </c>
      <c r="S265" s="78">
        <f>SUM('ROSTER UPDATE'!R265:'ROSTER UPDATE'!T265)</f>
        <v>0</v>
      </c>
      <c r="T265" s="79">
        <f>SUM('ROSTER UPDATE'!U265:'ROSTER UPDATE'!W265)</f>
        <v>0</v>
      </c>
      <c r="U265" s="79">
        <f>SUM('ROSTER UPDATE'!X265:'ROSTER UPDATE'!Z265)</f>
        <v>0</v>
      </c>
      <c r="V265" s="79"/>
      <c r="W265" s="80"/>
    </row>
    <row r="266" spans="2:23" ht="15.75" thickBot="1" x14ac:dyDescent="0.3">
      <c r="B266" s="64" t="str">
        <f>IF(AND('ROSTER UPDATE'!B266=""),"",('ROSTER UPDATE'!B266))</f>
        <v/>
      </c>
      <c r="C266" s="65" t="str">
        <f>IF(AND('ROSTER UPDATE'!E266=""),"",('ROSTER UPDATE'!E266))</f>
        <v/>
      </c>
      <c r="E266" s="64" t="str">
        <f>IF(AND('ROSTER UPDATE'!F266=""),"",('ROSTER UPDATE'!F266))</f>
        <v/>
      </c>
      <c r="F266" s="65" t="str">
        <f>IF(AND('ROSTER UPDATE'!C266=""),"",('ROSTER UPDATE'!C266))</f>
        <v/>
      </c>
      <c r="G266" s="87" t="s">
        <v>41</v>
      </c>
      <c r="I266" s="78">
        <f>SUM('ROSTER UPDATE'!H266:'ROSTER UPDATE'!J266)</f>
        <v>0</v>
      </c>
      <c r="J266" s="79">
        <f>SUM('ROSTER UPDATE'!K266:'ROSTER UPDATE'!M266)</f>
        <v>0</v>
      </c>
      <c r="K266" s="79">
        <f>SUM('ROSTER UPDATE'!N266:'ROSTER UPDATE'!P266)</f>
        <v>0</v>
      </c>
      <c r="L266" s="79"/>
      <c r="M266" s="80"/>
      <c r="O266" s="78" t="str">
        <f>IF(AND('ROSTER UPDATE'!R266=""),"",('ROSTER UPDATE'!R266))</f>
        <v/>
      </c>
      <c r="P266" s="79" t="str">
        <f>IF(AND('ROSTER UPDATE'!S266=""),"",('ROSTER UPDATE'!S266))</f>
        <v/>
      </c>
      <c r="Q266" s="80" t="str">
        <f>IF(AND('ROSTER UPDATE'!T266=""),"",('ROSTER UPDATE'!T266))</f>
        <v/>
      </c>
      <c r="S266" s="78">
        <f>SUM('ROSTER UPDATE'!R266:'ROSTER UPDATE'!T266)</f>
        <v>0</v>
      </c>
      <c r="T266" s="79">
        <f>SUM('ROSTER UPDATE'!U266:'ROSTER UPDATE'!W266)</f>
        <v>0</v>
      </c>
      <c r="U266" s="79">
        <f>SUM('ROSTER UPDATE'!X266:'ROSTER UPDATE'!Z266)</f>
        <v>0</v>
      </c>
      <c r="V266" s="79"/>
      <c r="W266" s="80"/>
    </row>
    <row r="267" spans="2:23" ht="15.75" thickBot="1" x14ac:dyDescent="0.3">
      <c r="B267" s="64" t="str">
        <f>IF(AND('ROSTER UPDATE'!B267=""),"",('ROSTER UPDATE'!B267))</f>
        <v/>
      </c>
      <c r="C267" s="65" t="str">
        <f>IF(AND('ROSTER UPDATE'!E267=""),"",('ROSTER UPDATE'!E267))</f>
        <v/>
      </c>
      <c r="E267" s="64" t="str">
        <f>IF(AND('ROSTER UPDATE'!F267=""),"",('ROSTER UPDATE'!F267))</f>
        <v/>
      </c>
      <c r="F267" s="65" t="str">
        <f>IF(AND('ROSTER UPDATE'!C267=""),"",('ROSTER UPDATE'!C267))</f>
        <v/>
      </c>
      <c r="G267" s="87" t="s">
        <v>41</v>
      </c>
      <c r="I267" s="78">
        <f>SUM('ROSTER UPDATE'!H267:'ROSTER UPDATE'!J267)</f>
        <v>0</v>
      </c>
      <c r="J267" s="79">
        <f>SUM('ROSTER UPDATE'!K267:'ROSTER UPDATE'!M267)</f>
        <v>0</v>
      </c>
      <c r="K267" s="79">
        <f>SUM('ROSTER UPDATE'!N267:'ROSTER UPDATE'!P267)</f>
        <v>0</v>
      </c>
      <c r="L267" s="79"/>
      <c r="M267" s="80"/>
      <c r="O267" s="78" t="str">
        <f>IF(AND('ROSTER UPDATE'!R267=""),"",('ROSTER UPDATE'!R267))</f>
        <v/>
      </c>
      <c r="P267" s="79" t="str">
        <f>IF(AND('ROSTER UPDATE'!S267=""),"",('ROSTER UPDATE'!S267))</f>
        <v/>
      </c>
      <c r="Q267" s="80" t="str">
        <f>IF(AND('ROSTER UPDATE'!T267=""),"",('ROSTER UPDATE'!T267))</f>
        <v/>
      </c>
      <c r="S267" s="78">
        <f>SUM('ROSTER UPDATE'!R267:'ROSTER UPDATE'!T267)</f>
        <v>0</v>
      </c>
      <c r="T267" s="79">
        <f>SUM('ROSTER UPDATE'!U267:'ROSTER UPDATE'!W267)</f>
        <v>0</v>
      </c>
      <c r="U267" s="79">
        <f>SUM('ROSTER UPDATE'!X267:'ROSTER UPDATE'!Z267)</f>
        <v>0</v>
      </c>
      <c r="V267" s="79"/>
      <c r="W267" s="80"/>
    </row>
    <row r="268" spans="2:23" ht="15.75" thickBot="1" x14ac:dyDescent="0.3">
      <c r="B268" s="64" t="str">
        <f>IF(AND('ROSTER UPDATE'!B268=""),"",('ROSTER UPDATE'!B268))</f>
        <v/>
      </c>
      <c r="C268" s="65" t="str">
        <f>IF(AND('ROSTER UPDATE'!E268=""),"",('ROSTER UPDATE'!E268))</f>
        <v/>
      </c>
      <c r="E268" s="64" t="str">
        <f>IF(AND('ROSTER UPDATE'!F268=""),"",('ROSTER UPDATE'!F268))</f>
        <v/>
      </c>
      <c r="F268" s="65" t="str">
        <f>IF(AND('ROSTER UPDATE'!C268=""),"",('ROSTER UPDATE'!C268))</f>
        <v/>
      </c>
      <c r="G268" s="87" t="s">
        <v>41</v>
      </c>
      <c r="I268" s="78">
        <f>SUM('ROSTER UPDATE'!H268:'ROSTER UPDATE'!J268)</f>
        <v>0</v>
      </c>
      <c r="J268" s="79">
        <f>SUM('ROSTER UPDATE'!K268:'ROSTER UPDATE'!M268)</f>
        <v>0</v>
      </c>
      <c r="K268" s="79">
        <f>SUM('ROSTER UPDATE'!N268:'ROSTER UPDATE'!P268)</f>
        <v>0</v>
      </c>
      <c r="L268" s="79"/>
      <c r="M268" s="80"/>
      <c r="O268" s="78" t="str">
        <f>IF(AND('ROSTER UPDATE'!R268=""),"",('ROSTER UPDATE'!R268))</f>
        <v/>
      </c>
      <c r="P268" s="79" t="str">
        <f>IF(AND('ROSTER UPDATE'!S268=""),"",('ROSTER UPDATE'!S268))</f>
        <v/>
      </c>
      <c r="Q268" s="80" t="str">
        <f>IF(AND('ROSTER UPDATE'!T268=""),"",('ROSTER UPDATE'!T268))</f>
        <v/>
      </c>
      <c r="S268" s="78">
        <f>SUM('ROSTER UPDATE'!R268:'ROSTER UPDATE'!T268)</f>
        <v>0</v>
      </c>
      <c r="T268" s="79">
        <f>SUM('ROSTER UPDATE'!U268:'ROSTER UPDATE'!W268)</f>
        <v>0</v>
      </c>
      <c r="U268" s="79">
        <f>SUM('ROSTER UPDATE'!X268:'ROSTER UPDATE'!Z268)</f>
        <v>0</v>
      </c>
      <c r="V268" s="79"/>
      <c r="W268" s="80"/>
    </row>
    <row r="269" spans="2:23" ht="15.75" thickBot="1" x14ac:dyDescent="0.3">
      <c r="B269" s="64" t="str">
        <f>IF(AND('ROSTER UPDATE'!B269=""),"",('ROSTER UPDATE'!B269))</f>
        <v/>
      </c>
      <c r="C269" s="65" t="str">
        <f>IF(AND('ROSTER UPDATE'!E269=""),"",('ROSTER UPDATE'!E269))</f>
        <v/>
      </c>
      <c r="E269" s="64" t="str">
        <f>IF(AND('ROSTER UPDATE'!F269=""),"",('ROSTER UPDATE'!F269))</f>
        <v/>
      </c>
      <c r="F269" s="65" t="str">
        <f>IF(AND('ROSTER UPDATE'!C269=""),"",('ROSTER UPDATE'!C269))</f>
        <v/>
      </c>
      <c r="G269" s="87" t="s">
        <v>41</v>
      </c>
      <c r="I269" s="78">
        <f>SUM('ROSTER UPDATE'!H269:'ROSTER UPDATE'!J269)</f>
        <v>0</v>
      </c>
      <c r="J269" s="79">
        <f>SUM('ROSTER UPDATE'!K269:'ROSTER UPDATE'!M269)</f>
        <v>0</v>
      </c>
      <c r="K269" s="79">
        <f>SUM('ROSTER UPDATE'!N269:'ROSTER UPDATE'!P269)</f>
        <v>0</v>
      </c>
      <c r="L269" s="79"/>
      <c r="M269" s="80"/>
      <c r="O269" s="78" t="str">
        <f>IF(AND('ROSTER UPDATE'!R269=""),"",('ROSTER UPDATE'!R269))</f>
        <v/>
      </c>
      <c r="P269" s="79" t="str">
        <f>IF(AND('ROSTER UPDATE'!S269=""),"",('ROSTER UPDATE'!S269))</f>
        <v/>
      </c>
      <c r="Q269" s="80" t="str">
        <f>IF(AND('ROSTER UPDATE'!T269=""),"",('ROSTER UPDATE'!T269))</f>
        <v/>
      </c>
      <c r="S269" s="78">
        <f>SUM('ROSTER UPDATE'!R269:'ROSTER UPDATE'!T269)</f>
        <v>0</v>
      </c>
      <c r="T269" s="79">
        <f>SUM('ROSTER UPDATE'!U269:'ROSTER UPDATE'!W269)</f>
        <v>0</v>
      </c>
      <c r="U269" s="79">
        <f>SUM('ROSTER UPDATE'!X269:'ROSTER UPDATE'!Z269)</f>
        <v>0</v>
      </c>
      <c r="V269" s="79"/>
      <c r="W269" s="80"/>
    </row>
    <row r="270" spans="2:23" ht="15.75" thickBot="1" x14ac:dyDescent="0.3">
      <c r="B270" s="64" t="str">
        <f>IF(AND('ROSTER UPDATE'!B270=""),"",('ROSTER UPDATE'!B270))</f>
        <v/>
      </c>
      <c r="C270" s="65" t="str">
        <f>IF(AND('ROSTER UPDATE'!E270=""),"",('ROSTER UPDATE'!E270))</f>
        <v/>
      </c>
      <c r="E270" s="64" t="str">
        <f>IF(AND('ROSTER UPDATE'!F270=""),"",('ROSTER UPDATE'!F270))</f>
        <v/>
      </c>
      <c r="F270" s="65" t="str">
        <f>IF(AND('ROSTER UPDATE'!C270=""),"",('ROSTER UPDATE'!C270))</f>
        <v/>
      </c>
      <c r="G270" s="87" t="s">
        <v>41</v>
      </c>
      <c r="I270" s="78">
        <f>SUM('ROSTER UPDATE'!H270:'ROSTER UPDATE'!J270)</f>
        <v>0</v>
      </c>
      <c r="J270" s="79">
        <f>SUM('ROSTER UPDATE'!K270:'ROSTER UPDATE'!M270)</f>
        <v>0</v>
      </c>
      <c r="K270" s="79">
        <f>SUM('ROSTER UPDATE'!N270:'ROSTER UPDATE'!P270)</f>
        <v>0</v>
      </c>
      <c r="L270" s="79"/>
      <c r="M270" s="80"/>
      <c r="O270" s="78" t="str">
        <f>IF(AND('ROSTER UPDATE'!R270=""),"",('ROSTER UPDATE'!R270))</f>
        <v/>
      </c>
      <c r="P270" s="79" t="str">
        <f>IF(AND('ROSTER UPDATE'!S270=""),"",('ROSTER UPDATE'!S270))</f>
        <v/>
      </c>
      <c r="Q270" s="80" t="str">
        <f>IF(AND('ROSTER UPDATE'!T270=""),"",('ROSTER UPDATE'!T270))</f>
        <v/>
      </c>
      <c r="S270" s="78">
        <f>SUM('ROSTER UPDATE'!R270:'ROSTER UPDATE'!T270)</f>
        <v>0</v>
      </c>
      <c r="T270" s="79">
        <f>SUM('ROSTER UPDATE'!U270:'ROSTER UPDATE'!W270)</f>
        <v>0</v>
      </c>
      <c r="U270" s="79">
        <f>SUM('ROSTER UPDATE'!X270:'ROSTER UPDATE'!Z270)</f>
        <v>0</v>
      </c>
      <c r="V270" s="79"/>
      <c r="W270" s="80"/>
    </row>
    <row r="271" spans="2:23" ht="15.75" thickBot="1" x14ac:dyDescent="0.3">
      <c r="B271" s="64" t="str">
        <f>IF(AND('ROSTER UPDATE'!B271=""),"",('ROSTER UPDATE'!B271))</f>
        <v/>
      </c>
      <c r="C271" s="65" t="str">
        <f>IF(AND('ROSTER UPDATE'!E271=""),"",('ROSTER UPDATE'!E271))</f>
        <v/>
      </c>
      <c r="E271" s="64" t="str">
        <f>IF(AND('ROSTER UPDATE'!F271=""),"",('ROSTER UPDATE'!F271))</f>
        <v/>
      </c>
      <c r="F271" s="65" t="str">
        <f>IF(AND('ROSTER UPDATE'!C271=""),"",('ROSTER UPDATE'!C271))</f>
        <v/>
      </c>
      <c r="G271" s="87" t="s">
        <v>41</v>
      </c>
      <c r="I271" s="78">
        <f>SUM('ROSTER UPDATE'!H271:'ROSTER UPDATE'!J271)</f>
        <v>0</v>
      </c>
      <c r="J271" s="79">
        <f>SUM('ROSTER UPDATE'!K271:'ROSTER UPDATE'!M271)</f>
        <v>0</v>
      </c>
      <c r="K271" s="79">
        <f>SUM('ROSTER UPDATE'!N271:'ROSTER UPDATE'!P271)</f>
        <v>0</v>
      </c>
      <c r="L271" s="79"/>
      <c r="M271" s="80"/>
      <c r="O271" s="78" t="str">
        <f>IF(AND('ROSTER UPDATE'!R271=""),"",('ROSTER UPDATE'!R271))</f>
        <v/>
      </c>
      <c r="P271" s="79" t="str">
        <f>IF(AND('ROSTER UPDATE'!S271=""),"",('ROSTER UPDATE'!S271))</f>
        <v/>
      </c>
      <c r="Q271" s="80" t="str">
        <f>IF(AND('ROSTER UPDATE'!T271=""),"",('ROSTER UPDATE'!T271))</f>
        <v/>
      </c>
      <c r="S271" s="78">
        <f>SUM('ROSTER UPDATE'!R271:'ROSTER UPDATE'!T271)</f>
        <v>0</v>
      </c>
      <c r="T271" s="79">
        <f>SUM('ROSTER UPDATE'!U271:'ROSTER UPDATE'!W271)</f>
        <v>0</v>
      </c>
      <c r="U271" s="79">
        <f>SUM('ROSTER UPDATE'!X271:'ROSTER UPDATE'!Z271)</f>
        <v>0</v>
      </c>
      <c r="V271" s="79"/>
      <c r="W271" s="80"/>
    </row>
    <row r="272" spans="2:23" ht="15.75" thickBot="1" x14ac:dyDescent="0.3">
      <c r="B272" s="64" t="str">
        <f>IF(AND('ROSTER UPDATE'!B272=""),"",('ROSTER UPDATE'!B272))</f>
        <v/>
      </c>
      <c r="C272" s="65" t="str">
        <f>IF(AND('ROSTER UPDATE'!E272=""),"",('ROSTER UPDATE'!E272))</f>
        <v/>
      </c>
      <c r="E272" s="64" t="str">
        <f>IF(AND('ROSTER UPDATE'!F272=""),"",('ROSTER UPDATE'!F272))</f>
        <v/>
      </c>
      <c r="F272" s="65" t="str">
        <f>IF(AND('ROSTER UPDATE'!C272=""),"",('ROSTER UPDATE'!C272))</f>
        <v/>
      </c>
      <c r="G272" s="87" t="s">
        <v>41</v>
      </c>
      <c r="I272" s="78">
        <f>SUM('ROSTER UPDATE'!H272:'ROSTER UPDATE'!J272)</f>
        <v>0</v>
      </c>
      <c r="J272" s="79">
        <f>SUM('ROSTER UPDATE'!K272:'ROSTER UPDATE'!M272)</f>
        <v>0</v>
      </c>
      <c r="K272" s="79">
        <f>SUM('ROSTER UPDATE'!N272:'ROSTER UPDATE'!P272)</f>
        <v>0</v>
      </c>
      <c r="L272" s="79"/>
      <c r="M272" s="80"/>
      <c r="O272" s="78" t="str">
        <f>IF(AND('ROSTER UPDATE'!R272=""),"",('ROSTER UPDATE'!R272))</f>
        <v/>
      </c>
      <c r="P272" s="79" t="str">
        <f>IF(AND('ROSTER UPDATE'!S272=""),"",('ROSTER UPDATE'!S272))</f>
        <v/>
      </c>
      <c r="Q272" s="80" t="str">
        <f>IF(AND('ROSTER UPDATE'!T272=""),"",('ROSTER UPDATE'!T272))</f>
        <v/>
      </c>
      <c r="S272" s="78">
        <f>SUM('ROSTER UPDATE'!R272:'ROSTER UPDATE'!T272)</f>
        <v>0</v>
      </c>
      <c r="T272" s="79">
        <f>SUM('ROSTER UPDATE'!U272:'ROSTER UPDATE'!W272)</f>
        <v>0</v>
      </c>
      <c r="U272" s="79">
        <f>SUM('ROSTER UPDATE'!X272:'ROSTER UPDATE'!Z272)</f>
        <v>0</v>
      </c>
      <c r="V272" s="79"/>
      <c r="W272" s="80"/>
    </row>
    <row r="273" spans="2:23" ht="15.75" thickBot="1" x14ac:dyDescent="0.3">
      <c r="B273" s="64" t="str">
        <f>IF(AND('ROSTER UPDATE'!B273=""),"",('ROSTER UPDATE'!B273))</f>
        <v/>
      </c>
      <c r="C273" s="65" t="str">
        <f>IF(AND('ROSTER UPDATE'!E273=""),"",('ROSTER UPDATE'!E273))</f>
        <v/>
      </c>
      <c r="E273" s="64" t="str">
        <f>IF(AND('ROSTER UPDATE'!F273=""),"",('ROSTER UPDATE'!F273))</f>
        <v/>
      </c>
      <c r="F273" s="65" t="str">
        <f>IF(AND('ROSTER UPDATE'!C273=""),"",('ROSTER UPDATE'!C273))</f>
        <v/>
      </c>
      <c r="G273" s="87" t="s">
        <v>41</v>
      </c>
      <c r="I273" s="78">
        <f>SUM('ROSTER UPDATE'!H273:'ROSTER UPDATE'!J273)</f>
        <v>0</v>
      </c>
      <c r="J273" s="79">
        <f>SUM('ROSTER UPDATE'!K273:'ROSTER UPDATE'!M273)</f>
        <v>0</v>
      </c>
      <c r="K273" s="79">
        <f>SUM('ROSTER UPDATE'!N273:'ROSTER UPDATE'!P273)</f>
        <v>0</v>
      </c>
      <c r="L273" s="79"/>
      <c r="M273" s="80"/>
      <c r="O273" s="78" t="str">
        <f>IF(AND('ROSTER UPDATE'!R273=""),"",('ROSTER UPDATE'!R273))</f>
        <v/>
      </c>
      <c r="P273" s="79" t="str">
        <f>IF(AND('ROSTER UPDATE'!S273=""),"",('ROSTER UPDATE'!S273))</f>
        <v/>
      </c>
      <c r="Q273" s="80" t="str">
        <f>IF(AND('ROSTER UPDATE'!T273=""),"",('ROSTER UPDATE'!T273))</f>
        <v/>
      </c>
      <c r="S273" s="78">
        <f>SUM('ROSTER UPDATE'!R273:'ROSTER UPDATE'!T273)</f>
        <v>0</v>
      </c>
      <c r="T273" s="79">
        <f>SUM('ROSTER UPDATE'!U273:'ROSTER UPDATE'!W273)</f>
        <v>0</v>
      </c>
      <c r="U273" s="79">
        <f>SUM('ROSTER UPDATE'!X273:'ROSTER UPDATE'!Z273)</f>
        <v>0</v>
      </c>
      <c r="V273" s="79"/>
      <c r="W273" s="80"/>
    </row>
    <row r="274" spans="2:23" ht="15.75" thickBot="1" x14ac:dyDescent="0.3">
      <c r="B274" s="64" t="str">
        <f>IF(AND('ROSTER UPDATE'!B274=""),"",('ROSTER UPDATE'!B274))</f>
        <v/>
      </c>
      <c r="C274" s="65" t="str">
        <f>IF(AND('ROSTER UPDATE'!E274=""),"",('ROSTER UPDATE'!E274))</f>
        <v/>
      </c>
      <c r="E274" s="64" t="str">
        <f>IF(AND('ROSTER UPDATE'!F274=""),"",('ROSTER UPDATE'!F274))</f>
        <v/>
      </c>
      <c r="F274" s="65" t="str">
        <f>IF(AND('ROSTER UPDATE'!C274=""),"",('ROSTER UPDATE'!C274))</f>
        <v/>
      </c>
      <c r="G274" s="87" t="s">
        <v>41</v>
      </c>
      <c r="I274" s="78">
        <f>SUM('ROSTER UPDATE'!H274:'ROSTER UPDATE'!J274)</f>
        <v>0</v>
      </c>
      <c r="J274" s="79">
        <f>SUM('ROSTER UPDATE'!K274:'ROSTER UPDATE'!M274)</f>
        <v>0</v>
      </c>
      <c r="K274" s="79">
        <f>SUM('ROSTER UPDATE'!N274:'ROSTER UPDATE'!P274)</f>
        <v>0</v>
      </c>
      <c r="L274" s="79"/>
      <c r="M274" s="80"/>
      <c r="O274" s="78" t="str">
        <f>IF(AND('ROSTER UPDATE'!R274=""),"",('ROSTER UPDATE'!R274))</f>
        <v/>
      </c>
      <c r="P274" s="79" t="str">
        <f>IF(AND('ROSTER UPDATE'!S274=""),"",('ROSTER UPDATE'!S274))</f>
        <v/>
      </c>
      <c r="Q274" s="80" t="str">
        <f>IF(AND('ROSTER UPDATE'!T274=""),"",('ROSTER UPDATE'!T274))</f>
        <v/>
      </c>
      <c r="S274" s="78">
        <f>SUM('ROSTER UPDATE'!R274:'ROSTER UPDATE'!T274)</f>
        <v>0</v>
      </c>
      <c r="T274" s="79">
        <f>SUM('ROSTER UPDATE'!U274:'ROSTER UPDATE'!W274)</f>
        <v>0</v>
      </c>
      <c r="U274" s="79">
        <f>SUM('ROSTER UPDATE'!X274:'ROSTER UPDATE'!Z274)</f>
        <v>0</v>
      </c>
      <c r="V274" s="79"/>
      <c r="W274" s="80"/>
    </row>
    <row r="275" spans="2:23" ht="15.75" thickBot="1" x14ac:dyDescent="0.3">
      <c r="B275" s="64" t="str">
        <f>IF(AND('ROSTER UPDATE'!B275=""),"",('ROSTER UPDATE'!B275))</f>
        <v/>
      </c>
      <c r="C275" s="65" t="str">
        <f>IF(AND('ROSTER UPDATE'!E275=""),"",('ROSTER UPDATE'!E275))</f>
        <v/>
      </c>
      <c r="E275" s="64" t="str">
        <f>IF(AND('ROSTER UPDATE'!F275=""),"",('ROSTER UPDATE'!F275))</f>
        <v/>
      </c>
      <c r="F275" s="65" t="str">
        <f>IF(AND('ROSTER UPDATE'!C275=""),"",('ROSTER UPDATE'!C275))</f>
        <v/>
      </c>
      <c r="G275" s="87" t="s">
        <v>41</v>
      </c>
      <c r="I275" s="78">
        <f>SUM('ROSTER UPDATE'!H275:'ROSTER UPDATE'!J275)</f>
        <v>0</v>
      </c>
      <c r="J275" s="79">
        <f>SUM('ROSTER UPDATE'!K275:'ROSTER UPDATE'!M275)</f>
        <v>0</v>
      </c>
      <c r="K275" s="79">
        <f>SUM('ROSTER UPDATE'!N275:'ROSTER UPDATE'!P275)</f>
        <v>0</v>
      </c>
      <c r="L275" s="79"/>
      <c r="M275" s="80"/>
      <c r="O275" s="78" t="str">
        <f>IF(AND('ROSTER UPDATE'!R275=""),"",('ROSTER UPDATE'!R275))</f>
        <v/>
      </c>
      <c r="P275" s="79" t="str">
        <f>IF(AND('ROSTER UPDATE'!S275=""),"",('ROSTER UPDATE'!S275))</f>
        <v/>
      </c>
      <c r="Q275" s="80" t="str">
        <f>IF(AND('ROSTER UPDATE'!T275=""),"",('ROSTER UPDATE'!T275))</f>
        <v/>
      </c>
      <c r="S275" s="78">
        <f>SUM('ROSTER UPDATE'!R275:'ROSTER UPDATE'!T275)</f>
        <v>0</v>
      </c>
      <c r="T275" s="79">
        <f>SUM('ROSTER UPDATE'!U275:'ROSTER UPDATE'!W275)</f>
        <v>0</v>
      </c>
      <c r="U275" s="79">
        <f>SUM('ROSTER UPDATE'!X275:'ROSTER UPDATE'!Z275)</f>
        <v>0</v>
      </c>
      <c r="V275" s="79"/>
      <c r="W275" s="80"/>
    </row>
    <row r="276" spans="2:23" ht="15.75" thickBot="1" x14ac:dyDescent="0.3">
      <c r="B276" s="64" t="str">
        <f>IF(AND('ROSTER UPDATE'!B276=""),"",('ROSTER UPDATE'!B276))</f>
        <v/>
      </c>
      <c r="C276" s="65" t="str">
        <f>IF(AND('ROSTER UPDATE'!E276=""),"",('ROSTER UPDATE'!E276))</f>
        <v/>
      </c>
      <c r="E276" s="64" t="str">
        <f>IF(AND('ROSTER UPDATE'!F276=""),"",('ROSTER UPDATE'!F276))</f>
        <v/>
      </c>
      <c r="F276" s="65" t="str">
        <f>IF(AND('ROSTER UPDATE'!C276=""),"",('ROSTER UPDATE'!C276))</f>
        <v/>
      </c>
      <c r="G276" s="87" t="s">
        <v>41</v>
      </c>
      <c r="I276" s="78">
        <f>SUM('ROSTER UPDATE'!H276:'ROSTER UPDATE'!J276)</f>
        <v>0</v>
      </c>
      <c r="J276" s="79">
        <f>SUM('ROSTER UPDATE'!K276:'ROSTER UPDATE'!M276)</f>
        <v>0</v>
      </c>
      <c r="K276" s="79">
        <f>SUM('ROSTER UPDATE'!N276:'ROSTER UPDATE'!P276)</f>
        <v>0</v>
      </c>
      <c r="L276" s="79"/>
      <c r="M276" s="80"/>
      <c r="O276" s="78" t="str">
        <f>IF(AND('ROSTER UPDATE'!R276=""),"",('ROSTER UPDATE'!R276))</f>
        <v/>
      </c>
      <c r="P276" s="79" t="str">
        <f>IF(AND('ROSTER UPDATE'!S276=""),"",('ROSTER UPDATE'!S276))</f>
        <v/>
      </c>
      <c r="Q276" s="80" t="str">
        <f>IF(AND('ROSTER UPDATE'!T276=""),"",('ROSTER UPDATE'!T276))</f>
        <v/>
      </c>
      <c r="S276" s="78">
        <f>SUM('ROSTER UPDATE'!R276:'ROSTER UPDATE'!T276)</f>
        <v>0</v>
      </c>
      <c r="T276" s="79">
        <f>SUM('ROSTER UPDATE'!U276:'ROSTER UPDATE'!W276)</f>
        <v>0</v>
      </c>
      <c r="U276" s="79">
        <f>SUM('ROSTER UPDATE'!X276:'ROSTER UPDATE'!Z276)</f>
        <v>0</v>
      </c>
      <c r="V276" s="79"/>
      <c r="W276" s="80"/>
    </row>
    <row r="277" spans="2:23" ht="15.75" thickBot="1" x14ac:dyDescent="0.3">
      <c r="B277" s="64" t="str">
        <f>IF(AND('ROSTER UPDATE'!B277=""),"",('ROSTER UPDATE'!B277))</f>
        <v/>
      </c>
      <c r="C277" s="65" t="str">
        <f>IF(AND('ROSTER UPDATE'!E277=""),"",('ROSTER UPDATE'!E277))</f>
        <v/>
      </c>
      <c r="E277" s="64" t="str">
        <f>IF(AND('ROSTER UPDATE'!F277=""),"",('ROSTER UPDATE'!F277))</f>
        <v/>
      </c>
      <c r="F277" s="65" t="str">
        <f>IF(AND('ROSTER UPDATE'!C277=""),"",('ROSTER UPDATE'!C277))</f>
        <v/>
      </c>
      <c r="G277" s="87" t="s">
        <v>41</v>
      </c>
      <c r="I277" s="78">
        <f>SUM('ROSTER UPDATE'!H277:'ROSTER UPDATE'!J277)</f>
        <v>0</v>
      </c>
      <c r="J277" s="79">
        <f>SUM('ROSTER UPDATE'!K277:'ROSTER UPDATE'!M277)</f>
        <v>0</v>
      </c>
      <c r="K277" s="79">
        <f>SUM('ROSTER UPDATE'!N277:'ROSTER UPDATE'!P277)</f>
        <v>0</v>
      </c>
      <c r="L277" s="79"/>
      <c r="M277" s="80"/>
      <c r="O277" s="78" t="str">
        <f>IF(AND('ROSTER UPDATE'!R277=""),"",('ROSTER UPDATE'!R277))</f>
        <v/>
      </c>
      <c r="P277" s="79" t="str">
        <f>IF(AND('ROSTER UPDATE'!S277=""),"",('ROSTER UPDATE'!S277))</f>
        <v/>
      </c>
      <c r="Q277" s="80" t="str">
        <f>IF(AND('ROSTER UPDATE'!T277=""),"",('ROSTER UPDATE'!T277))</f>
        <v/>
      </c>
      <c r="S277" s="78">
        <f>SUM('ROSTER UPDATE'!R277:'ROSTER UPDATE'!T277)</f>
        <v>0</v>
      </c>
      <c r="T277" s="79">
        <f>SUM('ROSTER UPDATE'!U277:'ROSTER UPDATE'!W277)</f>
        <v>0</v>
      </c>
      <c r="U277" s="79">
        <f>SUM('ROSTER UPDATE'!X277:'ROSTER UPDATE'!Z277)</f>
        <v>0</v>
      </c>
      <c r="V277" s="79"/>
      <c r="W277" s="80"/>
    </row>
    <row r="278" spans="2:23" ht="15.75" thickBot="1" x14ac:dyDescent="0.3">
      <c r="B278" s="64" t="str">
        <f>IF(AND('ROSTER UPDATE'!B278=""),"",('ROSTER UPDATE'!B278))</f>
        <v/>
      </c>
      <c r="C278" s="65" t="str">
        <f>IF(AND('ROSTER UPDATE'!E278=""),"",('ROSTER UPDATE'!E278))</f>
        <v/>
      </c>
      <c r="E278" s="64" t="str">
        <f>IF(AND('ROSTER UPDATE'!F278=""),"",('ROSTER UPDATE'!F278))</f>
        <v/>
      </c>
      <c r="F278" s="65" t="str">
        <f>IF(AND('ROSTER UPDATE'!C278=""),"",('ROSTER UPDATE'!C278))</f>
        <v/>
      </c>
      <c r="G278" s="87" t="s">
        <v>41</v>
      </c>
      <c r="I278" s="78">
        <f>SUM('ROSTER UPDATE'!H278:'ROSTER UPDATE'!J278)</f>
        <v>0</v>
      </c>
      <c r="J278" s="79">
        <f>SUM('ROSTER UPDATE'!K278:'ROSTER UPDATE'!M278)</f>
        <v>0</v>
      </c>
      <c r="K278" s="79">
        <f>SUM('ROSTER UPDATE'!N278:'ROSTER UPDATE'!P278)</f>
        <v>0</v>
      </c>
      <c r="L278" s="79"/>
      <c r="M278" s="80"/>
      <c r="O278" s="78" t="str">
        <f>IF(AND('ROSTER UPDATE'!R278=""),"",('ROSTER UPDATE'!R278))</f>
        <v/>
      </c>
      <c r="P278" s="79" t="str">
        <f>IF(AND('ROSTER UPDATE'!S278=""),"",('ROSTER UPDATE'!S278))</f>
        <v/>
      </c>
      <c r="Q278" s="80" t="str">
        <f>IF(AND('ROSTER UPDATE'!T278=""),"",('ROSTER UPDATE'!T278))</f>
        <v/>
      </c>
      <c r="S278" s="78">
        <f>SUM('ROSTER UPDATE'!R278:'ROSTER UPDATE'!T278)</f>
        <v>0</v>
      </c>
      <c r="T278" s="79">
        <f>SUM('ROSTER UPDATE'!U278:'ROSTER UPDATE'!W278)</f>
        <v>0</v>
      </c>
      <c r="U278" s="79">
        <f>SUM('ROSTER UPDATE'!X278:'ROSTER UPDATE'!Z278)</f>
        <v>0</v>
      </c>
      <c r="V278" s="79"/>
      <c r="W278" s="80"/>
    </row>
    <row r="279" spans="2:23" ht="15.75" thickBot="1" x14ac:dyDescent="0.3">
      <c r="B279" s="64" t="str">
        <f>IF(AND('ROSTER UPDATE'!B279=""),"",('ROSTER UPDATE'!B279))</f>
        <v/>
      </c>
      <c r="C279" s="65" t="str">
        <f>IF(AND('ROSTER UPDATE'!E279=""),"",('ROSTER UPDATE'!E279))</f>
        <v/>
      </c>
      <c r="E279" s="64" t="str">
        <f>IF(AND('ROSTER UPDATE'!F279=""),"",('ROSTER UPDATE'!F279))</f>
        <v/>
      </c>
      <c r="F279" s="65" t="str">
        <f>IF(AND('ROSTER UPDATE'!C279=""),"",('ROSTER UPDATE'!C279))</f>
        <v/>
      </c>
      <c r="G279" s="87" t="s">
        <v>41</v>
      </c>
      <c r="I279" s="78">
        <f>SUM('ROSTER UPDATE'!H279:'ROSTER UPDATE'!J279)</f>
        <v>0</v>
      </c>
      <c r="J279" s="79">
        <f>SUM('ROSTER UPDATE'!K279:'ROSTER UPDATE'!M279)</f>
        <v>0</v>
      </c>
      <c r="K279" s="79">
        <f>SUM('ROSTER UPDATE'!N279:'ROSTER UPDATE'!P279)</f>
        <v>0</v>
      </c>
      <c r="L279" s="79"/>
      <c r="M279" s="80"/>
      <c r="O279" s="78" t="str">
        <f>IF(AND('ROSTER UPDATE'!R279=""),"",('ROSTER UPDATE'!R279))</f>
        <v/>
      </c>
      <c r="P279" s="79" t="str">
        <f>IF(AND('ROSTER UPDATE'!S279=""),"",('ROSTER UPDATE'!S279))</f>
        <v/>
      </c>
      <c r="Q279" s="80" t="str">
        <f>IF(AND('ROSTER UPDATE'!T279=""),"",('ROSTER UPDATE'!T279))</f>
        <v/>
      </c>
      <c r="S279" s="78">
        <f>SUM('ROSTER UPDATE'!R279:'ROSTER UPDATE'!T279)</f>
        <v>0</v>
      </c>
      <c r="T279" s="79">
        <f>SUM('ROSTER UPDATE'!U279:'ROSTER UPDATE'!W279)</f>
        <v>0</v>
      </c>
      <c r="U279" s="79">
        <f>SUM('ROSTER UPDATE'!X279:'ROSTER UPDATE'!Z279)</f>
        <v>0</v>
      </c>
      <c r="V279" s="79"/>
      <c r="W279" s="80"/>
    </row>
    <row r="280" spans="2:23" ht="15.75" thickBot="1" x14ac:dyDescent="0.3">
      <c r="B280" s="64" t="str">
        <f>IF(AND('ROSTER UPDATE'!B280=""),"",('ROSTER UPDATE'!B280))</f>
        <v/>
      </c>
      <c r="C280" s="65" t="str">
        <f>IF(AND('ROSTER UPDATE'!E280=""),"",('ROSTER UPDATE'!E280))</f>
        <v/>
      </c>
      <c r="E280" s="64" t="str">
        <f>IF(AND('ROSTER UPDATE'!F280=""),"",('ROSTER UPDATE'!F280))</f>
        <v/>
      </c>
      <c r="F280" s="65" t="str">
        <f>IF(AND('ROSTER UPDATE'!C280=""),"",('ROSTER UPDATE'!C280))</f>
        <v/>
      </c>
      <c r="G280" s="87" t="s">
        <v>41</v>
      </c>
      <c r="I280" s="78">
        <f>SUM('ROSTER UPDATE'!H280:'ROSTER UPDATE'!J280)</f>
        <v>0</v>
      </c>
      <c r="J280" s="79">
        <f>SUM('ROSTER UPDATE'!K280:'ROSTER UPDATE'!M280)</f>
        <v>0</v>
      </c>
      <c r="K280" s="79">
        <f>SUM('ROSTER UPDATE'!N280:'ROSTER UPDATE'!P280)</f>
        <v>0</v>
      </c>
      <c r="L280" s="79"/>
      <c r="M280" s="80"/>
      <c r="O280" s="78" t="str">
        <f>IF(AND('ROSTER UPDATE'!R280=""),"",('ROSTER UPDATE'!R280))</f>
        <v/>
      </c>
      <c r="P280" s="79" t="str">
        <f>IF(AND('ROSTER UPDATE'!S280=""),"",('ROSTER UPDATE'!S280))</f>
        <v/>
      </c>
      <c r="Q280" s="80" t="str">
        <f>IF(AND('ROSTER UPDATE'!T280=""),"",('ROSTER UPDATE'!T280))</f>
        <v/>
      </c>
      <c r="S280" s="78">
        <f>SUM('ROSTER UPDATE'!R280:'ROSTER UPDATE'!T280)</f>
        <v>0</v>
      </c>
      <c r="T280" s="79">
        <f>SUM('ROSTER UPDATE'!U280:'ROSTER UPDATE'!W280)</f>
        <v>0</v>
      </c>
      <c r="U280" s="79">
        <f>SUM('ROSTER UPDATE'!X280:'ROSTER UPDATE'!Z280)</f>
        <v>0</v>
      </c>
      <c r="V280" s="79"/>
      <c r="W280" s="80"/>
    </row>
    <row r="281" spans="2:23" ht="15.75" thickBot="1" x14ac:dyDescent="0.3">
      <c r="B281" s="64" t="str">
        <f>IF(AND('ROSTER UPDATE'!B281=""),"",('ROSTER UPDATE'!B281))</f>
        <v/>
      </c>
      <c r="C281" s="65" t="str">
        <f>IF(AND('ROSTER UPDATE'!E281=""),"",('ROSTER UPDATE'!E281))</f>
        <v/>
      </c>
      <c r="E281" s="64" t="str">
        <f>IF(AND('ROSTER UPDATE'!F281=""),"",('ROSTER UPDATE'!F281))</f>
        <v/>
      </c>
      <c r="F281" s="65" t="str">
        <f>IF(AND('ROSTER UPDATE'!C281=""),"",('ROSTER UPDATE'!C281))</f>
        <v/>
      </c>
      <c r="G281" s="87" t="s">
        <v>41</v>
      </c>
      <c r="I281" s="78">
        <f>SUM('ROSTER UPDATE'!H281:'ROSTER UPDATE'!J281)</f>
        <v>0</v>
      </c>
      <c r="J281" s="79">
        <f>SUM('ROSTER UPDATE'!K281:'ROSTER UPDATE'!M281)</f>
        <v>0</v>
      </c>
      <c r="K281" s="79">
        <f>SUM('ROSTER UPDATE'!N281:'ROSTER UPDATE'!P281)</f>
        <v>0</v>
      </c>
      <c r="L281" s="79"/>
      <c r="M281" s="80"/>
      <c r="O281" s="78" t="str">
        <f>IF(AND('ROSTER UPDATE'!R281=""),"",('ROSTER UPDATE'!R281))</f>
        <v/>
      </c>
      <c r="P281" s="79" t="str">
        <f>IF(AND('ROSTER UPDATE'!S281=""),"",('ROSTER UPDATE'!S281))</f>
        <v/>
      </c>
      <c r="Q281" s="80" t="str">
        <f>IF(AND('ROSTER UPDATE'!T281=""),"",('ROSTER UPDATE'!T281))</f>
        <v/>
      </c>
      <c r="S281" s="78">
        <f>SUM('ROSTER UPDATE'!R281:'ROSTER UPDATE'!T281)</f>
        <v>0</v>
      </c>
      <c r="T281" s="79">
        <f>SUM('ROSTER UPDATE'!U281:'ROSTER UPDATE'!W281)</f>
        <v>0</v>
      </c>
      <c r="U281" s="79">
        <f>SUM('ROSTER UPDATE'!X281:'ROSTER UPDATE'!Z281)</f>
        <v>0</v>
      </c>
      <c r="V281" s="79"/>
      <c r="W281" s="80"/>
    </row>
    <row r="282" spans="2:23" ht="15.75" thickBot="1" x14ac:dyDescent="0.3">
      <c r="B282" s="64" t="str">
        <f>IF(AND('ROSTER UPDATE'!B282=""),"",('ROSTER UPDATE'!B282))</f>
        <v/>
      </c>
      <c r="C282" s="65" t="str">
        <f>IF(AND('ROSTER UPDATE'!E282=""),"",('ROSTER UPDATE'!E282))</f>
        <v/>
      </c>
      <c r="E282" s="64" t="str">
        <f>IF(AND('ROSTER UPDATE'!F282=""),"",('ROSTER UPDATE'!F282))</f>
        <v/>
      </c>
      <c r="F282" s="65" t="str">
        <f>IF(AND('ROSTER UPDATE'!C282=""),"",('ROSTER UPDATE'!C282))</f>
        <v/>
      </c>
      <c r="G282" s="87" t="s">
        <v>41</v>
      </c>
      <c r="I282" s="78">
        <f>SUM('ROSTER UPDATE'!H282:'ROSTER UPDATE'!J282)</f>
        <v>0</v>
      </c>
      <c r="J282" s="79">
        <f>SUM('ROSTER UPDATE'!K282:'ROSTER UPDATE'!M282)</f>
        <v>0</v>
      </c>
      <c r="K282" s="79">
        <f>SUM('ROSTER UPDATE'!N282:'ROSTER UPDATE'!P282)</f>
        <v>0</v>
      </c>
      <c r="L282" s="79"/>
      <c r="M282" s="80"/>
      <c r="O282" s="78" t="str">
        <f>IF(AND('ROSTER UPDATE'!R282=""),"",('ROSTER UPDATE'!R282))</f>
        <v/>
      </c>
      <c r="P282" s="79" t="str">
        <f>IF(AND('ROSTER UPDATE'!S282=""),"",('ROSTER UPDATE'!S282))</f>
        <v/>
      </c>
      <c r="Q282" s="80" t="str">
        <f>IF(AND('ROSTER UPDATE'!T282=""),"",('ROSTER UPDATE'!T282))</f>
        <v/>
      </c>
      <c r="S282" s="78">
        <f>SUM('ROSTER UPDATE'!R282:'ROSTER UPDATE'!T282)</f>
        <v>0</v>
      </c>
      <c r="T282" s="79">
        <f>SUM('ROSTER UPDATE'!U282:'ROSTER UPDATE'!W282)</f>
        <v>0</v>
      </c>
      <c r="U282" s="79">
        <f>SUM('ROSTER UPDATE'!X282:'ROSTER UPDATE'!Z282)</f>
        <v>0</v>
      </c>
      <c r="V282" s="79"/>
      <c r="W282" s="80"/>
    </row>
    <row r="283" spans="2:23" ht="15.75" thickBot="1" x14ac:dyDescent="0.3">
      <c r="B283" s="64" t="str">
        <f>IF(AND('ROSTER UPDATE'!B283=""),"",('ROSTER UPDATE'!B283))</f>
        <v/>
      </c>
      <c r="C283" s="65" t="str">
        <f>IF(AND('ROSTER UPDATE'!E283=""),"",('ROSTER UPDATE'!E283))</f>
        <v/>
      </c>
      <c r="E283" s="64" t="str">
        <f>IF(AND('ROSTER UPDATE'!F283=""),"",('ROSTER UPDATE'!F283))</f>
        <v/>
      </c>
      <c r="F283" s="65" t="str">
        <f>IF(AND('ROSTER UPDATE'!C283=""),"",('ROSTER UPDATE'!C283))</f>
        <v/>
      </c>
      <c r="G283" s="87" t="s">
        <v>41</v>
      </c>
      <c r="I283" s="78">
        <f>SUM('ROSTER UPDATE'!H283:'ROSTER UPDATE'!J283)</f>
        <v>0</v>
      </c>
      <c r="J283" s="79">
        <f>SUM('ROSTER UPDATE'!K283:'ROSTER UPDATE'!M283)</f>
        <v>0</v>
      </c>
      <c r="K283" s="79">
        <f>SUM('ROSTER UPDATE'!N283:'ROSTER UPDATE'!P283)</f>
        <v>0</v>
      </c>
      <c r="L283" s="79"/>
      <c r="M283" s="80"/>
      <c r="O283" s="78" t="str">
        <f>IF(AND('ROSTER UPDATE'!R283=""),"",('ROSTER UPDATE'!R283))</f>
        <v/>
      </c>
      <c r="P283" s="79" t="str">
        <f>IF(AND('ROSTER UPDATE'!S283=""),"",('ROSTER UPDATE'!S283))</f>
        <v/>
      </c>
      <c r="Q283" s="80" t="str">
        <f>IF(AND('ROSTER UPDATE'!T283=""),"",('ROSTER UPDATE'!T283))</f>
        <v/>
      </c>
      <c r="S283" s="78">
        <f>SUM('ROSTER UPDATE'!R283:'ROSTER UPDATE'!T283)</f>
        <v>0</v>
      </c>
      <c r="T283" s="79">
        <f>SUM('ROSTER UPDATE'!U283:'ROSTER UPDATE'!W283)</f>
        <v>0</v>
      </c>
      <c r="U283" s="79">
        <f>SUM('ROSTER UPDATE'!X283:'ROSTER UPDATE'!Z283)</f>
        <v>0</v>
      </c>
      <c r="V283" s="79"/>
      <c r="W283" s="80"/>
    </row>
    <row r="284" spans="2:23" ht="15.75" thickBot="1" x14ac:dyDescent="0.3">
      <c r="B284" s="64" t="str">
        <f>IF(AND('ROSTER UPDATE'!B284=""),"",('ROSTER UPDATE'!B284))</f>
        <v/>
      </c>
      <c r="C284" s="65" t="str">
        <f>IF(AND('ROSTER UPDATE'!E284=""),"",('ROSTER UPDATE'!E284))</f>
        <v/>
      </c>
      <c r="E284" s="64" t="str">
        <f>IF(AND('ROSTER UPDATE'!F284=""),"",('ROSTER UPDATE'!F284))</f>
        <v/>
      </c>
      <c r="F284" s="65" t="str">
        <f>IF(AND('ROSTER UPDATE'!C284=""),"",('ROSTER UPDATE'!C284))</f>
        <v/>
      </c>
      <c r="G284" s="87" t="s">
        <v>41</v>
      </c>
      <c r="I284" s="78">
        <f>SUM('ROSTER UPDATE'!H284:'ROSTER UPDATE'!J284)</f>
        <v>0</v>
      </c>
      <c r="J284" s="79">
        <f>SUM('ROSTER UPDATE'!K284:'ROSTER UPDATE'!M284)</f>
        <v>0</v>
      </c>
      <c r="K284" s="79">
        <f>SUM('ROSTER UPDATE'!N284:'ROSTER UPDATE'!P284)</f>
        <v>0</v>
      </c>
      <c r="L284" s="79"/>
      <c r="M284" s="80"/>
      <c r="O284" s="78" t="str">
        <f>IF(AND('ROSTER UPDATE'!R284=""),"",('ROSTER UPDATE'!R284))</f>
        <v/>
      </c>
      <c r="P284" s="79" t="str">
        <f>IF(AND('ROSTER UPDATE'!S284=""),"",('ROSTER UPDATE'!S284))</f>
        <v/>
      </c>
      <c r="Q284" s="80" t="str">
        <f>IF(AND('ROSTER UPDATE'!T284=""),"",('ROSTER UPDATE'!T284))</f>
        <v/>
      </c>
      <c r="S284" s="78">
        <f>SUM('ROSTER UPDATE'!R284:'ROSTER UPDATE'!T284)</f>
        <v>0</v>
      </c>
      <c r="T284" s="79">
        <f>SUM('ROSTER UPDATE'!U284:'ROSTER UPDATE'!W284)</f>
        <v>0</v>
      </c>
      <c r="U284" s="79">
        <f>SUM('ROSTER UPDATE'!X284:'ROSTER UPDATE'!Z284)</f>
        <v>0</v>
      </c>
      <c r="V284" s="79"/>
      <c r="W284" s="80"/>
    </row>
    <row r="285" spans="2:23" ht="15.75" thickBot="1" x14ac:dyDescent="0.3">
      <c r="B285" s="64" t="str">
        <f>IF(AND('ROSTER UPDATE'!B285=""),"",('ROSTER UPDATE'!B285))</f>
        <v/>
      </c>
      <c r="C285" s="65" t="str">
        <f>IF(AND('ROSTER UPDATE'!E285=""),"",('ROSTER UPDATE'!E285))</f>
        <v/>
      </c>
      <c r="E285" s="64" t="str">
        <f>IF(AND('ROSTER UPDATE'!F285=""),"",('ROSTER UPDATE'!F285))</f>
        <v/>
      </c>
      <c r="F285" s="65" t="str">
        <f>IF(AND('ROSTER UPDATE'!C285=""),"",('ROSTER UPDATE'!C285))</f>
        <v/>
      </c>
      <c r="G285" s="87" t="s">
        <v>41</v>
      </c>
      <c r="I285" s="78">
        <f>SUM('ROSTER UPDATE'!H285:'ROSTER UPDATE'!J285)</f>
        <v>0</v>
      </c>
      <c r="J285" s="79">
        <f>SUM('ROSTER UPDATE'!K285:'ROSTER UPDATE'!M285)</f>
        <v>0</v>
      </c>
      <c r="K285" s="79">
        <f>SUM('ROSTER UPDATE'!N285:'ROSTER UPDATE'!P285)</f>
        <v>0</v>
      </c>
      <c r="L285" s="79"/>
      <c r="M285" s="80"/>
      <c r="O285" s="78" t="str">
        <f>IF(AND('ROSTER UPDATE'!R285=""),"",('ROSTER UPDATE'!R285))</f>
        <v/>
      </c>
      <c r="P285" s="79" t="str">
        <f>IF(AND('ROSTER UPDATE'!S285=""),"",('ROSTER UPDATE'!S285))</f>
        <v/>
      </c>
      <c r="Q285" s="80" t="str">
        <f>IF(AND('ROSTER UPDATE'!T285=""),"",('ROSTER UPDATE'!T285))</f>
        <v/>
      </c>
      <c r="S285" s="78">
        <f>SUM('ROSTER UPDATE'!R285:'ROSTER UPDATE'!T285)</f>
        <v>0</v>
      </c>
      <c r="T285" s="79">
        <f>SUM('ROSTER UPDATE'!U285:'ROSTER UPDATE'!W285)</f>
        <v>0</v>
      </c>
      <c r="U285" s="79">
        <f>SUM('ROSTER UPDATE'!X285:'ROSTER UPDATE'!Z285)</f>
        <v>0</v>
      </c>
      <c r="V285" s="79"/>
      <c r="W285" s="80"/>
    </row>
    <row r="286" spans="2:23" ht="15.75" thickBot="1" x14ac:dyDescent="0.3">
      <c r="B286" s="64" t="str">
        <f>IF(AND('ROSTER UPDATE'!B286=""),"",('ROSTER UPDATE'!B286))</f>
        <v/>
      </c>
      <c r="C286" s="65" t="str">
        <f>IF(AND('ROSTER UPDATE'!E286=""),"",('ROSTER UPDATE'!E286))</f>
        <v/>
      </c>
      <c r="E286" s="64" t="str">
        <f>IF(AND('ROSTER UPDATE'!F286=""),"",('ROSTER UPDATE'!F286))</f>
        <v/>
      </c>
      <c r="F286" s="65" t="str">
        <f>IF(AND('ROSTER UPDATE'!C286=""),"",('ROSTER UPDATE'!C286))</f>
        <v/>
      </c>
      <c r="G286" s="87" t="s">
        <v>41</v>
      </c>
      <c r="I286" s="78">
        <f>SUM('ROSTER UPDATE'!H286:'ROSTER UPDATE'!J286)</f>
        <v>0</v>
      </c>
      <c r="J286" s="79">
        <f>SUM('ROSTER UPDATE'!K286:'ROSTER UPDATE'!M286)</f>
        <v>0</v>
      </c>
      <c r="K286" s="79">
        <f>SUM('ROSTER UPDATE'!N286:'ROSTER UPDATE'!P286)</f>
        <v>0</v>
      </c>
      <c r="L286" s="79"/>
      <c r="M286" s="80"/>
      <c r="O286" s="78" t="str">
        <f>IF(AND('ROSTER UPDATE'!R286=""),"",('ROSTER UPDATE'!R286))</f>
        <v/>
      </c>
      <c r="P286" s="79" t="str">
        <f>IF(AND('ROSTER UPDATE'!S286=""),"",('ROSTER UPDATE'!S286))</f>
        <v/>
      </c>
      <c r="Q286" s="80" t="str">
        <f>IF(AND('ROSTER UPDATE'!T286=""),"",('ROSTER UPDATE'!T286))</f>
        <v/>
      </c>
      <c r="S286" s="78">
        <f>SUM('ROSTER UPDATE'!R286:'ROSTER UPDATE'!T286)</f>
        <v>0</v>
      </c>
      <c r="T286" s="79">
        <f>SUM('ROSTER UPDATE'!U286:'ROSTER UPDATE'!W286)</f>
        <v>0</v>
      </c>
      <c r="U286" s="79">
        <f>SUM('ROSTER UPDATE'!X286:'ROSTER UPDATE'!Z286)</f>
        <v>0</v>
      </c>
      <c r="V286" s="79"/>
      <c r="W286" s="80"/>
    </row>
    <row r="287" spans="2:23" ht="15.75" thickBot="1" x14ac:dyDescent="0.3">
      <c r="B287" s="64" t="str">
        <f>IF(AND('ROSTER UPDATE'!B287=""),"",('ROSTER UPDATE'!B287))</f>
        <v/>
      </c>
      <c r="C287" s="65" t="str">
        <f>IF(AND('ROSTER UPDATE'!E287=""),"",('ROSTER UPDATE'!E287))</f>
        <v/>
      </c>
      <c r="E287" s="64" t="str">
        <f>IF(AND('ROSTER UPDATE'!F287=""),"",('ROSTER UPDATE'!F287))</f>
        <v/>
      </c>
      <c r="F287" s="65" t="str">
        <f>IF(AND('ROSTER UPDATE'!C287=""),"",('ROSTER UPDATE'!C287))</f>
        <v/>
      </c>
      <c r="G287" s="87" t="s">
        <v>41</v>
      </c>
      <c r="I287" s="78">
        <f>SUM('ROSTER UPDATE'!H287:'ROSTER UPDATE'!J287)</f>
        <v>0</v>
      </c>
      <c r="J287" s="79">
        <f>SUM('ROSTER UPDATE'!K287:'ROSTER UPDATE'!M287)</f>
        <v>0</v>
      </c>
      <c r="K287" s="79">
        <f>SUM('ROSTER UPDATE'!N287:'ROSTER UPDATE'!P287)</f>
        <v>0</v>
      </c>
      <c r="L287" s="79"/>
      <c r="M287" s="80"/>
      <c r="O287" s="78" t="str">
        <f>IF(AND('ROSTER UPDATE'!R287=""),"",('ROSTER UPDATE'!R287))</f>
        <v/>
      </c>
      <c r="P287" s="79" t="str">
        <f>IF(AND('ROSTER UPDATE'!S287=""),"",('ROSTER UPDATE'!S287))</f>
        <v/>
      </c>
      <c r="Q287" s="80" t="str">
        <f>IF(AND('ROSTER UPDATE'!T287=""),"",('ROSTER UPDATE'!T287))</f>
        <v/>
      </c>
      <c r="S287" s="78">
        <f>SUM('ROSTER UPDATE'!R287:'ROSTER UPDATE'!T287)</f>
        <v>0</v>
      </c>
      <c r="T287" s="79">
        <f>SUM('ROSTER UPDATE'!U287:'ROSTER UPDATE'!W287)</f>
        <v>0</v>
      </c>
      <c r="U287" s="79">
        <f>SUM('ROSTER UPDATE'!X287:'ROSTER UPDATE'!Z287)</f>
        <v>0</v>
      </c>
      <c r="V287" s="79"/>
      <c r="W287" s="80"/>
    </row>
    <row r="288" spans="2:23" ht="15.75" thickBot="1" x14ac:dyDescent="0.3">
      <c r="B288" s="64" t="str">
        <f>IF(AND('ROSTER UPDATE'!B288=""),"",('ROSTER UPDATE'!B288))</f>
        <v/>
      </c>
      <c r="C288" s="65" t="str">
        <f>IF(AND('ROSTER UPDATE'!E288=""),"",('ROSTER UPDATE'!E288))</f>
        <v/>
      </c>
      <c r="E288" s="64" t="str">
        <f>IF(AND('ROSTER UPDATE'!F288=""),"",('ROSTER UPDATE'!F288))</f>
        <v/>
      </c>
      <c r="F288" s="65" t="str">
        <f>IF(AND('ROSTER UPDATE'!C288=""),"",('ROSTER UPDATE'!C288))</f>
        <v/>
      </c>
      <c r="G288" s="87" t="s">
        <v>41</v>
      </c>
      <c r="I288" s="78">
        <f>SUM('ROSTER UPDATE'!H288:'ROSTER UPDATE'!J288)</f>
        <v>0</v>
      </c>
      <c r="J288" s="79">
        <f>SUM('ROSTER UPDATE'!K288:'ROSTER UPDATE'!M288)</f>
        <v>0</v>
      </c>
      <c r="K288" s="79">
        <f>SUM('ROSTER UPDATE'!N288:'ROSTER UPDATE'!P288)</f>
        <v>0</v>
      </c>
      <c r="L288" s="79"/>
      <c r="M288" s="80"/>
      <c r="O288" s="78" t="str">
        <f>IF(AND('ROSTER UPDATE'!R288=""),"",('ROSTER UPDATE'!R288))</f>
        <v/>
      </c>
      <c r="P288" s="79" t="str">
        <f>IF(AND('ROSTER UPDATE'!S288=""),"",('ROSTER UPDATE'!S288))</f>
        <v/>
      </c>
      <c r="Q288" s="80" t="str">
        <f>IF(AND('ROSTER UPDATE'!T288=""),"",('ROSTER UPDATE'!T288))</f>
        <v/>
      </c>
      <c r="S288" s="78">
        <f>SUM('ROSTER UPDATE'!R288:'ROSTER UPDATE'!T288)</f>
        <v>0</v>
      </c>
      <c r="T288" s="79">
        <f>SUM('ROSTER UPDATE'!U288:'ROSTER UPDATE'!W288)</f>
        <v>0</v>
      </c>
      <c r="U288" s="79">
        <f>SUM('ROSTER UPDATE'!X288:'ROSTER UPDATE'!Z288)</f>
        <v>0</v>
      </c>
      <c r="V288" s="79"/>
      <c r="W288" s="80"/>
    </row>
    <row r="289" spans="2:23" ht="15.75" thickBot="1" x14ac:dyDescent="0.3">
      <c r="B289" s="64" t="str">
        <f>IF(AND('ROSTER UPDATE'!B289=""),"",('ROSTER UPDATE'!B289))</f>
        <v/>
      </c>
      <c r="C289" s="65" t="str">
        <f>IF(AND('ROSTER UPDATE'!E289=""),"",('ROSTER UPDATE'!E289))</f>
        <v/>
      </c>
      <c r="E289" s="64" t="str">
        <f>IF(AND('ROSTER UPDATE'!F289=""),"",('ROSTER UPDATE'!F289))</f>
        <v/>
      </c>
      <c r="F289" s="65" t="str">
        <f>IF(AND('ROSTER UPDATE'!C289=""),"",('ROSTER UPDATE'!C289))</f>
        <v/>
      </c>
      <c r="G289" s="87" t="s">
        <v>41</v>
      </c>
      <c r="I289" s="78">
        <f>SUM('ROSTER UPDATE'!H289:'ROSTER UPDATE'!J289)</f>
        <v>0</v>
      </c>
      <c r="J289" s="79">
        <f>SUM('ROSTER UPDATE'!K289:'ROSTER UPDATE'!M289)</f>
        <v>0</v>
      </c>
      <c r="K289" s="79">
        <f>SUM('ROSTER UPDATE'!N289:'ROSTER UPDATE'!P289)</f>
        <v>0</v>
      </c>
      <c r="L289" s="79"/>
      <c r="M289" s="80"/>
      <c r="O289" s="78" t="str">
        <f>IF(AND('ROSTER UPDATE'!R289=""),"",('ROSTER UPDATE'!R289))</f>
        <v/>
      </c>
      <c r="P289" s="79" t="str">
        <f>IF(AND('ROSTER UPDATE'!S289=""),"",('ROSTER UPDATE'!S289))</f>
        <v/>
      </c>
      <c r="Q289" s="80" t="str">
        <f>IF(AND('ROSTER UPDATE'!T289=""),"",('ROSTER UPDATE'!T289))</f>
        <v/>
      </c>
      <c r="S289" s="78">
        <f>SUM('ROSTER UPDATE'!R289:'ROSTER UPDATE'!T289)</f>
        <v>0</v>
      </c>
      <c r="T289" s="79">
        <f>SUM('ROSTER UPDATE'!U289:'ROSTER UPDATE'!W289)</f>
        <v>0</v>
      </c>
      <c r="U289" s="79">
        <f>SUM('ROSTER UPDATE'!X289:'ROSTER UPDATE'!Z289)</f>
        <v>0</v>
      </c>
      <c r="V289" s="79"/>
      <c r="W289" s="80"/>
    </row>
    <row r="290" spans="2:23" ht="15.75" thickBot="1" x14ac:dyDescent="0.3">
      <c r="B290" s="64" t="str">
        <f>IF(AND('ROSTER UPDATE'!B290=""),"",('ROSTER UPDATE'!B290))</f>
        <v/>
      </c>
      <c r="C290" s="65" t="str">
        <f>IF(AND('ROSTER UPDATE'!E290=""),"",('ROSTER UPDATE'!E290))</f>
        <v/>
      </c>
      <c r="E290" s="64" t="str">
        <f>IF(AND('ROSTER UPDATE'!F290=""),"",('ROSTER UPDATE'!F290))</f>
        <v/>
      </c>
      <c r="F290" s="65" t="str">
        <f>IF(AND('ROSTER UPDATE'!C290=""),"",('ROSTER UPDATE'!C290))</f>
        <v/>
      </c>
      <c r="G290" s="87" t="s">
        <v>41</v>
      </c>
      <c r="I290" s="78">
        <f>SUM('ROSTER UPDATE'!H290:'ROSTER UPDATE'!J290)</f>
        <v>0</v>
      </c>
      <c r="J290" s="79">
        <f>SUM('ROSTER UPDATE'!K290:'ROSTER UPDATE'!M290)</f>
        <v>0</v>
      </c>
      <c r="K290" s="79">
        <f>SUM('ROSTER UPDATE'!N290:'ROSTER UPDATE'!P290)</f>
        <v>0</v>
      </c>
      <c r="L290" s="79"/>
      <c r="M290" s="80"/>
      <c r="O290" s="78" t="str">
        <f>IF(AND('ROSTER UPDATE'!R290=""),"",('ROSTER UPDATE'!R290))</f>
        <v/>
      </c>
      <c r="P290" s="79" t="str">
        <f>IF(AND('ROSTER UPDATE'!S290=""),"",('ROSTER UPDATE'!S290))</f>
        <v/>
      </c>
      <c r="Q290" s="80" t="str">
        <f>IF(AND('ROSTER UPDATE'!T290=""),"",('ROSTER UPDATE'!T290))</f>
        <v/>
      </c>
      <c r="S290" s="78">
        <f>SUM('ROSTER UPDATE'!R290:'ROSTER UPDATE'!T290)</f>
        <v>0</v>
      </c>
      <c r="T290" s="79">
        <f>SUM('ROSTER UPDATE'!U290:'ROSTER UPDATE'!W290)</f>
        <v>0</v>
      </c>
      <c r="U290" s="79">
        <f>SUM('ROSTER UPDATE'!X290:'ROSTER UPDATE'!Z290)</f>
        <v>0</v>
      </c>
      <c r="V290" s="79"/>
      <c r="W290" s="80"/>
    </row>
    <row r="291" spans="2:23" ht="15.75" thickBot="1" x14ac:dyDescent="0.3">
      <c r="B291" s="64" t="str">
        <f>IF(AND('ROSTER UPDATE'!B291=""),"",('ROSTER UPDATE'!B291))</f>
        <v/>
      </c>
      <c r="C291" s="65" t="str">
        <f>IF(AND('ROSTER UPDATE'!E291=""),"",('ROSTER UPDATE'!E291))</f>
        <v/>
      </c>
      <c r="E291" s="64" t="str">
        <f>IF(AND('ROSTER UPDATE'!F291=""),"",('ROSTER UPDATE'!F291))</f>
        <v/>
      </c>
      <c r="F291" s="65" t="str">
        <f>IF(AND('ROSTER UPDATE'!C291=""),"",('ROSTER UPDATE'!C291))</f>
        <v/>
      </c>
      <c r="G291" s="87" t="s">
        <v>41</v>
      </c>
      <c r="I291" s="78">
        <f>SUM('ROSTER UPDATE'!H291:'ROSTER UPDATE'!J291)</f>
        <v>0</v>
      </c>
      <c r="J291" s="79">
        <f>SUM('ROSTER UPDATE'!K291:'ROSTER UPDATE'!M291)</f>
        <v>0</v>
      </c>
      <c r="K291" s="79">
        <f>SUM('ROSTER UPDATE'!N291:'ROSTER UPDATE'!P291)</f>
        <v>0</v>
      </c>
      <c r="L291" s="79"/>
      <c r="M291" s="80"/>
      <c r="O291" s="78" t="str">
        <f>IF(AND('ROSTER UPDATE'!R291=""),"",('ROSTER UPDATE'!R291))</f>
        <v/>
      </c>
      <c r="P291" s="79" t="str">
        <f>IF(AND('ROSTER UPDATE'!S291=""),"",('ROSTER UPDATE'!S291))</f>
        <v/>
      </c>
      <c r="Q291" s="80" t="str">
        <f>IF(AND('ROSTER UPDATE'!T291=""),"",('ROSTER UPDATE'!T291))</f>
        <v/>
      </c>
      <c r="S291" s="78">
        <f>SUM('ROSTER UPDATE'!R291:'ROSTER UPDATE'!T291)</f>
        <v>0</v>
      </c>
      <c r="T291" s="79">
        <f>SUM('ROSTER UPDATE'!U291:'ROSTER UPDATE'!W291)</f>
        <v>0</v>
      </c>
      <c r="U291" s="79">
        <f>SUM('ROSTER UPDATE'!X291:'ROSTER UPDATE'!Z291)</f>
        <v>0</v>
      </c>
      <c r="V291" s="79"/>
      <c r="W291" s="80"/>
    </row>
    <row r="292" spans="2:23" ht="15.75" thickBot="1" x14ac:dyDescent="0.3">
      <c r="B292" s="64" t="str">
        <f>IF(AND('ROSTER UPDATE'!B292=""),"",('ROSTER UPDATE'!B292))</f>
        <v/>
      </c>
      <c r="C292" s="65" t="str">
        <f>IF(AND('ROSTER UPDATE'!E292=""),"",('ROSTER UPDATE'!E292))</f>
        <v/>
      </c>
      <c r="E292" s="64" t="str">
        <f>IF(AND('ROSTER UPDATE'!F292=""),"",('ROSTER UPDATE'!F292))</f>
        <v/>
      </c>
      <c r="F292" s="65" t="str">
        <f>IF(AND('ROSTER UPDATE'!C292=""),"",('ROSTER UPDATE'!C292))</f>
        <v/>
      </c>
      <c r="G292" s="87" t="s">
        <v>41</v>
      </c>
      <c r="I292" s="78">
        <f>SUM('ROSTER UPDATE'!H292:'ROSTER UPDATE'!J292)</f>
        <v>0</v>
      </c>
      <c r="J292" s="79">
        <f>SUM('ROSTER UPDATE'!K292:'ROSTER UPDATE'!M292)</f>
        <v>0</v>
      </c>
      <c r="K292" s="79">
        <f>SUM('ROSTER UPDATE'!N292:'ROSTER UPDATE'!P292)</f>
        <v>0</v>
      </c>
      <c r="L292" s="79"/>
      <c r="M292" s="80"/>
      <c r="O292" s="78" t="str">
        <f>IF(AND('ROSTER UPDATE'!R292=""),"",('ROSTER UPDATE'!R292))</f>
        <v/>
      </c>
      <c r="P292" s="79" t="str">
        <f>IF(AND('ROSTER UPDATE'!S292=""),"",('ROSTER UPDATE'!S292))</f>
        <v/>
      </c>
      <c r="Q292" s="80" t="str">
        <f>IF(AND('ROSTER UPDATE'!T292=""),"",('ROSTER UPDATE'!T292))</f>
        <v/>
      </c>
      <c r="S292" s="78">
        <f>SUM('ROSTER UPDATE'!R292:'ROSTER UPDATE'!T292)</f>
        <v>0</v>
      </c>
      <c r="T292" s="79">
        <f>SUM('ROSTER UPDATE'!U292:'ROSTER UPDATE'!W292)</f>
        <v>0</v>
      </c>
      <c r="U292" s="79">
        <f>SUM('ROSTER UPDATE'!X292:'ROSTER UPDATE'!Z292)</f>
        <v>0</v>
      </c>
      <c r="V292" s="79"/>
      <c r="W292" s="80"/>
    </row>
    <row r="293" spans="2:23" ht="15.75" thickBot="1" x14ac:dyDescent="0.3">
      <c r="B293" s="64" t="str">
        <f>IF(AND('ROSTER UPDATE'!B293=""),"",('ROSTER UPDATE'!B293))</f>
        <v/>
      </c>
      <c r="C293" s="65" t="str">
        <f>IF(AND('ROSTER UPDATE'!E293=""),"",('ROSTER UPDATE'!E293))</f>
        <v/>
      </c>
      <c r="E293" s="64" t="str">
        <f>IF(AND('ROSTER UPDATE'!F293=""),"",('ROSTER UPDATE'!F293))</f>
        <v/>
      </c>
      <c r="F293" s="65" t="str">
        <f>IF(AND('ROSTER UPDATE'!C293=""),"",('ROSTER UPDATE'!C293))</f>
        <v/>
      </c>
      <c r="G293" s="87" t="s">
        <v>41</v>
      </c>
      <c r="I293" s="78">
        <f>SUM('ROSTER UPDATE'!H293:'ROSTER UPDATE'!J293)</f>
        <v>0</v>
      </c>
      <c r="J293" s="79">
        <f>SUM('ROSTER UPDATE'!K293:'ROSTER UPDATE'!M293)</f>
        <v>0</v>
      </c>
      <c r="K293" s="79">
        <f>SUM('ROSTER UPDATE'!N293:'ROSTER UPDATE'!P293)</f>
        <v>0</v>
      </c>
      <c r="L293" s="79"/>
      <c r="M293" s="80"/>
      <c r="O293" s="78" t="str">
        <f>IF(AND('ROSTER UPDATE'!R293=""),"",('ROSTER UPDATE'!R293))</f>
        <v/>
      </c>
      <c r="P293" s="79" t="str">
        <f>IF(AND('ROSTER UPDATE'!S293=""),"",('ROSTER UPDATE'!S293))</f>
        <v/>
      </c>
      <c r="Q293" s="80" t="str">
        <f>IF(AND('ROSTER UPDATE'!T293=""),"",('ROSTER UPDATE'!T293))</f>
        <v/>
      </c>
      <c r="S293" s="78">
        <f>SUM('ROSTER UPDATE'!R293:'ROSTER UPDATE'!T293)</f>
        <v>0</v>
      </c>
      <c r="T293" s="79">
        <f>SUM('ROSTER UPDATE'!U293:'ROSTER UPDATE'!W293)</f>
        <v>0</v>
      </c>
      <c r="U293" s="79">
        <f>SUM('ROSTER UPDATE'!X293:'ROSTER UPDATE'!Z293)</f>
        <v>0</v>
      </c>
      <c r="V293" s="79"/>
      <c r="W293" s="80"/>
    </row>
    <row r="294" spans="2:23" ht="15.75" thickBot="1" x14ac:dyDescent="0.3">
      <c r="B294" s="64" t="str">
        <f>IF(AND('ROSTER UPDATE'!B294=""),"",('ROSTER UPDATE'!B294))</f>
        <v/>
      </c>
      <c r="C294" s="65" t="str">
        <f>IF(AND('ROSTER UPDATE'!E294=""),"",('ROSTER UPDATE'!E294))</f>
        <v/>
      </c>
      <c r="E294" s="64" t="str">
        <f>IF(AND('ROSTER UPDATE'!F294=""),"",('ROSTER UPDATE'!F294))</f>
        <v/>
      </c>
      <c r="F294" s="65" t="str">
        <f>IF(AND('ROSTER UPDATE'!C294=""),"",('ROSTER UPDATE'!C294))</f>
        <v/>
      </c>
      <c r="G294" s="87" t="s">
        <v>41</v>
      </c>
      <c r="I294" s="78">
        <f>SUM('ROSTER UPDATE'!H294:'ROSTER UPDATE'!J294)</f>
        <v>0</v>
      </c>
      <c r="J294" s="79">
        <f>SUM('ROSTER UPDATE'!K294:'ROSTER UPDATE'!M294)</f>
        <v>0</v>
      </c>
      <c r="K294" s="79">
        <f>SUM('ROSTER UPDATE'!N294:'ROSTER UPDATE'!P294)</f>
        <v>0</v>
      </c>
      <c r="L294" s="79"/>
      <c r="M294" s="80"/>
      <c r="O294" s="78" t="str">
        <f>IF(AND('ROSTER UPDATE'!R294=""),"",('ROSTER UPDATE'!R294))</f>
        <v/>
      </c>
      <c r="P294" s="79" t="str">
        <f>IF(AND('ROSTER UPDATE'!S294=""),"",('ROSTER UPDATE'!S294))</f>
        <v/>
      </c>
      <c r="Q294" s="80" t="str">
        <f>IF(AND('ROSTER UPDATE'!T294=""),"",('ROSTER UPDATE'!T294))</f>
        <v/>
      </c>
      <c r="S294" s="78">
        <f>SUM('ROSTER UPDATE'!R294:'ROSTER UPDATE'!T294)</f>
        <v>0</v>
      </c>
      <c r="T294" s="79">
        <f>SUM('ROSTER UPDATE'!U294:'ROSTER UPDATE'!W294)</f>
        <v>0</v>
      </c>
      <c r="U294" s="79">
        <f>SUM('ROSTER UPDATE'!X294:'ROSTER UPDATE'!Z294)</f>
        <v>0</v>
      </c>
      <c r="V294" s="79"/>
      <c r="W294" s="80"/>
    </row>
    <row r="295" spans="2:23" ht="15.75" thickBot="1" x14ac:dyDescent="0.3">
      <c r="B295" s="64" t="str">
        <f>IF(AND('ROSTER UPDATE'!B295=""),"",('ROSTER UPDATE'!B295))</f>
        <v/>
      </c>
      <c r="C295" s="65" t="str">
        <f>IF(AND('ROSTER UPDATE'!E295=""),"",('ROSTER UPDATE'!E295))</f>
        <v/>
      </c>
      <c r="E295" s="64" t="str">
        <f>IF(AND('ROSTER UPDATE'!F295=""),"",('ROSTER UPDATE'!F295))</f>
        <v/>
      </c>
      <c r="F295" s="65" t="str">
        <f>IF(AND('ROSTER UPDATE'!C295=""),"",('ROSTER UPDATE'!C295))</f>
        <v/>
      </c>
      <c r="G295" s="87" t="s">
        <v>41</v>
      </c>
      <c r="I295" s="78">
        <f>SUM('ROSTER UPDATE'!H295:'ROSTER UPDATE'!J295)</f>
        <v>0</v>
      </c>
      <c r="J295" s="79">
        <f>SUM('ROSTER UPDATE'!K295:'ROSTER UPDATE'!M295)</f>
        <v>0</v>
      </c>
      <c r="K295" s="79">
        <f>SUM('ROSTER UPDATE'!N295:'ROSTER UPDATE'!P295)</f>
        <v>0</v>
      </c>
      <c r="L295" s="79"/>
      <c r="M295" s="80"/>
      <c r="O295" s="78" t="str">
        <f>IF(AND('ROSTER UPDATE'!R295=""),"",('ROSTER UPDATE'!R295))</f>
        <v/>
      </c>
      <c r="P295" s="79" t="str">
        <f>IF(AND('ROSTER UPDATE'!S295=""),"",('ROSTER UPDATE'!S295))</f>
        <v/>
      </c>
      <c r="Q295" s="80" t="str">
        <f>IF(AND('ROSTER UPDATE'!T295=""),"",('ROSTER UPDATE'!T295))</f>
        <v/>
      </c>
      <c r="S295" s="78">
        <f>SUM('ROSTER UPDATE'!R295:'ROSTER UPDATE'!T295)</f>
        <v>0</v>
      </c>
      <c r="T295" s="79">
        <f>SUM('ROSTER UPDATE'!U295:'ROSTER UPDATE'!W295)</f>
        <v>0</v>
      </c>
      <c r="U295" s="79">
        <f>SUM('ROSTER UPDATE'!X295:'ROSTER UPDATE'!Z295)</f>
        <v>0</v>
      </c>
      <c r="V295" s="79"/>
      <c r="W295" s="80"/>
    </row>
    <row r="296" spans="2:23" ht="15.75" thickBot="1" x14ac:dyDescent="0.3">
      <c r="B296" s="64" t="str">
        <f>IF(AND('ROSTER UPDATE'!B296=""),"",('ROSTER UPDATE'!B296))</f>
        <v/>
      </c>
      <c r="C296" s="65" t="str">
        <f>IF(AND('ROSTER UPDATE'!E296=""),"",('ROSTER UPDATE'!E296))</f>
        <v/>
      </c>
      <c r="E296" s="64" t="str">
        <f>IF(AND('ROSTER UPDATE'!F296=""),"",('ROSTER UPDATE'!F296))</f>
        <v/>
      </c>
      <c r="F296" s="65" t="str">
        <f>IF(AND('ROSTER UPDATE'!C296=""),"",('ROSTER UPDATE'!C296))</f>
        <v/>
      </c>
      <c r="G296" s="87" t="s">
        <v>41</v>
      </c>
      <c r="I296" s="78">
        <f>SUM('ROSTER UPDATE'!H296:'ROSTER UPDATE'!J296)</f>
        <v>0</v>
      </c>
      <c r="J296" s="79">
        <f>SUM('ROSTER UPDATE'!K296:'ROSTER UPDATE'!M296)</f>
        <v>0</v>
      </c>
      <c r="K296" s="79">
        <f>SUM('ROSTER UPDATE'!N296:'ROSTER UPDATE'!P296)</f>
        <v>0</v>
      </c>
      <c r="L296" s="79"/>
      <c r="M296" s="80"/>
      <c r="O296" s="78" t="str">
        <f>IF(AND('ROSTER UPDATE'!R296=""),"",('ROSTER UPDATE'!R296))</f>
        <v/>
      </c>
      <c r="P296" s="79" t="str">
        <f>IF(AND('ROSTER UPDATE'!S296=""),"",('ROSTER UPDATE'!S296))</f>
        <v/>
      </c>
      <c r="Q296" s="80" t="str">
        <f>IF(AND('ROSTER UPDATE'!T296=""),"",('ROSTER UPDATE'!T296))</f>
        <v/>
      </c>
      <c r="S296" s="78">
        <f>SUM('ROSTER UPDATE'!R296:'ROSTER UPDATE'!T296)</f>
        <v>0</v>
      </c>
      <c r="T296" s="79">
        <f>SUM('ROSTER UPDATE'!U296:'ROSTER UPDATE'!W296)</f>
        <v>0</v>
      </c>
      <c r="U296" s="79">
        <f>SUM('ROSTER UPDATE'!X296:'ROSTER UPDATE'!Z296)</f>
        <v>0</v>
      </c>
      <c r="V296" s="79"/>
      <c r="W296" s="80"/>
    </row>
    <row r="297" spans="2:23" ht="15.75" thickBot="1" x14ac:dyDescent="0.3">
      <c r="B297" s="64" t="str">
        <f>IF(AND('ROSTER UPDATE'!B297=""),"",('ROSTER UPDATE'!B297))</f>
        <v/>
      </c>
      <c r="C297" s="65" t="str">
        <f>IF(AND('ROSTER UPDATE'!E297=""),"",('ROSTER UPDATE'!E297))</f>
        <v/>
      </c>
      <c r="E297" s="64" t="str">
        <f>IF(AND('ROSTER UPDATE'!F297=""),"",('ROSTER UPDATE'!F297))</f>
        <v/>
      </c>
      <c r="F297" s="65" t="str">
        <f>IF(AND('ROSTER UPDATE'!C297=""),"",('ROSTER UPDATE'!C297))</f>
        <v/>
      </c>
      <c r="G297" s="87" t="s">
        <v>41</v>
      </c>
      <c r="I297" s="78">
        <f>SUM('ROSTER UPDATE'!H297:'ROSTER UPDATE'!J297)</f>
        <v>0</v>
      </c>
      <c r="J297" s="79">
        <f>SUM('ROSTER UPDATE'!K297:'ROSTER UPDATE'!M297)</f>
        <v>0</v>
      </c>
      <c r="K297" s="79">
        <f>SUM('ROSTER UPDATE'!N297:'ROSTER UPDATE'!P297)</f>
        <v>0</v>
      </c>
      <c r="L297" s="79"/>
      <c r="M297" s="80"/>
      <c r="O297" s="78" t="str">
        <f>IF(AND('ROSTER UPDATE'!R297=""),"",('ROSTER UPDATE'!R297))</f>
        <v/>
      </c>
      <c r="P297" s="79" t="str">
        <f>IF(AND('ROSTER UPDATE'!S297=""),"",('ROSTER UPDATE'!S297))</f>
        <v/>
      </c>
      <c r="Q297" s="80" t="str">
        <f>IF(AND('ROSTER UPDATE'!T297=""),"",('ROSTER UPDATE'!T297))</f>
        <v/>
      </c>
      <c r="S297" s="78">
        <f>SUM('ROSTER UPDATE'!R297:'ROSTER UPDATE'!T297)</f>
        <v>0</v>
      </c>
      <c r="T297" s="79">
        <f>SUM('ROSTER UPDATE'!U297:'ROSTER UPDATE'!W297)</f>
        <v>0</v>
      </c>
      <c r="U297" s="79">
        <f>SUM('ROSTER UPDATE'!X297:'ROSTER UPDATE'!Z297)</f>
        <v>0</v>
      </c>
      <c r="V297" s="79"/>
      <c r="W297" s="80"/>
    </row>
    <row r="298" spans="2:23" ht="15.75" thickBot="1" x14ac:dyDescent="0.3">
      <c r="B298" s="64" t="str">
        <f>IF(AND('ROSTER UPDATE'!B298=""),"",('ROSTER UPDATE'!B298))</f>
        <v/>
      </c>
      <c r="C298" s="65" t="str">
        <f>IF(AND('ROSTER UPDATE'!E298=""),"",('ROSTER UPDATE'!E298))</f>
        <v/>
      </c>
      <c r="E298" s="64" t="str">
        <f>IF(AND('ROSTER UPDATE'!F298=""),"",('ROSTER UPDATE'!F298))</f>
        <v/>
      </c>
      <c r="F298" s="65" t="str">
        <f>IF(AND('ROSTER UPDATE'!C298=""),"",('ROSTER UPDATE'!C298))</f>
        <v/>
      </c>
      <c r="G298" s="87" t="s">
        <v>41</v>
      </c>
      <c r="I298" s="78">
        <f>SUM('ROSTER UPDATE'!H298:'ROSTER UPDATE'!J298)</f>
        <v>0</v>
      </c>
      <c r="J298" s="79">
        <f>SUM('ROSTER UPDATE'!K298:'ROSTER UPDATE'!M298)</f>
        <v>0</v>
      </c>
      <c r="K298" s="79">
        <f>SUM('ROSTER UPDATE'!N298:'ROSTER UPDATE'!P298)</f>
        <v>0</v>
      </c>
      <c r="L298" s="79"/>
      <c r="M298" s="80"/>
      <c r="O298" s="78" t="str">
        <f>IF(AND('ROSTER UPDATE'!R298=""),"",('ROSTER UPDATE'!R298))</f>
        <v/>
      </c>
      <c r="P298" s="79" t="str">
        <f>IF(AND('ROSTER UPDATE'!S298=""),"",('ROSTER UPDATE'!S298))</f>
        <v/>
      </c>
      <c r="Q298" s="80" t="str">
        <f>IF(AND('ROSTER UPDATE'!T298=""),"",('ROSTER UPDATE'!T298))</f>
        <v/>
      </c>
      <c r="S298" s="78">
        <f>SUM('ROSTER UPDATE'!R298:'ROSTER UPDATE'!T298)</f>
        <v>0</v>
      </c>
      <c r="T298" s="79">
        <f>SUM('ROSTER UPDATE'!U298:'ROSTER UPDATE'!W298)</f>
        <v>0</v>
      </c>
      <c r="U298" s="79">
        <f>SUM('ROSTER UPDATE'!X298:'ROSTER UPDATE'!Z298)</f>
        <v>0</v>
      </c>
      <c r="V298" s="79"/>
      <c r="W298" s="80"/>
    </row>
    <row r="299" spans="2:23" ht="15.75" thickBot="1" x14ac:dyDescent="0.3">
      <c r="B299" s="64" t="str">
        <f>IF(AND('ROSTER UPDATE'!B299=""),"",('ROSTER UPDATE'!B299))</f>
        <v/>
      </c>
      <c r="C299" s="65" t="str">
        <f>IF(AND('ROSTER UPDATE'!E299=""),"",('ROSTER UPDATE'!E299))</f>
        <v/>
      </c>
      <c r="E299" s="64" t="str">
        <f>IF(AND('ROSTER UPDATE'!F299=""),"",('ROSTER UPDATE'!F299))</f>
        <v/>
      </c>
      <c r="F299" s="65" t="str">
        <f>IF(AND('ROSTER UPDATE'!C299=""),"",('ROSTER UPDATE'!C299))</f>
        <v/>
      </c>
      <c r="G299" s="87" t="s">
        <v>41</v>
      </c>
      <c r="I299" s="78">
        <f>SUM('ROSTER UPDATE'!H299:'ROSTER UPDATE'!J299)</f>
        <v>0</v>
      </c>
      <c r="J299" s="79">
        <f>SUM('ROSTER UPDATE'!K299:'ROSTER UPDATE'!M299)</f>
        <v>0</v>
      </c>
      <c r="K299" s="79">
        <f>SUM('ROSTER UPDATE'!N299:'ROSTER UPDATE'!P299)</f>
        <v>0</v>
      </c>
      <c r="L299" s="79"/>
      <c r="M299" s="80"/>
      <c r="O299" s="78" t="str">
        <f>IF(AND('ROSTER UPDATE'!R299=""),"",('ROSTER UPDATE'!R299))</f>
        <v/>
      </c>
      <c r="P299" s="79" t="str">
        <f>IF(AND('ROSTER UPDATE'!S299=""),"",('ROSTER UPDATE'!S299))</f>
        <v/>
      </c>
      <c r="Q299" s="80" t="str">
        <f>IF(AND('ROSTER UPDATE'!T299=""),"",('ROSTER UPDATE'!T299))</f>
        <v/>
      </c>
      <c r="S299" s="78">
        <f>SUM('ROSTER UPDATE'!R299:'ROSTER UPDATE'!T299)</f>
        <v>0</v>
      </c>
      <c r="T299" s="79">
        <f>SUM('ROSTER UPDATE'!U299:'ROSTER UPDATE'!W299)</f>
        <v>0</v>
      </c>
      <c r="U299" s="79">
        <f>SUM('ROSTER UPDATE'!X299:'ROSTER UPDATE'!Z299)</f>
        <v>0</v>
      </c>
      <c r="V299" s="79"/>
      <c r="W299" s="80"/>
    </row>
    <row r="300" spans="2:23" x14ac:dyDescent="0.25">
      <c r="B300" s="64" t="str">
        <f>IF(AND('ROSTER UPDATE'!B300=""),"",('ROSTER UPDATE'!B300))</f>
        <v/>
      </c>
      <c r="C300" s="65" t="str">
        <f>IF(AND('ROSTER UPDATE'!E300=""),"",('ROSTER UPDATE'!E300))</f>
        <v/>
      </c>
      <c r="E300" s="64" t="str">
        <f>IF(AND('ROSTER UPDATE'!F300=""),"",('ROSTER UPDATE'!F300))</f>
        <v/>
      </c>
      <c r="F300" s="65" t="str">
        <f>IF(AND('ROSTER UPDATE'!C300=""),"",('ROSTER UPDATE'!C300))</f>
        <v/>
      </c>
      <c r="G300" s="87" t="s">
        <v>41</v>
      </c>
      <c r="I300" s="78">
        <f>SUM('ROSTER UPDATE'!H300:'ROSTER UPDATE'!J300)</f>
        <v>0</v>
      </c>
      <c r="J300" s="79">
        <f>SUM('ROSTER UPDATE'!K300:'ROSTER UPDATE'!M300)</f>
        <v>0</v>
      </c>
      <c r="K300" s="79">
        <f>SUM('ROSTER UPDATE'!N300:'ROSTER UPDATE'!P300)</f>
        <v>0</v>
      </c>
      <c r="L300" s="79"/>
      <c r="M300" s="80"/>
      <c r="O300" s="78" t="str">
        <f>IF(AND('ROSTER UPDATE'!R300=""),"",('ROSTER UPDATE'!R300))</f>
        <v/>
      </c>
      <c r="P300" s="79" t="str">
        <f>IF(AND('ROSTER UPDATE'!S300=""),"",('ROSTER UPDATE'!S300))</f>
        <v/>
      </c>
      <c r="Q300" s="80" t="str">
        <f>IF(AND('ROSTER UPDATE'!T300=""),"",('ROSTER UPDATE'!T300))</f>
        <v/>
      </c>
      <c r="S300" s="78">
        <f>SUM('ROSTER UPDATE'!R300:'ROSTER UPDATE'!T300)</f>
        <v>0</v>
      </c>
      <c r="T300" s="79">
        <f>SUM('ROSTER UPDATE'!U300:'ROSTER UPDATE'!W300)</f>
        <v>0</v>
      </c>
      <c r="U300" s="79">
        <f>SUM('ROSTER UPDATE'!X300:'ROSTER UPDATE'!Z300)</f>
        <v>0</v>
      </c>
      <c r="V300" s="79"/>
      <c r="W300" s="80"/>
    </row>
  </sheetData>
  <mergeCells count="4">
    <mergeCell ref="B3:C3"/>
    <mergeCell ref="E3:F3"/>
    <mergeCell ref="I3:M3"/>
    <mergeCell ref="S3:W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X598"/>
  <sheetViews>
    <sheetView zoomScale="78" workbookViewId="0">
      <selection activeCell="K23" sqref="K23"/>
    </sheetView>
  </sheetViews>
  <sheetFormatPr defaultRowHeight="15" x14ac:dyDescent="0.25"/>
  <cols>
    <col min="2" max="2" width="9.140625" style="1"/>
    <col min="3" max="3" width="19.85546875" customWidth="1"/>
    <col min="4" max="4" width="17.85546875" customWidth="1"/>
    <col min="5" max="5" width="5.42578125" customWidth="1"/>
    <col min="6" max="6" width="22.42578125" customWidth="1"/>
    <col min="7" max="7" width="18.5703125" customWidth="1"/>
    <col min="10" max="10" width="13" customWidth="1"/>
    <col min="11" max="11" width="11.85546875" customWidth="1"/>
    <col min="12" max="12" width="11.7109375" customWidth="1"/>
    <col min="13" max="13" width="11.42578125" customWidth="1"/>
    <col min="14" max="14" width="13" customWidth="1"/>
    <col min="18" max="18" width="4.42578125" style="89" customWidth="1"/>
    <col min="19" max="20" width="9.140625" style="1"/>
    <col min="21" max="21" width="5.7109375" customWidth="1"/>
    <col min="22" max="22" width="12.85546875" customWidth="1"/>
  </cols>
  <sheetData>
    <row r="1" spans="1:24" x14ac:dyDescent="0.25">
      <c r="A1" s="12"/>
      <c r="B1" s="3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4"/>
      <c r="S1" s="33"/>
      <c r="T1" s="33"/>
      <c r="U1" s="12"/>
      <c r="V1" s="12"/>
      <c r="W1" s="12"/>
      <c r="X1" s="12"/>
    </row>
    <row r="2" spans="1:24" ht="15.75" thickBot="1" x14ac:dyDescent="0.3">
      <c r="A2" s="12"/>
      <c r="B2" s="3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4"/>
      <c r="S2" s="33"/>
      <c r="T2" s="33"/>
      <c r="U2" s="12"/>
      <c r="V2" s="12"/>
      <c r="W2" s="12"/>
      <c r="X2" s="12"/>
    </row>
    <row r="3" spans="1:24" ht="16.5" thickTop="1" thickBot="1" x14ac:dyDescent="0.3">
      <c r="B3" s="154" t="s">
        <v>47</v>
      </c>
      <c r="C3" s="152" t="s">
        <v>9</v>
      </c>
      <c r="D3" s="153"/>
      <c r="E3" s="16"/>
      <c r="F3" s="152" t="s">
        <v>10</v>
      </c>
      <c r="G3" s="153"/>
      <c r="H3" s="16"/>
      <c r="I3" s="16"/>
      <c r="J3" s="12"/>
      <c r="K3" s="12"/>
      <c r="L3" s="12"/>
      <c r="M3" s="12"/>
      <c r="N3" s="12"/>
      <c r="O3" s="12"/>
      <c r="P3" s="184" t="s">
        <v>51</v>
      </c>
      <c r="Q3" s="184"/>
      <c r="R3" s="14"/>
      <c r="S3" s="181" t="s">
        <v>50</v>
      </c>
      <c r="T3" s="181"/>
      <c r="U3" s="12"/>
      <c r="V3" s="182" t="s">
        <v>52</v>
      </c>
      <c r="W3" s="12"/>
    </row>
    <row r="4" spans="1:24" ht="16.5" thickTop="1" thickBot="1" x14ac:dyDescent="0.3">
      <c r="A4" s="32" t="s">
        <v>19</v>
      </c>
      <c r="B4" s="155"/>
      <c r="C4" s="6" t="s">
        <v>1</v>
      </c>
      <c r="D4" s="9" t="s">
        <v>2</v>
      </c>
      <c r="E4" s="18"/>
      <c r="F4" s="6" t="s">
        <v>3</v>
      </c>
      <c r="G4" s="9" t="s">
        <v>11</v>
      </c>
      <c r="H4" s="18"/>
      <c r="I4" s="18"/>
      <c r="J4" s="10" t="s">
        <v>7</v>
      </c>
      <c r="K4" s="77" t="s">
        <v>5</v>
      </c>
      <c r="L4" s="77" t="s">
        <v>6</v>
      </c>
      <c r="M4" s="77" t="s">
        <v>4</v>
      </c>
      <c r="N4" s="11" t="s">
        <v>8</v>
      </c>
      <c r="O4" s="12"/>
      <c r="P4" s="90" t="s">
        <v>16</v>
      </c>
      <c r="Q4" s="91" t="s">
        <v>25</v>
      </c>
      <c r="R4" s="15"/>
      <c r="S4" s="92" t="s">
        <v>48</v>
      </c>
      <c r="T4" s="93" t="s">
        <v>49</v>
      </c>
      <c r="U4" s="12"/>
      <c r="V4" s="183"/>
      <c r="W4" s="12"/>
    </row>
    <row r="5" spans="1:24" ht="15.75" thickTop="1" x14ac:dyDescent="0.25">
      <c r="A5">
        <v>1</v>
      </c>
      <c r="B5" s="88" t="str">
        <f>'SET 1 PLAYERS'!G5</f>
        <v>CLASS 1</v>
      </c>
      <c r="C5" t="str">
        <f>IF(AND('ENTRY DATA'!C5=""),"",('ENTRY DATA'!C5))</f>
        <v/>
      </c>
      <c r="D5" t="str">
        <f>IF(AND('ENTRY DATA'!D5=""),"",('ENTRY DATA'!D5))</f>
        <v/>
      </c>
      <c r="E5" s="12"/>
      <c r="F5" t="str">
        <f>IF(AND('ENTRY DATA'!F5=""),"",('ENTRY DATA'!F5))</f>
        <v/>
      </c>
      <c r="G5" t="str">
        <f>IF(AND('ENTRY DATA'!G5=""),"",('ENTRY DATA'!G5))</f>
        <v/>
      </c>
      <c r="H5" s="12"/>
      <c r="I5" s="12"/>
      <c r="J5" s="64" t="str">
        <f>IF(AND('ENTRY DATA'!J5=""),"",('ENTRY DATA'!J5))</f>
        <v/>
      </c>
      <c r="K5" s="97" t="str">
        <f>IF(AND('ENTRY DATA'!K5=""),"",('ENTRY DATA'!K5))</f>
        <v/>
      </c>
      <c r="L5" s="97" t="str">
        <f>IF(AND('ENTRY DATA'!L5=""),"",('ENTRY DATA'!L5))</f>
        <v/>
      </c>
      <c r="M5" s="97" t="str">
        <f>IF(AND('ENTRY DATA'!M5=""),"",('ENTRY DATA'!M5))</f>
        <v/>
      </c>
      <c r="N5" s="65" t="str">
        <f>IF(AND('ENTRY DATA'!N5=""),"",('ENTRY DATA'!N5))</f>
        <v/>
      </c>
      <c r="O5" s="12"/>
      <c r="P5" s="64">
        <f>'SET 1 PLAYERS'!O5</f>
        <v>0</v>
      </c>
      <c r="Q5" s="65" t="str">
        <f>'SET 1 PLAYERS'!P5</f>
        <v/>
      </c>
      <c r="R5" s="14"/>
      <c r="S5" s="109" t="e">
        <f>V5/P5</f>
        <v>#VALUE!</v>
      </c>
      <c r="T5" s="110" t="e">
        <f>V5/Q5</f>
        <v>#VALUE!</v>
      </c>
      <c r="U5" s="12"/>
      <c r="V5" s="94" t="str">
        <f>'SET 1 PLAYERS'!Q5</f>
        <v/>
      </c>
      <c r="W5" s="12"/>
    </row>
    <row r="6" spans="1:24" x14ac:dyDescent="0.25">
      <c r="B6" s="88" t="str">
        <f>'SET 1 PLAYERS'!G6</f>
        <v>CLASS 1</v>
      </c>
      <c r="C6" t="str">
        <f>IF(AND('ENTRY DATA'!C6=""),"",('ENTRY DATA'!C6))</f>
        <v/>
      </c>
      <c r="D6" t="str">
        <f>IF(AND('ENTRY DATA'!D6=""),"",('ENTRY DATA'!D6))</f>
        <v/>
      </c>
      <c r="E6" s="12"/>
      <c r="F6" t="str">
        <f>IF(AND('ENTRY DATA'!F6=""),"",('ENTRY DATA'!F6))</f>
        <v/>
      </c>
      <c r="G6" t="str">
        <f>IF(AND('ENTRY DATA'!G6=""),"",('ENTRY DATA'!G6))</f>
        <v/>
      </c>
      <c r="H6" s="12"/>
      <c r="I6" s="12"/>
      <c r="J6" s="66" t="str">
        <f>IF(AND('ENTRY DATA'!J6=""),"",('ENTRY DATA'!J6))</f>
        <v/>
      </c>
      <c r="K6" s="89" t="str">
        <f>IF(AND('ENTRY DATA'!K6=""),"",('ENTRY DATA'!K6))</f>
        <v/>
      </c>
      <c r="L6" s="89" t="str">
        <f>IF(AND('ENTRY DATA'!L6=""),"",('ENTRY DATA'!L6))</f>
        <v/>
      </c>
      <c r="M6" s="89" t="str">
        <f>IF(AND('ENTRY DATA'!M6=""),"",('ENTRY DATA'!M6))</f>
        <v/>
      </c>
      <c r="N6" s="67" t="str">
        <f>IF(AND('ENTRY DATA'!N6=""),"",('ENTRY DATA'!N6))</f>
        <v/>
      </c>
      <c r="O6" s="12"/>
      <c r="P6" s="66">
        <f>'SET 1 PLAYERS'!O6</f>
        <v>0</v>
      </c>
      <c r="Q6" s="67" t="str">
        <f>'SET 1 PLAYERS'!P6</f>
        <v/>
      </c>
      <c r="R6" s="14"/>
      <c r="S6" s="111" t="e">
        <f t="shared" ref="S6:S69" si="0">V6/P6</f>
        <v>#VALUE!</v>
      </c>
      <c r="T6" s="112" t="e">
        <f t="shared" ref="T6:T69" si="1">V6/Q6</f>
        <v>#VALUE!</v>
      </c>
      <c r="U6" s="12"/>
      <c r="V6" s="95" t="str">
        <f>'SET 1 PLAYERS'!Q6</f>
        <v/>
      </c>
      <c r="W6" s="12"/>
    </row>
    <row r="7" spans="1:24" x14ac:dyDescent="0.25">
      <c r="B7" s="88" t="str">
        <f>'SET 1 PLAYERS'!G7</f>
        <v>CLASS 1</v>
      </c>
      <c r="C7" t="str">
        <f>IF(AND('ENTRY DATA'!C7=""),"",('ENTRY DATA'!C7))</f>
        <v/>
      </c>
      <c r="D7" t="str">
        <f>IF(AND('ENTRY DATA'!D7=""),"",('ENTRY DATA'!D7))</f>
        <v/>
      </c>
      <c r="E7" s="12"/>
      <c r="F7" t="str">
        <f>IF(AND('ENTRY DATA'!F7=""),"",('ENTRY DATA'!F7))</f>
        <v/>
      </c>
      <c r="G7" t="str">
        <f>IF(AND('ENTRY DATA'!G7=""),"",('ENTRY DATA'!G7))</f>
        <v/>
      </c>
      <c r="H7" s="12"/>
      <c r="I7" s="12"/>
      <c r="J7" s="66" t="str">
        <f>IF(AND('ENTRY DATA'!J7=""),"",('ENTRY DATA'!J7))</f>
        <v/>
      </c>
      <c r="K7" s="89" t="str">
        <f>IF(AND('ENTRY DATA'!K7=""),"",('ENTRY DATA'!K7))</f>
        <v/>
      </c>
      <c r="L7" s="89" t="str">
        <f>IF(AND('ENTRY DATA'!L7=""),"",('ENTRY DATA'!L7))</f>
        <v/>
      </c>
      <c r="M7" s="89" t="str">
        <f>IF(AND('ENTRY DATA'!M7=""),"",('ENTRY DATA'!M7))</f>
        <v/>
      </c>
      <c r="N7" s="67" t="str">
        <f>IF(AND('ENTRY DATA'!N7=""),"",('ENTRY DATA'!N7))</f>
        <v/>
      </c>
      <c r="O7" s="12"/>
      <c r="P7" s="66">
        <f>'SET 1 PLAYERS'!O7</f>
        <v>0</v>
      </c>
      <c r="Q7" s="67" t="str">
        <f>'SET 1 PLAYERS'!P7</f>
        <v/>
      </c>
      <c r="R7" s="14"/>
      <c r="S7" s="111" t="e">
        <f t="shared" si="0"/>
        <v>#VALUE!</v>
      </c>
      <c r="T7" s="112" t="e">
        <f t="shared" si="1"/>
        <v>#VALUE!</v>
      </c>
      <c r="U7" s="12"/>
      <c r="V7" s="95" t="str">
        <f>'SET 1 PLAYERS'!Q7</f>
        <v/>
      </c>
      <c r="W7" s="12"/>
    </row>
    <row r="8" spans="1:24" x14ac:dyDescent="0.25">
      <c r="B8" s="88" t="str">
        <f>'SET 1 PLAYERS'!G8</f>
        <v>CLASS 1</v>
      </c>
      <c r="C8" t="str">
        <f>IF(AND('ENTRY DATA'!C8=""),"",('ENTRY DATA'!C8))</f>
        <v/>
      </c>
      <c r="D8" t="str">
        <f>IF(AND('ENTRY DATA'!D8=""),"",('ENTRY DATA'!D8))</f>
        <v/>
      </c>
      <c r="E8" s="12"/>
      <c r="F8" t="str">
        <f>IF(AND('ENTRY DATA'!F8=""),"",('ENTRY DATA'!F8))</f>
        <v/>
      </c>
      <c r="G8" t="str">
        <f>IF(AND('ENTRY DATA'!G8=""),"",('ENTRY DATA'!G8))</f>
        <v/>
      </c>
      <c r="H8" s="12"/>
      <c r="I8" s="12"/>
      <c r="J8" s="66" t="str">
        <f>IF(AND('ENTRY DATA'!J8=""),"",('ENTRY DATA'!J8))</f>
        <v/>
      </c>
      <c r="K8" s="89" t="str">
        <f>IF(AND('ENTRY DATA'!K8=""),"",('ENTRY DATA'!K8))</f>
        <v/>
      </c>
      <c r="L8" s="89" t="str">
        <f>IF(AND('ENTRY DATA'!L8=""),"",('ENTRY DATA'!L8))</f>
        <v/>
      </c>
      <c r="M8" s="89" t="str">
        <f>IF(AND('ENTRY DATA'!M8=""),"",('ENTRY DATA'!M8))</f>
        <v/>
      </c>
      <c r="N8" s="67" t="str">
        <f>IF(AND('ENTRY DATA'!N8=""),"",('ENTRY DATA'!N8))</f>
        <v/>
      </c>
      <c r="O8" s="12"/>
      <c r="P8" s="66">
        <f>'SET 1 PLAYERS'!O8</f>
        <v>0</v>
      </c>
      <c r="Q8" s="67" t="str">
        <f>'SET 1 PLAYERS'!P8</f>
        <v/>
      </c>
      <c r="R8" s="14"/>
      <c r="S8" s="111" t="e">
        <f t="shared" si="0"/>
        <v>#VALUE!</v>
      </c>
      <c r="T8" s="112" t="e">
        <f t="shared" si="1"/>
        <v>#VALUE!</v>
      </c>
      <c r="U8" s="12"/>
      <c r="V8" s="95" t="str">
        <f>'SET 1 PLAYERS'!Q8</f>
        <v/>
      </c>
      <c r="W8" s="12"/>
    </row>
    <row r="9" spans="1:24" x14ac:dyDescent="0.25">
      <c r="B9" s="88" t="str">
        <f>'SET 1 PLAYERS'!G9</f>
        <v>CLASS 1</v>
      </c>
      <c r="C9" t="str">
        <f>IF(AND('ENTRY DATA'!C9=""),"",('ENTRY DATA'!C9))</f>
        <v/>
      </c>
      <c r="D9" t="str">
        <f>IF(AND('ENTRY DATA'!D9=""),"",('ENTRY DATA'!D9))</f>
        <v/>
      </c>
      <c r="E9" s="12"/>
      <c r="F9" t="str">
        <f>IF(AND('ENTRY DATA'!F9=""),"",('ENTRY DATA'!F9))</f>
        <v/>
      </c>
      <c r="G9" t="str">
        <f>IF(AND('ENTRY DATA'!G9=""),"",('ENTRY DATA'!G9))</f>
        <v/>
      </c>
      <c r="H9" s="12"/>
      <c r="I9" s="12"/>
      <c r="J9" s="66" t="str">
        <f>IF(AND('ENTRY DATA'!J9=""),"",('ENTRY DATA'!J9))</f>
        <v/>
      </c>
      <c r="K9" s="89" t="str">
        <f>IF(AND('ENTRY DATA'!K9=""),"",('ENTRY DATA'!K9))</f>
        <v/>
      </c>
      <c r="L9" s="89" t="str">
        <f>IF(AND('ENTRY DATA'!L9=""),"",('ENTRY DATA'!L9))</f>
        <v/>
      </c>
      <c r="M9" s="89" t="str">
        <f>IF(AND('ENTRY DATA'!M9=""),"",('ENTRY DATA'!M9))</f>
        <v/>
      </c>
      <c r="N9" s="67" t="str">
        <f>IF(AND('ENTRY DATA'!N9=""),"",('ENTRY DATA'!N9))</f>
        <v/>
      </c>
      <c r="O9" s="12"/>
      <c r="P9" s="66">
        <f>'SET 1 PLAYERS'!O9</f>
        <v>0</v>
      </c>
      <c r="Q9" s="67" t="str">
        <f>'SET 1 PLAYERS'!P9</f>
        <v/>
      </c>
      <c r="R9" s="14"/>
      <c r="S9" s="111" t="e">
        <f t="shared" si="0"/>
        <v>#VALUE!</v>
      </c>
      <c r="T9" s="112" t="e">
        <f t="shared" si="1"/>
        <v>#VALUE!</v>
      </c>
      <c r="U9" s="12"/>
      <c r="V9" s="95" t="str">
        <f>'SET 1 PLAYERS'!Q9</f>
        <v/>
      </c>
      <c r="W9" s="12"/>
    </row>
    <row r="10" spans="1:24" x14ac:dyDescent="0.25">
      <c r="B10" s="88" t="str">
        <f>'SET 1 PLAYERS'!G10</f>
        <v>CLASS 1</v>
      </c>
      <c r="C10" t="str">
        <f>IF(AND('ENTRY DATA'!C10=""),"",('ENTRY DATA'!C10))</f>
        <v/>
      </c>
      <c r="D10" t="str">
        <f>IF(AND('ENTRY DATA'!D10=""),"",('ENTRY DATA'!D10))</f>
        <v/>
      </c>
      <c r="E10" s="12"/>
      <c r="F10" t="str">
        <f>IF(AND('ENTRY DATA'!F10=""),"",('ENTRY DATA'!F10))</f>
        <v/>
      </c>
      <c r="G10" t="str">
        <f>IF(AND('ENTRY DATA'!G10=""),"",('ENTRY DATA'!G10))</f>
        <v/>
      </c>
      <c r="H10" s="12"/>
      <c r="I10" s="12"/>
      <c r="J10" s="66" t="str">
        <f>IF(AND('ENTRY DATA'!J10=""),"",('ENTRY DATA'!J10))</f>
        <v/>
      </c>
      <c r="K10" s="89" t="str">
        <f>IF(AND('ENTRY DATA'!K10=""),"",('ENTRY DATA'!K10))</f>
        <v/>
      </c>
      <c r="L10" s="89" t="str">
        <f>IF(AND('ENTRY DATA'!L10=""),"",('ENTRY DATA'!L10))</f>
        <v/>
      </c>
      <c r="M10" s="89" t="str">
        <f>IF(AND('ENTRY DATA'!M10=""),"",('ENTRY DATA'!M10))</f>
        <v/>
      </c>
      <c r="N10" s="67" t="str">
        <f>IF(AND('ENTRY DATA'!N10=""),"",('ENTRY DATA'!N10))</f>
        <v/>
      </c>
      <c r="O10" s="12"/>
      <c r="P10" s="66">
        <f>'SET 1 PLAYERS'!O10</f>
        <v>0</v>
      </c>
      <c r="Q10" s="67" t="str">
        <f>'SET 1 PLAYERS'!P10</f>
        <v/>
      </c>
      <c r="R10" s="14"/>
      <c r="S10" s="111" t="e">
        <f t="shared" si="0"/>
        <v>#VALUE!</v>
      </c>
      <c r="T10" s="112" t="e">
        <f t="shared" si="1"/>
        <v>#VALUE!</v>
      </c>
      <c r="U10" s="12"/>
      <c r="V10" s="95" t="str">
        <f>'SET 1 PLAYERS'!Q10</f>
        <v/>
      </c>
      <c r="W10" s="12"/>
    </row>
    <row r="11" spans="1:24" x14ac:dyDescent="0.25">
      <c r="B11" s="88" t="str">
        <f>'SET 1 PLAYERS'!G11</f>
        <v>CLASS 1</v>
      </c>
      <c r="C11" t="str">
        <f>IF(AND('ENTRY DATA'!C11=""),"",('ENTRY DATA'!C11))</f>
        <v/>
      </c>
      <c r="D11" t="str">
        <f>IF(AND('ENTRY DATA'!D11=""),"",('ENTRY DATA'!D11))</f>
        <v/>
      </c>
      <c r="E11" s="12"/>
      <c r="F11" t="str">
        <f>IF(AND('ENTRY DATA'!F11=""),"",('ENTRY DATA'!F11))</f>
        <v/>
      </c>
      <c r="G11" t="str">
        <f>IF(AND('ENTRY DATA'!G11=""),"",('ENTRY DATA'!G11))</f>
        <v/>
      </c>
      <c r="H11" s="12"/>
      <c r="I11" s="12"/>
      <c r="J11" s="66" t="str">
        <f>IF(AND('ENTRY DATA'!J11=""),"",('ENTRY DATA'!J11))</f>
        <v/>
      </c>
      <c r="K11" s="89" t="str">
        <f>IF(AND('ENTRY DATA'!K11=""),"",('ENTRY DATA'!K11))</f>
        <v/>
      </c>
      <c r="L11" s="89" t="str">
        <f>IF(AND('ENTRY DATA'!L11=""),"",('ENTRY DATA'!L11))</f>
        <v/>
      </c>
      <c r="M11" s="89" t="str">
        <f>IF(AND('ENTRY DATA'!M11=""),"",('ENTRY DATA'!M11))</f>
        <v/>
      </c>
      <c r="N11" s="67" t="str">
        <f>IF(AND('ENTRY DATA'!N11=""),"",('ENTRY DATA'!N11))</f>
        <v/>
      </c>
      <c r="O11" s="12"/>
      <c r="P11" s="66">
        <f>'SET 1 PLAYERS'!O11</f>
        <v>0</v>
      </c>
      <c r="Q11" s="67" t="str">
        <f>'SET 1 PLAYERS'!P11</f>
        <v/>
      </c>
      <c r="R11" s="14"/>
      <c r="S11" s="111" t="e">
        <f t="shared" si="0"/>
        <v>#VALUE!</v>
      </c>
      <c r="T11" s="112" t="e">
        <f t="shared" si="1"/>
        <v>#VALUE!</v>
      </c>
      <c r="U11" s="12"/>
      <c r="V11" s="95" t="str">
        <f>'SET 1 PLAYERS'!Q11</f>
        <v/>
      </c>
      <c r="W11" s="12"/>
    </row>
    <row r="12" spans="1:24" x14ac:dyDescent="0.25">
      <c r="B12" s="88" t="str">
        <f>'SET 1 PLAYERS'!G12</f>
        <v>CLASS 1</v>
      </c>
      <c r="C12" t="str">
        <f>IF(AND('ENTRY DATA'!C12=""),"",('ENTRY DATA'!C12))</f>
        <v/>
      </c>
      <c r="D12" t="str">
        <f>IF(AND('ENTRY DATA'!D12=""),"",('ENTRY DATA'!D12))</f>
        <v/>
      </c>
      <c r="E12" s="12"/>
      <c r="F12" t="str">
        <f>IF(AND('ENTRY DATA'!F12=""),"",('ENTRY DATA'!F12))</f>
        <v/>
      </c>
      <c r="G12" t="str">
        <f>IF(AND('ENTRY DATA'!G12=""),"",('ENTRY DATA'!G12))</f>
        <v/>
      </c>
      <c r="H12" s="12"/>
      <c r="I12" s="12"/>
      <c r="J12" s="66" t="str">
        <f>IF(AND('ENTRY DATA'!J12=""),"",('ENTRY DATA'!J12))</f>
        <v/>
      </c>
      <c r="K12" s="89" t="str">
        <f>IF(AND('ENTRY DATA'!K12=""),"",('ENTRY DATA'!K12))</f>
        <v/>
      </c>
      <c r="L12" s="89" t="str">
        <f>IF(AND('ENTRY DATA'!L12=""),"",('ENTRY DATA'!L12))</f>
        <v/>
      </c>
      <c r="M12" s="89" t="str">
        <f>IF(AND('ENTRY DATA'!M12=""),"",('ENTRY DATA'!M12))</f>
        <v/>
      </c>
      <c r="N12" s="67" t="str">
        <f>IF(AND('ENTRY DATA'!N12=""),"",('ENTRY DATA'!N12))</f>
        <v/>
      </c>
      <c r="O12" s="12"/>
      <c r="P12" s="66">
        <f>'SET 1 PLAYERS'!O12</f>
        <v>0</v>
      </c>
      <c r="Q12" s="67" t="str">
        <f>'SET 1 PLAYERS'!P12</f>
        <v/>
      </c>
      <c r="R12" s="14"/>
      <c r="S12" s="111" t="e">
        <f t="shared" si="0"/>
        <v>#VALUE!</v>
      </c>
      <c r="T12" s="112" t="e">
        <f t="shared" si="1"/>
        <v>#VALUE!</v>
      </c>
      <c r="U12" s="12"/>
      <c r="V12" s="95" t="str">
        <f>'SET 1 PLAYERS'!Q12</f>
        <v/>
      </c>
      <c r="W12" s="12"/>
    </row>
    <row r="13" spans="1:24" x14ac:dyDescent="0.25">
      <c r="B13" s="88" t="str">
        <f>'SET 1 PLAYERS'!G13</f>
        <v>CLASS 1</v>
      </c>
      <c r="C13" t="str">
        <f>IF(AND('ENTRY DATA'!C13=""),"",('ENTRY DATA'!C13))</f>
        <v/>
      </c>
      <c r="D13" t="str">
        <f>IF(AND('ENTRY DATA'!D13=""),"",('ENTRY DATA'!D13))</f>
        <v/>
      </c>
      <c r="E13" s="12"/>
      <c r="F13" t="str">
        <f>IF(AND('ENTRY DATA'!F13=""),"",('ENTRY DATA'!F13))</f>
        <v/>
      </c>
      <c r="G13" t="str">
        <f>IF(AND('ENTRY DATA'!G13=""),"",('ENTRY DATA'!G13))</f>
        <v/>
      </c>
      <c r="H13" s="12"/>
      <c r="I13" s="12"/>
      <c r="J13" s="66" t="str">
        <f>IF(AND('ENTRY DATA'!J13=""),"",('ENTRY DATA'!J13))</f>
        <v/>
      </c>
      <c r="K13" s="89" t="str">
        <f>IF(AND('ENTRY DATA'!K13=""),"",('ENTRY DATA'!K13))</f>
        <v/>
      </c>
      <c r="L13" s="89" t="str">
        <f>IF(AND('ENTRY DATA'!L13=""),"",('ENTRY DATA'!L13))</f>
        <v/>
      </c>
      <c r="M13" s="89" t="str">
        <f>IF(AND('ENTRY DATA'!M13=""),"",('ENTRY DATA'!M13))</f>
        <v/>
      </c>
      <c r="N13" s="67" t="str">
        <f>IF(AND('ENTRY DATA'!N13=""),"",('ENTRY DATA'!N13))</f>
        <v/>
      </c>
      <c r="O13" s="12"/>
      <c r="P13" s="66">
        <f>'SET 1 PLAYERS'!O13</f>
        <v>0</v>
      </c>
      <c r="Q13" s="67" t="str">
        <f>'SET 1 PLAYERS'!P13</f>
        <v/>
      </c>
      <c r="R13" s="14"/>
      <c r="S13" s="111" t="e">
        <f t="shared" si="0"/>
        <v>#VALUE!</v>
      </c>
      <c r="T13" s="112" t="e">
        <f t="shared" si="1"/>
        <v>#VALUE!</v>
      </c>
      <c r="U13" s="12"/>
      <c r="V13" s="95" t="str">
        <f>'SET 1 PLAYERS'!Q13</f>
        <v/>
      </c>
      <c r="W13" s="12"/>
    </row>
    <row r="14" spans="1:24" x14ac:dyDescent="0.25">
      <c r="B14" s="88" t="str">
        <f>'SET 1 PLAYERS'!G14</f>
        <v>CLASS 1</v>
      </c>
      <c r="C14" t="str">
        <f>IF(AND('ENTRY DATA'!C14=""),"",('ENTRY DATA'!C14))</f>
        <v/>
      </c>
      <c r="D14" t="str">
        <f>IF(AND('ENTRY DATA'!D14=""),"",('ENTRY DATA'!D14))</f>
        <v/>
      </c>
      <c r="E14" s="12"/>
      <c r="F14" t="str">
        <f>IF(AND('ENTRY DATA'!F14=""),"",('ENTRY DATA'!F14))</f>
        <v/>
      </c>
      <c r="G14" t="str">
        <f>IF(AND('ENTRY DATA'!G14=""),"",('ENTRY DATA'!G14))</f>
        <v/>
      </c>
      <c r="H14" s="12"/>
      <c r="I14" s="12"/>
      <c r="J14" s="66" t="str">
        <f>IF(AND('ENTRY DATA'!J14=""),"",('ENTRY DATA'!J14))</f>
        <v/>
      </c>
      <c r="K14" s="89" t="str">
        <f>IF(AND('ENTRY DATA'!K14=""),"",('ENTRY DATA'!K14))</f>
        <v/>
      </c>
      <c r="L14" s="89" t="str">
        <f>IF(AND('ENTRY DATA'!L14=""),"",('ENTRY DATA'!L14))</f>
        <v/>
      </c>
      <c r="M14" s="89" t="str">
        <f>IF(AND('ENTRY DATA'!M14=""),"",('ENTRY DATA'!M14))</f>
        <v/>
      </c>
      <c r="N14" s="67" t="str">
        <f>IF(AND('ENTRY DATA'!N14=""),"",('ENTRY DATA'!N14))</f>
        <v/>
      </c>
      <c r="O14" s="12"/>
      <c r="P14" s="66">
        <f>'SET 1 PLAYERS'!O14</f>
        <v>0</v>
      </c>
      <c r="Q14" s="67" t="str">
        <f>'SET 1 PLAYERS'!P14</f>
        <v/>
      </c>
      <c r="R14" s="14"/>
      <c r="S14" s="111" t="e">
        <f t="shared" si="0"/>
        <v>#VALUE!</v>
      </c>
      <c r="T14" s="112" t="e">
        <f t="shared" si="1"/>
        <v>#VALUE!</v>
      </c>
      <c r="U14" s="12"/>
      <c r="V14" s="95" t="str">
        <f>'SET 1 PLAYERS'!Q14</f>
        <v/>
      </c>
      <c r="W14" s="12"/>
    </row>
    <row r="15" spans="1:24" x14ac:dyDescent="0.25">
      <c r="B15" s="88" t="str">
        <f>'SET 1 PLAYERS'!G15</f>
        <v>CLASS 1</v>
      </c>
      <c r="C15" t="str">
        <f>IF(AND('ENTRY DATA'!C15=""),"",('ENTRY DATA'!C15))</f>
        <v/>
      </c>
      <c r="D15" t="str">
        <f>IF(AND('ENTRY DATA'!D15=""),"",('ENTRY DATA'!D15))</f>
        <v/>
      </c>
      <c r="E15" s="12"/>
      <c r="F15" t="str">
        <f>IF(AND('ENTRY DATA'!F15=""),"",('ENTRY DATA'!F15))</f>
        <v/>
      </c>
      <c r="G15" t="str">
        <f>IF(AND('ENTRY DATA'!G15=""),"",('ENTRY DATA'!G15))</f>
        <v/>
      </c>
      <c r="H15" s="12"/>
      <c r="I15" s="12"/>
      <c r="J15" s="66" t="str">
        <f>IF(AND('ENTRY DATA'!J15=""),"",('ENTRY DATA'!J15))</f>
        <v/>
      </c>
      <c r="K15" s="89" t="str">
        <f>IF(AND('ENTRY DATA'!K15=""),"",('ENTRY DATA'!K15))</f>
        <v/>
      </c>
      <c r="L15" s="89" t="str">
        <f>IF(AND('ENTRY DATA'!L15=""),"",('ENTRY DATA'!L15))</f>
        <v/>
      </c>
      <c r="M15" s="89" t="str">
        <f>IF(AND('ENTRY DATA'!M15=""),"",('ENTRY DATA'!M15))</f>
        <v/>
      </c>
      <c r="N15" s="67" t="str">
        <f>IF(AND('ENTRY DATA'!N15=""),"",('ENTRY DATA'!N15))</f>
        <v/>
      </c>
      <c r="O15" s="12"/>
      <c r="P15" s="66">
        <f>'SET 1 PLAYERS'!O15</f>
        <v>0</v>
      </c>
      <c r="Q15" s="67" t="str">
        <f>'SET 1 PLAYERS'!P15</f>
        <v/>
      </c>
      <c r="R15" s="14"/>
      <c r="S15" s="111" t="e">
        <f t="shared" si="0"/>
        <v>#VALUE!</v>
      </c>
      <c r="T15" s="112" t="e">
        <f t="shared" si="1"/>
        <v>#VALUE!</v>
      </c>
      <c r="U15" s="12"/>
      <c r="V15" s="95" t="str">
        <f>'SET 1 PLAYERS'!Q15</f>
        <v/>
      </c>
      <c r="W15" s="12"/>
    </row>
    <row r="16" spans="1:24" x14ac:dyDescent="0.25">
      <c r="B16" s="88" t="str">
        <f>'SET 1 PLAYERS'!G16</f>
        <v>CLASS 1</v>
      </c>
      <c r="C16" t="str">
        <f>IF(AND('ENTRY DATA'!C16=""),"",('ENTRY DATA'!C16))</f>
        <v/>
      </c>
      <c r="D16" t="str">
        <f>IF(AND('ENTRY DATA'!D16=""),"",('ENTRY DATA'!D16))</f>
        <v/>
      </c>
      <c r="E16" s="12"/>
      <c r="F16" t="str">
        <f>IF(AND('ENTRY DATA'!F16=""),"",('ENTRY DATA'!F16))</f>
        <v/>
      </c>
      <c r="G16" t="str">
        <f>IF(AND('ENTRY DATA'!G16=""),"",('ENTRY DATA'!G16))</f>
        <v/>
      </c>
      <c r="H16" s="12"/>
      <c r="I16" s="12"/>
      <c r="J16" s="66" t="str">
        <f>IF(AND('ENTRY DATA'!J16=""),"",('ENTRY DATA'!J16))</f>
        <v/>
      </c>
      <c r="K16" s="89" t="str">
        <f>IF(AND('ENTRY DATA'!K16=""),"",('ENTRY DATA'!K16))</f>
        <v/>
      </c>
      <c r="L16" s="89" t="str">
        <f>IF(AND('ENTRY DATA'!L16=""),"",('ENTRY DATA'!L16))</f>
        <v/>
      </c>
      <c r="M16" s="89" t="str">
        <f>IF(AND('ENTRY DATA'!M16=""),"",('ENTRY DATA'!M16))</f>
        <v/>
      </c>
      <c r="N16" s="67" t="str">
        <f>IF(AND('ENTRY DATA'!N16=""),"",('ENTRY DATA'!N16))</f>
        <v/>
      </c>
      <c r="O16" s="12"/>
      <c r="P16" s="66">
        <f>'SET 1 PLAYERS'!O16</f>
        <v>0</v>
      </c>
      <c r="Q16" s="67" t="str">
        <f>'SET 1 PLAYERS'!P16</f>
        <v/>
      </c>
      <c r="R16" s="14"/>
      <c r="S16" s="111" t="e">
        <f t="shared" si="0"/>
        <v>#VALUE!</v>
      </c>
      <c r="T16" s="112" t="e">
        <f t="shared" si="1"/>
        <v>#VALUE!</v>
      </c>
      <c r="U16" s="12"/>
      <c r="V16" s="95" t="str">
        <f>'SET 1 PLAYERS'!Q16</f>
        <v/>
      </c>
      <c r="W16" s="12"/>
    </row>
    <row r="17" spans="2:23" x14ac:dyDescent="0.25">
      <c r="B17" s="88" t="str">
        <f>'SET 1 PLAYERS'!G17</f>
        <v>CLASS 1</v>
      </c>
      <c r="C17" t="str">
        <f>IF(AND('ENTRY DATA'!C17=""),"",('ENTRY DATA'!C17))</f>
        <v/>
      </c>
      <c r="D17" t="str">
        <f>IF(AND('ENTRY DATA'!D17=""),"",('ENTRY DATA'!D17))</f>
        <v/>
      </c>
      <c r="E17" s="12"/>
      <c r="F17" t="str">
        <f>IF(AND('ENTRY DATA'!F17=""),"",('ENTRY DATA'!F17))</f>
        <v/>
      </c>
      <c r="G17" t="str">
        <f>IF(AND('ENTRY DATA'!G17=""),"",('ENTRY DATA'!G17))</f>
        <v/>
      </c>
      <c r="H17" s="12"/>
      <c r="I17" s="12"/>
      <c r="J17" s="66" t="str">
        <f>IF(AND('ENTRY DATA'!J17=""),"",('ENTRY DATA'!J17))</f>
        <v/>
      </c>
      <c r="K17" s="89" t="str">
        <f>IF(AND('ENTRY DATA'!K17=""),"",('ENTRY DATA'!K17))</f>
        <v/>
      </c>
      <c r="L17" s="89" t="str">
        <f>IF(AND('ENTRY DATA'!L17=""),"",('ENTRY DATA'!L17))</f>
        <v/>
      </c>
      <c r="M17" s="89" t="str">
        <f>IF(AND('ENTRY DATA'!M17=""),"",('ENTRY DATA'!M17))</f>
        <v/>
      </c>
      <c r="N17" s="67" t="str">
        <f>IF(AND('ENTRY DATA'!N17=""),"",('ENTRY DATA'!N17))</f>
        <v/>
      </c>
      <c r="O17" s="12"/>
      <c r="P17" s="66">
        <f>'SET 1 PLAYERS'!O17</f>
        <v>0</v>
      </c>
      <c r="Q17" s="67" t="str">
        <f>'SET 1 PLAYERS'!P17</f>
        <v/>
      </c>
      <c r="R17" s="14"/>
      <c r="S17" s="111" t="e">
        <f t="shared" si="0"/>
        <v>#VALUE!</v>
      </c>
      <c r="T17" s="112" t="e">
        <f t="shared" si="1"/>
        <v>#VALUE!</v>
      </c>
      <c r="U17" s="12"/>
      <c r="V17" s="95" t="str">
        <f>'SET 1 PLAYERS'!Q17</f>
        <v/>
      </c>
      <c r="W17" s="12"/>
    </row>
    <row r="18" spans="2:23" x14ac:dyDescent="0.25">
      <c r="B18" s="88" t="str">
        <f>'SET 1 PLAYERS'!G18</f>
        <v>CLASS 1</v>
      </c>
      <c r="C18" t="str">
        <f>IF(AND('ENTRY DATA'!C18=""),"",('ENTRY DATA'!C18))</f>
        <v/>
      </c>
      <c r="D18" t="str">
        <f>IF(AND('ENTRY DATA'!D18=""),"",('ENTRY DATA'!D18))</f>
        <v/>
      </c>
      <c r="E18" s="12"/>
      <c r="F18" t="str">
        <f>IF(AND('ENTRY DATA'!F18=""),"",('ENTRY DATA'!F18))</f>
        <v/>
      </c>
      <c r="G18" t="str">
        <f>IF(AND('ENTRY DATA'!G18=""),"",('ENTRY DATA'!G18))</f>
        <v/>
      </c>
      <c r="H18" s="12"/>
      <c r="I18" s="12"/>
      <c r="J18" s="66" t="str">
        <f>IF(AND('ENTRY DATA'!J18=""),"",('ENTRY DATA'!J18))</f>
        <v/>
      </c>
      <c r="K18" s="89" t="str">
        <f>IF(AND('ENTRY DATA'!K18=""),"",('ENTRY DATA'!K18))</f>
        <v/>
      </c>
      <c r="L18" s="89" t="str">
        <f>IF(AND('ENTRY DATA'!L18=""),"",('ENTRY DATA'!L18))</f>
        <v/>
      </c>
      <c r="M18" s="89" t="str">
        <f>IF(AND('ENTRY DATA'!M18=""),"",('ENTRY DATA'!M18))</f>
        <v/>
      </c>
      <c r="N18" s="67" t="str">
        <f>IF(AND('ENTRY DATA'!N18=""),"",('ENTRY DATA'!N18))</f>
        <v/>
      </c>
      <c r="O18" s="12"/>
      <c r="P18" s="66">
        <f>'SET 1 PLAYERS'!O18</f>
        <v>0</v>
      </c>
      <c r="Q18" s="67" t="str">
        <f>'SET 1 PLAYERS'!P18</f>
        <v/>
      </c>
      <c r="R18" s="14"/>
      <c r="S18" s="111" t="e">
        <f t="shared" si="0"/>
        <v>#VALUE!</v>
      </c>
      <c r="T18" s="112" t="e">
        <f t="shared" si="1"/>
        <v>#VALUE!</v>
      </c>
      <c r="U18" s="12"/>
      <c r="V18" s="95" t="str">
        <f>'SET 1 PLAYERS'!Q18</f>
        <v/>
      </c>
      <c r="W18" s="12"/>
    </row>
    <row r="19" spans="2:23" x14ac:dyDescent="0.25">
      <c r="B19" s="88" t="str">
        <f>'SET 1 PLAYERS'!G19</f>
        <v>CLASS 1</v>
      </c>
      <c r="C19" t="str">
        <f>IF(AND('ENTRY DATA'!C19=""),"",('ENTRY DATA'!C19))</f>
        <v/>
      </c>
      <c r="D19" t="str">
        <f>IF(AND('ENTRY DATA'!D19=""),"",('ENTRY DATA'!D19))</f>
        <v/>
      </c>
      <c r="E19" s="12"/>
      <c r="F19" t="str">
        <f>IF(AND('ENTRY DATA'!F19=""),"",('ENTRY DATA'!F19))</f>
        <v/>
      </c>
      <c r="G19" t="str">
        <f>IF(AND('ENTRY DATA'!G19=""),"",('ENTRY DATA'!G19))</f>
        <v/>
      </c>
      <c r="H19" s="12"/>
      <c r="I19" s="12"/>
      <c r="J19" s="66" t="str">
        <f>IF(AND('ENTRY DATA'!J19=""),"",('ENTRY DATA'!J19))</f>
        <v/>
      </c>
      <c r="K19" s="89" t="str">
        <f>IF(AND('ENTRY DATA'!K19=""),"",('ENTRY DATA'!K19))</f>
        <v/>
      </c>
      <c r="L19" s="89" t="str">
        <f>IF(AND('ENTRY DATA'!L19=""),"",('ENTRY DATA'!L19))</f>
        <v/>
      </c>
      <c r="M19" s="89" t="str">
        <f>IF(AND('ENTRY DATA'!M19=""),"",('ENTRY DATA'!M19))</f>
        <v/>
      </c>
      <c r="N19" s="67" t="str">
        <f>IF(AND('ENTRY DATA'!N19=""),"",('ENTRY DATA'!N19))</f>
        <v/>
      </c>
      <c r="O19" s="12"/>
      <c r="P19" s="66">
        <f>'SET 1 PLAYERS'!O19</f>
        <v>0</v>
      </c>
      <c r="Q19" s="67" t="str">
        <f>'SET 1 PLAYERS'!P19</f>
        <v/>
      </c>
      <c r="R19" s="14"/>
      <c r="S19" s="111" t="e">
        <f t="shared" si="0"/>
        <v>#VALUE!</v>
      </c>
      <c r="T19" s="112" t="e">
        <f t="shared" si="1"/>
        <v>#VALUE!</v>
      </c>
      <c r="U19" s="12"/>
      <c r="V19" s="95" t="str">
        <f>'SET 1 PLAYERS'!Q19</f>
        <v/>
      </c>
      <c r="W19" s="12"/>
    </row>
    <row r="20" spans="2:23" x14ac:dyDescent="0.25">
      <c r="B20" s="88" t="str">
        <f>'SET 1 PLAYERS'!G20</f>
        <v>CLASS 1</v>
      </c>
      <c r="C20" t="str">
        <f>IF(AND('ENTRY DATA'!C20=""),"",('ENTRY DATA'!C20))</f>
        <v/>
      </c>
      <c r="D20" t="str">
        <f>IF(AND('ENTRY DATA'!D20=""),"",('ENTRY DATA'!D20))</f>
        <v/>
      </c>
      <c r="E20" s="12"/>
      <c r="F20" t="str">
        <f>IF(AND('ENTRY DATA'!F20=""),"",('ENTRY DATA'!F20))</f>
        <v/>
      </c>
      <c r="G20" t="str">
        <f>IF(AND('ENTRY DATA'!G20=""),"",('ENTRY DATA'!G20))</f>
        <v/>
      </c>
      <c r="H20" s="12"/>
      <c r="I20" s="12"/>
      <c r="J20" s="66" t="str">
        <f>IF(AND('ENTRY DATA'!J20=""),"",('ENTRY DATA'!J20))</f>
        <v/>
      </c>
      <c r="K20" s="89" t="str">
        <f>IF(AND('ENTRY DATA'!K20=""),"",('ENTRY DATA'!K20))</f>
        <v/>
      </c>
      <c r="L20" s="89" t="str">
        <f>IF(AND('ENTRY DATA'!L20=""),"",('ENTRY DATA'!L20))</f>
        <v/>
      </c>
      <c r="M20" s="89" t="str">
        <f>IF(AND('ENTRY DATA'!M20=""),"",('ENTRY DATA'!M20))</f>
        <v/>
      </c>
      <c r="N20" s="67" t="str">
        <f>IF(AND('ENTRY DATA'!N20=""),"",('ENTRY DATA'!N20))</f>
        <v/>
      </c>
      <c r="O20" s="12"/>
      <c r="P20" s="66">
        <f>'SET 1 PLAYERS'!O20</f>
        <v>0</v>
      </c>
      <c r="Q20" s="67" t="str">
        <f>'SET 1 PLAYERS'!P20</f>
        <v/>
      </c>
      <c r="R20" s="14"/>
      <c r="S20" s="111" t="e">
        <f t="shared" si="0"/>
        <v>#VALUE!</v>
      </c>
      <c r="T20" s="112" t="e">
        <f t="shared" si="1"/>
        <v>#VALUE!</v>
      </c>
      <c r="U20" s="12"/>
      <c r="V20" s="95" t="str">
        <f>'SET 1 PLAYERS'!Q20</f>
        <v/>
      </c>
      <c r="W20" s="12"/>
    </row>
    <row r="21" spans="2:23" x14ac:dyDescent="0.25">
      <c r="B21" s="88" t="str">
        <f>'SET 1 PLAYERS'!G21</f>
        <v>CLASS 1</v>
      </c>
      <c r="C21" t="str">
        <f>IF(AND('ENTRY DATA'!C21=""),"",('ENTRY DATA'!C21))</f>
        <v/>
      </c>
      <c r="D21" t="str">
        <f>IF(AND('ENTRY DATA'!D21=""),"",('ENTRY DATA'!D21))</f>
        <v/>
      </c>
      <c r="E21" s="12"/>
      <c r="F21" t="str">
        <f>IF(AND('ENTRY DATA'!F21=""),"",('ENTRY DATA'!F21))</f>
        <v/>
      </c>
      <c r="G21" t="str">
        <f>IF(AND('ENTRY DATA'!G21=""),"",('ENTRY DATA'!G21))</f>
        <v/>
      </c>
      <c r="H21" s="12"/>
      <c r="I21" s="12"/>
      <c r="J21" s="66" t="str">
        <f>IF(AND('ENTRY DATA'!J21=""),"",('ENTRY DATA'!J21))</f>
        <v/>
      </c>
      <c r="K21" s="89" t="str">
        <f>IF(AND('ENTRY DATA'!K21=""),"",('ENTRY DATA'!K21))</f>
        <v/>
      </c>
      <c r="L21" s="89" t="str">
        <f>IF(AND('ENTRY DATA'!L21=""),"",('ENTRY DATA'!L21))</f>
        <v/>
      </c>
      <c r="M21" s="89" t="str">
        <f>IF(AND('ENTRY DATA'!M21=""),"",('ENTRY DATA'!M21))</f>
        <v/>
      </c>
      <c r="N21" s="67" t="str">
        <f>IF(AND('ENTRY DATA'!N21=""),"",('ENTRY DATA'!N21))</f>
        <v/>
      </c>
      <c r="O21" s="12"/>
      <c r="P21" s="66">
        <f>'SET 1 PLAYERS'!O21</f>
        <v>0</v>
      </c>
      <c r="Q21" s="67" t="str">
        <f>'SET 1 PLAYERS'!P21</f>
        <v/>
      </c>
      <c r="R21" s="14"/>
      <c r="S21" s="111" t="e">
        <f t="shared" si="0"/>
        <v>#VALUE!</v>
      </c>
      <c r="T21" s="112" t="e">
        <f t="shared" si="1"/>
        <v>#VALUE!</v>
      </c>
      <c r="U21" s="12"/>
      <c r="V21" s="95" t="str">
        <f>'SET 1 PLAYERS'!Q21</f>
        <v/>
      </c>
      <c r="W21" s="12"/>
    </row>
    <row r="22" spans="2:23" x14ac:dyDescent="0.25">
      <c r="B22" s="88" t="str">
        <f>'SET 1 PLAYERS'!G22</f>
        <v>CLASS 1</v>
      </c>
      <c r="C22" t="str">
        <f>IF(AND('ENTRY DATA'!C22=""),"",('ENTRY DATA'!C22))</f>
        <v/>
      </c>
      <c r="D22" t="str">
        <f>IF(AND('ENTRY DATA'!D22=""),"",('ENTRY DATA'!D22))</f>
        <v/>
      </c>
      <c r="E22" s="12"/>
      <c r="F22" t="str">
        <f>IF(AND('ENTRY DATA'!F22=""),"",('ENTRY DATA'!F22))</f>
        <v/>
      </c>
      <c r="G22" t="str">
        <f>IF(AND('ENTRY DATA'!G22=""),"",('ENTRY DATA'!G22))</f>
        <v/>
      </c>
      <c r="H22" s="12"/>
      <c r="I22" s="12"/>
      <c r="J22" s="66" t="str">
        <f>IF(AND('ENTRY DATA'!J22=""),"",('ENTRY DATA'!J22))</f>
        <v/>
      </c>
      <c r="K22" s="89" t="str">
        <f>IF(AND('ENTRY DATA'!K22=""),"",('ENTRY DATA'!K22))</f>
        <v/>
      </c>
      <c r="L22" s="89" t="str">
        <f>IF(AND('ENTRY DATA'!L22=""),"",('ENTRY DATA'!L22))</f>
        <v/>
      </c>
      <c r="M22" s="89" t="str">
        <f>IF(AND('ENTRY DATA'!M22=""),"",('ENTRY DATA'!M22))</f>
        <v/>
      </c>
      <c r="N22" s="67" t="str">
        <f>IF(AND('ENTRY DATA'!N22=""),"",('ENTRY DATA'!N22))</f>
        <v/>
      </c>
      <c r="O22" s="12"/>
      <c r="P22" s="66">
        <f>'SET 1 PLAYERS'!O22</f>
        <v>0</v>
      </c>
      <c r="Q22" s="67" t="str">
        <f>'SET 1 PLAYERS'!P22</f>
        <v/>
      </c>
      <c r="R22" s="14"/>
      <c r="S22" s="111" t="e">
        <f t="shared" si="0"/>
        <v>#VALUE!</v>
      </c>
      <c r="T22" s="112" t="e">
        <f t="shared" si="1"/>
        <v>#VALUE!</v>
      </c>
      <c r="U22" s="12"/>
      <c r="V22" s="95" t="str">
        <f>'SET 1 PLAYERS'!Q22</f>
        <v/>
      </c>
      <c r="W22" s="12"/>
    </row>
    <row r="23" spans="2:23" x14ac:dyDescent="0.25">
      <c r="B23" s="88" t="str">
        <f>'SET 1 PLAYERS'!G23</f>
        <v>CLASS 1</v>
      </c>
      <c r="C23" t="str">
        <f>IF(AND('ENTRY DATA'!C23=""),"",('ENTRY DATA'!C23))</f>
        <v/>
      </c>
      <c r="D23" t="str">
        <f>IF(AND('ENTRY DATA'!D23=""),"",('ENTRY DATA'!D23))</f>
        <v/>
      </c>
      <c r="E23" s="12"/>
      <c r="F23" t="str">
        <f>IF(AND('ENTRY DATA'!F23=""),"",('ENTRY DATA'!F23))</f>
        <v/>
      </c>
      <c r="G23" t="str">
        <f>IF(AND('ENTRY DATA'!G23=""),"",('ENTRY DATA'!G23))</f>
        <v/>
      </c>
      <c r="H23" s="12"/>
      <c r="I23" s="12"/>
      <c r="J23" s="66" t="str">
        <f>IF(AND('ENTRY DATA'!J23=""),"",('ENTRY DATA'!J23))</f>
        <v/>
      </c>
      <c r="K23" s="89" t="str">
        <f>IF(AND('ENTRY DATA'!K23=""),"",('ENTRY DATA'!K23))</f>
        <v/>
      </c>
      <c r="L23" s="89" t="str">
        <f>IF(AND('ENTRY DATA'!L23=""),"",('ENTRY DATA'!L23))</f>
        <v/>
      </c>
      <c r="M23" s="89" t="str">
        <f>IF(AND('ENTRY DATA'!M23=""),"",('ENTRY DATA'!M23))</f>
        <v/>
      </c>
      <c r="N23" s="67" t="str">
        <f>IF(AND('ENTRY DATA'!N23=""),"",('ENTRY DATA'!N23))</f>
        <v/>
      </c>
      <c r="O23" s="12"/>
      <c r="P23" s="66">
        <f>'SET 1 PLAYERS'!O23</f>
        <v>0</v>
      </c>
      <c r="Q23" s="67" t="str">
        <f>'SET 1 PLAYERS'!P23</f>
        <v/>
      </c>
      <c r="R23" s="14"/>
      <c r="S23" s="111" t="e">
        <f t="shared" si="0"/>
        <v>#VALUE!</v>
      </c>
      <c r="T23" s="112" t="e">
        <f t="shared" si="1"/>
        <v>#VALUE!</v>
      </c>
      <c r="U23" s="12"/>
      <c r="V23" s="95" t="str">
        <f>'SET 1 PLAYERS'!Q23</f>
        <v/>
      </c>
      <c r="W23" s="12"/>
    </row>
    <row r="24" spans="2:23" x14ac:dyDescent="0.25">
      <c r="B24" s="88" t="str">
        <f>'SET 1 PLAYERS'!G24</f>
        <v>CLASS 1</v>
      </c>
      <c r="C24" t="str">
        <f>IF(AND('ENTRY DATA'!C24=""),"",('ENTRY DATA'!C24))</f>
        <v/>
      </c>
      <c r="D24" t="str">
        <f>IF(AND('ENTRY DATA'!D24=""),"",('ENTRY DATA'!D24))</f>
        <v/>
      </c>
      <c r="E24" s="12"/>
      <c r="F24" t="str">
        <f>IF(AND('ENTRY DATA'!F24=""),"",('ENTRY DATA'!F24))</f>
        <v/>
      </c>
      <c r="G24" t="str">
        <f>IF(AND('ENTRY DATA'!G24=""),"",('ENTRY DATA'!G24))</f>
        <v/>
      </c>
      <c r="H24" s="12"/>
      <c r="I24" s="12"/>
      <c r="J24" s="66" t="str">
        <f>IF(AND('ENTRY DATA'!J24=""),"",('ENTRY DATA'!J24))</f>
        <v/>
      </c>
      <c r="K24" s="89" t="str">
        <f>IF(AND('ENTRY DATA'!K24=""),"",('ENTRY DATA'!K24))</f>
        <v/>
      </c>
      <c r="L24" s="89" t="str">
        <f>IF(AND('ENTRY DATA'!L24=""),"",('ENTRY DATA'!L24))</f>
        <v/>
      </c>
      <c r="M24" s="89" t="str">
        <f>IF(AND('ENTRY DATA'!M24=""),"",('ENTRY DATA'!M24))</f>
        <v/>
      </c>
      <c r="N24" s="67" t="str">
        <f>IF(AND('ENTRY DATA'!N24=""),"",('ENTRY DATA'!N24))</f>
        <v/>
      </c>
      <c r="O24" s="12"/>
      <c r="P24" s="66">
        <f>'SET 1 PLAYERS'!O24</f>
        <v>0</v>
      </c>
      <c r="Q24" s="67" t="str">
        <f>'SET 1 PLAYERS'!P24</f>
        <v/>
      </c>
      <c r="R24" s="14"/>
      <c r="S24" s="111" t="e">
        <f t="shared" si="0"/>
        <v>#VALUE!</v>
      </c>
      <c r="T24" s="112" t="e">
        <f t="shared" si="1"/>
        <v>#VALUE!</v>
      </c>
      <c r="U24" s="12"/>
      <c r="V24" s="95" t="str">
        <f>'SET 1 PLAYERS'!Q24</f>
        <v/>
      </c>
      <c r="W24" s="12"/>
    </row>
    <row r="25" spans="2:23" x14ac:dyDescent="0.25">
      <c r="B25" s="88" t="str">
        <f>'SET 1 PLAYERS'!G25</f>
        <v>CLASS 1</v>
      </c>
      <c r="C25" t="str">
        <f>IF(AND('ENTRY DATA'!C25=""),"",('ENTRY DATA'!C25))</f>
        <v/>
      </c>
      <c r="D25" t="str">
        <f>IF(AND('ENTRY DATA'!D25=""),"",('ENTRY DATA'!D25))</f>
        <v/>
      </c>
      <c r="E25" s="12"/>
      <c r="F25" t="str">
        <f>IF(AND('ENTRY DATA'!F25=""),"",('ENTRY DATA'!F25))</f>
        <v/>
      </c>
      <c r="G25" t="str">
        <f>IF(AND('ENTRY DATA'!G25=""),"",('ENTRY DATA'!G25))</f>
        <v/>
      </c>
      <c r="H25" s="12"/>
      <c r="I25" s="12"/>
      <c r="J25" s="66" t="str">
        <f>IF(AND('ENTRY DATA'!J25=""),"",('ENTRY DATA'!J25))</f>
        <v/>
      </c>
      <c r="K25" s="89" t="str">
        <f>IF(AND('ENTRY DATA'!K25=""),"",('ENTRY DATA'!K25))</f>
        <v/>
      </c>
      <c r="L25" s="89" t="str">
        <f>IF(AND('ENTRY DATA'!L25=""),"",('ENTRY DATA'!L25))</f>
        <v/>
      </c>
      <c r="M25" s="89" t="str">
        <f>IF(AND('ENTRY DATA'!M25=""),"",('ENTRY DATA'!M25))</f>
        <v/>
      </c>
      <c r="N25" s="67" t="str">
        <f>IF(AND('ENTRY DATA'!N25=""),"",('ENTRY DATA'!N25))</f>
        <v/>
      </c>
      <c r="O25" s="12"/>
      <c r="P25" s="66">
        <f>'SET 1 PLAYERS'!O25</f>
        <v>0</v>
      </c>
      <c r="Q25" s="67" t="str">
        <f>'SET 1 PLAYERS'!P25</f>
        <v/>
      </c>
      <c r="R25" s="14"/>
      <c r="S25" s="111" t="e">
        <f t="shared" si="0"/>
        <v>#VALUE!</v>
      </c>
      <c r="T25" s="112" t="e">
        <f t="shared" si="1"/>
        <v>#VALUE!</v>
      </c>
      <c r="U25" s="12"/>
      <c r="V25" s="95" t="str">
        <f>'SET 1 PLAYERS'!Q25</f>
        <v/>
      </c>
      <c r="W25" s="12"/>
    </row>
    <row r="26" spans="2:23" x14ac:dyDescent="0.25">
      <c r="B26" s="88" t="str">
        <f>'SET 1 PLAYERS'!G26</f>
        <v>CLASS 1</v>
      </c>
      <c r="C26" t="str">
        <f>IF(AND('ENTRY DATA'!C26=""),"",('ENTRY DATA'!C26))</f>
        <v/>
      </c>
      <c r="D26" t="str">
        <f>IF(AND('ENTRY DATA'!D26=""),"",('ENTRY DATA'!D26))</f>
        <v/>
      </c>
      <c r="E26" s="12"/>
      <c r="F26" t="str">
        <f>IF(AND('ENTRY DATA'!F26=""),"",('ENTRY DATA'!F26))</f>
        <v/>
      </c>
      <c r="G26" t="str">
        <f>IF(AND('ENTRY DATA'!G26=""),"",('ENTRY DATA'!G26))</f>
        <v/>
      </c>
      <c r="H26" s="12"/>
      <c r="I26" s="12"/>
      <c r="J26" s="66" t="str">
        <f>IF(AND('ENTRY DATA'!J26=""),"",('ENTRY DATA'!J26))</f>
        <v/>
      </c>
      <c r="K26" s="89" t="str">
        <f>IF(AND('ENTRY DATA'!K26=""),"",('ENTRY DATA'!K26))</f>
        <v/>
      </c>
      <c r="L26" s="89" t="str">
        <f>IF(AND('ENTRY DATA'!L26=""),"",('ENTRY DATA'!L26))</f>
        <v/>
      </c>
      <c r="M26" s="89" t="str">
        <f>IF(AND('ENTRY DATA'!M26=""),"",('ENTRY DATA'!M26))</f>
        <v/>
      </c>
      <c r="N26" s="67" t="str">
        <f>IF(AND('ENTRY DATA'!N26=""),"",('ENTRY DATA'!N26))</f>
        <v/>
      </c>
      <c r="O26" s="12"/>
      <c r="P26" s="66">
        <f>'SET 1 PLAYERS'!O26</f>
        <v>0</v>
      </c>
      <c r="Q26" s="67" t="str">
        <f>'SET 1 PLAYERS'!P26</f>
        <v/>
      </c>
      <c r="R26" s="14"/>
      <c r="S26" s="111" t="e">
        <f t="shared" si="0"/>
        <v>#VALUE!</v>
      </c>
      <c r="T26" s="112" t="e">
        <f t="shared" si="1"/>
        <v>#VALUE!</v>
      </c>
      <c r="U26" s="12"/>
      <c r="V26" s="95" t="str">
        <f>'SET 1 PLAYERS'!Q26</f>
        <v/>
      </c>
      <c r="W26" s="12"/>
    </row>
    <row r="27" spans="2:23" x14ac:dyDescent="0.25">
      <c r="B27" s="88" t="str">
        <f>'SET 1 PLAYERS'!G27</f>
        <v>CLASS 1</v>
      </c>
      <c r="C27" t="str">
        <f>IF(AND('ENTRY DATA'!C27=""),"",('ENTRY DATA'!C27))</f>
        <v/>
      </c>
      <c r="D27" t="str">
        <f>IF(AND('ENTRY DATA'!D27=""),"",('ENTRY DATA'!D27))</f>
        <v/>
      </c>
      <c r="E27" s="12"/>
      <c r="F27" t="str">
        <f>IF(AND('ENTRY DATA'!F27=""),"",('ENTRY DATA'!F27))</f>
        <v/>
      </c>
      <c r="G27" t="str">
        <f>IF(AND('ENTRY DATA'!G27=""),"",('ENTRY DATA'!G27))</f>
        <v/>
      </c>
      <c r="H27" s="12"/>
      <c r="I27" s="12"/>
      <c r="J27" s="66" t="str">
        <f>IF(AND('ENTRY DATA'!J27=""),"",('ENTRY DATA'!J27))</f>
        <v/>
      </c>
      <c r="K27" s="89" t="str">
        <f>IF(AND('ENTRY DATA'!K27=""),"",('ENTRY DATA'!K27))</f>
        <v/>
      </c>
      <c r="L27" s="89" t="str">
        <f>IF(AND('ENTRY DATA'!L27=""),"",('ENTRY DATA'!L27))</f>
        <v/>
      </c>
      <c r="M27" s="89" t="str">
        <f>IF(AND('ENTRY DATA'!M27=""),"",('ENTRY DATA'!M27))</f>
        <v/>
      </c>
      <c r="N27" s="67" t="str">
        <f>IF(AND('ENTRY DATA'!N27=""),"",('ENTRY DATA'!N27))</f>
        <v/>
      </c>
      <c r="O27" s="12"/>
      <c r="P27" s="66">
        <f>'SET 1 PLAYERS'!O27</f>
        <v>0</v>
      </c>
      <c r="Q27" s="67" t="str">
        <f>'SET 1 PLAYERS'!P27</f>
        <v/>
      </c>
      <c r="R27" s="14"/>
      <c r="S27" s="111" t="e">
        <f t="shared" si="0"/>
        <v>#VALUE!</v>
      </c>
      <c r="T27" s="112" t="e">
        <f t="shared" si="1"/>
        <v>#VALUE!</v>
      </c>
      <c r="U27" s="12"/>
      <c r="V27" s="95" t="str">
        <f>'SET 1 PLAYERS'!Q27</f>
        <v/>
      </c>
      <c r="W27" s="12"/>
    </row>
    <row r="28" spans="2:23" x14ac:dyDescent="0.25">
      <c r="B28" s="88" t="str">
        <f>'SET 1 PLAYERS'!G28</f>
        <v>CLASS 1</v>
      </c>
      <c r="C28" t="str">
        <f>IF(AND('ENTRY DATA'!C28=""),"",('ENTRY DATA'!C28))</f>
        <v/>
      </c>
      <c r="D28" t="str">
        <f>IF(AND('ENTRY DATA'!D28=""),"",('ENTRY DATA'!D28))</f>
        <v/>
      </c>
      <c r="E28" s="12"/>
      <c r="F28" t="str">
        <f>IF(AND('ENTRY DATA'!F28=""),"",('ENTRY DATA'!F28))</f>
        <v/>
      </c>
      <c r="G28" t="str">
        <f>IF(AND('ENTRY DATA'!G28=""),"",('ENTRY DATA'!G28))</f>
        <v/>
      </c>
      <c r="H28" s="12"/>
      <c r="I28" s="12"/>
      <c r="J28" s="66" t="str">
        <f>IF(AND('ENTRY DATA'!J28=""),"",('ENTRY DATA'!J28))</f>
        <v/>
      </c>
      <c r="K28" s="89" t="str">
        <f>IF(AND('ENTRY DATA'!K28=""),"",('ENTRY DATA'!K28))</f>
        <v/>
      </c>
      <c r="L28" s="89" t="str">
        <f>IF(AND('ENTRY DATA'!L28=""),"",('ENTRY DATA'!L28))</f>
        <v/>
      </c>
      <c r="M28" s="89" t="str">
        <f>IF(AND('ENTRY DATA'!M28=""),"",('ENTRY DATA'!M28))</f>
        <v/>
      </c>
      <c r="N28" s="67" t="str">
        <f>IF(AND('ENTRY DATA'!N28=""),"",('ENTRY DATA'!N28))</f>
        <v/>
      </c>
      <c r="O28" s="12"/>
      <c r="P28" s="66">
        <f>'SET 1 PLAYERS'!O28</f>
        <v>0</v>
      </c>
      <c r="Q28" s="67" t="str">
        <f>'SET 1 PLAYERS'!P28</f>
        <v/>
      </c>
      <c r="R28" s="14"/>
      <c r="S28" s="111" t="e">
        <f t="shared" si="0"/>
        <v>#VALUE!</v>
      </c>
      <c r="T28" s="112" t="e">
        <f t="shared" si="1"/>
        <v>#VALUE!</v>
      </c>
      <c r="U28" s="12"/>
      <c r="V28" s="95" t="str">
        <f>'SET 1 PLAYERS'!Q28</f>
        <v/>
      </c>
      <c r="W28" s="12"/>
    </row>
    <row r="29" spans="2:23" x14ac:dyDescent="0.25">
      <c r="B29" s="88" t="str">
        <f>'SET 1 PLAYERS'!G29</f>
        <v>CLASS 1</v>
      </c>
      <c r="C29" t="str">
        <f>IF(AND('ENTRY DATA'!C29=""),"",('ENTRY DATA'!C29))</f>
        <v/>
      </c>
      <c r="D29" t="str">
        <f>IF(AND('ENTRY DATA'!D29=""),"",('ENTRY DATA'!D29))</f>
        <v/>
      </c>
      <c r="E29" s="12"/>
      <c r="F29" t="str">
        <f>IF(AND('ENTRY DATA'!F29=""),"",('ENTRY DATA'!F29))</f>
        <v/>
      </c>
      <c r="G29" t="str">
        <f>IF(AND('ENTRY DATA'!G29=""),"",('ENTRY DATA'!G29))</f>
        <v/>
      </c>
      <c r="H29" s="12"/>
      <c r="I29" s="12"/>
      <c r="J29" s="66" t="str">
        <f>IF(AND('ENTRY DATA'!J29=""),"",('ENTRY DATA'!J29))</f>
        <v/>
      </c>
      <c r="K29" s="89" t="str">
        <f>IF(AND('ENTRY DATA'!K29=""),"",('ENTRY DATA'!K29))</f>
        <v/>
      </c>
      <c r="L29" s="89" t="str">
        <f>IF(AND('ENTRY DATA'!L29=""),"",('ENTRY DATA'!L29))</f>
        <v/>
      </c>
      <c r="M29" s="89" t="str">
        <f>IF(AND('ENTRY DATA'!M29=""),"",('ENTRY DATA'!M29))</f>
        <v/>
      </c>
      <c r="N29" s="67" t="str">
        <f>IF(AND('ENTRY DATA'!N29=""),"",('ENTRY DATA'!N29))</f>
        <v/>
      </c>
      <c r="O29" s="12"/>
      <c r="P29" s="66">
        <f>'SET 1 PLAYERS'!O29</f>
        <v>0</v>
      </c>
      <c r="Q29" s="67" t="str">
        <f>'SET 1 PLAYERS'!P29</f>
        <v/>
      </c>
      <c r="R29" s="14"/>
      <c r="S29" s="111" t="e">
        <f t="shared" si="0"/>
        <v>#VALUE!</v>
      </c>
      <c r="T29" s="112" t="e">
        <f t="shared" si="1"/>
        <v>#VALUE!</v>
      </c>
      <c r="U29" s="12"/>
      <c r="V29" s="95" t="str">
        <f>'SET 1 PLAYERS'!Q29</f>
        <v/>
      </c>
      <c r="W29" s="12"/>
    </row>
    <row r="30" spans="2:23" x14ac:dyDescent="0.25">
      <c r="B30" s="88" t="str">
        <f>'SET 1 PLAYERS'!G30</f>
        <v>CLASS 1</v>
      </c>
      <c r="C30" t="str">
        <f>IF(AND('ENTRY DATA'!C30=""),"",('ENTRY DATA'!C30))</f>
        <v/>
      </c>
      <c r="D30" t="str">
        <f>IF(AND('ENTRY DATA'!D30=""),"",('ENTRY DATA'!D30))</f>
        <v/>
      </c>
      <c r="E30" s="12"/>
      <c r="F30" t="str">
        <f>IF(AND('ENTRY DATA'!F30=""),"",('ENTRY DATA'!F30))</f>
        <v/>
      </c>
      <c r="G30" t="str">
        <f>IF(AND('ENTRY DATA'!G30=""),"",('ENTRY DATA'!G30))</f>
        <v/>
      </c>
      <c r="H30" s="12"/>
      <c r="I30" s="12"/>
      <c r="J30" s="66" t="str">
        <f>IF(AND('ENTRY DATA'!J30=""),"",('ENTRY DATA'!J30))</f>
        <v/>
      </c>
      <c r="K30" s="89" t="str">
        <f>IF(AND('ENTRY DATA'!K30=""),"",('ENTRY DATA'!K30))</f>
        <v/>
      </c>
      <c r="L30" s="89" t="str">
        <f>IF(AND('ENTRY DATA'!L30=""),"",('ENTRY DATA'!L30))</f>
        <v/>
      </c>
      <c r="M30" s="89" t="str">
        <f>IF(AND('ENTRY DATA'!M30=""),"",('ENTRY DATA'!M30))</f>
        <v/>
      </c>
      <c r="N30" s="67" t="str">
        <f>IF(AND('ENTRY DATA'!N30=""),"",('ENTRY DATA'!N30))</f>
        <v/>
      </c>
      <c r="O30" s="12"/>
      <c r="P30" s="66">
        <f>'SET 1 PLAYERS'!O30</f>
        <v>0</v>
      </c>
      <c r="Q30" s="67" t="str">
        <f>'SET 1 PLAYERS'!P30</f>
        <v/>
      </c>
      <c r="R30" s="14"/>
      <c r="S30" s="111" t="e">
        <f t="shared" si="0"/>
        <v>#VALUE!</v>
      </c>
      <c r="T30" s="112" t="e">
        <f t="shared" si="1"/>
        <v>#VALUE!</v>
      </c>
      <c r="U30" s="12"/>
      <c r="V30" s="95" t="str">
        <f>'SET 1 PLAYERS'!Q30</f>
        <v/>
      </c>
      <c r="W30" s="12"/>
    </row>
    <row r="31" spans="2:23" x14ac:dyDescent="0.25">
      <c r="B31" s="88" t="str">
        <f>'SET 1 PLAYERS'!G31</f>
        <v>CLASS 1</v>
      </c>
      <c r="C31" t="str">
        <f>IF(AND('ENTRY DATA'!C31=""),"",('ENTRY DATA'!C31))</f>
        <v/>
      </c>
      <c r="D31" t="str">
        <f>IF(AND('ENTRY DATA'!D31=""),"",('ENTRY DATA'!D31))</f>
        <v/>
      </c>
      <c r="E31" s="12"/>
      <c r="F31" t="str">
        <f>IF(AND('ENTRY DATA'!F31=""),"",('ENTRY DATA'!F31))</f>
        <v/>
      </c>
      <c r="G31" t="str">
        <f>IF(AND('ENTRY DATA'!G31=""),"",('ENTRY DATA'!G31))</f>
        <v/>
      </c>
      <c r="H31" s="12"/>
      <c r="I31" s="12"/>
      <c r="J31" s="66" t="str">
        <f>IF(AND('ENTRY DATA'!J31=""),"",('ENTRY DATA'!J31))</f>
        <v/>
      </c>
      <c r="K31" s="89" t="str">
        <f>IF(AND('ENTRY DATA'!K31=""),"",('ENTRY DATA'!K31))</f>
        <v/>
      </c>
      <c r="L31" s="89" t="str">
        <f>IF(AND('ENTRY DATA'!L31=""),"",('ENTRY DATA'!L31))</f>
        <v/>
      </c>
      <c r="M31" s="89" t="str">
        <f>IF(AND('ENTRY DATA'!M31=""),"",('ENTRY DATA'!M31))</f>
        <v/>
      </c>
      <c r="N31" s="67" t="str">
        <f>IF(AND('ENTRY DATA'!N31=""),"",('ENTRY DATA'!N31))</f>
        <v/>
      </c>
      <c r="O31" s="12"/>
      <c r="P31" s="66">
        <f>'SET 1 PLAYERS'!O31</f>
        <v>0</v>
      </c>
      <c r="Q31" s="67" t="str">
        <f>'SET 1 PLAYERS'!P31</f>
        <v/>
      </c>
      <c r="R31" s="14"/>
      <c r="S31" s="111" t="e">
        <f t="shared" si="0"/>
        <v>#VALUE!</v>
      </c>
      <c r="T31" s="112" t="e">
        <f t="shared" si="1"/>
        <v>#VALUE!</v>
      </c>
      <c r="U31" s="12"/>
      <c r="V31" s="95" t="str">
        <f>'SET 1 PLAYERS'!Q31</f>
        <v/>
      </c>
      <c r="W31" s="12"/>
    </row>
    <row r="32" spans="2:23" x14ac:dyDescent="0.25">
      <c r="B32" s="88" t="str">
        <f>'SET 1 PLAYERS'!G32</f>
        <v>CLASS 1</v>
      </c>
      <c r="C32" t="str">
        <f>IF(AND('ENTRY DATA'!C32=""),"",('ENTRY DATA'!C32))</f>
        <v/>
      </c>
      <c r="D32" t="str">
        <f>IF(AND('ENTRY DATA'!D32=""),"",('ENTRY DATA'!D32))</f>
        <v/>
      </c>
      <c r="E32" s="12"/>
      <c r="F32" t="str">
        <f>IF(AND('ENTRY DATA'!F32=""),"",('ENTRY DATA'!F32))</f>
        <v/>
      </c>
      <c r="G32" t="str">
        <f>IF(AND('ENTRY DATA'!G32=""),"",('ENTRY DATA'!G32))</f>
        <v/>
      </c>
      <c r="H32" s="12"/>
      <c r="I32" s="12"/>
      <c r="J32" s="66" t="str">
        <f>IF(AND('ENTRY DATA'!J32=""),"",('ENTRY DATA'!J32))</f>
        <v/>
      </c>
      <c r="K32" s="89" t="str">
        <f>IF(AND('ENTRY DATA'!K32=""),"",('ENTRY DATA'!K32))</f>
        <v/>
      </c>
      <c r="L32" s="89" t="str">
        <f>IF(AND('ENTRY DATA'!L32=""),"",('ENTRY DATA'!L32))</f>
        <v/>
      </c>
      <c r="M32" s="89" t="str">
        <f>IF(AND('ENTRY DATA'!M32=""),"",('ENTRY DATA'!M32))</f>
        <v/>
      </c>
      <c r="N32" s="67" t="str">
        <f>IF(AND('ENTRY DATA'!N32=""),"",('ENTRY DATA'!N32))</f>
        <v/>
      </c>
      <c r="O32" s="12"/>
      <c r="P32" s="66">
        <f>'SET 1 PLAYERS'!O32</f>
        <v>0</v>
      </c>
      <c r="Q32" s="67" t="str">
        <f>'SET 1 PLAYERS'!P32</f>
        <v/>
      </c>
      <c r="R32" s="14"/>
      <c r="S32" s="111" t="e">
        <f t="shared" si="0"/>
        <v>#VALUE!</v>
      </c>
      <c r="T32" s="112" t="e">
        <f t="shared" si="1"/>
        <v>#VALUE!</v>
      </c>
      <c r="U32" s="12"/>
      <c r="V32" s="95" t="str">
        <f>'SET 1 PLAYERS'!Q32</f>
        <v/>
      </c>
      <c r="W32" s="12"/>
    </row>
    <row r="33" spans="2:23" x14ac:dyDescent="0.25">
      <c r="B33" s="88" t="str">
        <f>'SET 1 PLAYERS'!G33</f>
        <v>CLASS 1</v>
      </c>
      <c r="C33" t="str">
        <f>IF(AND('ENTRY DATA'!C33=""),"",('ENTRY DATA'!C33))</f>
        <v/>
      </c>
      <c r="D33" t="str">
        <f>IF(AND('ENTRY DATA'!D33=""),"",('ENTRY DATA'!D33))</f>
        <v/>
      </c>
      <c r="E33" s="12"/>
      <c r="F33" t="str">
        <f>IF(AND('ENTRY DATA'!F33=""),"",('ENTRY DATA'!F33))</f>
        <v/>
      </c>
      <c r="G33" t="str">
        <f>IF(AND('ENTRY DATA'!G33=""),"",('ENTRY DATA'!G33))</f>
        <v/>
      </c>
      <c r="H33" s="12"/>
      <c r="I33" s="12"/>
      <c r="J33" s="66" t="str">
        <f>IF(AND('ENTRY DATA'!J33=""),"",('ENTRY DATA'!J33))</f>
        <v/>
      </c>
      <c r="K33" s="89" t="str">
        <f>IF(AND('ENTRY DATA'!K33=""),"",('ENTRY DATA'!K33))</f>
        <v/>
      </c>
      <c r="L33" s="89" t="str">
        <f>IF(AND('ENTRY DATA'!L33=""),"",('ENTRY DATA'!L33))</f>
        <v/>
      </c>
      <c r="M33" s="89" t="str">
        <f>IF(AND('ENTRY DATA'!M33=""),"",('ENTRY DATA'!M33))</f>
        <v/>
      </c>
      <c r="N33" s="67" t="str">
        <f>IF(AND('ENTRY DATA'!N33=""),"",('ENTRY DATA'!N33))</f>
        <v/>
      </c>
      <c r="O33" s="12"/>
      <c r="P33" s="66">
        <f>'SET 1 PLAYERS'!O33</f>
        <v>0</v>
      </c>
      <c r="Q33" s="67" t="str">
        <f>'SET 1 PLAYERS'!P33</f>
        <v/>
      </c>
      <c r="R33" s="14"/>
      <c r="S33" s="111" t="e">
        <f t="shared" si="0"/>
        <v>#VALUE!</v>
      </c>
      <c r="T33" s="112" t="e">
        <f t="shared" si="1"/>
        <v>#VALUE!</v>
      </c>
      <c r="U33" s="12"/>
      <c r="V33" s="95" t="str">
        <f>'SET 1 PLAYERS'!Q33</f>
        <v/>
      </c>
      <c r="W33" s="12"/>
    </row>
    <row r="34" spans="2:23" x14ac:dyDescent="0.25">
      <c r="B34" s="88" t="str">
        <f>'SET 1 PLAYERS'!G34</f>
        <v>CLASS 1</v>
      </c>
      <c r="C34" t="str">
        <f>IF(AND('ENTRY DATA'!C34=""),"",('ENTRY DATA'!C34))</f>
        <v/>
      </c>
      <c r="D34" t="str">
        <f>IF(AND('ENTRY DATA'!D34=""),"",('ENTRY DATA'!D34))</f>
        <v/>
      </c>
      <c r="E34" s="12"/>
      <c r="F34" t="str">
        <f>IF(AND('ENTRY DATA'!F34=""),"",('ENTRY DATA'!F34))</f>
        <v/>
      </c>
      <c r="G34" t="str">
        <f>IF(AND('ENTRY DATA'!G34=""),"",('ENTRY DATA'!G34))</f>
        <v/>
      </c>
      <c r="H34" s="12"/>
      <c r="I34" s="12"/>
      <c r="J34" s="66" t="str">
        <f>IF(AND('ENTRY DATA'!J34=""),"",('ENTRY DATA'!J34))</f>
        <v/>
      </c>
      <c r="K34" s="89" t="str">
        <f>IF(AND('ENTRY DATA'!K34=""),"",('ENTRY DATA'!K34))</f>
        <v/>
      </c>
      <c r="L34" s="89" t="str">
        <f>IF(AND('ENTRY DATA'!L34=""),"",('ENTRY DATA'!L34))</f>
        <v/>
      </c>
      <c r="M34" s="89" t="str">
        <f>IF(AND('ENTRY DATA'!M34=""),"",('ENTRY DATA'!M34))</f>
        <v/>
      </c>
      <c r="N34" s="67" t="str">
        <f>IF(AND('ENTRY DATA'!N34=""),"",('ENTRY DATA'!N34))</f>
        <v/>
      </c>
      <c r="O34" s="12"/>
      <c r="P34" s="66">
        <f>'SET 1 PLAYERS'!O34</f>
        <v>0</v>
      </c>
      <c r="Q34" s="67" t="str">
        <f>'SET 1 PLAYERS'!P34</f>
        <v/>
      </c>
      <c r="R34" s="14"/>
      <c r="S34" s="111" t="e">
        <f t="shared" si="0"/>
        <v>#VALUE!</v>
      </c>
      <c r="T34" s="112" t="e">
        <f t="shared" si="1"/>
        <v>#VALUE!</v>
      </c>
      <c r="U34" s="12"/>
      <c r="V34" s="95" t="str">
        <f>'SET 1 PLAYERS'!Q34</f>
        <v/>
      </c>
      <c r="W34" s="12"/>
    </row>
    <row r="35" spans="2:23" x14ac:dyDescent="0.25">
      <c r="B35" s="88" t="str">
        <f>'SET 1 PLAYERS'!G35</f>
        <v>CLASS 1</v>
      </c>
      <c r="C35" t="str">
        <f>IF(AND('ENTRY DATA'!C35=""),"",('ENTRY DATA'!C35))</f>
        <v/>
      </c>
      <c r="D35" t="str">
        <f>IF(AND('ENTRY DATA'!D35=""),"",('ENTRY DATA'!D35))</f>
        <v/>
      </c>
      <c r="E35" s="12"/>
      <c r="F35" t="str">
        <f>IF(AND('ENTRY DATA'!F35=""),"",('ENTRY DATA'!F35))</f>
        <v/>
      </c>
      <c r="G35" t="str">
        <f>IF(AND('ENTRY DATA'!G35=""),"",('ENTRY DATA'!G35))</f>
        <v/>
      </c>
      <c r="H35" s="12"/>
      <c r="I35" s="12"/>
      <c r="J35" s="66" t="str">
        <f>IF(AND('ENTRY DATA'!J35=""),"",('ENTRY DATA'!J35))</f>
        <v/>
      </c>
      <c r="K35" s="89" t="str">
        <f>IF(AND('ENTRY DATA'!K35=""),"",('ENTRY DATA'!K35))</f>
        <v/>
      </c>
      <c r="L35" s="89" t="str">
        <f>IF(AND('ENTRY DATA'!L35=""),"",('ENTRY DATA'!L35))</f>
        <v/>
      </c>
      <c r="M35" s="89" t="str">
        <f>IF(AND('ENTRY DATA'!M35=""),"",('ENTRY DATA'!M35))</f>
        <v/>
      </c>
      <c r="N35" s="67" t="str">
        <f>IF(AND('ENTRY DATA'!N35=""),"",('ENTRY DATA'!N35))</f>
        <v/>
      </c>
      <c r="O35" s="12"/>
      <c r="P35" s="66">
        <f>'SET 1 PLAYERS'!O35</f>
        <v>0</v>
      </c>
      <c r="Q35" s="67" t="str">
        <f>'SET 1 PLAYERS'!P35</f>
        <v/>
      </c>
      <c r="R35" s="14"/>
      <c r="S35" s="111" t="e">
        <f t="shared" si="0"/>
        <v>#VALUE!</v>
      </c>
      <c r="T35" s="112" t="e">
        <f t="shared" si="1"/>
        <v>#VALUE!</v>
      </c>
      <c r="U35" s="12"/>
      <c r="V35" s="95" t="str">
        <f>'SET 1 PLAYERS'!Q35</f>
        <v/>
      </c>
      <c r="W35" s="12"/>
    </row>
    <row r="36" spans="2:23" x14ac:dyDescent="0.25">
      <c r="B36" s="88" t="str">
        <f>'SET 1 PLAYERS'!G36</f>
        <v>CLASS 1</v>
      </c>
      <c r="C36" t="str">
        <f>IF(AND('ENTRY DATA'!C36=""),"",('ENTRY DATA'!C36))</f>
        <v/>
      </c>
      <c r="D36" t="str">
        <f>IF(AND('ENTRY DATA'!D36=""),"",('ENTRY DATA'!D36))</f>
        <v/>
      </c>
      <c r="E36" s="12"/>
      <c r="F36" t="str">
        <f>IF(AND('ENTRY DATA'!F36=""),"",('ENTRY DATA'!F36))</f>
        <v/>
      </c>
      <c r="G36" t="str">
        <f>IF(AND('ENTRY DATA'!G36=""),"",('ENTRY DATA'!G36))</f>
        <v/>
      </c>
      <c r="H36" s="12"/>
      <c r="I36" s="12"/>
      <c r="J36" s="66" t="str">
        <f>IF(AND('ENTRY DATA'!J36=""),"",('ENTRY DATA'!J36))</f>
        <v/>
      </c>
      <c r="K36" s="89" t="str">
        <f>IF(AND('ENTRY DATA'!K36=""),"",('ENTRY DATA'!K36))</f>
        <v/>
      </c>
      <c r="L36" s="89" t="str">
        <f>IF(AND('ENTRY DATA'!L36=""),"",('ENTRY DATA'!L36))</f>
        <v/>
      </c>
      <c r="M36" s="89" t="str">
        <f>IF(AND('ENTRY DATA'!M36=""),"",('ENTRY DATA'!M36))</f>
        <v/>
      </c>
      <c r="N36" s="67" t="str">
        <f>IF(AND('ENTRY DATA'!N36=""),"",('ENTRY DATA'!N36))</f>
        <v/>
      </c>
      <c r="O36" s="12"/>
      <c r="P36" s="66">
        <f>'SET 1 PLAYERS'!O36</f>
        <v>0</v>
      </c>
      <c r="Q36" s="67" t="str">
        <f>'SET 1 PLAYERS'!P36</f>
        <v/>
      </c>
      <c r="R36" s="14"/>
      <c r="S36" s="111" t="e">
        <f t="shared" si="0"/>
        <v>#VALUE!</v>
      </c>
      <c r="T36" s="112" t="e">
        <f t="shared" si="1"/>
        <v>#VALUE!</v>
      </c>
      <c r="U36" s="12"/>
      <c r="V36" s="95" t="str">
        <f>'SET 1 PLAYERS'!Q36</f>
        <v/>
      </c>
      <c r="W36" s="12"/>
    </row>
    <row r="37" spans="2:23" x14ac:dyDescent="0.25">
      <c r="B37" s="88" t="str">
        <f>'SET 1 PLAYERS'!G37</f>
        <v>CLASS 1</v>
      </c>
      <c r="C37" t="str">
        <f>IF(AND('ENTRY DATA'!C37=""),"",('ENTRY DATA'!C37))</f>
        <v/>
      </c>
      <c r="D37" t="str">
        <f>IF(AND('ENTRY DATA'!D37=""),"",('ENTRY DATA'!D37))</f>
        <v/>
      </c>
      <c r="E37" s="12"/>
      <c r="F37" t="str">
        <f>IF(AND('ENTRY DATA'!F37=""),"",('ENTRY DATA'!F37))</f>
        <v/>
      </c>
      <c r="G37" t="str">
        <f>IF(AND('ENTRY DATA'!G37=""),"",('ENTRY DATA'!G37))</f>
        <v/>
      </c>
      <c r="H37" s="12"/>
      <c r="I37" s="12"/>
      <c r="J37" s="66" t="str">
        <f>IF(AND('ENTRY DATA'!J37=""),"",('ENTRY DATA'!J37))</f>
        <v/>
      </c>
      <c r="K37" s="89" t="str">
        <f>IF(AND('ENTRY DATA'!K37=""),"",('ENTRY DATA'!K37))</f>
        <v/>
      </c>
      <c r="L37" s="89" t="str">
        <f>IF(AND('ENTRY DATA'!L37=""),"",('ENTRY DATA'!L37))</f>
        <v/>
      </c>
      <c r="M37" s="89" t="str">
        <f>IF(AND('ENTRY DATA'!M37=""),"",('ENTRY DATA'!M37))</f>
        <v/>
      </c>
      <c r="N37" s="67" t="str">
        <f>IF(AND('ENTRY DATA'!N37=""),"",('ENTRY DATA'!N37))</f>
        <v/>
      </c>
      <c r="O37" s="12"/>
      <c r="P37" s="66">
        <f>'SET 1 PLAYERS'!O37</f>
        <v>0</v>
      </c>
      <c r="Q37" s="67" t="str">
        <f>'SET 1 PLAYERS'!P37</f>
        <v/>
      </c>
      <c r="R37" s="14"/>
      <c r="S37" s="111" t="e">
        <f t="shared" si="0"/>
        <v>#VALUE!</v>
      </c>
      <c r="T37" s="112" t="e">
        <f t="shared" si="1"/>
        <v>#VALUE!</v>
      </c>
      <c r="U37" s="12"/>
      <c r="V37" s="95" t="str">
        <f>'SET 1 PLAYERS'!Q37</f>
        <v/>
      </c>
      <c r="W37" s="12"/>
    </row>
    <row r="38" spans="2:23" x14ac:dyDescent="0.25">
      <c r="B38" s="88" t="str">
        <f>'SET 1 PLAYERS'!G38</f>
        <v>CLASS 1</v>
      </c>
      <c r="C38" t="str">
        <f>IF(AND('ENTRY DATA'!C38=""),"",('ENTRY DATA'!C38))</f>
        <v/>
      </c>
      <c r="D38" t="str">
        <f>IF(AND('ENTRY DATA'!D38=""),"",('ENTRY DATA'!D38))</f>
        <v/>
      </c>
      <c r="E38" s="12"/>
      <c r="F38" t="str">
        <f>IF(AND('ENTRY DATA'!F38=""),"",('ENTRY DATA'!F38))</f>
        <v/>
      </c>
      <c r="G38" t="str">
        <f>IF(AND('ENTRY DATA'!G38=""),"",('ENTRY DATA'!G38))</f>
        <v/>
      </c>
      <c r="H38" s="12"/>
      <c r="I38" s="12"/>
      <c r="J38" s="66" t="str">
        <f>IF(AND('ENTRY DATA'!J38=""),"",('ENTRY DATA'!J38))</f>
        <v/>
      </c>
      <c r="K38" s="89" t="str">
        <f>IF(AND('ENTRY DATA'!K38=""),"",('ENTRY DATA'!K38))</f>
        <v/>
      </c>
      <c r="L38" s="89" t="str">
        <f>IF(AND('ENTRY DATA'!L38=""),"",('ENTRY DATA'!L38))</f>
        <v/>
      </c>
      <c r="M38" s="89" t="str">
        <f>IF(AND('ENTRY DATA'!M38=""),"",('ENTRY DATA'!M38))</f>
        <v/>
      </c>
      <c r="N38" s="67" t="str">
        <f>IF(AND('ENTRY DATA'!N38=""),"",('ENTRY DATA'!N38))</f>
        <v/>
      </c>
      <c r="O38" s="12"/>
      <c r="P38" s="66">
        <f>'SET 1 PLAYERS'!O38</f>
        <v>0</v>
      </c>
      <c r="Q38" s="67" t="str">
        <f>'SET 1 PLAYERS'!P38</f>
        <v/>
      </c>
      <c r="R38" s="14"/>
      <c r="S38" s="111" t="e">
        <f t="shared" si="0"/>
        <v>#VALUE!</v>
      </c>
      <c r="T38" s="112" t="e">
        <f t="shared" si="1"/>
        <v>#VALUE!</v>
      </c>
      <c r="U38" s="12"/>
      <c r="V38" s="95" t="str">
        <f>'SET 1 PLAYERS'!Q38</f>
        <v/>
      </c>
      <c r="W38" s="12"/>
    </row>
    <row r="39" spans="2:23" x14ac:dyDescent="0.25">
      <c r="B39" s="88" t="str">
        <f>'SET 1 PLAYERS'!G39</f>
        <v>CLASS 1</v>
      </c>
      <c r="C39" t="str">
        <f>IF(AND('ENTRY DATA'!C39=""),"",('ENTRY DATA'!C39))</f>
        <v/>
      </c>
      <c r="D39" t="str">
        <f>IF(AND('ENTRY DATA'!D39=""),"",('ENTRY DATA'!D39))</f>
        <v/>
      </c>
      <c r="E39" s="12"/>
      <c r="F39" t="str">
        <f>IF(AND('ENTRY DATA'!F39=""),"",('ENTRY DATA'!F39))</f>
        <v/>
      </c>
      <c r="G39" t="str">
        <f>IF(AND('ENTRY DATA'!G39=""),"",('ENTRY DATA'!G39))</f>
        <v/>
      </c>
      <c r="H39" s="12"/>
      <c r="I39" s="12"/>
      <c r="J39" s="66" t="str">
        <f>IF(AND('ENTRY DATA'!J39=""),"",('ENTRY DATA'!J39))</f>
        <v/>
      </c>
      <c r="K39" s="89" t="str">
        <f>IF(AND('ENTRY DATA'!K39=""),"",('ENTRY DATA'!K39))</f>
        <v/>
      </c>
      <c r="L39" s="89" t="str">
        <f>IF(AND('ENTRY DATA'!L39=""),"",('ENTRY DATA'!L39))</f>
        <v/>
      </c>
      <c r="M39" s="89" t="str">
        <f>IF(AND('ENTRY DATA'!M39=""),"",('ENTRY DATA'!M39))</f>
        <v/>
      </c>
      <c r="N39" s="67" t="str">
        <f>IF(AND('ENTRY DATA'!N39=""),"",('ENTRY DATA'!N39))</f>
        <v/>
      </c>
      <c r="O39" s="12"/>
      <c r="P39" s="66">
        <f>'SET 1 PLAYERS'!O39</f>
        <v>0</v>
      </c>
      <c r="Q39" s="67" t="str">
        <f>'SET 1 PLAYERS'!P39</f>
        <v/>
      </c>
      <c r="R39" s="14"/>
      <c r="S39" s="111" t="e">
        <f t="shared" si="0"/>
        <v>#VALUE!</v>
      </c>
      <c r="T39" s="112" t="e">
        <f t="shared" si="1"/>
        <v>#VALUE!</v>
      </c>
      <c r="U39" s="12"/>
      <c r="V39" s="95" t="str">
        <f>'SET 1 PLAYERS'!Q39</f>
        <v/>
      </c>
      <c r="W39" s="12"/>
    </row>
    <row r="40" spans="2:23" x14ac:dyDescent="0.25">
      <c r="B40" s="88" t="str">
        <f>'SET 1 PLAYERS'!G40</f>
        <v>CLASS 1</v>
      </c>
      <c r="C40" t="str">
        <f>IF(AND('ENTRY DATA'!C40=""),"",('ENTRY DATA'!C40))</f>
        <v/>
      </c>
      <c r="D40" t="str">
        <f>IF(AND('ENTRY DATA'!D40=""),"",('ENTRY DATA'!D40))</f>
        <v/>
      </c>
      <c r="E40" s="12"/>
      <c r="F40" t="str">
        <f>IF(AND('ENTRY DATA'!F40=""),"",('ENTRY DATA'!F40))</f>
        <v/>
      </c>
      <c r="G40" t="str">
        <f>IF(AND('ENTRY DATA'!G40=""),"",('ENTRY DATA'!G40))</f>
        <v/>
      </c>
      <c r="H40" s="12"/>
      <c r="I40" s="12"/>
      <c r="J40" s="66" t="str">
        <f>IF(AND('ENTRY DATA'!J40=""),"",('ENTRY DATA'!J40))</f>
        <v/>
      </c>
      <c r="K40" s="89" t="str">
        <f>IF(AND('ENTRY DATA'!K40=""),"",('ENTRY DATA'!K40))</f>
        <v/>
      </c>
      <c r="L40" s="89" t="str">
        <f>IF(AND('ENTRY DATA'!L40=""),"",('ENTRY DATA'!L40))</f>
        <v/>
      </c>
      <c r="M40" s="89" t="str">
        <f>IF(AND('ENTRY DATA'!M40=""),"",('ENTRY DATA'!M40))</f>
        <v/>
      </c>
      <c r="N40" s="67" t="str">
        <f>IF(AND('ENTRY DATA'!N40=""),"",('ENTRY DATA'!N40))</f>
        <v/>
      </c>
      <c r="O40" s="12"/>
      <c r="P40" s="66">
        <f>'SET 1 PLAYERS'!O40</f>
        <v>0</v>
      </c>
      <c r="Q40" s="67" t="str">
        <f>'SET 1 PLAYERS'!P40</f>
        <v/>
      </c>
      <c r="R40" s="14"/>
      <c r="S40" s="111" t="e">
        <f t="shared" si="0"/>
        <v>#VALUE!</v>
      </c>
      <c r="T40" s="112" t="e">
        <f t="shared" si="1"/>
        <v>#VALUE!</v>
      </c>
      <c r="U40" s="12"/>
      <c r="V40" s="95" t="str">
        <f>'SET 1 PLAYERS'!Q40</f>
        <v/>
      </c>
      <c r="W40" s="12"/>
    </row>
    <row r="41" spans="2:23" x14ac:dyDescent="0.25">
      <c r="B41" s="88" t="str">
        <f>'SET 1 PLAYERS'!G41</f>
        <v>CLASS 1</v>
      </c>
      <c r="C41" t="str">
        <f>IF(AND('ENTRY DATA'!C41=""),"",('ENTRY DATA'!C41))</f>
        <v/>
      </c>
      <c r="D41" t="str">
        <f>IF(AND('ENTRY DATA'!D41=""),"",('ENTRY DATA'!D41))</f>
        <v/>
      </c>
      <c r="E41" s="12"/>
      <c r="F41" t="str">
        <f>IF(AND('ENTRY DATA'!F41=""),"",('ENTRY DATA'!F41))</f>
        <v/>
      </c>
      <c r="G41" t="str">
        <f>IF(AND('ENTRY DATA'!G41=""),"",('ENTRY DATA'!G41))</f>
        <v/>
      </c>
      <c r="H41" s="12"/>
      <c r="I41" s="12"/>
      <c r="J41" s="66" t="str">
        <f>IF(AND('ENTRY DATA'!J41=""),"",('ENTRY DATA'!J41))</f>
        <v/>
      </c>
      <c r="K41" s="89" t="str">
        <f>IF(AND('ENTRY DATA'!K41=""),"",('ENTRY DATA'!K41))</f>
        <v/>
      </c>
      <c r="L41" s="89" t="str">
        <f>IF(AND('ENTRY DATA'!L41=""),"",('ENTRY DATA'!L41))</f>
        <v/>
      </c>
      <c r="M41" s="89" t="str">
        <f>IF(AND('ENTRY DATA'!M41=""),"",('ENTRY DATA'!M41))</f>
        <v/>
      </c>
      <c r="N41" s="67" t="str">
        <f>IF(AND('ENTRY DATA'!N41=""),"",('ENTRY DATA'!N41))</f>
        <v/>
      </c>
      <c r="O41" s="12"/>
      <c r="P41" s="66">
        <f>'SET 1 PLAYERS'!O41</f>
        <v>0</v>
      </c>
      <c r="Q41" s="67" t="str">
        <f>'SET 1 PLAYERS'!P41</f>
        <v/>
      </c>
      <c r="R41" s="14"/>
      <c r="S41" s="111" t="e">
        <f t="shared" si="0"/>
        <v>#VALUE!</v>
      </c>
      <c r="T41" s="112" t="e">
        <f t="shared" si="1"/>
        <v>#VALUE!</v>
      </c>
      <c r="U41" s="12"/>
      <c r="V41" s="95" t="str">
        <f>'SET 1 PLAYERS'!Q41</f>
        <v/>
      </c>
      <c r="W41" s="12"/>
    </row>
    <row r="42" spans="2:23" x14ac:dyDescent="0.25">
      <c r="B42" s="88" t="str">
        <f>'SET 1 PLAYERS'!G42</f>
        <v>CLASS 1</v>
      </c>
      <c r="C42" t="str">
        <f>IF(AND('ENTRY DATA'!C42=""),"",('ENTRY DATA'!C42))</f>
        <v/>
      </c>
      <c r="D42" t="str">
        <f>IF(AND('ENTRY DATA'!D42=""),"",('ENTRY DATA'!D42))</f>
        <v/>
      </c>
      <c r="E42" s="12"/>
      <c r="F42" t="str">
        <f>IF(AND('ENTRY DATA'!F42=""),"",('ENTRY DATA'!F42))</f>
        <v/>
      </c>
      <c r="G42" t="str">
        <f>IF(AND('ENTRY DATA'!G42=""),"",('ENTRY DATA'!G42))</f>
        <v/>
      </c>
      <c r="H42" s="12"/>
      <c r="I42" s="12"/>
      <c r="J42" s="66" t="str">
        <f>IF(AND('ENTRY DATA'!J42=""),"",('ENTRY DATA'!J42))</f>
        <v/>
      </c>
      <c r="K42" s="89" t="str">
        <f>IF(AND('ENTRY DATA'!K42=""),"",('ENTRY DATA'!K42))</f>
        <v/>
      </c>
      <c r="L42" s="89" t="str">
        <f>IF(AND('ENTRY DATA'!L42=""),"",('ENTRY DATA'!L42))</f>
        <v/>
      </c>
      <c r="M42" s="89" t="str">
        <f>IF(AND('ENTRY DATA'!M42=""),"",('ENTRY DATA'!M42))</f>
        <v/>
      </c>
      <c r="N42" s="67" t="str">
        <f>IF(AND('ENTRY DATA'!N42=""),"",('ENTRY DATA'!N42))</f>
        <v/>
      </c>
      <c r="O42" s="12"/>
      <c r="P42" s="66">
        <f>'SET 1 PLAYERS'!O42</f>
        <v>0</v>
      </c>
      <c r="Q42" s="67" t="str">
        <f>'SET 1 PLAYERS'!P42</f>
        <v/>
      </c>
      <c r="R42" s="14"/>
      <c r="S42" s="111" t="e">
        <f t="shared" si="0"/>
        <v>#VALUE!</v>
      </c>
      <c r="T42" s="112" t="e">
        <f t="shared" si="1"/>
        <v>#VALUE!</v>
      </c>
      <c r="U42" s="12"/>
      <c r="V42" s="95" t="str">
        <f>'SET 1 PLAYERS'!Q42</f>
        <v/>
      </c>
      <c r="W42" s="12"/>
    </row>
    <row r="43" spans="2:23" x14ac:dyDescent="0.25">
      <c r="B43" s="88" t="str">
        <f>'SET 1 PLAYERS'!G43</f>
        <v>CLASS 1</v>
      </c>
      <c r="C43" t="str">
        <f>IF(AND('ENTRY DATA'!C43=""),"",('ENTRY DATA'!C43))</f>
        <v/>
      </c>
      <c r="D43" t="str">
        <f>IF(AND('ENTRY DATA'!D43=""),"",('ENTRY DATA'!D43))</f>
        <v/>
      </c>
      <c r="E43" s="12"/>
      <c r="F43" t="str">
        <f>IF(AND('ENTRY DATA'!F43=""),"",('ENTRY DATA'!F43))</f>
        <v/>
      </c>
      <c r="G43" t="str">
        <f>IF(AND('ENTRY DATA'!G43=""),"",('ENTRY DATA'!G43))</f>
        <v/>
      </c>
      <c r="H43" s="12"/>
      <c r="I43" s="12"/>
      <c r="J43" s="66" t="str">
        <f>IF(AND('ENTRY DATA'!J43=""),"",('ENTRY DATA'!J43))</f>
        <v/>
      </c>
      <c r="K43" s="89" t="str">
        <f>IF(AND('ENTRY DATA'!K43=""),"",('ENTRY DATA'!K43))</f>
        <v/>
      </c>
      <c r="L43" s="89" t="str">
        <f>IF(AND('ENTRY DATA'!L43=""),"",('ENTRY DATA'!L43))</f>
        <v/>
      </c>
      <c r="M43" s="89" t="str">
        <f>IF(AND('ENTRY DATA'!M43=""),"",('ENTRY DATA'!M43))</f>
        <v/>
      </c>
      <c r="N43" s="67" t="str">
        <f>IF(AND('ENTRY DATA'!N43=""),"",('ENTRY DATA'!N43))</f>
        <v/>
      </c>
      <c r="O43" s="12"/>
      <c r="P43" s="66">
        <f>'SET 1 PLAYERS'!O43</f>
        <v>0</v>
      </c>
      <c r="Q43" s="67" t="str">
        <f>'SET 1 PLAYERS'!P43</f>
        <v/>
      </c>
      <c r="R43" s="14"/>
      <c r="S43" s="111" t="e">
        <f t="shared" si="0"/>
        <v>#VALUE!</v>
      </c>
      <c r="T43" s="112" t="e">
        <f t="shared" si="1"/>
        <v>#VALUE!</v>
      </c>
      <c r="U43" s="12"/>
      <c r="V43" s="95" t="str">
        <f>'SET 1 PLAYERS'!Q43</f>
        <v/>
      </c>
      <c r="W43" s="12"/>
    </row>
    <row r="44" spans="2:23" x14ac:dyDescent="0.25">
      <c r="B44" s="88" t="str">
        <f>'SET 1 PLAYERS'!G44</f>
        <v>CLASS 1</v>
      </c>
      <c r="C44" t="str">
        <f>IF(AND('ENTRY DATA'!C44=""),"",('ENTRY DATA'!C44))</f>
        <v/>
      </c>
      <c r="D44" t="str">
        <f>IF(AND('ENTRY DATA'!D44=""),"",('ENTRY DATA'!D44))</f>
        <v/>
      </c>
      <c r="E44" s="12"/>
      <c r="F44" t="str">
        <f>IF(AND('ENTRY DATA'!F44=""),"",('ENTRY DATA'!F44))</f>
        <v/>
      </c>
      <c r="G44" t="str">
        <f>IF(AND('ENTRY DATA'!G44=""),"",('ENTRY DATA'!G44))</f>
        <v/>
      </c>
      <c r="H44" s="12"/>
      <c r="I44" s="12"/>
      <c r="J44" s="66" t="str">
        <f>IF(AND('ENTRY DATA'!J44=""),"",('ENTRY DATA'!J44))</f>
        <v/>
      </c>
      <c r="K44" s="89" t="str">
        <f>IF(AND('ENTRY DATA'!K44=""),"",('ENTRY DATA'!K44))</f>
        <v/>
      </c>
      <c r="L44" s="89" t="str">
        <f>IF(AND('ENTRY DATA'!L44=""),"",('ENTRY DATA'!L44))</f>
        <v/>
      </c>
      <c r="M44" s="89" t="str">
        <f>IF(AND('ENTRY DATA'!M44=""),"",('ENTRY DATA'!M44))</f>
        <v/>
      </c>
      <c r="N44" s="67" t="str">
        <f>IF(AND('ENTRY DATA'!N44=""),"",('ENTRY DATA'!N44))</f>
        <v/>
      </c>
      <c r="O44" s="12"/>
      <c r="P44" s="66">
        <f>'SET 1 PLAYERS'!O44</f>
        <v>0</v>
      </c>
      <c r="Q44" s="67" t="str">
        <f>'SET 1 PLAYERS'!P44</f>
        <v/>
      </c>
      <c r="R44" s="14"/>
      <c r="S44" s="111" t="e">
        <f t="shared" si="0"/>
        <v>#VALUE!</v>
      </c>
      <c r="T44" s="112" t="e">
        <f t="shared" si="1"/>
        <v>#VALUE!</v>
      </c>
      <c r="U44" s="12"/>
      <c r="V44" s="95" t="str">
        <f>'SET 1 PLAYERS'!Q44</f>
        <v/>
      </c>
      <c r="W44" s="12"/>
    </row>
    <row r="45" spans="2:23" x14ac:dyDescent="0.25">
      <c r="B45" s="88" t="str">
        <f>'SET 1 PLAYERS'!G45</f>
        <v>CLASS 1</v>
      </c>
      <c r="C45" t="str">
        <f>IF(AND('ENTRY DATA'!C45=""),"",('ENTRY DATA'!C45))</f>
        <v/>
      </c>
      <c r="D45" t="str">
        <f>IF(AND('ENTRY DATA'!D45=""),"",('ENTRY DATA'!D45))</f>
        <v/>
      </c>
      <c r="E45" s="12"/>
      <c r="F45" t="str">
        <f>IF(AND('ENTRY DATA'!F45=""),"",('ENTRY DATA'!F45))</f>
        <v/>
      </c>
      <c r="G45" t="str">
        <f>IF(AND('ENTRY DATA'!G45=""),"",('ENTRY DATA'!G45))</f>
        <v/>
      </c>
      <c r="H45" s="12"/>
      <c r="I45" s="12"/>
      <c r="J45" s="66" t="str">
        <f>IF(AND('ENTRY DATA'!J45=""),"",('ENTRY DATA'!J45))</f>
        <v/>
      </c>
      <c r="K45" s="89" t="str">
        <f>IF(AND('ENTRY DATA'!K45=""),"",('ENTRY DATA'!K45))</f>
        <v/>
      </c>
      <c r="L45" s="89" t="str">
        <f>IF(AND('ENTRY DATA'!L45=""),"",('ENTRY DATA'!L45))</f>
        <v/>
      </c>
      <c r="M45" s="89" t="str">
        <f>IF(AND('ENTRY DATA'!M45=""),"",('ENTRY DATA'!M45))</f>
        <v/>
      </c>
      <c r="N45" s="67" t="str">
        <f>IF(AND('ENTRY DATA'!N45=""),"",('ENTRY DATA'!N45))</f>
        <v/>
      </c>
      <c r="O45" s="12"/>
      <c r="P45" s="66">
        <f>'SET 1 PLAYERS'!O45</f>
        <v>0</v>
      </c>
      <c r="Q45" s="67" t="str">
        <f>'SET 1 PLAYERS'!P45</f>
        <v/>
      </c>
      <c r="R45" s="14"/>
      <c r="S45" s="111" t="e">
        <f t="shared" si="0"/>
        <v>#VALUE!</v>
      </c>
      <c r="T45" s="112" t="e">
        <f t="shared" si="1"/>
        <v>#VALUE!</v>
      </c>
      <c r="U45" s="12"/>
      <c r="V45" s="95" t="str">
        <f>'SET 1 PLAYERS'!Q45</f>
        <v/>
      </c>
      <c r="W45" s="12"/>
    </row>
    <row r="46" spans="2:23" x14ac:dyDescent="0.25">
      <c r="B46" s="88" t="str">
        <f>'SET 1 PLAYERS'!G46</f>
        <v>CLASS 1</v>
      </c>
      <c r="C46" t="str">
        <f>IF(AND('ENTRY DATA'!C46=""),"",('ENTRY DATA'!C46))</f>
        <v/>
      </c>
      <c r="D46" t="str">
        <f>IF(AND('ENTRY DATA'!D46=""),"",('ENTRY DATA'!D46))</f>
        <v/>
      </c>
      <c r="E46" s="12"/>
      <c r="F46" t="str">
        <f>IF(AND('ENTRY DATA'!F46=""),"",('ENTRY DATA'!F46))</f>
        <v/>
      </c>
      <c r="G46" t="str">
        <f>IF(AND('ENTRY DATA'!G46=""),"",('ENTRY DATA'!G46))</f>
        <v/>
      </c>
      <c r="H46" s="12"/>
      <c r="I46" s="12"/>
      <c r="J46" s="66" t="str">
        <f>IF(AND('ENTRY DATA'!J46=""),"",('ENTRY DATA'!J46))</f>
        <v/>
      </c>
      <c r="K46" s="89" t="str">
        <f>IF(AND('ENTRY DATA'!K46=""),"",('ENTRY DATA'!K46))</f>
        <v/>
      </c>
      <c r="L46" s="89" t="str">
        <f>IF(AND('ENTRY DATA'!L46=""),"",('ENTRY DATA'!L46))</f>
        <v/>
      </c>
      <c r="M46" s="89" t="str">
        <f>IF(AND('ENTRY DATA'!M46=""),"",('ENTRY DATA'!M46))</f>
        <v/>
      </c>
      <c r="N46" s="67" t="str">
        <f>IF(AND('ENTRY DATA'!N46=""),"",('ENTRY DATA'!N46))</f>
        <v/>
      </c>
      <c r="O46" s="12"/>
      <c r="P46" s="66">
        <f>'SET 1 PLAYERS'!O46</f>
        <v>0</v>
      </c>
      <c r="Q46" s="67" t="str">
        <f>'SET 1 PLAYERS'!P46</f>
        <v/>
      </c>
      <c r="R46" s="14"/>
      <c r="S46" s="111" t="e">
        <f t="shared" si="0"/>
        <v>#VALUE!</v>
      </c>
      <c r="T46" s="112" t="e">
        <f t="shared" si="1"/>
        <v>#VALUE!</v>
      </c>
      <c r="U46" s="12"/>
      <c r="V46" s="95" t="str">
        <f>'SET 1 PLAYERS'!Q46</f>
        <v/>
      </c>
      <c r="W46" s="12"/>
    </row>
    <row r="47" spans="2:23" x14ac:dyDescent="0.25">
      <c r="B47" s="88" t="str">
        <f>'SET 1 PLAYERS'!G47</f>
        <v>CLASS 1</v>
      </c>
      <c r="C47" t="str">
        <f>IF(AND('ENTRY DATA'!C47=""),"",('ENTRY DATA'!C47))</f>
        <v/>
      </c>
      <c r="D47" t="str">
        <f>IF(AND('ENTRY DATA'!D47=""),"",('ENTRY DATA'!D47))</f>
        <v/>
      </c>
      <c r="E47" s="12"/>
      <c r="F47" t="str">
        <f>IF(AND('ENTRY DATA'!F47=""),"",('ENTRY DATA'!F47))</f>
        <v/>
      </c>
      <c r="G47" t="str">
        <f>IF(AND('ENTRY DATA'!G47=""),"",('ENTRY DATA'!G47))</f>
        <v/>
      </c>
      <c r="H47" s="12"/>
      <c r="I47" s="12"/>
      <c r="J47" s="66" t="str">
        <f>IF(AND('ENTRY DATA'!J47=""),"",('ENTRY DATA'!J47))</f>
        <v/>
      </c>
      <c r="K47" s="89" t="str">
        <f>IF(AND('ENTRY DATA'!K47=""),"",('ENTRY DATA'!K47))</f>
        <v/>
      </c>
      <c r="L47" s="89" t="str">
        <f>IF(AND('ENTRY DATA'!L47=""),"",('ENTRY DATA'!L47))</f>
        <v/>
      </c>
      <c r="M47" s="89" t="str">
        <f>IF(AND('ENTRY DATA'!M47=""),"",('ENTRY DATA'!M47))</f>
        <v/>
      </c>
      <c r="N47" s="67" t="str">
        <f>IF(AND('ENTRY DATA'!N47=""),"",('ENTRY DATA'!N47))</f>
        <v/>
      </c>
      <c r="O47" s="12"/>
      <c r="P47" s="66">
        <f>'SET 1 PLAYERS'!O47</f>
        <v>0</v>
      </c>
      <c r="Q47" s="67" t="str">
        <f>'SET 1 PLAYERS'!P47</f>
        <v/>
      </c>
      <c r="R47" s="14"/>
      <c r="S47" s="111" t="e">
        <f t="shared" si="0"/>
        <v>#VALUE!</v>
      </c>
      <c r="T47" s="112" t="e">
        <f t="shared" si="1"/>
        <v>#VALUE!</v>
      </c>
      <c r="U47" s="12"/>
      <c r="V47" s="95" t="str">
        <f>'SET 1 PLAYERS'!Q47</f>
        <v/>
      </c>
      <c r="W47" s="12"/>
    </row>
    <row r="48" spans="2:23" x14ac:dyDescent="0.25">
      <c r="B48" s="88" t="str">
        <f>'SET 1 PLAYERS'!G48</f>
        <v>CLASS 1</v>
      </c>
      <c r="C48" t="str">
        <f>IF(AND('ENTRY DATA'!C48=""),"",('ENTRY DATA'!C48))</f>
        <v/>
      </c>
      <c r="D48" t="str">
        <f>IF(AND('ENTRY DATA'!D48=""),"",('ENTRY DATA'!D48))</f>
        <v/>
      </c>
      <c r="E48" s="12"/>
      <c r="F48" t="str">
        <f>IF(AND('ENTRY DATA'!F48=""),"",('ENTRY DATA'!F48))</f>
        <v/>
      </c>
      <c r="G48" t="str">
        <f>IF(AND('ENTRY DATA'!G48=""),"",('ENTRY DATA'!G48))</f>
        <v/>
      </c>
      <c r="H48" s="12"/>
      <c r="I48" s="12"/>
      <c r="J48" s="66" t="str">
        <f>IF(AND('ENTRY DATA'!J48=""),"",('ENTRY DATA'!J48))</f>
        <v/>
      </c>
      <c r="K48" s="89" t="str">
        <f>IF(AND('ENTRY DATA'!K48=""),"",('ENTRY DATA'!K48))</f>
        <v/>
      </c>
      <c r="L48" s="89" t="str">
        <f>IF(AND('ENTRY DATA'!L48=""),"",('ENTRY DATA'!L48))</f>
        <v/>
      </c>
      <c r="M48" s="89" t="str">
        <f>IF(AND('ENTRY DATA'!M48=""),"",('ENTRY DATA'!M48))</f>
        <v/>
      </c>
      <c r="N48" s="67" t="str">
        <f>IF(AND('ENTRY DATA'!N48=""),"",('ENTRY DATA'!N48))</f>
        <v/>
      </c>
      <c r="O48" s="12"/>
      <c r="P48" s="66">
        <f>'SET 1 PLAYERS'!O48</f>
        <v>0</v>
      </c>
      <c r="Q48" s="67" t="str">
        <f>'SET 1 PLAYERS'!P48</f>
        <v/>
      </c>
      <c r="R48" s="14"/>
      <c r="S48" s="111" t="e">
        <f t="shared" si="0"/>
        <v>#VALUE!</v>
      </c>
      <c r="T48" s="112" t="e">
        <f t="shared" si="1"/>
        <v>#VALUE!</v>
      </c>
      <c r="U48" s="12"/>
      <c r="V48" s="95" t="str">
        <f>'SET 1 PLAYERS'!Q48</f>
        <v/>
      </c>
      <c r="W48" s="12"/>
    </row>
    <row r="49" spans="2:23" x14ac:dyDescent="0.25">
      <c r="B49" s="88" t="str">
        <f>'SET 1 PLAYERS'!G49</f>
        <v>CLASS 1</v>
      </c>
      <c r="C49" t="str">
        <f>IF(AND('ENTRY DATA'!C49=""),"",('ENTRY DATA'!C49))</f>
        <v/>
      </c>
      <c r="D49" t="str">
        <f>IF(AND('ENTRY DATA'!D49=""),"",('ENTRY DATA'!D49))</f>
        <v/>
      </c>
      <c r="E49" s="12"/>
      <c r="F49" t="str">
        <f>IF(AND('ENTRY DATA'!F49=""),"",('ENTRY DATA'!F49))</f>
        <v/>
      </c>
      <c r="G49" t="str">
        <f>IF(AND('ENTRY DATA'!G49=""),"",('ENTRY DATA'!G49))</f>
        <v/>
      </c>
      <c r="H49" s="12"/>
      <c r="I49" s="12"/>
      <c r="J49" s="66" t="str">
        <f>IF(AND('ENTRY DATA'!J49=""),"",('ENTRY DATA'!J49))</f>
        <v/>
      </c>
      <c r="K49" s="89" t="str">
        <f>IF(AND('ENTRY DATA'!K49=""),"",('ENTRY DATA'!K49))</f>
        <v/>
      </c>
      <c r="L49" s="89" t="str">
        <f>IF(AND('ENTRY DATA'!L49=""),"",('ENTRY DATA'!L49))</f>
        <v/>
      </c>
      <c r="M49" s="89" t="str">
        <f>IF(AND('ENTRY DATA'!M49=""),"",('ENTRY DATA'!M49))</f>
        <v/>
      </c>
      <c r="N49" s="67" t="str">
        <f>IF(AND('ENTRY DATA'!N49=""),"",('ENTRY DATA'!N49))</f>
        <v/>
      </c>
      <c r="O49" s="12"/>
      <c r="P49" s="66">
        <f>'SET 1 PLAYERS'!O49</f>
        <v>0</v>
      </c>
      <c r="Q49" s="67" t="str">
        <f>'SET 1 PLAYERS'!P49</f>
        <v/>
      </c>
      <c r="R49" s="14"/>
      <c r="S49" s="111" t="e">
        <f t="shared" si="0"/>
        <v>#VALUE!</v>
      </c>
      <c r="T49" s="112" t="e">
        <f t="shared" si="1"/>
        <v>#VALUE!</v>
      </c>
      <c r="U49" s="12"/>
      <c r="V49" s="95" t="str">
        <f>'SET 1 PLAYERS'!Q49</f>
        <v/>
      </c>
      <c r="W49" s="12"/>
    </row>
    <row r="50" spans="2:23" x14ac:dyDescent="0.25">
      <c r="B50" s="88" t="str">
        <f>'SET 1 PLAYERS'!G50</f>
        <v>CLASS 1</v>
      </c>
      <c r="C50" t="str">
        <f>IF(AND('ENTRY DATA'!C50=""),"",('ENTRY DATA'!C50))</f>
        <v/>
      </c>
      <c r="D50" t="str">
        <f>IF(AND('ENTRY DATA'!D50=""),"",('ENTRY DATA'!D50))</f>
        <v/>
      </c>
      <c r="E50" s="12"/>
      <c r="F50" t="str">
        <f>IF(AND('ENTRY DATA'!F50=""),"",('ENTRY DATA'!F50))</f>
        <v/>
      </c>
      <c r="G50" t="str">
        <f>IF(AND('ENTRY DATA'!G50=""),"",('ENTRY DATA'!G50))</f>
        <v/>
      </c>
      <c r="H50" s="12"/>
      <c r="I50" s="12"/>
      <c r="J50" s="66" t="str">
        <f>IF(AND('ENTRY DATA'!J50=""),"",('ENTRY DATA'!J50))</f>
        <v/>
      </c>
      <c r="K50" s="89" t="str">
        <f>IF(AND('ENTRY DATA'!K50=""),"",('ENTRY DATA'!K50))</f>
        <v/>
      </c>
      <c r="L50" s="89" t="str">
        <f>IF(AND('ENTRY DATA'!L50=""),"",('ENTRY DATA'!L50))</f>
        <v/>
      </c>
      <c r="M50" s="89" t="str">
        <f>IF(AND('ENTRY DATA'!M50=""),"",('ENTRY DATA'!M50))</f>
        <v/>
      </c>
      <c r="N50" s="67" t="str">
        <f>IF(AND('ENTRY DATA'!N50=""),"",('ENTRY DATA'!N50))</f>
        <v/>
      </c>
      <c r="O50" s="12"/>
      <c r="P50" s="66">
        <f>'SET 1 PLAYERS'!O50</f>
        <v>0</v>
      </c>
      <c r="Q50" s="67" t="str">
        <f>'SET 1 PLAYERS'!P50</f>
        <v/>
      </c>
      <c r="R50" s="14"/>
      <c r="S50" s="111" t="e">
        <f t="shared" si="0"/>
        <v>#VALUE!</v>
      </c>
      <c r="T50" s="112" t="e">
        <f t="shared" si="1"/>
        <v>#VALUE!</v>
      </c>
      <c r="U50" s="12"/>
      <c r="V50" s="95" t="str">
        <f>'SET 1 PLAYERS'!Q50</f>
        <v/>
      </c>
      <c r="W50" s="12"/>
    </row>
    <row r="51" spans="2:23" x14ac:dyDescent="0.25">
      <c r="B51" s="88" t="str">
        <f>'SET 1 PLAYERS'!G51</f>
        <v>CLASS 1</v>
      </c>
      <c r="C51" t="str">
        <f>IF(AND('ENTRY DATA'!C51=""),"",('ENTRY DATA'!C51))</f>
        <v/>
      </c>
      <c r="D51" t="str">
        <f>IF(AND('ENTRY DATA'!D51=""),"",('ENTRY DATA'!D51))</f>
        <v/>
      </c>
      <c r="E51" s="12"/>
      <c r="F51" t="str">
        <f>IF(AND('ENTRY DATA'!F51=""),"",('ENTRY DATA'!F51))</f>
        <v/>
      </c>
      <c r="G51" t="str">
        <f>IF(AND('ENTRY DATA'!G51=""),"",('ENTRY DATA'!G51))</f>
        <v/>
      </c>
      <c r="H51" s="12"/>
      <c r="I51" s="12"/>
      <c r="J51" s="66" t="str">
        <f>IF(AND('ENTRY DATA'!J51=""),"",('ENTRY DATA'!J51))</f>
        <v/>
      </c>
      <c r="K51" s="89" t="str">
        <f>IF(AND('ENTRY DATA'!K51=""),"",('ENTRY DATA'!K51))</f>
        <v/>
      </c>
      <c r="L51" s="89" t="str">
        <f>IF(AND('ENTRY DATA'!L51=""),"",('ENTRY DATA'!L51))</f>
        <v/>
      </c>
      <c r="M51" s="89" t="str">
        <f>IF(AND('ENTRY DATA'!M51=""),"",('ENTRY DATA'!M51))</f>
        <v/>
      </c>
      <c r="N51" s="67" t="str">
        <f>IF(AND('ENTRY DATA'!N51=""),"",('ENTRY DATA'!N51))</f>
        <v/>
      </c>
      <c r="O51" s="12"/>
      <c r="P51" s="66">
        <f>'SET 1 PLAYERS'!O51</f>
        <v>0</v>
      </c>
      <c r="Q51" s="67" t="str">
        <f>'SET 1 PLAYERS'!P51</f>
        <v/>
      </c>
      <c r="R51" s="14"/>
      <c r="S51" s="111" t="e">
        <f t="shared" si="0"/>
        <v>#VALUE!</v>
      </c>
      <c r="T51" s="112" t="e">
        <f t="shared" si="1"/>
        <v>#VALUE!</v>
      </c>
      <c r="U51" s="12"/>
      <c r="V51" s="95" t="str">
        <f>'SET 1 PLAYERS'!Q51</f>
        <v/>
      </c>
      <c r="W51" s="12"/>
    </row>
    <row r="52" spans="2:23" x14ac:dyDescent="0.25">
      <c r="B52" s="88" t="str">
        <f>'SET 1 PLAYERS'!G52</f>
        <v>CLASS 1</v>
      </c>
      <c r="C52" t="str">
        <f>IF(AND('ENTRY DATA'!C52=""),"",('ENTRY DATA'!C52))</f>
        <v/>
      </c>
      <c r="D52" t="str">
        <f>IF(AND('ENTRY DATA'!D52=""),"",('ENTRY DATA'!D52))</f>
        <v/>
      </c>
      <c r="E52" s="12"/>
      <c r="F52" t="str">
        <f>IF(AND('ENTRY DATA'!F52=""),"",('ENTRY DATA'!F52))</f>
        <v/>
      </c>
      <c r="G52" t="str">
        <f>IF(AND('ENTRY DATA'!G52=""),"",('ENTRY DATA'!G52))</f>
        <v/>
      </c>
      <c r="H52" s="12"/>
      <c r="I52" s="12"/>
      <c r="J52" s="66" t="str">
        <f>IF(AND('ENTRY DATA'!J52=""),"",('ENTRY DATA'!J52))</f>
        <v/>
      </c>
      <c r="K52" s="89" t="str">
        <f>IF(AND('ENTRY DATA'!K52=""),"",('ENTRY DATA'!K52))</f>
        <v/>
      </c>
      <c r="L52" s="89" t="str">
        <f>IF(AND('ENTRY DATA'!L52=""),"",('ENTRY DATA'!L52))</f>
        <v/>
      </c>
      <c r="M52" s="89" t="str">
        <f>IF(AND('ENTRY DATA'!M52=""),"",('ENTRY DATA'!M52))</f>
        <v/>
      </c>
      <c r="N52" s="67" t="str">
        <f>IF(AND('ENTRY DATA'!N52=""),"",('ENTRY DATA'!N52))</f>
        <v/>
      </c>
      <c r="O52" s="12"/>
      <c r="P52" s="66">
        <f>'SET 1 PLAYERS'!O52</f>
        <v>0</v>
      </c>
      <c r="Q52" s="67" t="str">
        <f>'SET 1 PLAYERS'!P52</f>
        <v/>
      </c>
      <c r="R52" s="14"/>
      <c r="S52" s="111" t="e">
        <f t="shared" si="0"/>
        <v>#VALUE!</v>
      </c>
      <c r="T52" s="112" t="e">
        <f t="shared" si="1"/>
        <v>#VALUE!</v>
      </c>
      <c r="U52" s="12"/>
      <c r="V52" s="95" t="str">
        <f>'SET 1 PLAYERS'!Q52</f>
        <v/>
      </c>
      <c r="W52" s="12"/>
    </row>
    <row r="53" spans="2:23" x14ac:dyDescent="0.25">
      <c r="B53" s="88" t="str">
        <f>'SET 1 PLAYERS'!G53</f>
        <v>CLASS 1</v>
      </c>
      <c r="C53" t="str">
        <f>IF(AND('ENTRY DATA'!C53=""),"",('ENTRY DATA'!C53))</f>
        <v/>
      </c>
      <c r="D53" t="str">
        <f>IF(AND('ENTRY DATA'!D53=""),"",('ENTRY DATA'!D53))</f>
        <v/>
      </c>
      <c r="E53" s="12"/>
      <c r="F53" t="str">
        <f>IF(AND('ENTRY DATA'!F53=""),"",('ENTRY DATA'!F53))</f>
        <v/>
      </c>
      <c r="G53" t="str">
        <f>IF(AND('ENTRY DATA'!G53=""),"",('ENTRY DATA'!G53))</f>
        <v/>
      </c>
      <c r="H53" s="12"/>
      <c r="I53" s="12"/>
      <c r="J53" s="66" t="str">
        <f>IF(AND('ENTRY DATA'!J53=""),"",('ENTRY DATA'!J53))</f>
        <v/>
      </c>
      <c r="K53" s="89" t="str">
        <f>IF(AND('ENTRY DATA'!K53=""),"",('ENTRY DATA'!K53))</f>
        <v/>
      </c>
      <c r="L53" s="89" t="str">
        <f>IF(AND('ENTRY DATA'!L53=""),"",('ENTRY DATA'!L53))</f>
        <v/>
      </c>
      <c r="M53" s="89" t="str">
        <f>IF(AND('ENTRY DATA'!M53=""),"",('ENTRY DATA'!M53))</f>
        <v/>
      </c>
      <c r="N53" s="67" t="str">
        <f>IF(AND('ENTRY DATA'!N53=""),"",('ENTRY DATA'!N53))</f>
        <v/>
      </c>
      <c r="O53" s="12"/>
      <c r="P53" s="66">
        <f>'SET 1 PLAYERS'!O53</f>
        <v>0</v>
      </c>
      <c r="Q53" s="67" t="str">
        <f>'SET 1 PLAYERS'!P53</f>
        <v/>
      </c>
      <c r="R53" s="14"/>
      <c r="S53" s="111" t="e">
        <f t="shared" si="0"/>
        <v>#VALUE!</v>
      </c>
      <c r="T53" s="112" t="e">
        <f t="shared" si="1"/>
        <v>#VALUE!</v>
      </c>
      <c r="U53" s="12"/>
      <c r="V53" s="95" t="str">
        <f>'SET 1 PLAYERS'!Q53</f>
        <v/>
      </c>
      <c r="W53" s="12"/>
    </row>
    <row r="54" spans="2:23" x14ac:dyDescent="0.25">
      <c r="B54" s="88" t="str">
        <f>'SET 1 PLAYERS'!G54</f>
        <v>CLASS 1</v>
      </c>
      <c r="C54" t="str">
        <f>IF(AND('ENTRY DATA'!C54=""),"",('ENTRY DATA'!C54))</f>
        <v/>
      </c>
      <c r="D54" t="str">
        <f>IF(AND('ENTRY DATA'!D54=""),"",('ENTRY DATA'!D54))</f>
        <v/>
      </c>
      <c r="E54" s="12"/>
      <c r="F54" t="str">
        <f>IF(AND('ENTRY DATA'!F54=""),"",('ENTRY DATA'!F54))</f>
        <v/>
      </c>
      <c r="G54" t="str">
        <f>IF(AND('ENTRY DATA'!G54=""),"",('ENTRY DATA'!G54))</f>
        <v/>
      </c>
      <c r="H54" s="12"/>
      <c r="I54" s="12"/>
      <c r="J54" s="66" t="str">
        <f>IF(AND('ENTRY DATA'!J54=""),"",('ENTRY DATA'!J54))</f>
        <v/>
      </c>
      <c r="K54" s="89" t="str">
        <f>IF(AND('ENTRY DATA'!K54=""),"",('ENTRY DATA'!K54))</f>
        <v/>
      </c>
      <c r="L54" s="89" t="str">
        <f>IF(AND('ENTRY DATA'!L54=""),"",('ENTRY DATA'!L54))</f>
        <v/>
      </c>
      <c r="M54" s="89" t="str">
        <f>IF(AND('ENTRY DATA'!M54=""),"",('ENTRY DATA'!M54))</f>
        <v/>
      </c>
      <c r="N54" s="67" t="str">
        <f>IF(AND('ENTRY DATA'!N54=""),"",('ENTRY DATA'!N54))</f>
        <v/>
      </c>
      <c r="O54" s="12"/>
      <c r="P54" s="66">
        <f>'SET 1 PLAYERS'!O54</f>
        <v>0</v>
      </c>
      <c r="Q54" s="67" t="str">
        <f>'SET 1 PLAYERS'!P54</f>
        <v/>
      </c>
      <c r="R54" s="14"/>
      <c r="S54" s="111" t="e">
        <f t="shared" si="0"/>
        <v>#VALUE!</v>
      </c>
      <c r="T54" s="112" t="e">
        <f t="shared" si="1"/>
        <v>#VALUE!</v>
      </c>
      <c r="U54" s="12"/>
      <c r="V54" s="95" t="str">
        <f>'SET 1 PLAYERS'!Q54</f>
        <v/>
      </c>
      <c r="W54" s="12"/>
    </row>
    <row r="55" spans="2:23" x14ac:dyDescent="0.25">
      <c r="B55" s="88" t="str">
        <f>'SET 1 PLAYERS'!G55</f>
        <v>CLASS 1</v>
      </c>
      <c r="C55" t="str">
        <f>IF(AND('ENTRY DATA'!C55=""),"",('ENTRY DATA'!C55))</f>
        <v/>
      </c>
      <c r="D55" t="str">
        <f>IF(AND('ENTRY DATA'!D55=""),"",('ENTRY DATA'!D55))</f>
        <v/>
      </c>
      <c r="E55" s="12"/>
      <c r="F55" t="str">
        <f>IF(AND('ENTRY DATA'!F55=""),"",('ENTRY DATA'!F55))</f>
        <v/>
      </c>
      <c r="G55" t="str">
        <f>IF(AND('ENTRY DATA'!G55=""),"",('ENTRY DATA'!G55))</f>
        <v/>
      </c>
      <c r="H55" s="12"/>
      <c r="I55" s="12"/>
      <c r="J55" s="66" t="str">
        <f>IF(AND('ENTRY DATA'!J55=""),"",('ENTRY DATA'!J55))</f>
        <v/>
      </c>
      <c r="K55" s="89" t="str">
        <f>IF(AND('ENTRY DATA'!K55=""),"",('ENTRY DATA'!K55))</f>
        <v/>
      </c>
      <c r="L55" s="89" t="str">
        <f>IF(AND('ENTRY DATA'!L55=""),"",('ENTRY DATA'!L55))</f>
        <v/>
      </c>
      <c r="M55" s="89" t="str">
        <f>IF(AND('ENTRY DATA'!M55=""),"",('ENTRY DATA'!M55))</f>
        <v/>
      </c>
      <c r="N55" s="67" t="str">
        <f>IF(AND('ENTRY DATA'!N55=""),"",('ENTRY DATA'!N55))</f>
        <v/>
      </c>
      <c r="O55" s="12"/>
      <c r="P55" s="66">
        <f>'SET 1 PLAYERS'!O55</f>
        <v>0</v>
      </c>
      <c r="Q55" s="67" t="str">
        <f>'SET 1 PLAYERS'!P55</f>
        <v/>
      </c>
      <c r="R55" s="14"/>
      <c r="S55" s="111" t="e">
        <f t="shared" si="0"/>
        <v>#VALUE!</v>
      </c>
      <c r="T55" s="112" t="e">
        <f t="shared" si="1"/>
        <v>#VALUE!</v>
      </c>
      <c r="U55" s="12"/>
      <c r="V55" s="95" t="str">
        <f>'SET 1 PLAYERS'!Q55</f>
        <v/>
      </c>
      <c r="W55" s="12"/>
    </row>
    <row r="56" spans="2:23" x14ac:dyDescent="0.25">
      <c r="B56" s="88" t="str">
        <f>'SET 1 PLAYERS'!G56</f>
        <v>CLASS 1</v>
      </c>
      <c r="C56" t="str">
        <f>IF(AND('ENTRY DATA'!C56=""),"",('ENTRY DATA'!C56))</f>
        <v/>
      </c>
      <c r="D56" t="str">
        <f>IF(AND('ENTRY DATA'!D56=""),"",('ENTRY DATA'!D56))</f>
        <v/>
      </c>
      <c r="E56" s="12"/>
      <c r="F56" t="str">
        <f>IF(AND('ENTRY DATA'!F56=""),"",('ENTRY DATA'!F56))</f>
        <v/>
      </c>
      <c r="G56" t="str">
        <f>IF(AND('ENTRY DATA'!G56=""),"",('ENTRY DATA'!G56))</f>
        <v/>
      </c>
      <c r="H56" s="12"/>
      <c r="I56" s="12"/>
      <c r="J56" s="66" t="str">
        <f>IF(AND('ENTRY DATA'!J56=""),"",('ENTRY DATA'!J56))</f>
        <v/>
      </c>
      <c r="K56" s="89" t="str">
        <f>IF(AND('ENTRY DATA'!K56=""),"",('ENTRY DATA'!K56))</f>
        <v/>
      </c>
      <c r="L56" s="89" t="str">
        <f>IF(AND('ENTRY DATA'!L56=""),"",('ENTRY DATA'!L56))</f>
        <v/>
      </c>
      <c r="M56" s="89" t="str">
        <f>IF(AND('ENTRY DATA'!M56=""),"",('ENTRY DATA'!M56))</f>
        <v/>
      </c>
      <c r="N56" s="67" t="str">
        <f>IF(AND('ENTRY DATA'!N56=""),"",('ENTRY DATA'!N56))</f>
        <v/>
      </c>
      <c r="O56" s="12"/>
      <c r="P56" s="66">
        <f>'SET 1 PLAYERS'!O56</f>
        <v>0</v>
      </c>
      <c r="Q56" s="67" t="str">
        <f>'SET 1 PLAYERS'!P56</f>
        <v/>
      </c>
      <c r="R56" s="14"/>
      <c r="S56" s="111" t="e">
        <f t="shared" si="0"/>
        <v>#VALUE!</v>
      </c>
      <c r="T56" s="112" t="e">
        <f t="shared" si="1"/>
        <v>#VALUE!</v>
      </c>
      <c r="U56" s="12"/>
      <c r="V56" s="95" t="str">
        <f>'SET 1 PLAYERS'!Q56</f>
        <v/>
      </c>
      <c r="W56" s="12"/>
    </row>
    <row r="57" spans="2:23" x14ac:dyDescent="0.25">
      <c r="B57" s="88" t="str">
        <f>'SET 1 PLAYERS'!G57</f>
        <v>CLASS 1</v>
      </c>
      <c r="C57" t="str">
        <f>IF(AND('ENTRY DATA'!C57=""),"",('ENTRY DATA'!C57))</f>
        <v/>
      </c>
      <c r="D57" t="str">
        <f>IF(AND('ENTRY DATA'!D57=""),"",('ENTRY DATA'!D57))</f>
        <v/>
      </c>
      <c r="E57" s="12"/>
      <c r="F57" t="str">
        <f>IF(AND('ENTRY DATA'!F57=""),"",('ENTRY DATA'!F57))</f>
        <v/>
      </c>
      <c r="G57" t="str">
        <f>IF(AND('ENTRY DATA'!G57=""),"",('ENTRY DATA'!G57))</f>
        <v/>
      </c>
      <c r="H57" s="12"/>
      <c r="I57" s="12"/>
      <c r="J57" s="66" t="str">
        <f>IF(AND('ENTRY DATA'!J57=""),"",('ENTRY DATA'!J57))</f>
        <v/>
      </c>
      <c r="K57" s="89" t="str">
        <f>IF(AND('ENTRY DATA'!K57=""),"",('ENTRY DATA'!K57))</f>
        <v/>
      </c>
      <c r="L57" s="89" t="str">
        <f>IF(AND('ENTRY DATA'!L57=""),"",('ENTRY DATA'!L57))</f>
        <v/>
      </c>
      <c r="M57" s="89" t="str">
        <f>IF(AND('ENTRY DATA'!M57=""),"",('ENTRY DATA'!M57))</f>
        <v/>
      </c>
      <c r="N57" s="67" t="str">
        <f>IF(AND('ENTRY DATA'!N57=""),"",('ENTRY DATA'!N57))</f>
        <v/>
      </c>
      <c r="O57" s="12"/>
      <c r="P57" s="66">
        <f>'SET 1 PLAYERS'!O57</f>
        <v>0</v>
      </c>
      <c r="Q57" s="67" t="str">
        <f>'SET 1 PLAYERS'!P57</f>
        <v/>
      </c>
      <c r="R57" s="14"/>
      <c r="S57" s="111" t="e">
        <f t="shared" si="0"/>
        <v>#VALUE!</v>
      </c>
      <c r="T57" s="112" t="e">
        <f t="shared" si="1"/>
        <v>#VALUE!</v>
      </c>
      <c r="U57" s="12"/>
      <c r="V57" s="95" t="str">
        <f>'SET 1 PLAYERS'!Q57</f>
        <v/>
      </c>
      <c r="W57" s="12"/>
    </row>
    <row r="58" spans="2:23" x14ac:dyDescent="0.25">
      <c r="B58" s="88" t="str">
        <f>'SET 1 PLAYERS'!G58</f>
        <v>CLASS 1</v>
      </c>
      <c r="C58" t="str">
        <f>IF(AND('ENTRY DATA'!C58=""),"",('ENTRY DATA'!C58))</f>
        <v/>
      </c>
      <c r="D58" t="str">
        <f>IF(AND('ENTRY DATA'!D58=""),"",('ENTRY DATA'!D58))</f>
        <v/>
      </c>
      <c r="E58" s="12"/>
      <c r="F58" t="str">
        <f>IF(AND('ENTRY DATA'!F58=""),"",('ENTRY DATA'!F58))</f>
        <v/>
      </c>
      <c r="G58" t="str">
        <f>IF(AND('ENTRY DATA'!G58=""),"",('ENTRY DATA'!G58))</f>
        <v/>
      </c>
      <c r="H58" s="12"/>
      <c r="I58" s="12"/>
      <c r="J58" s="66" t="str">
        <f>IF(AND('ENTRY DATA'!J58=""),"",('ENTRY DATA'!J58))</f>
        <v/>
      </c>
      <c r="K58" s="89" t="str">
        <f>IF(AND('ENTRY DATA'!K58=""),"",('ENTRY DATA'!K58))</f>
        <v/>
      </c>
      <c r="L58" s="89" t="str">
        <f>IF(AND('ENTRY DATA'!L58=""),"",('ENTRY DATA'!L58))</f>
        <v/>
      </c>
      <c r="M58" s="89" t="str">
        <f>IF(AND('ENTRY DATA'!M58=""),"",('ENTRY DATA'!M58))</f>
        <v/>
      </c>
      <c r="N58" s="67" t="str">
        <f>IF(AND('ENTRY DATA'!N58=""),"",('ENTRY DATA'!N58))</f>
        <v/>
      </c>
      <c r="O58" s="12"/>
      <c r="P58" s="66">
        <f>'SET 1 PLAYERS'!O58</f>
        <v>0</v>
      </c>
      <c r="Q58" s="67" t="str">
        <f>'SET 1 PLAYERS'!P58</f>
        <v/>
      </c>
      <c r="R58" s="14"/>
      <c r="S58" s="111" t="e">
        <f t="shared" si="0"/>
        <v>#VALUE!</v>
      </c>
      <c r="T58" s="112" t="e">
        <f t="shared" si="1"/>
        <v>#VALUE!</v>
      </c>
      <c r="U58" s="12"/>
      <c r="V58" s="95" t="str">
        <f>'SET 1 PLAYERS'!Q58</f>
        <v/>
      </c>
      <c r="W58" s="12"/>
    </row>
    <row r="59" spans="2:23" x14ac:dyDescent="0.25">
      <c r="B59" s="88" t="str">
        <f>'SET 1 PLAYERS'!G59</f>
        <v>CLASS 1</v>
      </c>
      <c r="C59" t="str">
        <f>IF(AND('ENTRY DATA'!C59=""),"",('ENTRY DATA'!C59))</f>
        <v/>
      </c>
      <c r="D59" t="str">
        <f>IF(AND('ENTRY DATA'!D59=""),"",('ENTRY DATA'!D59))</f>
        <v/>
      </c>
      <c r="E59" s="12"/>
      <c r="F59" t="str">
        <f>IF(AND('ENTRY DATA'!F59=""),"",('ENTRY DATA'!F59))</f>
        <v/>
      </c>
      <c r="G59" t="str">
        <f>IF(AND('ENTRY DATA'!G59=""),"",('ENTRY DATA'!G59))</f>
        <v/>
      </c>
      <c r="H59" s="12"/>
      <c r="I59" s="12"/>
      <c r="J59" s="66" t="str">
        <f>IF(AND('ENTRY DATA'!J59=""),"",('ENTRY DATA'!J59))</f>
        <v/>
      </c>
      <c r="K59" s="89" t="str">
        <f>IF(AND('ENTRY DATA'!K59=""),"",('ENTRY DATA'!K59))</f>
        <v/>
      </c>
      <c r="L59" s="89" t="str">
        <f>IF(AND('ENTRY DATA'!L59=""),"",('ENTRY DATA'!L59))</f>
        <v/>
      </c>
      <c r="M59" s="89" t="str">
        <f>IF(AND('ENTRY DATA'!M59=""),"",('ENTRY DATA'!M59))</f>
        <v/>
      </c>
      <c r="N59" s="67" t="str">
        <f>IF(AND('ENTRY DATA'!N59=""),"",('ENTRY DATA'!N59))</f>
        <v/>
      </c>
      <c r="O59" s="12"/>
      <c r="P59" s="66">
        <f>'SET 1 PLAYERS'!O59</f>
        <v>0</v>
      </c>
      <c r="Q59" s="67" t="str">
        <f>'SET 1 PLAYERS'!P59</f>
        <v/>
      </c>
      <c r="R59" s="14"/>
      <c r="S59" s="111" t="e">
        <f t="shared" si="0"/>
        <v>#VALUE!</v>
      </c>
      <c r="T59" s="112" t="e">
        <f t="shared" si="1"/>
        <v>#VALUE!</v>
      </c>
      <c r="U59" s="12"/>
      <c r="V59" s="95" t="str">
        <f>'SET 1 PLAYERS'!Q59</f>
        <v/>
      </c>
      <c r="W59" s="12"/>
    </row>
    <row r="60" spans="2:23" x14ac:dyDescent="0.25">
      <c r="B60" s="88" t="str">
        <f>'SET 1 PLAYERS'!G60</f>
        <v>CLASS 1</v>
      </c>
      <c r="C60" t="str">
        <f>IF(AND('ENTRY DATA'!C60=""),"",('ENTRY DATA'!C60))</f>
        <v/>
      </c>
      <c r="D60" t="str">
        <f>IF(AND('ENTRY DATA'!D60=""),"",('ENTRY DATA'!D60))</f>
        <v/>
      </c>
      <c r="E60" s="12"/>
      <c r="F60" t="str">
        <f>IF(AND('ENTRY DATA'!F60=""),"",('ENTRY DATA'!F60))</f>
        <v/>
      </c>
      <c r="G60" t="str">
        <f>IF(AND('ENTRY DATA'!G60=""),"",('ENTRY DATA'!G60))</f>
        <v/>
      </c>
      <c r="H60" s="12"/>
      <c r="I60" s="12"/>
      <c r="J60" s="66" t="str">
        <f>IF(AND('ENTRY DATA'!J60=""),"",('ENTRY DATA'!J60))</f>
        <v/>
      </c>
      <c r="K60" s="89" t="str">
        <f>IF(AND('ENTRY DATA'!K60=""),"",('ENTRY DATA'!K60))</f>
        <v/>
      </c>
      <c r="L60" s="89" t="str">
        <f>IF(AND('ENTRY DATA'!L60=""),"",('ENTRY DATA'!L60))</f>
        <v/>
      </c>
      <c r="M60" s="89" t="str">
        <f>IF(AND('ENTRY DATA'!M60=""),"",('ENTRY DATA'!M60))</f>
        <v/>
      </c>
      <c r="N60" s="67" t="str">
        <f>IF(AND('ENTRY DATA'!N60=""),"",('ENTRY DATA'!N60))</f>
        <v/>
      </c>
      <c r="O60" s="12"/>
      <c r="P60" s="66">
        <f>'SET 1 PLAYERS'!O60</f>
        <v>0</v>
      </c>
      <c r="Q60" s="67" t="str">
        <f>'SET 1 PLAYERS'!P60</f>
        <v/>
      </c>
      <c r="R60" s="14"/>
      <c r="S60" s="111" t="e">
        <f t="shared" si="0"/>
        <v>#VALUE!</v>
      </c>
      <c r="T60" s="112" t="e">
        <f t="shared" si="1"/>
        <v>#VALUE!</v>
      </c>
      <c r="U60" s="12"/>
      <c r="V60" s="95" t="str">
        <f>'SET 1 PLAYERS'!Q60</f>
        <v/>
      </c>
      <c r="W60" s="12"/>
    </row>
    <row r="61" spans="2:23" x14ac:dyDescent="0.25">
      <c r="B61" s="88" t="str">
        <f>'SET 1 PLAYERS'!G61</f>
        <v>CLASS 1</v>
      </c>
      <c r="C61" t="str">
        <f>IF(AND('ENTRY DATA'!C61=""),"",('ENTRY DATA'!C61))</f>
        <v/>
      </c>
      <c r="D61" t="str">
        <f>IF(AND('ENTRY DATA'!D61=""),"",('ENTRY DATA'!D61))</f>
        <v/>
      </c>
      <c r="E61" s="12"/>
      <c r="F61" t="str">
        <f>IF(AND('ENTRY DATA'!F61=""),"",('ENTRY DATA'!F61))</f>
        <v/>
      </c>
      <c r="G61" t="str">
        <f>IF(AND('ENTRY DATA'!G61=""),"",('ENTRY DATA'!G61))</f>
        <v/>
      </c>
      <c r="H61" s="12"/>
      <c r="I61" s="12"/>
      <c r="J61" s="66" t="str">
        <f>IF(AND('ENTRY DATA'!J61=""),"",('ENTRY DATA'!J61))</f>
        <v/>
      </c>
      <c r="K61" s="89" t="str">
        <f>IF(AND('ENTRY DATA'!K61=""),"",('ENTRY DATA'!K61))</f>
        <v/>
      </c>
      <c r="L61" s="89" t="str">
        <f>IF(AND('ENTRY DATA'!L61=""),"",('ENTRY DATA'!L61))</f>
        <v/>
      </c>
      <c r="M61" s="89" t="str">
        <f>IF(AND('ENTRY DATA'!M61=""),"",('ENTRY DATA'!M61))</f>
        <v/>
      </c>
      <c r="N61" s="67" t="str">
        <f>IF(AND('ENTRY DATA'!N61=""),"",('ENTRY DATA'!N61))</f>
        <v/>
      </c>
      <c r="O61" s="12"/>
      <c r="P61" s="66">
        <f>'SET 1 PLAYERS'!O61</f>
        <v>0</v>
      </c>
      <c r="Q61" s="67" t="str">
        <f>'SET 1 PLAYERS'!P61</f>
        <v/>
      </c>
      <c r="R61" s="14"/>
      <c r="S61" s="111" t="e">
        <f t="shared" si="0"/>
        <v>#VALUE!</v>
      </c>
      <c r="T61" s="112" t="e">
        <f t="shared" si="1"/>
        <v>#VALUE!</v>
      </c>
      <c r="U61" s="12"/>
      <c r="V61" s="95" t="str">
        <f>'SET 1 PLAYERS'!Q61</f>
        <v/>
      </c>
      <c r="W61" s="12"/>
    </row>
    <row r="62" spans="2:23" x14ac:dyDescent="0.25">
      <c r="B62" s="88" t="str">
        <f>'SET 1 PLAYERS'!G62</f>
        <v>CLASS 1</v>
      </c>
      <c r="C62" t="str">
        <f>IF(AND('ENTRY DATA'!C62=""),"",('ENTRY DATA'!C62))</f>
        <v/>
      </c>
      <c r="D62" t="str">
        <f>IF(AND('ENTRY DATA'!D62=""),"",('ENTRY DATA'!D62))</f>
        <v/>
      </c>
      <c r="E62" s="12"/>
      <c r="F62" t="str">
        <f>IF(AND('ENTRY DATA'!F62=""),"",('ENTRY DATA'!F62))</f>
        <v/>
      </c>
      <c r="G62" t="str">
        <f>IF(AND('ENTRY DATA'!G62=""),"",('ENTRY DATA'!G62))</f>
        <v/>
      </c>
      <c r="H62" s="12"/>
      <c r="I62" s="12"/>
      <c r="J62" s="66" t="str">
        <f>IF(AND('ENTRY DATA'!J62=""),"",('ENTRY DATA'!J62))</f>
        <v/>
      </c>
      <c r="K62" s="89" t="str">
        <f>IF(AND('ENTRY DATA'!K62=""),"",('ENTRY DATA'!K62))</f>
        <v/>
      </c>
      <c r="L62" s="89" t="str">
        <f>IF(AND('ENTRY DATA'!L62=""),"",('ENTRY DATA'!L62))</f>
        <v/>
      </c>
      <c r="M62" s="89" t="str">
        <f>IF(AND('ENTRY DATA'!M62=""),"",('ENTRY DATA'!M62))</f>
        <v/>
      </c>
      <c r="N62" s="67" t="str">
        <f>IF(AND('ENTRY DATA'!N62=""),"",('ENTRY DATA'!N62))</f>
        <v/>
      </c>
      <c r="O62" s="12"/>
      <c r="P62" s="66">
        <f>'SET 1 PLAYERS'!O62</f>
        <v>0</v>
      </c>
      <c r="Q62" s="67" t="str">
        <f>'SET 1 PLAYERS'!P62</f>
        <v/>
      </c>
      <c r="R62" s="14"/>
      <c r="S62" s="111" t="e">
        <f t="shared" si="0"/>
        <v>#VALUE!</v>
      </c>
      <c r="T62" s="112" t="e">
        <f t="shared" si="1"/>
        <v>#VALUE!</v>
      </c>
      <c r="U62" s="12"/>
      <c r="V62" s="95" t="str">
        <f>'SET 1 PLAYERS'!Q62</f>
        <v/>
      </c>
      <c r="W62" s="12"/>
    </row>
    <row r="63" spans="2:23" x14ac:dyDescent="0.25">
      <c r="B63" s="88" t="str">
        <f>'SET 1 PLAYERS'!G63</f>
        <v>CLASS 1</v>
      </c>
      <c r="C63" t="str">
        <f>IF(AND('ENTRY DATA'!C63=""),"",('ENTRY DATA'!C63))</f>
        <v/>
      </c>
      <c r="D63" t="str">
        <f>IF(AND('ENTRY DATA'!D63=""),"",('ENTRY DATA'!D63))</f>
        <v/>
      </c>
      <c r="E63" s="12"/>
      <c r="F63" t="str">
        <f>IF(AND('ENTRY DATA'!F63=""),"",('ENTRY DATA'!F63))</f>
        <v/>
      </c>
      <c r="G63" t="str">
        <f>IF(AND('ENTRY DATA'!G63=""),"",('ENTRY DATA'!G63))</f>
        <v/>
      </c>
      <c r="H63" s="12"/>
      <c r="I63" s="12"/>
      <c r="J63" s="66" t="str">
        <f>IF(AND('ENTRY DATA'!J63=""),"",('ENTRY DATA'!J63))</f>
        <v/>
      </c>
      <c r="K63" s="89" t="str">
        <f>IF(AND('ENTRY DATA'!K63=""),"",('ENTRY DATA'!K63))</f>
        <v/>
      </c>
      <c r="L63" s="89" t="str">
        <f>IF(AND('ENTRY DATA'!L63=""),"",('ENTRY DATA'!L63))</f>
        <v/>
      </c>
      <c r="M63" s="89" t="str">
        <f>IF(AND('ENTRY DATA'!M63=""),"",('ENTRY DATA'!M63))</f>
        <v/>
      </c>
      <c r="N63" s="67" t="str">
        <f>IF(AND('ENTRY DATA'!N63=""),"",('ENTRY DATA'!N63))</f>
        <v/>
      </c>
      <c r="O63" s="12"/>
      <c r="P63" s="66">
        <f>'SET 1 PLAYERS'!O63</f>
        <v>0</v>
      </c>
      <c r="Q63" s="67" t="str">
        <f>'SET 1 PLAYERS'!P63</f>
        <v/>
      </c>
      <c r="R63" s="14"/>
      <c r="S63" s="111" t="e">
        <f t="shared" si="0"/>
        <v>#VALUE!</v>
      </c>
      <c r="T63" s="112" t="e">
        <f t="shared" si="1"/>
        <v>#VALUE!</v>
      </c>
      <c r="U63" s="12"/>
      <c r="V63" s="95" t="str">
        <f>'SET 1 PLAYERS'!Q63</f>
        <v/>
      </c>
      <c r="W63" s="12"/>
    </row>
    <row r="64" spans="2:23" x14ac:dyDescent="0.25">
      <c r="B64" s="88" t="str">
        <f>'SET 1 PLAYERS'!G64</f>
        <v>CLASS 1</v>
      </c>
      <c r="C64" t="str">
        <f>IF(AND('ENTRY DATA'!C64=""),"",('ENTRY DATA'!C64))</f>
        <v/>
      </c>
      <c r="D64" t="str">
        <f>IF(AND('ENTRY DATA'!D64=""),"",('ENTRY DATA'!D64))</f>
        <v/>
      </c>
      <c r="E64" s="12"/>
      <c r="F64" t="str">
        <f>IF(AND('ENTRY DATA'!F64=""),"",('ENTRY DATA'!F64))</f>
        <v/>
      </c>
      <c r="G64" t="str">
        <f>IF(AND('ENTRY DATA'!G64=""),"",('ENTRY DATA'!G64))</f>
        <v/>
      </c>
      <c r="H64" s="12"/>
      <c r="I64" s="12"/>
      <c r="J64" s="66" t="str">
        <f>IF(AND('ENTRY DATA'!J64=""),"",('ENTRY DATA'!J64))</f>
        <v/>
      </c>
      <c r="K64" s="89" t="str">
        <f>IF(AND('ENTRY DATA'!K64=""),"",('ENTRY DATA'!K64))</f>
        <v/>
      </c>
      <c r="L64" s="89" t="str">
        <f>IF(AND('ENTRY DATA'!L64=""),"",('ENTRY DATA'!L64))</f>
        <v/>
      </c>
      <c r="M64" s="89" t="str">
        <f>IF(AND('ENTRY DATA'!M64=""),"",('ENTRY DATA'!M64))</f>
        <v/>
      </c>
      <c r="N64" s="67" t="str">
        <f>IF(AND('ENTRY DATA'!N64=""),"",('ENTRY DATA'!N64))</f>
        <v/>
      </c>
      <c r="O64" s="12"/>
      <c r="P64" s="66">
        <f>'SET 1 PLAYERS'!O64</f>
        <v>0</v>
      </c>
      <c r="Q64" s="67" t="str">
        <f>'SET 1 PLAYERS'!P64</f>
        <v/>
      </c>
      <c r="R64" s="14"/>
      <c r="S64" s="111" t="e">
        <f t="shared" si="0"/>
        <v>#VALUE!</v>
      </c>
      <c r="T64" s="112" t="e">
        <f t="shared" si="1"/>
        <v>#VALUE!</v>
      </c>
      <c r="U64" s="12"/>
      <c r="V64" s="95" t="str">
        <f>'SET 1 PLAYERS'!Q64</f>
        <v/>
      </c>
      <c r="W64" s="12"/>
    </row>
    <row r="65" spans="2:23" x14ac:dyDescent="0.25">
      <c r="B65" s="88" t="str">
        <f>'SET 1 PLAYERS'!G65</f>
        <v>CLASS 1</v>
      </c>
      <c r="C65" t="str">
        <f>IF(AND('ENTRY DATA'!C65=""),"",('ENTRY DATA'!C65))</f>
        <v/>
      </c>
      <c r="D65" t="str">
        <f>IF(AND('ENTRY DATA'!D65=""),"",('ENTRY DATA'!D65))</f>
        <v/>
      </c>
      <c r="E65" s="12"/>
      <c r="F65" t="str">
        <f>IF(AND('ENTRY DATA'!F65=""),"",('ENTRY DATA'!F65))</f>
        <v/>
      </c>
      <c r="G65" t="str">
        <f>IF(AND('ENTRY DATA'!G65=""),"",('ENTRY DATA'!G65))</f>
        <v/>
      </c>
      <c r="H65" s="12"/>
      <c r="I65" s="12"/>
      <c r="J65" s="66" t="str">
        <f>IF(AND('ENTRY DATA'!J65=""),"",('ENTRY DATA'!J65))</f>
        <v/>
      </c>
      <c r="K65" s="89" t="str">
        <f>IF(AND('ENTRY DATA'!K65=""),"",('ENTRY DATA'!K65))</f>
        <v/>
      </c>
      <c r="L65" s="89" t="str">
        <f>IF(AND('ENTRY DATA'!L65=""),"",('ENTRY DATA'!L65))</f>
        <v/>
      </c>
      <c r="M65" s="89" t="str">
        <f>IF(AND('ENTRY DATA'!M65=""),"",('ENTRY DATA'!M65))</f>
        <v/>
      </c>
      <c r="N65" s="67" t="str">
        <f>IF(AND('ENTRY DATA'!N65=""),"",('ENTRY DATA'!N65))</f>
        <v/>
      </c>
      <c r="O65" s="12"/>
      <c r="P65" s="66">
        <f>'SET 1 PLAYERS'!O65</f>
        <v>0</v>
      </c>
      <c r="Q65" s="67" t="str">
        <f>'SET 1 PLAYERS'!P65</f>
        <v/>
      </c>
      <c r="R65" s="14"/>
      <c r="S65" s="111" t="e">
        <f t="shared" si="0"/>
        <v>#VALUE!</v>
      </c>
      <c r="T65" s="112" t="e">
        <f t="shared" si="1"/>
        <v>#VALUE!</v>
      </c>
      <c r="U65" s="12"/>
      <c r="V65" s="95" t="str">
        <f>'SET 1 PLAYERS'!Q65</f>
        <v/>
      </c>
      <c r="W65" s="12"/>
    </row>
    <row r="66" spans="2:23" x14ac:dyDescent="0.25">
      <c r="B66" s="88" t="str">
        <f>'SET 1 PLAYERS'!G66</f>
        <v>CLASS 1</v>
      </c>
      <c r="C66" t="str">
        <f>IF(AND('ENTRY DATA'!C66=""),"",('ENTRY DATA'!C66))</f>
        <v/>
      </c>
      <c r="D66" t="str">
        <f>IF(AND('ENTRY DATA'!D66=""),"",('ENTRY DATA'!D66))</f>
        <v/>
      </c>
      <c r="E66" s="12"/>
      <c r="F66" t="str">
        <f>IF(AND('ENTRY DATA'!F66=""),"",('ENTRY DATA'!F66))</f>
        <v/>
      </c>
      <c r="G66" t="str">
        <f>IF(AND('ENTRY DATA'!G66=""),"",('ENTRY DATA'!G66))</f>
        <v/>
      </c>
      <c r="H66" s="12"/>
      <c r="I66" s="12"/>
      <c r="J66" s="66" t="str">
        <f>IF(AND('ENTRY DATA'!J66=""),"",('ENTRY DATA'!J66))</f>
        <v/>
      </c>
      <c r="K66" s="89" t="str">
        <f>IF(AND('ENTRY DATA'!K66=""),"",('ENTRY DATA'!K66))</f>
        <v/>
      </c>
      <c r="L66" s="89" t="str">
        <f>IF(AND('ENTRY DATA'!L66=""),"",('ENTRY DATA'!L66))</f>
        <v/>
      </c>
      <c r="M66" s="89" t="str">
        <f>IF(AND('ENTRY DATA'!M66=""),"",('ENTRY DATA'!M66))</f>
        <v/>
      </c>
      <c r="N66" s="67" t="str">
        <f>IF(AND('ENTRY DATA'!N66=""),"",('ENTRY DATA'!N66))</f>
        <v/>
      </c>
      <c r="O66" s="12"/>
      <c r="P66" s="66">
        <f>'SET 1 PLAYERS'!O66</f>
        <v>0</v>
      </c>
      <c r="Q66" s="67" t="str">
        <f>'SET 1 PLAYERS'!P66</f>
        <v/>
      </c>
      <c r="R66" s="14"/>
      <c r="S66" s="111" t="e">
        <f t="shared" si="0"/>
        <v>#VALUE!</v>
      </c>
      <c r="T66" s="112" t="e">
        <f t="shared" si="1"/>
        <v>#VALUE!</v>
      </c>
      <c r="U66" s="12"/>
      <c r="V66" s="95" t="str">
        <f>'SET 1 PLAYERS'!Q66</f>
        <v/>
      </c>
      <c r="W66" s="12"/>
    </row>
    <row r="67" spans="2:23" x14ac:dyDescent="0.25">
      <c r="B67" s="88" t="str">
        <f>'SET 1 PLAYERS'!G67</f>
        <v>CLASS 1</v>
      </c>
      <c r="C67" t="str">
        <f>IF(AND('ENTRY DATA'!C67=""),"",('ENTRY DATA'!C67))</f>
        <v/>
      </c>
      <c r="D67" t="str">
        <f>IF(AND('ENTRY DATA'!D67=""),"",('ENTRY DATA'!D67))</f>
        <v/>
      </c>
      <c r="E67" s="12"/>
      <c r="F67" t="str">
        <f>IF(AND('ENTRY DATA'!F67=""),"",('ENTRY DATA'!F67))</f>
        <v/>
      </c>
      <c r="G67" t="str">
        <f>IF(AND('ENTRY DATA'!G67=""),"",('ENTRY DATA'!G67))</f>
        <v/>
      </c>
      <c r="H67" s="12"/>
      <c r="I67" s="12"/>
      <c r="J67" s="66" t="str">
        <f>IF(AND('ENTRY DATA'!J67=""),"",('ENTRY DATA'!J67))</f>
        <v/>
      </c>
      <c r="K67" s="89" t="str">
        <f>IF(AND('ENTRY DATA'!K67=""),"",('ENTRY DATA'!K67))</f>
        <v/>
      </c>
      <c r="L67" s="89" t="str">
        <f>IF(AND('ENTRY DATA'!L67=""),"",('ENTRY DATA'!L67))</f>
        <v/>
      </c>
      <c r="M67" s="89" t="str">
        <f>IF(AND('ENTRY DATA'!M67=""),"",('ENTRY DATA'!M67))</f>
        <v/>
      </c>
      <c r="N67" s="67" t="str">
        <f>IF(AND('ENTRY DATA'!N67=""),"",('ENTRY DATA'!N67))</f>
        <v/>
      </c>
      <c r="O67" s="12"/>
      <c r="P67" s="66">
        <f>'SET 1 PLAYERS'!O67</f>
        <v>0</v>
      </c>
      <c r="Q67" s="67" t="str">
        <f>'SET 1 PLAYERS'!P67</f>
        <v/>
      </c>
      <c r="R67" s="14"/>
      <c r="S67" s="111" t="e">
        <f t="shared" si="0"/>
        <v>#VALUE!</v>
      </c>
      <c r="T67" s="112" t="e">
        <f t="shared" si="1"/>
        <v>#VALUE!</v>
      </c>
      <c r="U67" s="12"/>
      <c r="V67" s="95" t="str">
        <f>'SET 1 PLAYERS'!Q67</f>
        <v/>
      </c>
      <c r="W67" s="12"/>
    </row>
    <row r="68" spans="2:23" x14ac:dyDescent="0.25">
      <c r="B68" s="88" t="str">
        <f>'SET 1 PLAYERS'!G68</f>
        <v>CLASS 1</v>
      </c>
      <c r="C68" t="str">
        <f>IF(AND('ENTRY DATA'!C68=""),"",('ENTRY DATA'!C68))</f>
        <v/>
      </c>
      <c r="D68" t="str">
        <f>IF(AND('ENTRY DATA'!D68=""),"",('ENTRY DATA'!D68))</f>
        <v/>
      </c>
      <c r="E68" s="12"/>
      <c r="F68" t="str">
        <f>IF(AND('ENTRY DATA'!F68=""),"",('ENTRY DATA'!F68))</f>
        <v/>
      </c>
      <c r="G68" t="str">
        <f>IF(AND('ENTRY DATA'!G68=""),"",('ENTRY DATA'!G68))</f>
        <v/>
      </c>
      <c r="H68" s="12"/>
      <c r="I68" s="12"/>
      <c r="J68" s="66" t="str">
        <f>IF(AND('ENTRY DATA'!J68=""),"",('ENTRY DATA'!J68))</f>
        <v/>
      </c>
      <c r="K68" s="89" t="str">
        <f>IF(AND('ENTRY DATA'!K68=""),"",('ENTRY DATA'!K68))</f>
        <v/>
      </c>
      <c r="L68" s="89" t="str">
        <f>IF(AND('ENTRY DATA'!L68=""),"",('ENTRY DATA'!L68))</f>
        <v/>
      </c>
      <c r="M68" s="89" t="str">
        <f>IF(AND('ENTRY DATA'!M68=""),"",('ENTRY DATA'!M68))</f>
        <v/>
      </c>
      <c r="N68" s="67" t="str">
        <f>IF(AND('ENTRY DATA'!N68=""),"",('ENTRY DATA'!N68))</f>
        <v/>
      </c>
      <c r="O68" s="12"/>
      <c r="P68" s="66">
        <f>'SET 1 PLAYERS'!O68</f>
        <v>0</v>
      </c>
      <c r="Q68" s="67" t="str">
        <f>'SET 1 PLAYERS'!P68</f>
        <v/>
      </c>
      <c r="R68" s="14"/>
      <c r="S68" s="111" t="e">
        <f t="shared" si="0"/>
        <v>#VALUE!</v>
      </c>
      <c r="T68" s="112" t="e">
        <f t="shared" si="1"/>
        <v>#VALUE!</v>
      </c>
      <c r="U68" s="12"/>
      <c r="V68" s="95" t="str">
        <f>'SET 1 PLAYERS'!Q68</f>
        <v/>
      </c>
      <c r="W68" s="12"/>
    </row>
    <row r="69" spans="2:23" x14ac:dyDescent="0.25">
      <c r="B69" s="88" t="str">
        <f>'SET 1 PLAYERS'!G69</f>
        <v>CLASS 1</v>
      </c>
      <c r="C69" t="str">
        <f>IF(AND('ENTRY DATA'!C69=""),"",('ENTRY DATA'!C69))</f>
        <v/>
      </c>
      <c r="D69" t="str">
        <f>IF(AND('ENTRY DATA'!D69=""),"",('ENTRY DATA'!D69))</f>
        <v/>
      </c>
      <c r="E69" s="12"/>
      <c r="F69" t="str">
        <f>IF(AND('ENTRY DATA'!F69=""),"",('ENTRY DATA'!F69))</f>
        <v/>
      </c>
      <c r="G69" t="str">
        <f>IF(AND('ENTRY DATA'!G69=""),"",('ENTRY DATA'!G69))</f>
        <v/>
      </c>
      <c r="H69" s="12"/>
      <c r="I69" s="12"/>
      <c r="J69" s="66" t="str">
        <f>IF(AND('ENTRY DATA'!J69=""),"",('ENTRY DATA'!J69))</f>
        <v/>
      </c>
      <c r="K69" s="89" t="str">
        <f>IF(AND('ENTRY DATA'!K69=""),"",('ENTRY DATA'!K69))</f>
        <v/>
      </c>
      <c r="L69" s="89" t="str">
        <f>IF(AND('ENTRY DATA'!L69=""),"",('ENTRY DATA'!L69))</f>
        <v/>
      </c>
      <c r="M69" s="89" t="str">
        <f>IF(AND('ENTRY DATA'!M69=""),"",('ENTRY DATA'!M69))</f>
        <v/>
      </c>
      <c r="N69" s="67" t="str">
        <f>IF(AND('ENTRY DATA'!N69=""),"",('ENTRY DATA'!N69))</f>
        <v/>
      </c>
      <c r="O69" s="12"/>
      <c r="P69" s="66">
        <f>'SET 1 PLAYERS'!O69</f>
        <v>0</v>
      </c>
      <c r="Q69" s="67" t="str">
        <f>'SET 1 PLAYERS'!P69</f>
        <v/>
      </c>
      <c r="R69" s="14"/>
      <c r="S69" s="111" t="e">
        <f t="shared" si="0"/>
        <v>#VALUE!</v>
      </c>
      <c r="T69" s="112" t="e">
        <f t="shared" si="1"/>
        <v>#VALUE!</v>
      </c>
      <c r="U69" s="12"/>
      <c r="V69" s="95" t="str">
        <f>'SET 1 PLAYERS'!Q69</f>
        <v/>
      </c>
      <c r="W69" s="12"/>
    </row>
    <row r="70" spans="2:23" x14ac:dyDescent="0.25">
      <c r="B70" s="88" t="str">
        <f>'SET 1 PLAYERS'!G70</f>
        <v>CLASS 1</v>
      </c>
      <c r="C70" t="str">
        <f>IF(AND('ENTRY DATA'!C70=""),"",('ENTRY DATA'!C70))</f>
        <v/>
      </c>
      <c r="D70" t="str">
        <f>IF(AND('ENTRY DATA'!D70=""),"",('ENTRY DATA'!D70))</f>
        <v/>
      </c>
      <c r="E70" s="12"/>
      <c r="F70" t="str">
        <f>IF(AND('ENTRY DATA'!F70=""),"",('ENTRY DATA'!F70))</f>
        <v/>
      </c>
      <c r="G70" t="str">
        <f>IF(AND('ENTRY DATA'!G70=""),"",('ENTRY DATA'!G70))</f>
        <v/>
      </c>
      <c r="H70" s="12"/>
      <c r="I70" s="12"/>
      <c r="J70" s="66" t="str">
        <f>IF(AND('ENTRY DATA'!J70=""),"",('ENTRY DATA'!J70))</f>
        <v/>
      </c>
      <c r="K70" s="89" t="str">
        <f>IF(AND('ENTRY DATA'!K70=""),"",('ENTRY DATA'!K70))</f>
        <v/>
      </c>
      <c r="L70" s="89" t="str">
        <f>IF(AND('ENTRY DATA'!L70=""),"",('ENTRY DATA'!L70))</f>
        <v/>
      </c>
      <c r="M70" s="89" t="str">
        <f>IF(AND('ENTRY DATA'!M70=""),"",('ENTRY DATA'!M70))</f>
        <v/>
      </c>
      <c r="N70" s="67" t="str">
        <f>IF(AND('ENTRY DATA'!N70=""),"",('ENTRY DATA'!N70))</f>
        <v/>
      </c>
      <c r="O70" s="12"/>
      <c r="P70" s="66">
        <f>'SET 1 PLAYERS'!O70</f>
        <v>0</v>
      </c>
      <c r="Q70" s="67" t="str">
        <f>'SET 1 PLAYERS'!P70</f>
        <v/>
      </c>
      <c r="R70" s="14"/>
      <c r="S70" s="111" t="e">
        <f t="shared" ref="S70:S133" si="2">V70/P70</f>
        <v>#VALUE!</v>
      </c>
      <c r="T70" s="112" t="e">
        <f t="shared" ref="T70:T133" si="3">V70/Q70</f>
        <v>#VALUE!</v>
      </c>
      <c r="U70" s="12"/>
      <c r="V70" s="95" t="str">
        <f>'SET 1 PLAYERS'!Q70</f>
        <v/>
      </c>
      <c r="W70" s="12"/>
    </row>
    <row r="71" spans="2:23" x14ac:dyDescent="0.25">
      <c r="B71" s="88" t="str">
        <f>'SET 1 PLAYERS'!G71</f>
        <v>CLASS 1</v>
      </c>
      <c r="C71" t="str">
        <f>IF(AND('ENTRY DATA'!C71=""),"",('ENTRY DATA'!C71))</f>
        <v/>
      </c>
      <c r="D71" t="str">
        <f>IF(AND('ENTRY DATA'!D71=""),"",('ENTRY DATA'!D71))</f>
        <v/>
      </c>
      <c r="E71" s="12"/>
      <c r="F71" t="str">
        <f>IF(AND('ENTRY DATA'!F71=""),"",('ENTRY DATA'!F71))</f>
        <v/>
      </c>
      <c r="G71" t="str">
        <f>IF(AND('ENTRY DATA'!G71=""),"",('ENTRY DATA'!G71))</f>
        <v/>
      </c>
      <c r="H71" s="12"/>
      <c r="I71" s="12"/>
      <c r="J71" s="66" t="str">
        <f>IF(AND('ENTRY DATA'!J71=""),"",('ENTRY DATA'!J71))</f>
        <v/>
      </c>
      <c r="K71" s="89" t="str">
        <f>IF(AND('ENTRY DATA'!K71=""),"",('ENTRY DATA'!K71))</f>
        <v/>
      </c>
      <c r="L71" s="89" t="str">
        <f>IF(AND('ENTRY DATA'!L71=""),"",('ENTRY DATA'!L71))</f>
        <v/>
      </c>
      <c r="M71" s="89" t="str">
        <f>IF(AND('ENTRY DATA'!M71=""),"",('ENTRY DATA'!M71))</f>
        <v/>
      </c>
      <c r="N71" s="67" t="str">
        <f>IF(AND('ENTRY DATA'!N71=""),"",('ENTRY DATA'!N71))</f>
        <v/>
      </c>
      <c r="O71" s="12"/>
      <c r="P71" s="66">
        <f>'SET 1 PLAYERS'!O71</f>
        <v>0</v>
      </c>
      <c r="Q71" s="67" t="str">
        <f>'SET 1 PLAYERS'!P71</f>
        <v/>
      </c>
      <c r="R71" s="14"/>
      <c r="S71" s="111" t="e">
        <f t="shared" si="2"/>
        <v>#VALUE!</v>
      </c>
      <c r="T71" s="112" t="e">
        <f t="shared" si="3"/>
        <v>#VALUE!</v>
      </c>
      <c r="U71" s="12"/>
      <c r="V71" s="95" t="str">
        <f>'SET 1 PLAYERS'!Q71</f>
        <v/>
      </c>
      <c r="W71" s="12"/>
    </row>
    <row r="72" spans="2:23" x14ac:dyDescent="0.25">
      <c r="B72" s="88" t="str">
        <f>'SET 1 PLAYERS'!G72</f>
        <v>CLASS 1</v>
      </c>
      <c r="C72" t="str">
        <f>IF(AND('ENTRY DATA'!C72=""),"",('ENTRY DATA'!C72))</f>
        <v/>
      </c>
      <c r="D72" t="str">
        <f>IF(AND('ENTRY DATA'!D72=""),"",('ENTRY DATA'!D72))</f>
        <v/>
      </c>
      <c r="E72" s="12"/>
      <c r="F72" t="str">
        <f>IF(AND('ENTRY DATA'!F72=""),"",('ENTRY DATA'!F72))</f>
        <v/>
      </c>
      <c r="G72" t="str">
        <f>IF(AND('ENTRY DATA'!G72=""),"",('ENTRY DATA'!G72))</f>
        <v/>
      </c>
      <c r="H72" s="12"/>
      <c r="I72" s="12"/>
      <c r="J72" s="66" t="str">
        <f>IF(AND('ENTRY DATA'!J72=""),"",('ENTRY DATA'!J72))</f>
        <v/>
      </c>
      <c r="K72" s="89" t="str">
        <f>IF(AND('ENTRY DATA'!K72=""),"",('ENTRY DATA'!K72))</f>
        <v/>
      </c>
      <c r="L72" s="89" t="str">
        <f>IF(AND('ENTRY DATA'!L72=""),"",('ENTRY DATA'!L72))</f>
        <v/>
      </c>
      <c r="M72" s="89" t="str">
        <f>IF(AND('ENTRY DATA'!M72=""),"",('ENTRY DATA'!M72))</f>
        <v/>
      </c>
      <c r="N72" s="67" t="str">
        <f>IF(AND('ENTRY DATA'!N72=""),"",('ENTRY DATA'!N72))</f>
        <v/>
      </c>
      <c r="O72" s="12"/>
      <c r="P72" s="66">
        <f>'SET 1 PLAYERS'!O72</f>
        <v>0</v>
      </c>
      <c r="Q72" s="67" t="str">
        <f>'SET 1 PLAYERS'!P72</f>
        <v/>
      </c>
      <c r="R72" s="14"/>
      <c r="S72" s="111" t="e">
        <f t="shared" si="2"/>
        <v>#VALUE!</v>
      </c>
      <c r="T72" s="112" t="e">
        <f t="shared" si="3"/>
        <v>#VALUE!</v>
      </c>
      <c r="U72" s="12"/>
      <c r="V72" s="95" t="str">
        <f>'SET 1 PLAYERS'!Q72</f>
        <v/>
      </c>
      <c r="W72" s="12"/>
    </row>
    <row r="73" spans="2:23" x14ac:dyDescent="0.25">
      <c r="B73" s="88" t="str">
        <f>'SET 1 PLAYERS'!G73</f>
        <v>CLASS 1</v>
      </c>
      <c r="C73" t="str">
        <f>IF(AND('ENTRY DATA'!C73=""),"",('ENTRY DATA'!C73))</f>
        <v/>
      </c>
      <c r="D73" t="str">
        <f>IF(AND('ENTRY DATA'!D73=""),"",('ENTRY DATA'!D73))</f>
        <v/>
      </c>
      <c r="E73" s="12"/>
      <c r="F73" t="str">
        <f>IF(AND('ENTRY DATA'!F73=""),"",('ENTRY DATA'!F73))</f>
        <v/>
      </c>
      <c r="G73" t="str">
        <f>IF(AND('ENTRY DATA'!G73=""),"",('ENTRY DATA'!G73))</f>
        <v/>
      </c>
      <c r="H73" s="12"/>
      <c r="I73" s="12"/>
      <c r="J73" s="66" t="str">
        <f>IF(AND('ENTRY DATA'!J73=""),"",('ENTRY DATA'!J73))</f>
        <v/>
      </c>
      <c r="K73" s="89" t="str">
        <f>IF(AND('ENTRY DATA'!K73=""),"",('ENTRY DATA'!K73))</f>
        <v/>
      </c>
      <c r="L73" s="89" t="str">
        <f>IF(AND('ENTRY DATA'!L73=""),"",('ENTRY DATA'!L73))</f>
        <v/>
      </c>
      <c r="M73" s="89" t="str">
        <f>IF(AND('ENTRY DATA'!M73=""),"",('ENTRY DATA'!M73))</f>
        <v/>
      </c>
      <c r="N73" s="67" t="str">
        <f>IF(AND('ENTRY DATA'!N73=""),"",('ENTRY DATA'!N73))</f>
        <v/>
      </c>
      <c r="O73" s="12"/>
      <c r="P73" s="66">
        <f>'SET 1 PLAYERS'!O73</f>
        <v>0</v>
      </c>
      <c r="Q73" s="67" t="str">
        <f>'SET 1 PLAYERS'!P73</f>
        <v/>
      </c>
      <c r="R73" s="14"/>
      <c r="S73" s="111" t="e">
        <f t="shared" si="2"/>
        <v>#VALUE!</v>
      </c>
      <c r="T73" s="112" t="e">
        <f t="shared" si="3"/>
        <v>#VALUE!</v>
      </c>
      <c r="U73" s="12"/>
      <c r="V73" s="95" t="str">
        <f>'SET 1 PLAYERS'!Q73</f>
        <v/>
      </c>
      <c r="W73" s="12"/>
    </row>
    <row r="74" spans="2:23" x14ac:dyDescent="0.25">
      <c r="B74" s="88" t="str">
        <f>'SET 1 PLAYERS'!G74</f>
        <v>CLASS 1</v>
      </c>
      <c r="C74" t="str">
        <f>IF(AND('ENTRY DATA'!C74=""),"",('ENTRY DATA'!C74))</f>
        <v/>
      </c>
      <c r="D74" t="str">
        <f>IF(AND('ENTRY DATA'!D74=""),"",('ENTRY DATA'!D74))</f>
        <v/>
      </c>
      <c r="E74" s="12"/>
      <c r="F74" t="str">
        <f>IF(AND('ENTRY DATA'!F74=""),"",('ENTRY DATA'!F74))</f>
        <v/>
      </c>
      <c r="G74" t="str">
        <f>IF(AND('ENTRY DATA'!G74=""),"",('ENTRY DATA'!G74))</f>
        <v/>
      </c>
      <c r="H74" s="12"/>
      <c r="I74" s="12"/>
      <c r="J74" s="66" t="str">
        <f>IF(AND('ENTRY DATA'!J74=""),"",('ENTRY DATA'!J74))</f>
        <v/>
      </c>
      <c r="K74" s="89" t="str">
        <f>IF(AND('ENTRY DATA'!K74=""),"",('ENTRY DATA'!K74))</f>
        <v/>
      </c>
      <c r="L74" s="89" t="str">
        <f>IF(AND('ENTRY DATA'!L74=""),"",('ENTRY DATA'!L74))</f>
        <v/>
      </c>
      <c r="M74" s="89" t="str">
        <f>IF(AND('ENTRY DATA'!M74=""),"",('ENTRY DATA'!M74))</f>
        <v/>
      </c>
      <c r="N74" s="67" t="str">
        <f>IF(AND('ENTRY DATA'!N74=""),"",('ENTRY DATA'!N74))</f>
        <v/>
      </c>
      <c r="O74" s="12"/>
      <c r="P74" s="66">
        <f>'SET 1 PLAYERS'!O74</f>
        <v>0</v>
      </c>
      <c r="Q74" s="67" t="str">
        <f>'SET 1 PLAYERS'!P74</f>
        <v/>
      </c>
      <c r="R74" s="14"/>
      <c r="S74" s="111" t="e">
        <f t="shared" si="2"/>
        <v>#VALUE!</v>
      </c>
      <c r="T74" s="112" t="e">
        <f t="shared" si="3"/>
        <v>#VALUE!</v>
      </c>
      <c r="U74" s="12"/>
      <c r="V74" s="95" t="str">
        <f>'SET 1 PLAYERS'!Q74</f>
        <v/>
      </c>
      <c r="W74" s="12"/>
    </row>
    <row r="75" spans="2:23" x14ac:dyDescent="0.25">
      <c r="B75" s="88" t="str">
        <f>'SET 1 PLAYERS'!G75</f>
        <v>CLASS 1</v>
      </c>
      <c r="C75" t="str">
        <f>IF(AND('ENTRY DATA'!C75=""),"",('ENTRY DATA'!C75))</f>
        <v/>
      </c>
      <c r="D75" t="str">
        <f>IF(AND('ENTRY DATA'!D75=""),"",('ENTRY DATA'!D75))</f>
        <v/>
      </c>
      <c r="E75" s="12"/>
      <c r="F75" t="str">
        <f>IF(AND('ENTRY DATA'!F75=""),"",('ENTRY DATA'!F75))</f>
        <v/>
      </c>
      <c r="G75" t="str">
        <f>IF(AND('ENTRY DATA'!G75=""),"",('ENTRY DATA'!G75))</f>
        <v/>
      </c>
      <c r="H75" s="12"/>
      <c r="I75" s="12"/>
      <c r="J75" s="66" t="str">
        <f>IF(AND('ENTRY DATA'!J75=""),"",('ENTRY DATA'!J75))</f>
        <v/>
      </c>
      <c r="K75" s="89" t="str">
        <f>IF(AND('ENTRY DATA'!K75=""),"",('ENTRY DATA'!K75))</f>
        <v/>
      </c>
      <c r="L75" s="89" t="str">
        <f>IF(AND('ENTRY DATA'!L75=""),"",('ENTRY DATA'!L75))</f>
        <v/>
      </c>
      <c r="M75" s="89" t="str">
        <f>IF(AND('ENTRY DATA'!M75=""),"",('ENTRY DATA'!M75))</f>
        <v/>
      </c>
      <c r="N75" s="67" t="str">
        <f>IF(AND('ENTRY DATA'!N75=""),"",('ENTRY DATA'!N75))</f>
        <v/>
      </c>
      <c r="O75" s="12"/>
      <c r="P75" s="66">
        <f>'SET 1 PLAYERS'!O75</f>
        <v>0</v>
      </c>
      <c r="Q75" s="67" t="str">
        <f>'SET 1 PLAYERS'!P75</f>
        <v/>
      </c>
      <c r="R75" s="14"/>
      <c r="S75" s="111" t="e">
        <f t="shared" si="2"/>
        <v>#VALUE!</v>
      </c>
      <c r="T75" s="112" t="e">
        <f t="shared" si="3"/>
        <v>#VALUE!</v>
      </c>
      <c r="U75" s="12"/>
      <c r="V75" s="95" t="str">
        <f>'SET 1 PLAYERS'!Q75</f>
        <v/>
      </c>
      <c r="W75" s="12"/>
    </row>
    <row r="76" spans="2:23" x14ac:dyDescent="0.25">
      <c r="B76" s="88" t="str">
        <f>'SET 1 PLAYERS'!G76</f>
        <v>CLASS 1</v>
      </c>
      <c r="C76" t="str">
        <f>IF(AND('ENTRY DATA'!C76=""),"",('ENTRY DATA'!C76))</f>
        <v/>
      </c>
      <c r="D76" t="str">
        <f>IF(AND('ENTRY DATA'!D76=""),"",('ENTRY DATA'!D76))</f>
        <v/>
      </c>
      <c r="E76" s="12"/>
      <c r="F76" t="str">
        <f>IF(AND('ENTRY DATA'!F76=""),"",('ENTRY DATA'!F76))</f>
        <v/>
      </c>
      <c r="G76" t="str">
        <f>IF(AND('ENTRY DATA'!G76=""),"",('ENTRY DATA'!G76))</f>
        <v/>
      </c>
      <c r="H76" s="12"/>
      <c r="I76" s="12"/>
      <c r="J76" s="66" t="str">
        <f>IF(AND('ENTRY DATA'!J76=""),"",('ENTRY DATA'!J76))</f>
        <v/>
      </c>
      <c r="K76" s="89" t="str">
        <f>IF(AND('ENTRY DATA'!K76=""),"",('ENTRY DATA'!K76))</f>
        <v/>
      </c>
      <c r="L76" s="89" t="str">
        <f>IF(AND('ENTRY DATA'!L76=""),"",('ENTRY DATA'!L76))</f>
        <v/>
      </c>
      <c r="M76" s="89" t="str">
        <f>IF(AND('ENTRY DATA'!M76=""),"",('ENTRY DATA'!M76))</f>
        <v/>
      </c>
      <c r="N76" s="67" t="str">
        <f>IF(AND('ENTRY DATA'!N76=""),"",('ENTRY DATA'!N76))</f>
        <v/>
      </c>
      <c r="O76" s="12"/>
      <c r="P76" s="66">
        <f>'SET 1 PLAYERS'!O76</f>
        <v>0</v>
      </c>
      <c r="Q76" s="67" t="str">
        <f>'SET 1 PLAYERS'!P76</f>
        <v/>
      </c>
      <c r="R76" s="14"/>
      <c r="S76" s="111" t="e">
        <f t="shared" si="2"/>
        <v>#VALUE!</v>
      </c>
      <c r="T76" s="112" t="e">
        <f t="shared" si="3"/>
        <v>#VALUE!</v>
      </c>
      <c r="U76" s="12"/>
      <c r="V76" s="95" t="str">
        <f>'SET 1 PLAYERS'!Q76</f>
        <v/>
      </c>
      <c r="W76" s="12"/>
    </row>
    <row r="77" spans="2:23" x14ac:dyDescent="0.25">
      <c r="B77" s="88" t="str">
        <f>'SET 1 PLAYERS'!G77</f>
        <v>CLASS 1</v>
      </c>
      <c r="C77" t="str">
        <f>IF(AND('ENTRY DATA'!C77=""),"",('ENTRY DATA'!C77))</f>
        <v/>
      </c>
      <c r="D77" t="str">
        <f>IF(AND('ENTRY DATA'!D77=""),"",('ENTRY DATA'!D77))</f>
        <v/>
      </c>
      <c r="E77" s="12"/>
      <c r="F77" t="str">
        <f>IF(AND('ENTRY DATA'!F77=""),"",('ENTRY DATA'!F77))</f>
        <v/>
      </c>
      <c r="G77" t="str">
        <f>IF(AND('ENTRY DATA'!G77=""),"",('ENTRY DATA'!G77))</f>
        <v/>
      </c>
      <c r="H77" s="12"/>
      <c r="I77" s="12"/>
      <c r="J77" s="66" t="str">
        <f>IF(AND('ENTRY DATA'!J77=""),"",('ENTRY DATA'!J77))</f>
        <v/>
      </c>
      <c r="K77" s="89" t="str">
        <f>IF(AND('ENTRY DATA'!K77=""),"",('ENTRY DATA'!K77))</f>
        <v/>
      </c>
      <c r="L77" s="89" t="str">
        <f>IF(AND('ENTRY DATA'!L77=""),"",('ENTRY DATA'!L77))</f>
        <v/>
      </c>
      <c r="M77" s="89" t="str">
        <f>IF(AND('ENTRY DATA'!M77=""),"",('ENTRY DATA'!M77))</f>
        <v/>
      </c>
      <c r="N77" s="67" t="str">
        <f>IF(AND('ENTRY DATA'!N77=""),"",('ENTRY DATA'!N77))</f>
        <v/>
      </c>
      <c r="O77" s="12"/>
      <c r="P77" s="66">
        <f>'SET 1 PLAYERS'!O77</f>
        <v>0</v>
      </c>
      <c r="Q77" s="67" t="str">
        <f>'SET 1 PLAYERS'!P77</f>
        <v/>
      </c>
      <c r="R77" s="14"/>
      <c r="S77" s="111" t="e">
        <f t="shared" si="2"/>
        <v>#VALUE!</v>
      </c>
      <c r="T77" s="112" t="e">
        <f t="shared" si="3"/>
        <v>#VALUE!</v>
      </c>
      <c r="U77" s="12"/>
      <c r="V77" s="95" t="str">
        <f>'SET 1 PLAYERS'!Q77</f>
        <v/>
      </c>
      <c r="W77" s="12"/>
    </row>
    <row r="78" spans="2:23" x14ac:dyDescent="0.25">
      <c r="B78" s="88" t="str">
        <f>'SET 1 PLAYERS'!G78</f>
        <v>CLASS 1</v>
      </c>
      <c r="C78" t="str">
        <f>IF(AND('ENTRY DATA'!C78=""),"",('ENTRY DATA'!C78))</f>
        <v/>
      </c>
      <c r="D78" t="str">
        <f>IF(AND('ENTRY DATA'!D78=""),"",('ENTRY DATA'!D78))</f>
        <v/>
      </c>
      <c r="E78" s="12"/>
      <c r="F78" t="str">
        <f>IF(AND('ENTRY DATA'!F78=""),"",('ENTRY DATA'!F78))</f>
        <v/>
      </c>
      <c r="G78" t="str">
        <f>IF(AND('ENTRY DATA'!G78=""),"",('ENTRY DATA'!G78))</f>
        <v/>
      </c>
      <c r="H78" s="12"/>
      <c r="I78" s="12"/>
      <c r="J78" s="66" t="str">
        <f>IF(AND('ENTRY DATA'!J78=""),"",('ENTRY DATA'!J78))</f>
        <v/>
      </c>
      <c r="K78" s="89" t="str">
        <f>IF(AND('ENTRY DATA'!K78=""),"",('ENTRY DATA'!K78))</f>
        <v/>
      </c>
      <c r="L78" s="89" t="str">
        <f>IF(AND('ENTRY DATA'!L78=""),"",('ENTRY DATA'!L78))</f>
        <v/>
      </c>
      <c r="M78" s="89" t="str">
        <f>IF(AND('ENTRY DATA'!M78=""),"",('ENTRY DATA'!M78))</f>
        <v/>
      </c>
      <c r="N78" s="67" t="str">
        <f>IF(AND('ENTRY DATA'!N78=""),"",('ENTRY DATA'!N78))</f>
        <v/>
      </c>
      <c r="O78" s="12"/>
      <c r="P78" s="66">
        <f>'SET 1 PLAYERS'!O78</f>
        <v>0</v>
      </c>
      <c r="Q78" s="67" t="str">
        <f>'SET 1 PLAYERS'!P78</f>
        <v/>
      </c>
      <c r="R78" s="14"/>
      <c r="S78" s="111" t="e">
        <f t="shared" si="2"/>
        <v>#VALUE!</v>
      </c>
      <c r="T78" s="112" t="e">
        <f t="shared" si="3"/>
        <v>#VALUE!</v>
      </c>
      <c r="U78" s="12"/>
      <c r="V78" s="95" t="str">
        <f>'SET 1 PLAYERS'!Q78</f>
        <v/>
      </c>
      <c r="W78" s="12"/>
    </row>
    <row r="79" spans="2:23" x14ac:dyDescent="0.25">
      <c r="B79" s="88" t="str">
        <f>'SET 1 PLAYERS'!G79</f>
        <v>CLASS 1</v>
      </c>
      <c r="C79" t="str">
        <f>IF(AND('ENTRY DATA'!C79=""),"",('ENTRY DATA'!C79))</f>
        <v/>
      </c>
      <c r="D79" t="str">
        <f>IF(AND('ENTRY DATA'!D79=""),"",('ENTRY DATA'!D79))</f>
        <v/>
      </c>
      <c r="E79" s="12"/>
      <c r="F79" t="str">
        <f>IF(AND('ENTRY DATA'!F79=""),"",('ENTRY DATA'!F79))</f>
        <v/>
      </c>
      <c r="G79" t="str">
        <f>IF(AND('ENTRY DATA'!G79=""),"",('ENTRY DATA'!G79))</f>
        <v/>
      </c>
      <c r="H79" s="12"/>
      <c r="I79" s="12"/>
      <c r="J79" s="66" t="str">
        <f>IF(AND('ENTRY DATA'!J79=""),"",('ENTRY DATA'!J79))</f>
        <v/>
      </c>
      <c r="K79" s="89" t="str">
        <f>IF(AND('ENTRY DATA'!K79=""),"",('ENTRY DATA'!K79))</f>
        <v/>
      </c>
      <c r="L79" s="89" t="str">
        <f>IF(AND('ENTRY DATA'!L79=""),"",('ENTRY DATA'!L79))</f>
        <v/>
      </c>
      <c r="M79" s="89" t="str">
        <f>IF(AND('ENTRY DATA'!M79=""),"",('ENTRY DATA'!M79))</f>
        <v/>
      </c>
      <c r="N79" s="67" t="str">
        <f>IF(AND('ENTRY DATA'!N79=""),"",('ENTRY DATA'!N79))</f>
        <v/>
      </c>
      <c r="O79" s="12"/>
      <c r="P79" s="66">
        <f>'SET 1 PLAYERS'!O79</f>
        <v>0</v>
      </c>
      <c r="Q79" s="67" t="str">
        <f>'SET 1 PLAYERS'!P79</f>
        <v/>
      </c>
      <c r="R79" s="14"/>
      <c r="S79" s="111" t="e">
        <f t="shared" si="2"/>
        <v>#VALUE!</v>
      </c>
      <c r="T79" s="112" t="e">
        <f t="shared" si="3"/>
        <v>#VALUE!</v>
      </c>
      <c r="U79" s="12"/>
      <c r="V79" s="95" t="str">
        <f>'SET 1 PLAYERS'!Q79</f>
        <v/>
      </c>
      <c r="W79" s="12"/>
    </row>
    <row r="80" spans="2:23" x14ac:dyDescent="0.25">
      <c r="B80" s="88" t="str">
        <f>'SET 1 PLAYERS'!G80</f>
        <v>CLASS 1</v>
      </c>
      <c r="C80" t="str">
        <f>IF(AND('ENTRY DATA'!C80=""),"",('ENTRY DATA'!C80))</f>
        <v/>
      </c>
      <c r="D80" t="str">
        <f>IF(AND('ENTRY DATA'!D80=""),"",('ENTRY DATA'!D80))</f>
        <v/>
      </c>
      <c r="E80" s="12"/>
      <c r="F80" t="str">
        <f>IF(AND('ENTRY DATA'!F80=""),"",('ENTRY DATA'!F80))</f>
        <v/>
      </c>
      <c r="G80" t="str">
        <f>IF(AND('ENTRY DATA'!G80=""),"",('ENTRY DATA'!G80))</f>
        <v/>
      </c>
      <c r="H80" s="12"/>
      <c r="I80" s="12"/>
      <c r="J80" s="66" t="str">
        <f>IF(AND('ENTRY DATA'!J80=""),"",('ENTRY DATA'!J80))</f>
        <v/>
      </c>
      <c r="K80" s="89" t="str">
        <f>IF(AND('ENTRY DATA'!K80=""),"",('ENTRY DATA'!K80))</f>
        <v/>
      </c>
      <c r="L80" s="89" t="str">
        <f>IF(AND('ENTRY DATA'!L80=""),"",('ENTRY DATA'!L80))</f>
        <v/>
      </c>
      <c r="M80" s="89" t="str">
        <f>IF(AND('ENTRY DATA'!M80=""),"",('ENTRY DATA'!M80))</f>
        <v/>
      </c>
      <c r="N80" s="67" t="str">
        <f>IF(AND('ENTRY DATA'!N80=""),"",('ENTRY DATA'!N80))</f>
        <v/>
      </c>
      <c r="O80" s="12"/>
      <c r="P80" s="66">
        <f>'SET 1 PLAYERS'!O80</f>
        <v>0</v>
      </c>
      <c r="Q80" s="67" t="str">
        <f>'SET 1 PLAYERS'!P80</f>
        <v/>
      </c>
      <c r="R80" s="14"/>
      <c r="S80" s="111" t="e">
        <f t="shared" si="2"/>
        <v>#VALUE!</v>
      </c>
      <c r="T80" s="112" t="e">
        <f t="shared" si="3"/>
        <v>#VALUE!</v>
      </c>
      <c r="U80" s="12"/>
      <c r="V80" s="95" t="str">
        <f>'SET 1 PLAYERS'!Q80</f>
        <v/>
      </c>
      <c r="W80" s="12"/>
    </row>
    <row r="81" spans="2:23" x14ac:dyDescent="0.25">
      <c r="B81" s="88" t="str">
        <f>'SET 1 PLAYERS'!G81</f>
        <v>CLASS 1</v>
      </c>
      <c r="C81" t="str">
        <f>IF(AND('ENTRY DATA'!C81=""),"",('ENTRY DATA'!C81))</f>
        <v/>
      </c>
      <c r="D81" t="str">
        <f>IF(AND('ENTRY DATA'!D81=""),"",('ENTRY DATA'!D81))</f>
        <v/>
      </c>
      <c r="E81" s="12"/>
      <c r="F81" t="str">
        <f>IF(AND('ENTRY DATA'!F81=""),"",('ENTRY DATA'!F81))</f>
        <v/>
      </c>
      <c r="G81" t="str">
        <f>IF(AND('ENTRY DATA'!G81=""),"",('ENTRY DATA'!G81))</f>
        <v/>
      </c>
      <c r="H81" s="12"/>
      <c r="I81" s="12"/>
      <c r="J81" s="66" t="str">
        <f>IF(AND('ENTRY DATA'!J81=""),"",('ENTRY DATA'!J81))</f>
        <v/>
      </c>
      <c r="K81" s="89" t="str">
        <f>IF(AND('ENTRY DATA'!K81=""),"",('ENTRY DATA'!K81))</f>
        <v/>
      </c>
      <c r="L81" s="89" t="str">
        <f>IF(AND('ENTRY DATA'!L81=""),"",('ENTRY DATA'!L81))</f>
        <v/>
      </c>
      <c r="M81" s="89" t="str">
        <f>IF(AND('ENTRY DATA'!M81=""),"",('ENTRY DATA'!M81))</f>
        <v/>
      </c>
      <c r="N81" s="67" t="str">
        <f>IF(AND('ENTRY DATA'!N81=""),"",('ENTRY DATA'!N81))</f>
        <v/>
      </c>
      <c r="O81" s="12"/>
      <c r="P81" s="66">
        <f>'SET 1 PLAYERS'!O81</f>
        <v>0</v>
      </c>
      <c r="Q81" s="67" t="str">
        <f>'SET 1 PLAYERS'!P81</f>
        <v/>
      </c>
      <c r="R81" s="14"/>
      <c r="S81" s="111" t="e">
        <f t="shared" si="2"/>
        <v>#VALUE!</v>
      </c>
      <c r="T81" s="112" t="e">
        <f t="shared" si="3"/>
        <v>#VALUE!</v>
      </c>
      <c r="U81" s="12"/>
      <c r="V81" s="95" t="str">
        <f>'SET 1 PLAYERS'!Q81</f>
        <v/>
      </c>
      <c r="W81" s="12"/>
    </row>
    <row r="82" spans="2:23" x14ac:dyDescent="0.25">
      <c r="B82" s="88" t="str">
        <f>'SET 1 PLAYERS'!G82</f>
        <v>CLASS 1</v>
      </c>
      <c r="C82" t="str">
        <f>IF(AND('ENTRY DATA'!C82=""),"",('ENTRY DATA'!C82))</f>
        <v/>
      </c>
      <c r="D82" t="str">
        <f>IF(AND('ENTRY DATA'!D82=""),"",('ENTRY DATA'!D82))</f>
        <v/>
      </c>
      <c r="E82" s="12"/>
      <c r="F82" t="str">
        <f>IF(AND('ENTRY DATA'!F82=""),"",('ENTRY DATA'!F82))</f>
        <v/>
      </c>
      <c r="G82" t="str">
        <f>IF(AND('ENTRY DATA'!G82=""),"",('ENTRY DATA'!G82))</f>
        <v/>
      </c>
      <c r="H82" s="12"/>
      <c r="I82" s="12"/>
      <c r="J82" s="66" t="str">
        <f>IF(AND('ENTRY DATA'!J82=""),"",('ENTRY DATA'!J82))</f>
        <v/>
      </c>
      <c r="K82" s="89" t="str">
        <f>IF(AND('ENTRY DATA'!K82=""),"",('ENTRY DATA'!K82))</f>
        <v/>
      </c>
      <c r="L82" s="89" t="str">
        <f>IF(AND('ENTRY DATA'!L82=""),"",('ENTRY DATA'!L82))</f>
        <v/>
      </c>
      <c r="M82" s="89" t="str">
        <f>IF(AND('ENTRY DATA'!M82=""),"",('ENTRY DATA'!M82))</f>
        <v/>
      </c>
      <c r="N82" s="67" t="str">
        <f>IF(AND('ENTRY DATA'!N82=""),"",('ENTRY DATA'!N82))</f>
        <v/>
      </c>
      <c r="O82" s="12"/>
      <c r="P82" s="66">
        <f>'SET 1 PLAYERS'!O82</f>
        <v>0</v>
      </c>
      <c r="Q82" s="67" t="str">
        <f>'SET 1 PLAYERS'!P82</f>
        <v/>
      </c>
      <c r="R82" s="14"/>
      <c r="S82" s="111" t="e">
        <f t="shared" si="2"/>
        <v>#VALUE!</v>
      </c>
      <c r="T82" s="112" t="e">
        <f t="shared" si="3"/>
        <v>#VALUE!</v>
      </c>
      <c r="U82" s="12"/>
      <c r="V82" s="95" t="str">
        <f>'SET 1 PLAYERS'!Q82</f>
        <v/>
      </c>
      <c r="W82" s="12"/>
    </row>
    <row r="83" spans="2:23" x14ac:dyDescent="0.25">
      <c r="B83" s="88" t="str">
        <f>'SET 1 PLAYERS'!G83</f>
        <v>CLASS 1</v>
      </c>
      <c r="C83" t="str">
        <f>IF(AND('ENTRY DATA'!C83=""),"",('ENTRY DATA'!C83))</f>
        <v/>
      </c>
      <c r="D83" t="str">
        <f>IF(AND('ENTRY DATA'!D83=""),"",('ENTRY DATA'!D83))</f>
        <v/>
      </c>
      <c r="E83" s="12"/>
      <c r="F83" t="str">
        <f>IF(AND('ENTRY DATA'!F83=""),"",('ENTRY DATA'!F83))</f>
        <v/>
      </c>
      <c r="G83" t="str">
        <f>IF(AND('ENTRY DATA'!G83=""),"",('ENTRY DATA'!G83))</f>
        <v/>
      </c>
      <c r="H83" s="12"/>
      <c r="I83" s="12"/>
      <c r="J83" s="66" t="str">
        <f>IF(AND('ENTRY DATA'!J83=""),"",('ENTRY DATA'!J83))</f>
        <v/>
      </c>
      <c r="K83" s="89" t="str">
        <f>IF(AND('ENTRY DATA'!K83=""),"",('ENTRY DATA'!K83))</f>
        <v/>
      </c>
      <c r="L83" s="89" t="str">
        <f>IF(AND('ENTRY DATA'!L83=""),"",('ENTRY DATA'!L83))</f>
        <v/>
      </c>
      <c r="M83" s="89" t="str">
        <f>IF(AND('ENTRY DATA'!M83=""),"",('ENTRY DATA'!M83))</f>
        <v/>
      </c>
      <c r="N83" s="67" t="str">
        <f>IF(AND('ENTRY DATA'!N83=""),"",('ENTRY DATA'!N83))</f>
        <v/>
      </c>
      <c r="O83" s="12"/>
      <c r="P83" s="66">
        <f>'SET 1 PLAYERS'!O83</f>
        <v>0</v>
      </c>
      <c r="Q83" s="67" t="str">
        <f>'SET 1 PLAYERS'!P83</f>
        <v/>
      </c>
      <c r="R83" s="14"/>
      <c r="S83" s="111" t="e">
        <f t="shared" si="2"/>
        <v>#VALUE!</v>
      </c>
      <c r="T83" s="112" t="e">
        <f t="shared" si="3"/>
        <v>#VALUE!</v>
      </c>
      <c r="U83" s="12"/>
      <c r="V83" s="95" t="str">
        <f>'SET 1 PLAYERS'!Q83</f>
        <v/>
      </c>
      <c r="W83" s="12"/>
    </row>
    <row r="84" spans="2:23" x14ac:dyDescent="0.25">
      <c r="B84" s="88" t="str">
        <f>'SET 1 PLAYERS'!G84</f>
        <v>CLASS 1</v>
      </c>
      <c r="C84" t="str">
        <f>IF(AND('ENTRY DATA'!C84=""),"",('ENTRY DATA'!C84))</f>
        <v/>
      </c>
      <c r="D84" t="str">
        <f>IF(AND('ENTRY DATA'!D84=""),"",('ENTRY DATA'!D84))</f>
        <v/>
      </c>
      <c r="E84" s="12"/>
      <c r="F84" t="str">
        <f>IF(AND('ENTRY DATA'!F84=""),"",('ENTRY DATA'!F84))</f>
        <v/>
      </c>
      <c r="G84" t="str">
        <f>IF(AND('ENTRY DATA'!G84=""),"",('ENTRY DATA'!G84))</f>
        <v/>
      </c>
      <c r="H84" s="12"/>
      <c r="I84" s="12"/>
      <c r="J84" s="66" t="str">
        <f>IF(AND('ENTRY DATA'!J84=""),"",('ENTRY DATA'!J84))</f>
        <v/>
      </c>
      <c r="K84" s="89" t="str">
        <f>IF(AND('ENTRY DATA'!K84=""),"",('ENTRY DATA'!K84))</f>
        <v/>
      </c>
      <c r="L84" s="89" t="str">
        <f>IF(AND('ENTRY DATA'!L84=""),"",('ENTRY DATA'!L84))</f>
        <v/>
      </c>
      <c r="M84" s="89" t="str">
        <f>IF(AND('ENTRY DATA'!M84=""),"",('ENTRY DATA'!M84))</f>
        <v/>
      </c>
      <c r="N84" s="67" t="str">
        <f>IF(AND('ENTRY DATA'!N84=""),"",('ENTRY DATA'!N84))</f>
        <v/>
      </c>
      <c r="O84" s="12"/>
      <c r="P84" s="66">
        <f>'SET 1 PLAYERS'!O84</f>
        <v>0</v>
      </c>
      <c r="Q84" s="67" t="str">
        <f>'SET 1 PLAYERS'!P84</f>
        <v/>
      </c>
      <c r="R84" s="14"/>
      <c r="S84" s="111" t="e">
        <f t="shared" si="2"/>
        <v>#VALUE!</v>
      </c>
      <c r="T84" s="112" t="e">
        <f t="shared" si="3"/>
        <v>#VALUE!</v>
      </c>
      <c r="U84" s="12"/>
      <c r="V84" s="95" t="str">
        <f>'SET 1 PLAYERS'!Q84</f>
        <v/>
      </c>
      <c r="W84" s="12"/>
    </row>
    <row r="85" spans="2:23" x14ac:dyDescent="0.25">
      <c r="B85" s="88" t="str">
        <f>'SET 1 PLAYERS'!G85</f>
        <v>CLASS 1</v>
      </c>
      <c r="C85" t="str">
        <f>IF(AND('ENTRY DATA'!C85=""),"",('ENTRY DATA'!C85))</f>
        <v/>
      </c>
      <c r="D85" t="str">
        <f>IF(AND('ENTRY DATA'!D85=""),"",('ENTRY DATA'!D85))</f>
        <v/>
      </c>
      <c r="E85" s="12"/>
      <c r="F85" t="str">
        <f>IF(AND('ENTRY DATA'!F85=""),"",('ENTRY DATA'!F85))</f>
        <v/>
      </c>
      <c r="G85" t="str">
        <f>IF(AND('ENTRY DATA'!G85=""),"",('ENTRY DATA'!G85))</f>
        <v/>
      </c>
      <c r="H85" s="12"/>
      <c r="I85" s="12"/>
      <c r="J85" s="66" t="str">
        <f>IF(AND('ENTRY DATA'!J85=""),"",('ENTRY DATA'!J85))</f>
        <v/>
      </c>
      <c r="K85" s="89" t="str">
        <f>IF(AND('ENTRY DATA'!K85=""),"",('ENTRY DATA'!K85))</f>
        <v/>
      </c>
      <c r="L85" s="89" t="str">
        <f>IF(AND('ENTRY DATA'!L85=""),"",('ENTRY DATA'!L85))</f>
        <v/>
      </c>
      <c r="M85" s="89" t="str">
        <f>IF(AND('ENTRY DATA'!M85=""),"",('ENTRY DATA'!M85))</f>
        <v/>
      </c>
      <c r="N85" s="67" t="str">
        <f>IF(AND('ENTRY DATA'!N85=""),"",('ENTRY DATA'!N85))</f>
        <v/>
      </c>
      <c r="O85" s="12"/>
      <c r="P85" s="66">
        <f>'SET 1 PLAYERS'!O85</f>
        <v>0</v>
      </c>
      <c r="Q85" s="67" t="str">
        <f>'SET 1 PLAYERS'!P85</f>
        <v/>
      </c>
      <c r="R85" s="14"/>
      <c r="S85" s="111" t="e">
        <f t="shared" si="2"/>
        <v>#VALUE!</v>
      </c>
      <c r="T85" s="112" t="e">
        <f t="shared" si="3"/>
        <v>#VALUE!</v>
      </c>
      <c r="U85" s="12"/>
      <c r="V85" s="95" t="str">
        <f>'SET 1 PLAYERS'!Q85</f>
        <v/>
      </c>
      <c r="W85" s="12"/>
    </row>
    <row r="86" spans="2:23" x14ac:dyDescent="0.25">
      <c r="B86" s="88" t="str">
        <f>'SET 1 PLAYERS'!G86</f>
        <v>CLASS 1</v>
      </c>
      <c r="C86" t="str">
        <f>IF(AND('ENTRY DATA'!C86=""),"",('ENTRY DATA'!C86))</f>
        <v/>
      </c>
      <c r="D86" t="str">
        <f>IF(AND('ENTRY DATA'!D86=""),"",('ENTRY DATA'!D86))</f>
        <v/>
      </c>
      <c r="E86" s="12"/>
      <c r="F86" t="str">
        <f>IF(AND('ENTRY DATA'!F86=""),"",('ENTRY DATA'!F86))</f>
        <v/>
      </c>
      <c r="G86" t="str">
        <f>IF(AND('ENTRY DATA'!G86=""),"",('ENTRY DATA'!G86))</f>
        <v/>
      </c>
      <c r="H86" s="12"/>
      <c r="I86" s="12"/>
      <c r="J86" s="66" t="str">
        <f>IF(AND('ENTRY DATA'!J86=""),"",('ENTRY DATA'!J86))</f>
        <v/>
      </c>
      <c r="K86" s="89" t="str">
        <f>IF(AND('ENTRY DATA'!K86=""),"",('ENTRY DATA'!K86))</f>
        <v/>
      </c>
      <c r="L86" s="89" t="str">
        <f>IF(AND('ENTRY DATA'!L86=""),"",('ENTRY DATA'!L86))</f>
        <v/>
      </c>
      <c r="M86" s="89" t="str">
        <f>IF(AND('ENTRY DATA'!M86=""),"",('ENTRY DATA'!M86))</f>
        <v/>
      </c>
      <c r="N86" s="67" t="str">
        <f>IF(AND('ENTRY DATA'!N86=""),"",('ENTRY DATA'!N86))</f>
        <v/>
      </c>
      <c r="O86" s="12"/>
      <c r="P86" s="66">
        <f>'SET 1 PLAYERS'!O86</f>
        <v>0</v>
      </c>
      <c r="Q86" s="67" t="str">
        <f>'SET 1 PLAYERS'!P86</f>
        <v/>
      </c>
      <c r="R86" s="14"/>
      <c r="S86" s="111" t="e">
        <f t="shared" si="2"/>
        <v>#VALUE!</v>
      </c>
      <c r="T86" s="112" t="e">
        <f t="shared" si="3"/>
        <v>#VALUE!</v>
      </c>
      <c r="U86" s="12"/>
      <c r="V86" s="95" t="str">
        <f>'SET 1 PLAYERS'!Q86</f>
        <v/>
      </c>
      <c r="W86" s="12"/>
    </row>
    <row r="87" spans="2:23" x14ac:dyDescent="0.25">
      <c r="B87" s="88" t="str">
        <f>'SET 1 PLAYERS'!G87</f>
        <v>CLASS 1</v>
      </c>
      <c r="C87" t="str">
        <f>IF(AND('ENTRY DATA'!C87=""),"",('ENTRY DATA'!C87))</f>
        <v/>
      </c>
      <c r="D87" t="str">
        <f>IF(AND('ENTRY DATA'!D87=""),"",('ENTRY DATA'!D87))</f>
        <v/>
      </c>
      <c r="E87" s="12"/>
      <c r="F87" t="str">
        <f>IF(AND('ENTRY DATA'!F87=""),"",('ENTRY DATA'!F87))</f>
        <v/>
      </c>
      <c r="G87" t="str">
        <f>IF(AND('ENTRY DATA'!G87=""),"",('ENTRY DATA'!G87))</f>
        <v/>
      </c>
      <c r="H87" s="12"/>
      <c r="I87" s="12"/>
      <c r="J87" s="66" t="str">
        <f>IF(AND('ENTRY DATA'!J87=""),"",('ENTRY DATA'!J87))</f>
        <v/>
      </c>
      <c r="K87" s="89" t="str">
        <f>IF(AND('ENTRY DATA'!K87=""),"",('ENTRY DATA'!K87))</f>
        <v/>
      </c>
      <c r="L87" s="89" t="str">
        <f>IF(AND('ENTRY DATA'!L87=""),"",('ENTRY DATA'!L87))</f>
        <v/>
      </c>
      <c r="M87" s="89" t="str">
        <f>IF(AND('ENTRY DATA'!M87=""),"",('ENTRY DATA'!M87))</f>
        <v/>
      </c>
      <c r="N87" s="67" t="str">
        <f>IF(AND('ENTRY DATA'!N87=""),"",('ENTRY DATA'!N87))</f>
        <v/>
      </c>
      <c r="O87" s="12"/>
      <c r="P87" s="66">
        <f>'SET 1 PLAYERS'!O87</f>
        <v>0</v>
      </c>
      <c r="Q87" s="67" t="str">
        <f>'SET 1 PLAYERS'!P87</f>
        <v/>
      </c>
      <c r="R87" s="14"/>
      <c r="S87" s="111" t="e">
        <f t="shared" si="2"/>
        <v>#VALUE!</v>
      </c>
      <c r="T87" s="112" t="e">
        <f t="shared" si="3"/>
        <v>#VALUE!</v>
      </c>
      <c r="U87" s="12"/>
      <c r="V87" s="95" t="str">
        <f>'SET 1 PLAYERS'!Q87</f>
        <v/>
      </c>
      <c r="W87" s="12"/>
    </row>
    <row r="88" spans="2:23" x14ac:dyDescent="0.25">
      <c r="B88" s="88" t="str">
        <f>'SET 1 PLAYERS'!G88</f>
        <v>CLASS 1</v>
      </c>
      <c r="C88" t="str">
        <f>IF(AND('ENTRY DATA'!C88=""),"",('ENTRY DATA'!C88))</f>
        <v/>
      </c>
      <c r="D88" t="str">
        <f>IF(AND('ENTRY DATA'!D88=""),"",('ENTRY DATA'!D88))</f>
        <v/>
      </c>
      <c r="E88" s="12"/>
      <c r="F88" t="str">
        <f>IF(AND('ENTRY DATA'!F88=""),"",('ENTRY DATA'!F88))</f>
        <v/>
      </c>
      <c r="G88" t="str">
        <f>IF(AND('ENTRY DATA'!G88=""),"",('ENTRY DATA'!G88))</f>
        <v/>
      </c>
      <c r="H88" s="12"/>
      <c r="I88" s="12"/>
      <c r="J88" s="66" t="str">
        <f>IF(AND('ENTRY DATA'!J88=""),"",('ENTRY DATA'!J88))</f>
        <v/>
      </c>
      <c r="K88" s="89" t="str">
        <f>IF(AND('ENTRY DATA'!K88=""),"",('ENTRY DATA'!K88))</f>
        <v/>
      </c>
      <c r="L88" s="89" t="str">
        <f>IF(AND('ENTRY DATA'!L88=""),"",('ENTRY DATA'!L88))</f>
        <v/>
      </c>
      <c r="M88" s="89" t="str">
        <f>IF(AND('ENTRY DATA'!M88=""),"",('ENTRY DATA'!M88))</f>
        <v/>
      </c>
      <c r="N88" s="67" t="str">
        <f>IF(AND('ENTRY DATA'!N88=""),"",('ENTRY DATA'!N88))</f>
        <v/>
      </c>
      <c r="O88" s="12"/>
      <c r="P88" s="66">
        <f>'SET 1 PLAYERS'!O88</f>
        <v>0</v>
      </c>
      <c r="Q88" s="67" t="str">
        <f>'SET 1 PLAYERS'!P88</f>
        <v/>
      </c>
      <c r="R88" s="14"/>
      <c r="S88" s="111" t="e">
        <f t="shared" si="2"/>
        <v>#VALUE!</v>
      </c>
      <c r="T88" s="112" t="e">
        <f t="shared" si="3"/>
        <v>#VALUE!</v>
      </c>
      <c r="U88" s="12"/>
      <c r="V88" s="95" t="str">
        <f>'SET 1 PLAYERS'!Q88</f>
        <v/>
      </c>
      <c r="W88" s="12"/>
    </row>
    <row r="89" spans="2:23" x14ac:dyDescent="0.25">
      <c r="B89" s="88" t="str">
        <f>'SET 1 PLAYERS'!G89</f>
        <v>CLASS 1</v>
      </c>
      <c r="C89" t="str">
        <f>IF(AND('ENTRY DATA'!C89=""),"",('ENTRY DATA'!C89))</f>
        <v/>
      </c>
      <c r="D89" t="str">
        <f>IF(AND('ENTRY DATA'!D89=""),"",('ENTRY DATA'!D89))</f>
        <v/>
      </c>
      <c r="E89" s="12"/>
      <c r="F89" t="str">
        <f>IF(AND('ENTRY DATA'!F89=""),"",('ENTRY DATA'!F89))</f>
        <v/>
      </c>
      <c r="G89" t="str">
        <f>IF(AND('ENTRY DATA'!G89=""),"",('ENTRY DATA'!G89))</f>
        <v/>
      </c>
      <c r="H89" s="12"/>
      <c r="I89" s="12"/>
      <c r="J89" s="66" t="str">
        <f>IF(AND('ENTRY DATA'!J89=""),"",('ENTRY DATA'!J89))</f>
        <v/>
      </c>
      <c r="K89" s="89" t="str">
        <f>IF(AND('ENTRY DATA'!K89=""),"",('ENTRY DATA'!K89))</f>
        <v/>
      </c>
      <c r="L89" s="89" t="str">
        <f>IF(AND('ENTRY DATA'!L89=""),"",('ENTRY DATA'!L89))</f>
        <v/>
      </c>
      <c r="M89" s="89" t="str">
        <f>IF(AND('ENTRY DATA'!M89=""),"",('ENTRY DATA'!M89))</f>
        <v/>
      </c>
      <c r="N89" s="67" t="str">
        <f>IF(AND('ENTRY DATA'!N89=""),"",('ENTRY DATA'!N89))</f>
        <v/>
      </c>
      <c r="O89" s="12"/>
      <c r="P89" s="66">
        <f>'SET 1 PLAYERS'!O89</f>
        <v>0</v>
      </c>
      <c r="Q89" s="67" t="str">
        <f>'SET 1 PLAYERS'!P89</f>
        <v/>
      </c>
      <c r="R89" s="14"/>
      <c r="S89" s="111" t="e">
        <f t="shared" si="2"/>
        <v>#VALUE!</v>
      </c>
      <c r="T89" s="112" t="e">
        <f t="shared" si="3"/>
        <v>#VALUE!</v>
      </c>
      <c r="U89" s="12"/>
      <c r="V89" s="95" t="str">
        <f>'SET 1 PLAYERS'!Q89</f>
        <v/>
      </c>
      <c r="W89" s="12"/>
    </row>
    <row r="90" spans="2:23" x14ac:dyDescent="0.25">
      <c r="B90" s="88" t="str">
        <f>'SET 1 PLAYERS'!G90</f>
        <v>CLASS 1</v>
      </c>
      <c r="C90" t="str">
        <f>IF(AND('ENTRY DATA'!C90=""),"",('ENTRY DATA'!C90))</f>
        <v/>
      </c>
      <c r="D90" t="str">
        <f>IF(AND('ENTRY DATA'!D90=""),"",('ENTRY DATA'!D90))</f>
        <v/>
      </c>
      <c r="E90" s="12"/>
      <c r="F90" t="str">
        <f>IF(AND('ENTRY DATA'!F90=""),"",('ENTRY DATA'!F90))</f>
        <v/>
      </c>
      <c r="G90" t="str">
        <f>IF(AND('ENTRY DATA'!G90=""),"",('ENTRY DATA'!G90))</f>
        <v/>
      </c>
      <c r="H90" s="12"/>
      <c r="I90" s="12"/>
      <c r="J90" s="66" t="str">
        <f>IF(AND('ENTRY DATA'!J90=""),"",('ENTRY DATA'!J90))</f>
        <v/>
      </c>
      <c r="K90" s="89" t="str">
        <f>IF(AND('ENTRY DATA'!K90=""),"",('ENTRY DATA'!K90))</f>
        <v/>
      </c>
      <c r="L90" s="89" t="str">
        <f>IF(AND('ENTRY DATA'!L90=""),"",('ENTRY DATA'!L90))</f>
        <v/>
      </c>
      <c r="M90" s="89" t="str">
        <f>IF(AND('ENTRY DATA'!M90=""),"",('ENTRY DATA'!M90))</f>
        <v/>
      </c>
      <c r="N90" s="67" t="str">
        <f>IF(AND('ENTRY DATA'!N90=""),"",('ENTRY DATA'!N90))</f>
        <v/>
      </c>
      <c r="O90" s="12"/>
      <c r="P90" s="66">
        <f>'SET 1 PLAYERS'!O90</f>
        <v>0</v>
      </c>
      <c r="Q90" s="67" t="str">
        <f>'SET 1 PLAYERS'!P90</f>
        <v/>
      </c>
      <c r="R90" s="14"/>
      <c r="S90" s="111" t="e">
        <f t="shared" si="2"/>
        <v>#VALUE!</v>
      </c>
      <c r="T90" s="112" t="e">
        <f t="shared" si="3"/>
        <v>#VALUE!</v>
      </c>
      <c r="U90" s="12"/>
      <c r="V90" s="95" t="str">
        <f>'SET 1 PLAYERS'!Q90</f>
        <v/>
      </c>
      <c r="W90" s="12"/>
    </row>
    <row r="91" spans="2:23" x14ac:dyDescent="0.25">
      <c r="B91" s="88" t="str">
        <f>'SET 1 PLAYERS'!G91</f>
        <v>CLASS 1</v>
      </c>
      <c r="C91" t="str">
        <f>IF(AND('ENTRY DATA'!C91=""),"",('ENTRY DATA'!C91))</f>
        <v/>
      </c>
      <c r="D91" t="str">
        <f>IF(AND('ENTRY DATA'!D91=""),"",('ENTRY DATA'!D91))</f>
        <v/>
      </c>
      <c r="E91" s="12"/>
      <c r="F91" t="str">
        <f>IF(AND('ENTRY DATA'!F91=""),"",('ENTRY DATA'!F91))</f>
        <v/>
      </c>
      <c r="G91" t="str">
        <f>IF(AND('ENTRY DATA'!G91=""),"",('ENTRY DATA'!G91))</f>
        <v/>
      </c>
      <c r="H91" s="12"/>
      <c r="I91" s="12"/>
      <c r="J91" s="66" t="str">
        <f>IF(AND('ENTRY DATA'!J91=""),"",('ENTRY DATA'!J91))</f>
        <v/>
      </c>
      <c r="K91" s="89" t="str">
        <f>IF(AND('ENTRY DATA'!K91=""),"",('ENTRY DATA'!K91))</f>
        <v/>
      </c>
      <c r="L91" s="89" t="str">
        <f>IF(AND('ENTRY DATA'!L91=""),"",('ENTRY DATA'!L91))</f>
        <v/>
      </c>
      <c r="M91" s="89" t="str">
        <f>IF(AND('ENTRY DATA'!M91=""),"",('ENTRY DATA'!M91))</f>
        <v/>
      </c>
      <c r="N91" s="67" t="str">
        <f>IF(AND('ENTRY DATA'!N91=""),"",('ENTRY DATA'!N91))</f>
        <v/>
      </c>
      <c r="O91" s="12"/>
      <c r="P91" s="66">
        <f>'SET 1 PLAYERS'!O91</f>
        <v>0</v>
      </c>
      <c r="Q91" s="67" t="str">
        <f>'SET 1 PLAYERS'!P91</f>
        <v/>
      </c>
      <c r="R91" s="14"/>
      <c r="S91" s="111" t="e">
        <f t="shared" si="2"/>
        <v>#VALUE!</v>
      </c>
      <c r="T91" s="112" t="e">
        <f t="shared" si="3"/>
        <v>#VALUE!</v>
      </c>
      <c r="U91" s="12"/>
      <c r="V91" s="95" t="str">
        <f>'SET 1 PLAYERS'!Q91</f>
        <v/>
      </c>
      <c r="W91" s="12"/>
    </row>
    <row r="92" spans="2:23" x14ac:dyDescent="0.25">
      <c r="B92" s="88" t="str">
        <f>'SET 1 PLAYERS'!G92</f>
        <v>CLASS 1</v>
      </c>
      <c r="C92" t="str">
        <f>IF(AND('ENTRY DATA'!C92=""),"",('ENTRY DATA'!C92))</f>
        <v/>
      </c>
      <c r="D92" t="str">
        <f>IF(AND('ENTRY DATA'!D92=""),"",('ENTRY DATA'!D92))</f>
        <v/>
      </c>
      <c r="E92" s="12"/>
      <c r="F92" t="str">
        <f>IF(AND('ENTRY DATA'!F92=""),"",('ENTRY DATA'!F92))</f>
        <v/>
      </c>
      <c r="G92" t="str">
        <f>IF(AND('ENTRY DATA'!G92=""),"",('ENTRY DATA'!G92))</f>
        <v/>
      </c>
      <c r="H92" s="12"/>
      <c r="I92" s="12"/>
      <c r="J92" s="66" t="str">
        <f>IF(AND('ENTRY DATA'!J92=""),"",('ENTRY DATA'!J92))</f>
        <v/>
      </c>
      <c r="K92" s="89" t="str">
        <f>IF(AND('ENTRY DATA'!K92=""),"",('ENTRY DATA'!K92))</f>
        <v/>
      </c>
      <c r="L92" s="89" t="str">
        <f>IF(AND('ENTRY DATA'!L92=""),"",('ENTRY DATA'!L92))</f>
        <v/>
      </c>
      <c r="M92" s="89" t="str">
        <f>IF(AND('ENTRY DATA'!M92=""),"",('ENTRY DATA'!M92))</f>
        <v/>
      </c>
      <c r="N92" s="67" t="str">
        <f>IF(AND('ENTRY DATA'!N92=""),"",('ENTRY DATA'!N92))</f>
        <v/>
      </c>
      <c r="O92" s="12"/>
      <c r="P92" s="66">
        <f>'SET 1 PLAYERS'!O92</f>
        <v>0</v>
      </c>
      <c r="Q92" s="67" t="str">
        <f>'SET 1 PLAYERS'!P92</f>
        <v/>
      </c>
      <c r="R92" s="14"/>
      <c r="S92" s="111" t="e">
        <f t="shared" si="2"/>
        <v>#VALUE!</v>
      </c>
      <c r="T92" s="112" t="e">
        <f t="shared" si="3"/>
        <v>#VALUE!</v>
      </c>
      <c r="U92" s="12"/>
      <c r="V92" s="95" t="str">
        <f>'SET 1 PLAYERS'!Q92</f>
        <v/>
      </c>
      <c r="W92" s="12"/>
    </row>
    <row r="93" spans="2:23" x14ac:dyDescent="0.25">
      <c r="B93" s="88" t="str">
        <f>'SET 1 PLAYERS'!G93</f>
        <v>CLASS 1</v>
      </c>
      <c r="C93" t="str">
        <f>IF(AND('ENTRY DATA'!C93=""),"",('ENTRY DATA'!C93))</f>
        <v/>
      </c>
      <c r="D93" t="str">
        <f>IF(AND('ENTRY DATA'!D93=""),"",('ENTRY DATA'!D93))</f>
        <v/>
      </c>
      <c r="E93" s="12"/>
      <c r="F93" t="str">
        <f>IF(AND('ENTRY DATA'!F93=""),"",('ENTRY DATA'!F93))</f>
        <v/>
      </c>
      <c r="G93" t="str">
        <f>IF(AND('ENTRY DATA'!G93=""),"",('ENTRY DATA'!G93))</f>
        <v/>
      </c>
      <c r="H93" s="12"/>
      <c r="I93" s="12"/>
      <c r="J93" s="66" t="str">
        <f>IF(AND('ENTRY DATA'!J93=""),"",('ENTRY DATA'!J93))</f>
        <v/>
      </c>
      <c r="K93" s="89" t="str">
        <f>IF(AND('ENTRY DATA'!K93=""),"",('ENTRY DATA'!K93))</f>
        <v/>
      </c>
      <c r="L93" s="89" t="str">
        <f>IF(AND('ENTRY DATA'!L93=""),"",('ENTRY DATA'!L93))</f>
        <v/>
      </c>
      <c r="M93" s="89" t="str">
        <f>IF(AND('ENTRY DATA'!M93=""),"",('ENTRY DATA'!M93))</f>
        <v/>
      </c>
      <c r="N93" s="67" t="str">
        <f>IF(AND('ENTRY DATA'!N93=""),"",('ENTRY DATA'!N93))</f>
        <v/>
      </c>
      <c r="O93" s="12"/>
      <c r="P93" s="66">
        <f>'SET 1 PLAYERS'!O93</f>
        <v>0</v>
      </c>
      <c r="Q93" s="67" t="str">
        <f>'SET 1 PLAYERS'!P93</f>
        <v/>
      </c>
      <c r="R93" s="14"/>
      <c r="S93" s="111" t="e">
        <f t="shared" si="2"/>
        <v>#VALUE!</v>
      </c>
      <c r="T93" s="112" t="e">
        <f t="shared" si="3"/>
        <v>#VALUE!</v>
      </c>
      <c r="U93" s="12"/>
      <c r="V93" s="95" t="str">
        <f>'SET 1 PLAYERS'!Q93</f>
        <v/>
      </c>
      <c r="W93" s="12"/>
    </row>
    <row r="94" spans="2:23" x14ac:dyDescent="0.25">
      <c r="B94" s="88" t="str">
        <f>'SET 1 PLAYERS'!G94</f>
        <v>CLASS 1</v>
      </c>
      <c r="C94" t="str">
        <f>IF(AND('ENTRY DATA'!C94=""),"",('ENTRY DATA'!C94))</f>
        <v/>
      </c>
      <c r="D94" t="str">
        <f>IF(AND('ENTRY DATA'!D94=""),"",('ENTRY DATA'!D94))</f>
        <v/>
      </c>
      <c r="E94" s="12"/>
      <c r="F94" t="str">
        <f>IF(AND('ENTRY DATA'!F94=""),"",('ENTRY DATA'!F94))</f>
        <v/>
      </c>
      <c r="G94" t="str">
        <f>IF(AND('ENTRY DATA'!G94=""),"",('ENTRY DATA'!G94))</f>
        <v/>
      </c>
      <c r="H94" s="12"/>
      <c r="I94" s="12"/>
      <c r="J94" s="66" t="str">
        <f>IF(AND('ENTRY DATA'!J94=""),"",('ENTRY DATA'!J94))</f>
        <v/>
      </c>
      <c r="K94" s="89" t="str">
        <f>IF(AND('ENTRY DATA'!K94=""),"",('ENTRY DATA'!K94))</f>
        <v/>
      </c>
      <c r="L94" s="89" t="str">
        <f>IF(AND('ENTRY DATA'!L94=""),"",('ENTRY DATA'!L94))</f>
        <v/>
      </c>
      <c r="M94" s="89" t="str">
        <f>IF(AND('ENTRY DATA'!M94=""),"",('ENTRY DATA'!M94))</f>
        <v/>
      </c>
      <c r="N94" s="67" t="str">
        <f>IF(AND('ENTRY DATA'!N94=""),"",('ENTRY DATA'!N94))</f>
        <v/>
      </c>
      <c r="O94" s="12"/>
      <c r="P94" s="66">
        <f>'SET 1 PLAYERS'!O94</f>
        <v>0</v>
      </c>
      <c r="Q94" s="67" t="str">
        <f>'SET 1 PLAYERS'!P94</f>
        <v/>
      </c>
      <c r="R94" s="14"/>
      <c r="S94" s="111" t="e">
        <f t="shared" si="2"/>
        <v>#VALUE!</v>
      </c>
      <c r="T94" s="112" t="e">
        <f t="shared" si="3"/>
        <v>#VALUE!</v>
      </c>
      <c r="U94" s="12"/>
      <c r="V94" s="95" t="str">
        <f>'SET 1 PLAYERS'!Q94</f>
        <v/>
      </c>
      <c r="W94" s="12"/>
    </row>
    <row r="95" spans="2:23" x14ac:dyDescent="0.25">
      <c r="B95" s="88" t="str">
        <f>'SET 1 PLAYERS'!G95</f>
        <v>CLASS 1</v>
      </c>
      <c r="C95" t="str">
        <f>IF(AND('ENTRY DATA'!C95=""),"",('ENTRY DATA'!C95))</f>
        <v/>
      </c>
      <c r="D95" t="str">
        <f>IF(AND('ENTRY DATA'!D95=""),"",('ENTRY DATA'!D95))</f>
        <v/>
      </c>
      <c r="E95" s="12"/>
      <c r="F95" t="str">
        <f>IF(AND('ENTRY DATA'!F95=""),"",('ENTRY DATA'!F95))</f>
        <v/>
      </c>
      <c r="G95" t="str">
        <f>IF(AND('ENTRY DATA'!G95=""),"",('ENTRY DATA'!G95))</f>
        <v/>
      </c>
      <c r="H95" s="12"/>
      <c r="I95" s="12"/>
      <c r="J95" s="66" t="str">
        <f>IF(AND('ENTRY DATA'!J95=""),"",('ENTRY DATA'!J95))</f>
        <v/>
      </c>
      <c r="K95" s="89" t="str">
        <f>IF(AND('ENTRY DATA'!K95=""),"",('ENTRY DATA'!K95))</f>
        <v/>
      </c>
      <c r="L95" s="89" t="str">
        <f>IF(AND('ENTRY DATA'!L95=""),"",('ENTRY DATA'!L95))</f>
        <v/>
      </c>
      <c r="M95" s="89" t="str">
        <f>IF(AND('ENTRY DATA'!M95=""),"",('ENTRY DATA'!M95))</f>
        <v/>
      </c>
      <c r="N95" s="67" t="str">
        <f>IF(AND('ENTRY DATA'!N95=""),"",('ENTRY DATA'!N95))</f>
        <v/>
      </c>
      <c r="O95" s="12"/>
      <c r="P95" s="66">
        <f>'SET 1 PLAYERS'!O95</f>
        <v>0</v>
      </c>
      <c r="Q95" s="67" t="str">
        <f>'SET 1 PLAYERS'!P95</f>
        <v/>
      </c>
      <c r="R95" s="14"/>
      <c r="S95" s="111" t="e">
        <f t="shared" si="2"/>
        <v>#VALUE!</v>
      </c>
      <c r="T95" s="112" t="e">
        <f t="shared" si="3"/>
        <v>#VALUE!</v>
      </c>
      <c r="U95" s="12"/>
      <c r="V95" s="95" t="str">
        <f>'SET 1 PLAYERS'!Q95</f>
        <v/>
      </c>
      <c r="W95" s="12"/>
    </row>
    <row r="96" spans="2:23" x14ac:dyDescent="0.25">
      <c r="B96" s="88" t="str">
        <f>'SET 1 PLAYERS'!G96</f>
        <v>CLASS 1</v>
      </c>
      <c r="C96" t="str">
        <f>IF(AND('ENTRY DATA'!C96=""),"",('ENTRY DATA'!C96))</f>
        <v/>
      </c>
      <c r="D96" t="str">
        <f>IF(AND('ENTRY DATA'!D96=""),"",('ENTRY DATA'!D96))</f>
        <v/>
      </c>
      <c r="E96" s="12"/>
      <c r="F96" t="str">
        <f>IF(AND('ENTRY DATA'!F96=""),"",('ENTRY DATA'!F96))</f>
        <v/>
      </c>
      <c r="G96" t="str">
        <f>IF(AND('ENTRY DATA'!G96=""),"",('ENTRY DATA'!G96))</f>
        <v/>
      </c>
      <c r="H96" s="12"/>
      <c r="I96" s="12"/>
      <c r="J96" s="66" t="str">
        <f>IF(AND('ENTRY DATA'!J96=""),"",('ENTRY DATA'!J96))</f>
        <v/>
      </c>
      <c r="K96" s="89" t="str">
        <f>IF(AND('ENTRY DATA'!K96=""),"",('ENTRY DATA'!K96))</f>
        <v/>
      </c>
      <c r="L96" s="89" t="str">
        <f>IF(AND('ENTRY DATA'!L96=""),"",('ENTRY DATA'!L96))</f>
        <v/>
      </c>
      <c r="M96" s="89" t="str">
        <f>IF(AND('ENTRY DATA'!M96=""),"",('ENTRY DATA'!M96))</f>
        <v/>
      </c>
      <c r="N96" s="67" t="str">
        <f>IF(AND('ENTRY DATA'!N96=""),"",('ENTRY DATA'!N96))</f>
        <v/>
      </c>
      <c r="O96" s="12"/>
      <c r="P96" s="66">
        <f>'SET 1 PLAYERS'!O96</f>
        <v>0</v>
      </c>
      <c r="Q96" s="67" t="str">
        <f>'SET 1 PLAYERS'!P96</f>
        <v/>
      </c>
      <c r="R96" s="14"/>
      <c r="S96" s="111" t="e">
        <f t="shared" si="2"/>
        <v>#VALUE!</v>
      </c>
      <c r="T96" s="112" t="e">
        <f t="shared" si="3"/>
        <v>#VALUE!</v>
      </c>
      <c r="U96" s="12"/>
      <c r="V96" s="95" t="str">
        <f>'SET 1 PLAYERS'!Q96</f>
        <v/>
      </c>
      <c r="W96" s="12"/>
    </row>
    <row r="97" spans="2:23" x14ac:dyDescent="0.25">
      <c r="B97" s="88" t="str">
        <f>'SET 1 PLAYERS'!G97</f>
        <v>CLASS 1</v>
      </c>
      <c r="C97" t="str">
        <f>IF(AND('ENTRY DATA'!C97=""),"",('ENTRY DATA'!C97))</f>
        <v/>
      </c>
      <c r="D97" t="str">
        <f>IF(AND('ENTRY DATA'!D97=""),"",('ENTRY DATA'!D97))</f>
        <v/>
      </c>
      <c r="E97" s="12"/>
      <c r="F97" t="str">
        <f>IF(AND('ENTRY DATA'!F97=""),"",('ENTRY DATA'!F97))</f>
        <v/>
      </c>
      <c r="G97" t="str">
        <f>IF(AND('ENTRY DATA'!G97=""),"",('ENTRY DATA'!G97))</f>
        <v/>
      </c>
      <c r="H97" s="12"/>
      <c r="I97" s="12"/>
      <c r="J97" s="66" t="str">
        <f>IF(AND('ENTRY DATA'!J97=""),"",('ENTRY DATA'!J97))</f>
        <v/>
      </c>
      <c r="K97" s="89" t="str">
        <f>IF(AND('ENTRY DATA'!K97=""),"",('ENTRY DATA'!K97))</f>
        <v/>
      </c>
      <c r="L97" s="89" t="str">
        <f>IF(AND('ENTRY DATA'!L97=""),"",('ENTRY DATA'!L97))</f>
        <v/>
      </c>
      <c r="M97" s="89" t="str">
        <f>IF(AND('ENTRY DATA'!M97=""),"",('ENTRY DATA'!M97))</f>
        <v/>
      </c>
      <c r="N97" s="67" t="str">
        <f>IF(AND('ENTRY DATA'!N97=""),"",('ENTRY DATA'!N97))</f>
        <v/>
      </c>
      <c r="O97" s="12"/>
      <c r="P97" s="66">
        <f>'SET 1 PLAYERS'!O97</f>
        <v>0</v>
      </c>
      <c r="Q97" s="67" t="str">
        <f>'SET 1 PLAYERS'!P97</f>
        <v/>
      </c>
      <c r="R97" s="14"/>
      <c r="S97" s="111" t="e">
        <f t="shared" si="2"/>
        <v>#VALUE!</v>
      </c>
      <c r="T97" s="112" t="e">
        <f t="shared" si="3"/>
        <v>#VALUE!</v>
      </c>
      <c r="U97" s="12"/>
      <c r="V97" s="95" t="str">
        <f>'SET 1 PLAYERS'!Q97</f>
        <v/>
      </c>
      <c r="W97" s="12"/>
    </row>
    <row r="98" spans="2:23" x14ac:dyDescent="0.25">
      <c r="B98" s="88" t="str">
        <f>'SET 1 PLAYERS'!G98</f>
        <v>CLASS 1</v>
      </c>
      <c r="C98" t="str">
        <f>IF(AND('ENTRY DATA'!C98=""),"",('ENTRY DATA'!C98))</f>
        <v/>
      </c>
      <c r="D98" t="str">
        <f>IF(AND('ENTRY DATA'!D98=""),"",('ENTRY DATA'!D98))</f>
        <v/>
      </c>
      <c r="E98" s="12"/>
      <c r="F98" t="str">
        <f>IF(AND('ENTRY DATA'!F98=""),"",('ENTRY DATA'!F98))</f>
        <v/>
      </c>
      <c r="G98" t="str">
        <f>IF(AND('ENTRY DATA'!G98=""),"",('ENTRY DATA'!G98))</f>
        <v/>
      </c>
      <c r="H98" s="12"/>
      <c r="I98" s="12"/>
      <c r="J98" s="66" t="str">
        <f>IF(AND('ENTRY DATA'!J98=""),"",('ENTRY DATA'!J98))</f>
        <v/>
      </c>
      <c r="K98" s="89" t="str">
        <f>IF(AND('ENTRY DATA'!K98=""),"",('ENTRY DATA'!K98))</f>
        <v/>
      </c>
      <c r="L98" s="89" t="str">
        <f>IF(AND('ENTRY DATA'!L98=""),"",('ENTRY DATA'!L98))</f>
        <v/>
      </c>
      <c r="M98" s="89" t="str">
        <f>IF(AND('ENTRY DATA'!M98=""),"",('ENTRY DATA'!M98))</f>
        <v/>
      </c>
      <c r="N98" s="67" t="str">
        <f>IF(AND('ENTRY DATA'!N98=""),"",('ENTRY DATA'!N98))</f>
        <v/>
      </c>
      <c r="O98" s="12"/>
      <c r="P98" s="66">
        <f>'SET 1 PLAYERS'!O98</f>
        <v>0</v>
      </c>
      <c r="Q98" s="67" t="str">
        <f>'SET 1 PLAYERS'!P98</f>
        <v/>
      </c>
      <c r="R98" s="14"/>
      <c r="S98" s="111" t="e">
        <f t="shared" si="2"/>
        <v>#VALUE!</v>
      </c>
      <c r="T98" s="112" t="e">
        <f t="shared" si="3"/>
        <v>#VALUE!</v>
      </c>
      <c r="U98" s="12"/>
      <c r="V98" s="95" t="str">
        <f>'SET 1 PLAYERS'!Q98</f>
        <v/>
      </c>
      <c r="W98" s="12"/>
    </row>
    <row r="99" spans="2:23" x14ac:dyDescent="0.25">
      <c r="B99" s="88" t="str">
        <f>'SET 1 PLAYERS'!G99</f>
        <v>CLASS 1</v>
      </c>
      <c r="C99" t="str">
        <f>IF(AND('ENTRY DATA'!C99=""),"",('ENTRY DATA'!C99))</f>
        <v/>
      </c>
      <c r="D99" t="str">
        <f>IF(AND('ENTRY DATA'!D99=""),"",('ENTRY DATA'!D99))</f>
        <v/>
      </c>
      <c r="E99" s="12"/>
      <c r="F99" t="str">
        <f>IF(AND('ENTRY DATA'!F99=""),"",('ENTRY DATA'!F99))</f>
        <v/>
      </c>
      <c r="G99" t="str">
        <f>IF(AND('ENTRY DATA'!G99=""),"",('ENTRY DATA'!G99))</f>
        <v/>
      </c>
      <c r="H99" s="12"/>
      <c r="I99" s="12"/>
      <c r="J99" s="66" t="str">
        <f>IF(AND('ENTRY DATA'!J99=""),"",('ENTRY DATA'!J99))</f>
        <v/>
      </c>
      <c r="K99" s="89" t="str">
        <f>IF(AND('ENTRY DATA'!K99=""),"",('ENTRY DATA'!K99))</f>
        <v/>
      </c>
      <c r="L99" s="89" t="str">
        <f>IF(AND('ENTRY DATA'!L99=""),"",('ENTRY DATA'!L99))</f>
        <v/>
      </c>
      <c r="M99" s="89" t="str">
        <f>IF(AND('ENTRY DATA'!M99=""),"",('ENTRY DATA'!M99))</f>
        <v/>
      </c>
      <c r="N99" s="67" t="str">
        <f>IF(AND('ENTRY DATA'!N99=""),"",('ENTRY DATA'!N99))</f>
        <v/>
      </c>
      <c r="O99" s="12"/>
      <c r="P99" s="66">
        <f>'SET 1 PLAYERS'!O99</f>
        <v>0</v>
      </c>
      <c r="Q99" s="67" t="str">
        <f>'SET 1 PLAYERS'!P99</f>
        <v/>
      </c>
      <c r="R99" s="14"/>
      <c r="S99" s="111" t="e">
        <f t="shared" si="2"/>
        <v>#VALUE!</v>
      </c>
      <c r="T99" s="112" t="e">
        <f t="shared" si="3"/>
        <v>#VALUE!</v>
      </c>
      <c r="U99" s="12"/>
      <c r="V99" s="95" t="str">
        <f>'SET 1 PLAYERS'!Q99</f>
        <v/>
      </c>
      <c r="W99" s="12"/>
    </row>
    <row r="100" spans="2:23" x14ac:dyDescent="0.25">
      <c r="B100" s="88" t="str">
        <f>'SET 1 PLAYERS'!G100</f>
        <v>CLASS 1</v>
      </c>
      <c r="C100" t="str">
        <f>IF(AND('ENTRY DATA'!C100=""),"",('ENTRY DATA'!C100))</f>
        <v/>
      </c>
      <c r="D100" t="str">
        <f>IF(AND('ENTRY DATA'!D100=""),"",('ENTRY DATA'!D100))</f>
        <v/>
      </c>
      <c r="E100" s="12"/>
      <c r="F100" t="str">
        <f>IF(AND('ENTRY DATA'!F100=""),"",('ENTRY DATA'!F100))</f>
        <v/>
      </c>
      <c r="G100" t="str">
        <f>IF(AND('ENTRY DATA'!G100=""),"",('ENTRY DATA'!G100))</f>
        <v/>
      </c>
      <c r="H100" s="12"/>
      <c r="I100" s="12"/>
      <c r="J100" s="66" t="str">
        <f>IF(AND('ENTRY DATA'!J100=""),"",('ENTRY DATA'!J100))</f>
        <v/>
      </c>
      <c r="K100" s="89" t="str">
        <f>IF(AND('ENTRY DATA'!K100=""),"",('ENTRY DATA'!K100))</f>
        <v/>
      </c>
      <c r="L100" s="89" t="str">
        <f>IF(AND('ENTRY DATA'!L100=""),"",('ENTRY DATA'!L100))</f>
        <v/>
      </c>
      <c r="M100" s="89" t="str">
        <f>IF(AND('ENTRY DATA'!M100=""),"",('ENTRY DATA'!M100))</f>
        <v/>
      </c>
      <c r="N100" s="67" t="str">
        <f>IF(AND('ENTRY DATA'!N100=""),"",('ENTRY DATA'!N100))</f>
        <v/>
      </c>
      <c r="O100" s="12"/>
      <c r="P100" s="66">
        <f>'SET 1 PLAYERS'!O100</f>
        <v>0</v>
      </c>
      <c r="Q100" s="67" t="str">
        <f>'SET 1 PLAYERS'!P100</f>
        <v/>
      </c>
      <c r="R100" s="14"/>
      <c r="S100" s="111" t="e">
        <f t="shared" si="2"/>
        <v>#VALUE!</v>
      </c>
      <c r="T100" s="112" t="e">
        <f t="shared" si="3"/>
        <v>#VALUE!</v>
      </c>
      <c r="U100" s="12"/>
      <c r="V100" s="95" t="str">
        <f>'SET 1 PLAYERS'!Q100</f>
        <v/>
      </c>
      <c r="W100" s="12"/>
    </row>
    <row r="101" spans="2:23" x14ac:dyDescent="0.25">
      <c r="B101" s="88" t="str">
        <f>'SET 1 PLAYERS'!G101</f>
        <v>CLASS 1</v>
      </c>
      <c r="C101" t="str">
        <f>IF(AND('ENTRY DATA'!C101=""),"",('ENTRY DATA'!C101))</f>
        <v/>
      </c>
      <c r="D101" t="str">
        <f>IF(AND('ENTRY DATA'!D101=""),"",('ENTRY DATA'!D101))</f>
        <v/>
      </c>
      <c r="E101" s="12"/>
      <c r="F101" t="str">
        <f>IF(AND('ENTRY DATA'!F101=""),"",('ENTRY DATA'!F101))</f>
        <v/>
      </c>
      <c r="G101" t="str">
        <f>IF(AND('ENTRY DATA'!G101=""),"",('ENTRY DATA'!G101))</f>
        <v/>
      </c>
      <c r="H101" s="12"/>
      <c r="I101" s="12"/>
      <c r="J101" s="66" t="str">
        <f>IF(AND('ENTRY DATA'!J101=""),"",('ENTRY DATA'!J101))</f>
        <v/>
      </c>
      <c r="K101" s="89" t="str">
        <f>IF(AND('ENTRY DATA'!K101=""),"",('ENTRY DATA'!K101))</f>
        <v/>
      </c>
      <c r="L101" s="89" t="str">
        <f>IF(AND('ENTRY DATA'!L101=""),"",('ENTRY DATA'!L101))</f>
        <v/>
      </c>
      <c r="M101" s="89" t="str">
        <f>IF(AND('ENTRY DATA'!M101=""),"",('ENTRY DATA'!M101))</f>
        <v/>
      </c>
      <c r="N101" s="67" t="str">
        <f>IF(AND('ENTRY DATA'!N101=""),"",('ENTRY DATA'!N101))</f>
        <v/>
      </c>
      <c r="O101" s="12"/>
      <c r="P101" s="66">
        <f>'SET 1 PLAYERS'!O101</f>
        <v>0</v>
      </c>
      <c r="Q101" s="67" t="str">
        <f>'SET 1 PLAYERS'!P101</f>
        <v/>
      </c>
      <c r="R101" s="14"/>
      <c r="S101" s="111" t="e">
        <f t="shared" si="2"/>
        <v>#VALUE!</v>
      </c>
      <c r="T101" s="112" t="e">
        <f t="shared" si="3"/>
        <v>#VALUE!</v>
      </c>
      <c r="U101" s="12"/>
      <c r="V101" s="95" t="str">
        <f>'SET 1 PLAYERS'!Q101</f>
        <v/>
      </c>
      <c r="W101" s="12"/>
    </row>
    <row r="102" spans="2:23" x14ac:dyDescent="0.25">
      <c r="B102" s="88" t="str">
        <f>'SET 1 PLAYERS'!G102</f>
        <v>CLASS 1</v>
      </c>
      <c r="C102" t="str">
        <f>IF(AND('ENTRY DATA'!C102=""),"",('ENTRY DATA'!C102))</f>
        <v/>
      </c>
      <c r="D102" t="str">
        <f>IF(AND('ENTRY DATA'!D102=""),"",('ENTRY DATA'!D102))</f>
        <v/>
      </c>
      <c r="E102" s="12"/>
      <c r="F102" t="str">
        <f>IF(AND('ENTRY DATA'!F102=""),"",('ENTRY DATA'!F102))</f>
        <v/>
      </c>
      <c r="G102" t="str">
        <f>IF(AND('ENTRY DATA'!G102=""),"",('ENTRY DATA'!G102))</f>
        <v/>
      </c>
      <c r="H102" s="12"/>
      <c r="I102" s="12"/>
      <c r="J102" s="66" t="str">
        <f>IF(AND('ENTRY DATA'!J102=""),"",('ENTRY DATA'!J102))</f>
        <v/>
      </c>
      <c r="K102" s="89" t="str">
        <f>IF(AND('ENTRY DATA'!K102=""),"",('ENTRY DATA'!K102))</f>
        <v/>
      </c>
      <c r="L102" s="89" t="str">
        <f>IF(AND('ENTRY DATA'!L102=""),"",('ENTRY DATA'!L102))</f>
        <v/>
      </c>
      <c r="M102" s="89" t="str">
        <f>IF(AND('ENTRY DATA'!M102=""),"",('ENTRY DATA'!M102))</f>
        <v/>
      </c>
      <c r="N102" s="67" t="str">
        <f>IF(AND('ENTRY DATA'!N102=""),"",('ENTRY DATA'!N102))</f>
        <v/>
      </c>
      <c r="O102" s="12"/>
      <c r="P102" s="66">
        <f>'SET 1 PLAYERS'!O102</f>
        <v>0</v>
      </c>
      <c r="Q102" s="67" t="str">
        <f>'SET 1 PLAYERS'!P102</f>
        <v/>
      </c>
      <c r="R102" s="14"/>
      <c r="S102" s="111" t="e">
        <f t="shared" si="2"/>
        <v>#VALUE!</v>
      </c>
      <c r="T102" s="112" t="e">
        <f t="shared" si="3"/>
        <v>#VALUE!</v>
      </c>
      <c r="U102" s="12"/>
      <c r="V102" s="95" t="str">
        <f>'SET 1 PLAYERS'!Q102</f>
        <v/>
      </c>
      <c r="W102" s="12"/>
    </row>
    <row r="103" spans="2:23" x14ac:dyDescent="0.25">
      <c r="B103" s="88" t="str">
        <f>'SET 1 PLAYERS'!G103</f>
        <v>CLASS 1</v>
      </c>
      <c r="C103" t="str">
        <f>IF(AND('ENTRY DATA'!C103=""),"",('ENTRY DATA'!C103))</f>
        <v/>
      </c>
      <c r="D103" t="str">
        <f>IF(AND('ENTRY DATA'!D103=""),"",('ENTRY DATA'!D103))</f>
        <v/>
      </c>
      <c r="E103" s="12"/>
      <c r="F103" t="str">
        <f>IF(AND('ENTRY DATA'!F103=""),"",('ENTRY DATA'!F103))</f>
        <v/>
      </c>
      <c r="G103" t="str">
        <f>IF(AND('ENTRY DATA'!G103=""),"",('ENTRY DATA'!G103))</f>
        <v/>
      </c>
      <c r="H103" s="12"/>
      <c r="I103" s="12"/>
      <c r="J103" s="66" t="str">
        <f>IF(AND('ENTRY DATA'!J103=""),"",('ENTRY DATA'!J103))</f>
        <v/>
      </c>
      <c r="K103" s="89" t="str">
        <f>IF(AND('ENTRY DATA'!K103=""),"",('ENTRY DATA'!K103))</f>
        <v/>
      </c>
      <c r="L103" s="89" t="str">
        <f>IF(AND('ENTRY DATA'!L103=""),"",('ENTRY DATA'!L103))</f>
        <v/>
      </c>
      <c r="M103" s="89" t="str">
        <f>IF(AND('ENTRY DATA'!M103=""),"",('ENTRY DATA'!M103))</f>
        <v/>
      </c>
      <c r="N103" s="67" t="str">
        <f>IF(AND('ENTRY DATA'!N103=""),"",('ENTRY DATA'!N103))</f>
        <v/>
      </c>
      <c r="O103" s="12"/>
      <c r="P103" s="66">
        <f>'SET 1 PLAYERS'!O103</f>
        <v>0</v>
      </c>
      <c r="Q103" s="67" t="str">
        <f>'SET 1 PLAYERS'!P103</f>
        <v/>
      </c>
      <c r="R103" s="14"/>
      <c r="S103" s="111" t="e">
        <f t="shared" si="2"/>
        <v>#VALUE!</v>
      </c>
      <c r="T103" s="112" t="e">
        <f t="shared" si="3"/>
        <v>#VALUE!</v>
      </c>
      <c r="U103" s="12"/>
      <c r="V103" s="95" t="str">
        <f>'SET 1 PLAYERS'!Q103</f>
        <v/>
      </c>
      <c r="W103" s="12"/>
    </row>
    <row r="104" spans="2:23" x14ac:dyDescent="0.25">
      <c r="B104" s="88" t="str">
        <f>'SET 1 PLAYERS'!G104</f>
        <v>CLASS 1</v>
      </c>
      <c r="C104" t="str">
        <f>IF(AND('ENTRY DATA'!C104=""),"",('ENTRY DATA'!C104))</f>
        <v/>
      </c>
      <c r="D104" t="str">
        <f>IF(AND('ENTRY DATA'!D104=""),"",('ENTRY DATA'!D104))</f>
        <v/>
      </c>
      <c r="E104" s="12"/>
      <c r="F104" t="str">
        <f>IF(AND('ENTRY DATA'!F104=""),"",('ENTRY DATA'!F104))</f>
        <v/>
      </c>
      <c r="G104" t="str">
        <f>IF(AND('ENTRY DATA'!G104=""),"",('ENTRY DATA'!G104))</f>
        <v/>
      </c>
      <c r="H104" s="12"/>
      <c r="I104" s="12"/>
      <c r="J104" s="66" t="str">
        <f>IF(AND('ENTRY DATA'!J104=""),"",('ENTRY DATA'!J104))</f>
        <v/>
      </c>
      <c r="K104" s="89" t="str">
        <f>IF(AND('ENTRY DATA'!K104=""),"",('ENTRY DATA'!K104))</f>
        <v/>
      </c>
      <c r="L104" s="89" t="str">
        <f>IF(AND('ENTRY DATA'!L104=""),"",('ENTRY DATA'!L104))</f>
        <v/>
      </c>
      <c r="M104" s="89" t="str">
        <f>IF(AND('ENTRY DATA'!M104=""),"",('ENTRY DATA'!M104))</f>
        <v/>
      </c>
      <c r="N104" s="67" t="str">
        <f>IF(AND('ENTRY DATA'!N104=""),"",('ENTRY DATA'!N104))</f>
        <v/>
      </c>
      <c r="O104" s="12"/>
      <c r="P104" s="66">
        <f>'SET 1 PLAYERS'!O104</f>
        <v>0</v>
      </c>
      <c r="Q104" s="67" t="str">
        <f>'SET 1 PLAYERS'!P104</f>
        <v/>
      </c>
      <c r="R104" s="14"/>
      <c r="S104" s="111" t="e">
        <f t="shared" si="2"/>
        <v>#VALUE!</v>
      </c>
      <c r="T104" s="112" t="e">
        <f t="shared" si="3"/>
        <v>#VALUE!</v>
      </c>
      <c r="U104" s="12"/>
      <c r="V104" s="95" t="str">
        <f>'SET 1 PLAYERS'!Q104</f>
        <v/>
      </c>
      <c r="W104" s="12"/>
    </row>
    <row r="105" spans="2:23" x14ac:dyDescent="0.25">
      <c r="B105" s="88" t="str">
        <f>'SET 1 PLAYERS'!G105</f>
        <v>CLASS 1</v>
      </c>
      <c r="C105" t="str">
        <f>IF(AND('ENTRY DATA'!C105=""),"",('ENTRY DATA'!C105))</f>
        <v/>
      </c>
      <c r="D105" t="str">
        <f>IF(AND('ENTRY DATA'!D105=""),"",('ENTRY DATA'!D105))</f>
        <v/>
      </c>
      <c r="E105" s="12"/>
      <c r="F105" t="str">
        <f>IF(AND('ENTRY DATA'!F105=""),"",('ENTRY DATA'!F105))</f>
        <v/>
      </c>
      <c r="G105" t="str">
        <f>IF(AND('ENTRY DATA'!G105=""),"",('ENTRY DATA'!G105))</f>
        <v/>
      </c>
      <c r="H105" s="12"/>
      <c r="I105" s="12"/>
      <c r="J105" s="66" t="str">
        <f>IF(AND('ENTRY DATA'!J105=""),"",('ENTRY DATA'!J105))</f>
        <v/>
      </c>
      <c r="K105" s="89" t="str">
        <f>IF(AND('ENTRY DATA'!K105=""),"",('ENTRY DATA'!K105))</f>
        <v/>
      </c>
      <c r="L105" s="89" t="str">
        <f>IF(AND('ENTRY DATA'!L105=""),"",('ENTRY DATA'!L105))</f>
        <v/>
      </c>
      <c r="M105" s="89" t="str">
        <f>IF(AND('ENTRY DATA'!M105=""),"",('ENTRY DATA'!M105))</f>
        <v/>
      </c>
      <c r="N105" s="67" t="str">
        <f>IF(AND('ENTRY DATA'!N105=""),"",('ENTRY DATA'!N105))</f>
        <v/>
      </c>
      <c r="O105" s="12"/>
      <c r="P105" s="66">
        <f>'SET 1 PLAYERS'!O105</f>
        <v>0</v>
      </c>
      <c r="Q105" s="67" t="str">
        <f>'SET 1 PLAYERS'!P105</f>
        <v/>
      </c>
      <c r="R105" s="14"/>
      <c r="S105" s="111" t="e">
        <f t="shared" si="2"/>
        <v>#VALUE!</v>
      </c>
      <c r="T105" s="112" t="e">
        <f t="shared" si="3"/>
        <v>#VALUE!</v>
      </c>
      <c r="U105" s="12"/>
      <c r="V105" s="95" t="str">
        <f>'SET 1 PLAYERS'!Q105</f>
        <v/>
      </c>
      <c r="W105" s="12"/>
    </row>
    <row r="106" spans="2:23" x14ac:dyDescent="0.25">
      <c r="B106" s="88" t="str">
        <f>'SET 1 PLAYERS'!G106</f>
        <v>CLASS 1</v>
      </c>
      <c r="C106" t="str">
        <f>IF(AND('ENTRY DATA'!C106=""),"",('ENTRY DATA'!C106))</f>
        <v/>
      </c>
      <c r="D106" t="str">
        <f>IF(AND('ENTRY DATA'!D106=""),"",('ENTRY DATA'!D106))</f>
        <v/>
      </c>
      <c r="E106" s="12"/>
      <c r="F106" t="str">
        <f>IF(AND('ENTRY DATA'!F106=""),"",('ENTRY DATA'!F106))</f>
        <v/>
      </c>
      <c r="G106" t="str">
        <f>IF(AND('ENTRY DATA'!G106=""),"",('ENTRY DATA'!G106))</f>
        <v/>
      </c>
      <c r="H106" s="12"/>
      <c r="I106" s="12"/>
      <c r="J106" s="66" t="str">
        <f>IF(AND('ENTRY DATA'!J106=""),"",('ENTRY DATA'!J106))</f>
        <v/>
      </c>
      <c r="K106" s="89" t="str">
        <f>IF(AND('ENTRY DATA'!K106=""),"",('ENTRY DATA'!K106))</f>
        <v/>
      </c>
      <c r="L106" s="89" t="str">
        <f>IF(AND('ENTRY DATA'!L106=""),"",('ENTRY DATA'!L106))</f>
        <v/>
      </c>
      <c r="M106" s="89" t="str">
        <f>IF(AND('ENTRY DATA'!M106=""),"",('ENTRY DATA'!M106))</f>
        <v/>
      </c>
      <c r="N106" s="67" t="str">
        <f>IF(AND('ENTRY DATA'!N106=""),"",('ENTRY DATA'!N106))</f>
        <v/>
      </c>
      <c r="O106" s="12"/>
      <c r="P106" s="66">
        <f>'SET 1 PLAYERS'!O106</f>
        <v>0</v>
      </c>
      <c r="Q106" s="67" t="str">
        <f>'SET 1 PLAYERS'!P106</f>
        <v/>
      </c>
      <c r="R106" s="14"/>
      <c r="S106" s="111" t="e">
        <f t="shared" si="2"/>
        <v>#VALUE!</v>
      </c>
      <c r="T106" s="112" t="e">
        <f t="shared" si="3"/>
        <v>#VALUE!</v>
      </c>
      <c r="U106" s="12"/>
      <c r="V106" s="95" t="str">
        <f>'SET 1 PLAYERS'!Q106</f>
        <v/>
      </c>
      <c r="W106" s="12"/>
    </row>
    <row r="107" spans="2:23" x14ac:dyDescent="0.25">
      <c r="B107" s="88" t="str">
        <f>'SET 1 PLAYERS'!G107</f>
        <v>CLASS 1</v>
      </c>
      <c r="C107" t="str">
        <f>IF(AND('ENTRY DATA'!C107=""),"",('ENTRY DATA'!C107))</f>
        <v/>
      </c>
      <c r="D107" t="str">
        <f>IF(AND('ENTRY DATA'!D107=""),"",('ENTRY DATA'!D107))</f>
        <v/>
      </c>
      <c r="E107" s="12"/>
      <c r="F107" t="str">
        <f>IF(AND('ENTRY DATA'!F107=""),"",('ENTRY DATA'!F107))</f>
        <v/>
      </c>
      <c r="G107" t="str">
        <f>IF(AND('ENTRY DATA'!G107=""),"",('ENTRY DATA'!G107))</f>
        <v/>
      </c>
      <c r="H107" s="12"/>
      <c r="I107" s="12"/>
      <c r="J107" s="66" t="str">
        <f>IF(AND('ENTRY DATA'!J107=""),"",('ENTRY DATA'!J107))</f>
        <v/>
      </c>
      <c r="K107" s="89" t="str">
        <f>IF(AND('ENTRY DATA'!K107=""),"",('ENTRY DATA'!K107))</f>
        <v/>
      </c>
      <c r="L107" s="89" t="str">
        <f>IF(AND('ENTRY DATA'!L107=""),"",('ENTRY DATA'!L107))</f>
        <v/>
      </c>
      <c r="M107" s="89" t="str">
        <f>IF(AND('ENTRY DATA'!M107=""),"",('ENTRY DATA'!M107))</f>
        <v/>
      </c>
      <c r="N107" s="67" t="str">
        <f>IF(AND('ENTRY DATA'!N107=""),"",('ENTRY DATA'!N107))</f>
        <v/>
      </c>
      <c r="O107" s="12"/>
      <c r="P107" s="66">
        <f>'SET 1 PLAYERS'!O107</f>
        <v>0</v>
      </c>
      <c r="Q107" s="67" t="str">
        <f>'SET 1 PLAYERS'!P107</f>
        <v/>
      </c>
      <c r="R107" s="14"/>
      <c r="S107" s="111" t="e">
        <f t="shared" si="2"/>
        <v>#VALUE!</v>
      </c>
      <c r="T107" s="112" t="e">
        <f t="shared" si="3"/>
        <v>#VALUE!</v>
      </c>
      <c r="U107" s="12"/>
      <c r="V107" s="95" t="str">
        <f>'SET 1 PLAYERS'!Q107</f>
        <v/>
      </c>
      <c r="W107" s="12"/>
    </row>
    <row r="108" spans="2:23" x14ac:dyDescent="0.25">
      <c r="B108" s="88" t="str">
        <f>'SET 1 PLAYERS'!G108</f>
        <v>CLASS 1</v>
      </c>
      <c r="C108" t="str">
        <f>IF(AND('ENTRY DATA'!C108=""),"",('ENTRY DATA'!C108))</f>
        <v/>
      </c>
      <c r="D108" t="str">
        <f>IF(AND('ENTRY DATA'!D108=""),"",('ENTRY DATA'!D108))</f>
        <v/>
      </c>
      <c r="E108" s="12"/>
      <c r="F108" t="str">
        <f>IF(AND('ENTRY DATA'!F108=""),"",('ENTRY DATA'!F108))</f>
        <v/>
      </c>
      <c r="G108" t="str">
        <f>IF(AND('ENTRY DATA'!G108=""),"",('ENTRY DATA'!G108))</f>
        <v/>
      </c>
      <c r="H108" s="12"/>
      <c r="I108" s="12"/>
      <c r="J108" s="66" t="str">
        <f>IF(AND('ENTRY DATA'!J108=""),"",('ENTRY DATA'!J108))</f>
        <v/>
      </c>
      <c r="K108" s="89" t="str">
        <f>IF(AND('ENTRY DATA'!K108=""),"",('ENTRY DATA'!K108))</f>
        <v/>
      </c>
      <c r="L108" s="89" t="str">
        <f>IF(AND('ENTRY DATA'!L108=""),"",('ENTRY DATA'!L108))</f>
        <v/>
      </c>
      <c r="M108" s="89" t="str">
        <f>IF(AND('ENTRY DATA'!M108=""),"",('ENTRY DATA'!M108))</f>
        <v/>
      </c>
      <c r="N108" s="67" t="str">
        <f>IF(AND('ENTRY DATA'!N108=""),"",('ENTRY DATA'!N108))</f>
        <v/>
      </c>
      <c r="O108" s="12"/>
      <c r="P108" s="66">
        <f>'SET 1 PLAYERS'!O108</f>
        <v>0</v>
      </c>
      <c r="Q108" s="67" t="str">
        <f>'SET 1 PLAYERS'!P108</f>
        <v/>
      </c>
      <c r="R108" s="14"/>
      <c r="S108" s="111" t="e">
        <f t="shared" si="2"/>
        <v>#VALUE!</v>
      </c>
      <c r="T108" s="112" t="e">
        <f t="shared" si="3"/>
        <v>#VALUE!</v>
      </c>
      <c r="U108" s="12"/>
      <c r="V108" s="95" t="str">
        <f>'SET 1 PLAYERS'!Q108</f>
        <v/>
      </c>
      <c r="W108" s="12"/>
    </row>
    <row r="109" spans="2:23" x14ac:dyDescent="0.25">
      <c r="B109" s="88" t="str">
        <f>'SET 1 PLAYERS'!G109</f>
        <v>CLASS 1</v>
      </c>
      <c r="C109" t="str">
        <f>IF(AND('ENTRY DATA'!C109=""),"",('ENTRY DATA'!C109))</f>
        <v/>
      </c>
      <c r="D109" t="str">
        <f>IF(AND('ENTRY DATA'!D109=""),"",('ENTRY DATA'!D109))</f>
        <v/>
      </c>
      <c r="E109" s="12"/>
      <c r="F109" t="str">
        <f>IF(AND('ENTRY DATA'!F109=""),"",('ENTRY DATA'!F109))</f>
        <v/>
      </c>
      <c r="G109" t="str">
        <f>IF(AND('ENTRY DATA'!G109=""),"",('ENTRY DATA'!G109))</f>
        <v/>
      </c>
      <c r="H109" s="12"/>
      <c r="I109" s="12"/>
      <c r="J109" s="66" t="str">
        <f>IF(AND('ENTRY DATA'!J109=""),"",('ENTRY DATA'!J109))</f>
        <v/>
      </c>
      <c r="K109" s="89" t="str">
        <f>IF(AND('ENTRY DATA'!K109=""),"",('ENTRY DATA'!K109))</f>
        <v/>
      </c>
      <c r="L109" s="89" t="str">
        <f>IF(AND('ENTRY DATA'!L109=""),"",('ENTRY DATA'!L109))</f>
        <v/>
      </c>
      <c r="M109" s="89" t="str">
        <f>IF(AND('ENTRY DATA'!M109=""),"",('ENTRY DATA'!M109))</f>
        <v/>
      </c>
      <c r="N109" s="67" t="str">
        <f>IF(AND('ENTRY DATA'!N109=""),"",('ENTRY DATA'!N109))</f>
        <v/>
      </c>
      <c r="O109" s="12"/>
      <c r="P109" s="66">
        <f>'SET 1 PLAYERS'!O109</f>
        <v>0</v>
      </c>
      <c r="Q109" s="67" t="str">
        <f>'SET 1 PLAYERS'!P109</f>
        <v/>
      </c>
      <c r="R109" s="14"/>
      <c r="S109" s="111" t="e">
        <f t="shared" si="2"/>
        <v>#VALUE!</v>
      </c>
      <c r="T109" s="112" t="e">
        <f t="shared" si="3"/>
        <v>#VALUE!</v>
      </c>
      <c r="U109" s="12"/>
      <c r="V109" s="95" t="str">
        <f>'SET 1 PLAYERS'!Q109</f>
        <v/>
      </c>
      <c r="W109" s="12"/>
    </row>
    <row r="110" spans="2:23" x14ac:dyDescent="0.25">
      <c r="B110" s="88" t="str">
        <f>'SET 1 PLAYERS'!G110</f>
        <v>CLASS 1</v>
      </c>
      <c r="C110" t="str">
        <f>IF(AND('ENTRY DATA'!C110=""),"",('ENTRY DATA'!C110))</f>
        <v/>
      </c>
      <c r="D110" t="str">
        <f>IF(AND('ENTRY DATA'!D110=""),"",('ENTRY DATA'!D110))</f>
        <v/>
      </c>
      <c r="E110" s="12"/>
      <c r="F110" t="str">
        <f>IF(AND('ENTRY DATA'!F110=""),"",('ENTRY DATA'!F110))</f>
        <v/>
      </c>
      <c r="G110" t="str">
        <f>IF(AND('ENTRY DATA'!G110=""),"",('ENTRY DATA'!G110))</f>
        <v/>
      </c>
      <c r="H110" s="12"/>
      <c r="I110" s="12"/>
      <c r="J110" s="66" t="str">
        <f>IF(AND('ENTRY DATA'!J110=""),"",('ENTRY DATA'!J110))</f>
        <v/>
      </c>
      <c r="K110" s="89" t="str">
        <f>IF(AND('ENTRY DATA'!K110=""),"",('ENTRY DATA'!K110))</f>
        <v/>
      </c>
      <c r="L110" s="89" t="str">
        <f>IF(AND('ENTRY DATA'!L110=""),"",('ENTRY DATA'!L110))</f>
        <v/>
      </c>
      <c r="M110" s="89" t="str">
        <f>IF(AND('ENTRY DATA'!M110=""),"",('ENTRY DATA'!M110))</f>
        <v/>
      </c>
      <c r="N110" s="67" t="str">
        <f>IF(AND('ENTRY DATA'!N110=""),"",('ENTRY DATA'!N110))</f>
        <v/>
      </c>
      <c r="O110" s="12"/>
      <c r="P110" s="66">
        <f>'SET 1 PLAYERS'!O110</f>
        <v>0</v>
      </c>
      <c r="Q110" s="67" t="str">
        <f>'SET 1 PLAYERS'!P110</f>
        <v/>
      </c>
      <c r="R110" s="14"/>
      <c r="S110" s="111" t="e">
        <f t="shared" si="2"/>
        <v>#VALUE!</v>
      </c>
      <c r="T110" s="112" t="e">
        <f t="shared" si="3"/>
        <v>#VALUE!</v>
      </c>
      <c r="U110" s="12"/>
      <c r="V110" s="95" t="str">
        <f>'SET 1 PLAYERS'!Q110</f>
        <v/>
      </c>
      <c r="W110" s="12"/>
    </row>
    <row r="111" spans="2:23" x14ac:dyDescent="0.25">
      <c r="B111" s="88" t="str">
        <f>'SET 1 PLAYERS'!G111</f>
        <v>CLASS 1</v>
      </c>
      <c r="C111" t="str">
        <f>IF(AND('ENTRY DATA'!C111=""),"",('ENTRY DATA'!C111))</f>
        <v/>
      </c>
      <c r="D111" t="str">
        <f>IF(AND('ENTRY DATA'!D111=""),"",('ENTRY DATA'!D111))</f>
        <v/>
      </c>
      <c r="E111" s="12"/>
      <c r="F111" t="str">
        <f>IF(AND('ENTRY DATA'!F111=""),"",('ENTRY DATA'!F111))</f>
        <v/>
      </c>
      <c r="G111" t="str">
        <f>IF(AND('ENTRY DATA'!G111=""),"",('ENTRY DATA'!G111))</f>
        <v/>
      </c>
      <c r="H111" s="12"/>
      <c r="I111" s="12"/>
      <c r="J111" s="66" t="str">
        <f>IF(AND('ENTRY DATA'!J111=""),"",('ENTRY DATA'!J111))</f>
        <v/>
      </c>
      <c r="K111" s="89" t="str">
        <f>IF(AND('ENTRY DATA'!K111=""),"",('ENTRY DATA'!K111))</f>
        <v/>
      </c>
      <c r="L111" s="89" t="str">
        <f>IF(AND('ENTRY DATA'!L111=""),"",('ENTRY DATA'!L111))</f>
        <v/>
      </c>
      <c r="M111" s="89" t="str">
        <f>IF(AND('ENTRY DATA'!M111=""),"",('ENTRY DATA'!M111))</f>
        <v/>
      </c>
      <c r="N111" s="67" t="str">
        <f>IF(AND('ENTRY DATA'!N111=""),"",('ENTRY DATA'!N111))</f>
        <v/>
      </c>
      <c r="O111" s="12"/>
      <c r="P111" s="66">
        <f>'SET 1 PLAYERS'!O111</f>
        <v>0</v>
      </c>
      <c r="Q111" s="67" t="str">
        <f>'SET 1 PLAYERS'!P111</f>
        <v/>
      </c>
      <c r="R111" s="14"/>
      <c r="S111" s="111" t="e">
        <f t="shared" si="2"/>
        <v>#VALUE!</v>
      </c>
      <c r="T111" s="112" t="e">
        <f t="shared" si="3"/>
        <v>#VALUE!</v>
      </c>
      <c r="U111" s="12"/>
      <c r="V111" s="95" t="str">
        <f>'SET 1 PLAYERS'!Q111</f>
        <v/>
      </c>
      <c r="W111" s="12"/>
    </row>
    <row r="112" spans="2:23" x14ac:dyDescent="0.25">
      <c r="B112" s="88" t="str">
        <f>'SET 1 PLAYERS'!G112</f>
        <v>CLASS 1</v>
      </c>
      <c r="C112" t="str">
        <f>IF(AND('ENTRY DATA'!C112=""),"",('ENTRY DATA'!C112))</f>
        <v/>
      </c>
      <c r="D112" t="str">
        <f>IF(AND('ENTRY DATA'!D112=""),"",('ENTRY DATA'!D112))</f>
        <v/>
      </c>
      <c r="E112" s="12"/>
      <c r="F112" t="str">
        <f>IF(AND('ENTRY DATA'!F112=""),"",('ENTRY DATA'!F112))</f>
        <v/>
      </c>
      <c r="G112" t="str">
        <f>IF(AND('ENTRY DATA'!G112=""),"",('ENTRY DATA'!G112))</f>
        <v/>
      </c>
      <c r="H112" s="12"/>
      <c r="I112" s="12"/>
      <c r="J112" s="66" t="str">
        <f>IF(AND('ENTRY DATA'!J112=""),"",('ENTRY DATA'!J112))</f>
        <v/>
      </c>
      <c r="K112" s="89" t="str">
        <f>IF(AND('ENTRY DATA'!K112=""),"",('ENTRY DATA'!K112))</f>
        <v/>
      </c>
      <c r="L112" s="89" t="str">
        <f>IF(AND('ENTRY DATA'!L112=""),"",('ENTRY DATA'!L112))</f>
        <v/>
      </c>
      <c r="M112" s="89" t="str">
        <f>IF(AND('ENTRY DATA'!M112=""),"",('ENTRY DATA'!M112))</f>
        <v/>
      </c>
      <c r="N112" s="67" t="str">
        <f>IF(AND('ENTRY DATA'!N112=""),"",('ENTRY DATA'!N112))</f>
        <v/>
      </c>
      <c r="O112" s="12"/>
      <c r="P112" s="66">
        <f>'SET 1 PLAYERS'!O112</f>
        <v>0</v>
      </c>
      <c r="Q112" s="67" t="str">
        <f>'SET 1 PLAYERS'!P112</f>
        <v/>
      </c>
      <c r="R112" s="14"/>
      <c r="S112" s="111" t="e">
        <f t="shared" si="2"/>
        <v>#VALUE!</v>
      </c>
      <c r="T112" s="112" t="e">
        <f t="shared" si="3"/>
        <v>#VALUE!</v>
      </c>
      <c r="U112" s="12"/>
      <c r="V112" s="95" t="str">
        <f>'SET 1 PLAYERS'!Q112</f>
        <v/>
      </c>
      <c r="W112" s="12"/>
    </row>
    <row r="113" spans="2:23" x14ac:dyDescent="0.25">
      <c r="B113" s="88" t="str">
        <f>'SET 1 PLAYERS'!G113</f>
        <v>CLASS 1</v>
      </c>
      <c r="C113" t="str">
        <f>IF(AND('ENTRY DATA'!C113=""),"",('ENTRY DATA'!C113))</f>
        <v/>
      </c>
      <c r="D113" t="str">
        <f>IF(AND('ENTRY DATA'!D113=""),"",('ENTRY DATA'!D113))</f>
        <v/>
      </c>
      <c r="E113" s="12"/>
      <c r="F113" t="str">
        <f>IF(AND('ENTRY DATA'!F113=""),"",('ENTRY DATA'!F113))</f>
        <v/>
      </c>
      <c r="G113" t="str">
        <f>IF(AND('ENTRY DATA'!G113=""),"",('ENTRY DATA'!G113))</f>
        <v/>
      </c>
      <c r="H113" s="12"/>
      <c r="I113" s="12"/>
      <c r="J113" s="66" t="str">
        <f>IF(AND('ENTRY DATA'!J113=""),"",('ENTRY DATA'!J113))</f>
        <v/>
      </c>
      <c r="K113" s="89" t="str">
        <f>IF(AND('ENTRY DATA'!K113=""),"",('ENTRY DATA'!K113))</f>
        <v/>
      </c>
      <c r="L113" s="89" t="str">
        <f>IF(AND('ENTRY DATA'!L113=""),"",('ENTRY DATA'!L113))</f>
        <v/>
      </c>
      <c r="M113" s="89" t="str">
        <f>IF(AND('ENTRY DATA'!M113=""),"",('ENTRY DATA'!M113))</f>
        <v/>
      </c>
      <c r="N113" s="67" t="str">
        <f>IF(AND('ENTRY DATA'!N113=""),"",('ENTRY DATA'!N113))</f>
        <v/>
      </c>
      <c r="O113" s="12"/>
      <c r="P113" s="66">
        <f>'SET 1 PLAYERS'!O113</f>
        <v>0</v>
      </c>
      <c r="Q113" s="67" t="str">
        <f>'SET 1 PLAYERS'!P113</f>
        <v/>
      </c>
      <c r="R113" s="14"/>
      <c r="S113" s="111" t="e">
        <f t="shared" si="2"/>
        <v>#VALUE!</v>
      </c>
      <c r="T113" s="112" t="e">
        <f t="shared" si="3"/>
        <v>#VALUE!</v>
      </c>
      <c r="U113" s="12"/>
      <c r="V113" s="95" t="str">
        <f>'SET 1 PLAYERS'!Q113</f>
        <v/>
      </c>
      <c r="W113" s="12"/>
    </row>
    <row r="114" spans="2:23" x14ac:dyDescent="0.25">
      <c r="B114" s="88" t="str">
        <f>'SET 1 PLAYERS'!G114</f>
        <v>CLASS 1</v>
      </c>
      <c r="C114" t="str">
        <f>IF(AND('ENTRY DATA'!C114=""),"",('ENTRY DATA'!C114))</f>
        <v/>
      </c>
      <c r="D114" t="str">
        <f>IF(AND('ENTRY DATA'!D114=""),"",('ENTRY DATA'!D114))</f>
        <v/>
      </c>
      <c r="E114" s="12"/>
      <c r="F114" t="str">
        <f>IF(AND('ENTRY DATA'!F114=""),"",('ENTRY DATA'!F114))</f>
        <v/>
      </c>
      <c r="G114" t="str">
        <f>IF(AND('ENTRY DATA'!G114=""),"",('ENTRY DATA'!G114))</f>
        <v/>
      </c>
      <c r="H114" s="12"/>
      <c r="I114" s="12"/>
      <c r="J114" s="66" t="str">
        <f>IF(AND('ENTRY DATA'!J114=""),"",('ENTRY DATA'!J114))</f>
        <v/>
      </c>
      <c r="K114" s="89" t="str">
        <f>IF(AND('ENTRY DATA'!K114=""),"",('ENTRY DATA'!K114))</f>
        <v/>
      </c>
      <c r="L114" s="89" t="str">
        <f>IF(AND('ENTRY DATA'!L114=""),"",('ENTRY DATA'!L114))</f>
        <v/>
      </c>
      <c r="M114" s="89" t="str">
        <f>IF(AND('ENTRY DATA'!M114=""),"",('ENTRY DATA'!M114))</f>
        <v/>
      </c>
      <c r="N114" s="67" t="str">
        <f>IF(AND('ENTRY DATA'!N114=""),"",('ENTRY DATA'!N114))</f>
        <v/>
      </c>
      <c r="O114" s="12"/>
      <c r="P114" s="66">
        <f>'SET 1 PLAYERS'!O114</f>
        <v>0</v>
      </c>
      <c r="Q114" s="67" t="str">
        <f>'SET 1 PLAYERS'!P114</f>
        <v/>
      </c>
      <c r="R114" s="14"/>
      <c r="S114" s="111" t="e">
        <f t="shared" si="2"/>
        <v>#VALUE!</v>
      </c>
      <c r="T114" s="112" t="e">
        <f t="shared" si="3"/>
        <v>#VALUE!</v>
      </c>
      <c r="U114" s="12"/>
      <c r="V114" s="95" t="str">
        <f>'SET 1 PLAYERS'!Q114</f>
        <v/>
      </c>
      <c r="W114" s="12"/>
    </row>
    <row r="115" spans="2:23" x14ac:dyDescent="0.25">
      <c r="B115" s="88" t="str">
        <f>'SET 1 PLAYERS'!G115</f>
        <v>CLASS 1</v>
      </c>
      <c r="C115" t="str">
        <f>IF(AND('ENTRY DATA'!C115=""),"",('ENTRY DATA'!C115))</f>
        <v/>
      </c>
      <c r="D115" t="str">
        <f>IF(AND('ENTRY DATA'!D115=""),"",('ENTRY DATA'!D115))</f>
        <v/>
      </c>
      <c r="E115" s="12"/>
      <c r="F115" t="str">
        <f>IF(AND('ENTRY DATA'!F115=""),"",('ENTRY DATA'!F115))</f>
        <v/>
      </c>
      <c r="G115" t="str">
        <f>IF(AND('ENTRY DATA'!G115=""),"",('ENTRY DATA'!G115))</f>
        <v/>
      </c>
      <c r="H115" s="12"/>
      <c r="I115" s="12"/>
      <c r="J115" s="66" t="str">
        <f>IF(AND('ENTRY DATA'!J115=""),"",('ENTRY DATA'!J115))</f>
        <v/>
      </c>
      <c r="K115" s="89" t="str">
        <f>IF(AND('ENTRY DATA'!K115=""),"",('ENTRY DATA'!K115))</f>
        <v/>
      </c>
      <c r="L115" s="89" t="str">
        <f>IF(AND('ENTRY DATA'!L115=""),"",('ENTRY DATA'!L115))</f>
        <v/>
      </c>
      <c r="M115" s="89" t="str">
        <f>IF(AND('ENTRY DATA'!M115=""),"",('ENTRY DATA'!M115))</f>
        <v/>
      </c>
      <c r="N115" s="67" t="str">
        <f>IF(AND('ENTRY DATA'!N115=""),"",('ENTRY DATA'!N115))</f>
        <v/>
      </c>
      <c r="O115" s="12"/>
      <c r="P115" s="66">
        <f>'SET 1 PLAYERS'!O115</f>
        <v>0</v>
      </c>
      <c r="Q115" s="67" t="str">
        <f>'SET 1 PLAYERS'!P115</f>
        <v/>
      </c>
      <c r="R115" s="14"/>
      <c r="S115" s="111" t="e">
        <f t="shared" si="2"/>
        <v>#VALUE!</v>
      </c>
      <c r="T115" s="112" t="e">
        <f t="shared" si="3"/>
        <v>#VALUE!</v>
      </c>
      <c r="U115" s="12"/>
      <c r="V115" s="95" t="str">
        <f>'SET 1 PLAYERS'!Q115</f>
        <v/>
      </c>
      <c r="W115" s="12"/>
    </row>
    <row r="116" spans="2:23" x14ac:dyDescent="0.25">
      <c r="B116" s="88" t="str">
        <f>'SET 1 PLAYERS'!G116</f>
        <v>CLASS 1</v>
      </c>
      <c r="C116" t="str">
        <f>IF(AND('ENTRY DATA'!C116=""),"",('ENTRY DATA'!C116))</f>
        <v/>
      </c>
      <c r="D116" t="str">
        <f>IF(AND('ENTRY DATA'!D116=""),"",('ENTRY DATA'!D116))</f>
        <v/>
      </c>
      <c r="E116" s="12"/>
      <c r="F116" t="str">
        <f>IF(AND('ENTRY DATA'!F116=""),"",('ENTRY DATA'!F116))</f>
        <v/>
      </c>
      <c r="G116" t="str">
        <f>IF(AND('ENTRY DATA'!G116=""),"",('ENTRY DATA'!G116))</f>
        <v/>
      </c>
      <c r="H116" s="12"/>
      <c r="I116" s="12"/>
      <c r="J116" s="66" t="str">
        <f>IF(AND('ENTRY DATA'!J116=""),"",('ENTRY DATA'!J116))</f>
        <v/>
      </c>
      <c r="K116" s="89" t="str">
        <f>IF(AND('ENTRY DATA'!K116=""),"",('ENTRY DATA'!K116))</f>
        <v/>
      </c>
      <c r="L116" s="89" t="str">
        <f>IF(AND('ENTRY DATA'!L116=""),"",('ENTRY DATA'!L116))</f>
        <v/>
      </c>
      <c r="M116" s="89" t="str">
        <f>IF(AND('ENTRY DATA'!M116=""),"",('ENTRY DATA'!M116))</f>
        <v/>
      </c>
      <c r="N116" s="67" t="str">
        <f>IF(AND('ENTRY DATA'!N116=""),"",('ENTRY DATA'!N116))</f>
        <v/>
      </c>
      <c r="O116" s="12"/>
      <c r="P116" s="66">
        <f>'SET 1 PLAYERS'!O116</f>
        <v>0</v>
      </c>
      <c r="Q116" s="67" t="str">
        <f>'SET 1 PLAYERS'!P116</f>
        <v/>
      </c>
      <c r="R116" s="14"/>
      <c r="S116" s="111" t="e">
        <f t="shared" si="2"/>
        <v>#VALUE!</v>
      </c>
      <c r="T116" s="112" t="e">
        <f t="shared" si="3"/>
        <v>#VALUE!</v>
      </c>
      <c r="U116" s="12"/>
      <c r="V116" s="95" t="str">
        <f>'SET 1 PLAYERS'!Q116</f>
        <v/>
      </c>
      <c r="W116" s="12"/>
    </row>
    <row r="117" spans="2:23" x14ac:dyDescent="0.25">
      <c r="B117" s="88" t="str">
        <f>'SET 1 PLAYERS'!G117</f>
        <v>CLASS 1</v>
      </c>
      <c r="C117" t="str">
        <f>IF(AND('ENTRY DATA'!C117=""),"",('ENTRY DATA'!C117))</f>
        <v/>
      </c>
      <c r="D117" t="str">
        <f>IF(AND('ENTRY DATA'!D117=""),"",('ENTRY DATA'!D117))</f>
        <v/>
      </c>
      <c r="E117" s="12"/>
      <c r="F117" t="str">
        <f>IF(AND('ENTRY DATA'!F117=""),"",('ENTRY DATA'!F117))</f>
        <v/>
      </c>
      <c r="G117" t="str">
        <f>IF(AND('ENTRY DATA'!G117=""),"",('ENTRY DATA'!G117))</f>
        <v/>
      </c>
      <c r="H117" s="12"/>
      <c r="I117" s="12"/>
      <c r="J117" s="66" t="str">
        <f>IF(AND('ENTRY DATA'!J117=""),"",('ENTRY DATA'!J117))</f>
        <v/>
      </c>
      <c r="K117" s="89" t="str">
        <f>IF(AND('ENTRY DATA'!K117=""),"",('ENTRY DATA'!K117))</f>
        <v/>
      </c>
      <c r="L117" s="89" t="str">
        <f>IF(AND('ENTRY DATA'!L117=""),"",('ENTRY DATA'!L117))</f>
        <v/>
      </c>
      <c r="M117" s="89" t="str">
        <f>IF(AND('ENTRY DATA'!M117=""),"",('ENTRY DATA'!M117))</f>
        <v/>
      </c>
      <c r="N117" s="67" t="str">
        <f>IF(AND('ENTRY DATA'!N117=""),"",('ENTRY DATA'!N117))</f>
        <v/>
      </c>
      <c r="O117" s="12"/>
      <c r="P117" s="66">
        <f>'SET 1 PLAYERS'!O117</f>
        <v>0</v>
      </c>
      <c r="Q117" s="67" t="str">
        <f>'SET 1 PLAYERS'!P117</f>
        <v/>
      </c>
      <c r="R117" s="14"/>
      <c r="S117" s="111" t="e">
        <f t="shared" si="2"/>
        <v>#VALUE!</v>
      </c>
      <c r="T117" s="112" t="e">
        <f t="shared" si="3"/>
        <v>#VALUE!</v>
      </c>
      <c r="U117" s="12"/>
      <c r="V117" s="95" t="str">
        <f>'SET 1 PLAYERS'!Q117</f>
        <v/>
      </c>
      <c r="W117" s="12"/>
    </row>
    <row r="118" spans="2:23" x14ac:dyDescent="0.25">
      <c r="B118" s="88" t="str">
        <f>'SET 1 PLAYERS'!G118</f>
        <v>CLASS 1</v>
      </c>
      <c r="C118" t="str">
        <f>IF(AND('ENTRY DATA'!C118=""),"",('ENTRY DATA'!C118))</f>
        <v/>
      </c>
      <c r="D118" t="str">
        <f>IF(AND('ENTRY DATA'!D118=""),"",('ENTRY DATA'!D118))</f>
        <v/>
      </c>
      <c r="E118" s="12"/>
      <c r="F118" t="str">
        <f>IF(AND('ENTRY DATA'!F118=""),"",('ENTRY DATA'!F118))</f>
        <v/>
      </c>
      <c r="G118" t="str">
        <f>IF(AND('ENTRY DATA'!G118=""),"",('ENTRY DATA'!G118))</f>
        <v/>
      </c>
      <c r="H118" s="12"/>
      <c r="I118" s="12"/>
      <c r="J118" s="66" t="str">
        <f>IF(AND('ENTRY DATA'!J118=""),"",('ENTRY DATA'!J118))</f>
        <v/>
      </c>
      <c r="K118" s="89" t="str">
        <f>IF(AND('ENTRY DATA'!K118=""),"",('ENTRY DATA'!K118))</f>
        <v/>
      </c>
      <c r="L118" s="89" t="str">
        <f>IF(AND('ENTRY DATA'!L118=""),"",('ENTRY DATA'!L118))</f>
        <v/>
      </c>
      <c r="M118" s="89" t="str">
        <f>IF(AND('ENTRY DATA'!M118=""),"",('ENTRY DATA'!M118))</f>
        <v/>
      </c>
      <c r="N118" s="67" t="str">
        <f>IF(AND('ENTRY DATA'!N118=""),"",('ENTRY DATA'!N118))</f>
        <v/>
      </c>
      <c r="O118" s="12"/>
      <c r="P118" s="66">
        <f>'SET 1 PLAYERS'!O118</f>
        <v>0</v>
      </c>
      <c r="Q118" s="67" t="str">
        <f>'SET 1 PLAYERS'!P118</f>
        <v/>
      </c>
      <c r="R118" s="14"/>
      <c r="S118" s="111" t="e">
        <f t="shared" si="2"/>
        <v>#VALUE!</v>
      </c>
      <c r="T118" s="112" t="e">
        <f t="shared" si="3"/>
        <v>#VALUE!</v>
      </c>
      <c r="U118" s="12"/>
      <c r="V118" s="95" t="str">
        <f>'SET 1 PLAYERS'!Q118</f>
        <v/>
      </c>
      <c r="W118" s="12"/>
    </row>
    <row r="119" spans="2:23" x14ac:dyDescent="0.25">
      <c r="B119" s="88" t="str">
        <f>'SET 1 PLAYERS'!G119</f>
        <v>CLASS 1</v>
      </c>
      <c r="C119" t="str">
        <f>IF(AND('ENTRY DATA'!C119=""),"",('ENTRY DATA'!C119))</f>
        <v/>
      </c>
      <c r="D119" t="str">
        <f>IF(AND('ENTRY DATA'!D119=""),"",('ENTRY DATA'!D119))</f>
        <v/>
      </c>
      <c r="E119" s="12"/>
      <c r="F119" t="str">
        <f>IF(AND('ENTRY DATA'!F119=""),"",('ENTRY DATA'!F119))</f>
        <v/>
      </c>
      <c r="G119" t="str">
        <f>IF(AND('ENTRY DATA'!G119=""),"",('ENTRY DATA'!G119))</f>
        <v/>
      </c>
      <c r="H119" s="12"/>
      <c r="I119" s="12"/>
      <c r="J119" s="66" t="str">
        <f>IF(AND('ENTRY DATA'!J119=""),"",('ENTRY DATA'!J119))</f>
        <v/>
      </c>
      <c r="K119" s="89" t="str">
        <f>IF(AND('ENTRY DATA'!K119=""),"",('ENTRY DATA'!K119))</f>
        <v/>
      </c>
      <c r="L119" s="89" t="str">
        <f>IF(AND('ENTRY DATA'!L119=""),"",('ENTRY DATA'!L119))</f>
        <v/>
      </c>
      <c r="M119" s="89" t="str">
        <f>IF(AND('ENTRY DATA'!M119=""),"",('ENTRY DATA'!M119))</f>
        <v/>
      </c>
      <c r="N119" s="67" t="str">
        <f>IF(AND('ENTRY DATA'!N119=""),"",('ENTRY DATA'!N119))</f>
        <v/>
      </c>
      <c r="O119" s="12"/>
      <c r="P119" s="66">
        <f>'SET 1 PLAYERS'!O119</f>
        <v>0</v>
      </c>
      <c r="Q119" s="67" t="str">
        <f>'SET 1 PLAYERS'!P119</f>
        <v/>
      </c>
      <c r="R119" s="14"/>
      <c r="S119" s="111" t="e">
        <f t="shared" si="2"/>
        <v>#VALUE!</v>
      </c>
      <c r="T119" s="112" t="e">
        <f t="shared" si="3"/>
        <v>#VALUE!</v>
      </c>
      <c r="U119" s="12"/>
      <c r="V119" s="95" t="str">
        <f>'SET 1 PLAYERS'!Q119</f>
        <v/>
      </c>
      <c r="W119" s="12"/>
    </row>
    <row r="120" spans="2:23" x14ac:dyDescent="0.25">
      <c r="B120" s="88" t="str">
        <f>'SET 1 PLAYERS'!G120</f>
        <v>CLASS 1</v>
      </c>
      <c r="C120" t="str">
        <f>IF(AND('ENTRY DATA'!C120=""),"",('ENTRY DATA'!C120))</f>
        <v/>
      </c>
      <c r="D120" t="str">
        <f>IF(AND('ENTRY DATA'!D120=""),"",('ENTRY DATA'!D120))</f>
        <v/>
      </c>
      <c r="E120" s="12"/>
      <c r="F120" t="str">
        <f>IF(AND('ENTRY DATA'!F120=""),"",('ENTRY DATA'!F120))</f>
        <v/>
      </c>
      <c r="G120" t="str">
        <f>IF(AND('ENTRY DATA'!G120=""),"",('ENTRY DATA'!G120))</f>
        <v/>
      </c>
      <c r="H120" s="12"/>
      <c r="I120" s="12"/>
      <c r="J120" s="66" t="str">
        <f>IF(AND('ENTRY DATA'!J120=""),"",('ENTRY DATA'!J120))</f>
        <v/>
      </c>
      <c r="K120" s="89" t="str">
        <f>IF(AND('ENTRY DATA'!K120=""),"",('ENTRY DATA'!K120))</f>
        <v/>
      </c>
      <c r="L120" s="89" t="str">
        <f>IF(AND('ENTRY DATA'!L120=""),"",('ENTRY DATA'!L120))</f>
        <v/>
      </c>
      <c r="M120" s="89" t="str">
        <f>IF(AND('ENTRY DATA'!M120=""),"",('ENTRY DATA'!M120))</f>
        <v/>
      </c>
      <c r="N120" s="67" t="str">
        <f>IF(AND('ENTRY DATA'!N120=""),"",('ENTRY DATA'!N120))</f>
        <v/>
      </c>
      <c r="O120" s="12"/>
      <c r="P120" s="66">
        <f>'SET 1 PLAYERS'!O120</f>
        <v>0</v>
      </c>
      <c r="Q120" s="67" t="str">
        <f>'SET 1 PLAYERS'!P120</f>
        <v/>
      </c>
      <c r="R120" s="14"/>
      <c r="S120" s="111" t="e">
        <f t="shared" si="2"/>
        <v>#VALUE!</v>
      </c>
      <c r="T120" s="112" t="e">
        <f t="shared" si="3"/>
        <v>#VALUE!</v>
      </c>
      <c r="U120" s="12"/>
      <c r="V120" s="95" t="str">
        <f>'SET 1 PLAYERS'!Q120</f>
        <v/>
      </c>
      <c r="W120" s="12"/>
    </row>
    <row r="121" spans="2:23" x14ac:dyDescent="0.25">
      <c r="B121" s="88" t="str">
        <f>'SET 1 PLAYERS'!G121</f>
        <v>CLASS 1</v>
      </c>
      <c r="C121" t="str">
        <f>IF(AND('ENTRY DATA'!C121=""),"",('ENTRY DATA'!C121))</f>
        <v/>
      </c>
      <c r="D121" t="str">
        <f>IF(AND('ENTRY DATA'!D121=""),"",('ENTRY DATA'!D121))</f>
        <v/>
      </c>
      <c r="E121" s="12"/>
      <c r="F121" t="str">
        <f>IF(AND('ENTRY DATA'!F121=""),"",('ENTRY DATA'!F121))</f>
        <v/>
      </c>
      <c r="G121" t="str">
        <f>IF(AND('ENTRY DATA'!G121=""),"",('ENTRY DATA'!G121))</f>
        <v/>
      </c>
      <c r="H121" s="12"/>
      <c r="I121" s="12"/>
      <c r="J121" s="66" t="str">
        <f>IF(AND('ENTRY DATA'!J121=""),"",('ENTRY DATA'!J121))</f>
        <v/>
      </c>
      <c r="K121" s="89" t="str">
        <f>IF(AND('ENTRY DATA'!K121=""),"",('ENTRY DATA'!K121))</f>
        <v/>
      </c>
      <c r="L121" s="89" t="str">
        <f>IF(AND('ENTRY DATA'!L121=""),"",('ENTRY DATA'!L121))</f>
        <v/>
      </c>
      <c r="M121" s="89" t="str">
        <f>IF(AND('ENTRY DATA'!M121=""),"",('ENTRY DATA'!M121))</f>
        <v/>
      </c>
      <c r="N121" s="67" t="str">
        <f>IF(AND('ENTRY DATA'!N121=""),"",('ENTRY DATA'!N121))</f>
        <v/>
      </c>
      <c r="O121" s="12"/>
      <c r="P121" s="66">
        <f>'SET 1 PLAYERS'!O121</f>
        <v>0</v>
      </c>
      <c r="Q121" s="67" t="str">
        <f>'SET 1 PLAYERS'!P121</f>
        <v/>
      </c>
      <c r="R121" s="14"/>
      <c r="S121" s="111" t="e">
        <f t="shared" si="2"/>
        <v>#VALUE!</v>
      </c>
      <c r="T121" s="112" t="e">
        <f t="shared" si="3"/>
        <v>#VALUE!</v>
      </c>
      <c r="U121" s="12"/>
      <c r="V121" s="95" t="str">
        <f>'SET 1 PLAYERS'!Q121</f>
        <v/>
      </c>
      <c r="W121" s="12"/>
    </row>
    <row r="122" spans="2:23" x14ac:dyDescent="0.25">
      <c r="B122" s="88" t="str">
        <f>'SET 1 PLAYERS'!G122</f>
        <v>CLASS 1</v>
      </c>
      <c r="C122" t="str">
        <f>IF(AND('ENTRY DATA'!C122=""),"",('ENTRY DATA'!C122))</f>
        <v/>
      </c>
      <c r="D122" t="str">
        <f>IF(AND('ENTRY DATA'!D122=""),"",('ENTRY DATA'!D122))</f>
        <v/>
      </c>
      <c r="E122" s="12"/>
      <c r="F122" t="str">
        <f>IF(AND('ENTRY DATA'!F122=""),"",('ENTRY DATA'!F122))</f>
        <v/>
      </c>
      <c r="G122" t="str">
        <f>IF(AND('ENTRY DATA'!G122=""),"",('ENTRY DATA'!G122))</f>
        <v/>
      </c>
      <c r="H122" s="12"/>
      <c r="I122" s="12"/>
      <c r="J122" s="66" t="str">
        <f>IF(AND('ENTRY DATA'!J122=""),"",('ENTRY DATA'!J122))</f>
        <v/>
      </c>
      <c r="K122" s="89" t="str">
        <f>IF(AND('ENTRY DATA'!K122=""),"",('ENTRY DATA'!K122))</f>
        <v/>
      </c>
      <c r="L122" s="89" t="str">
        <f>IF(AND('ENTRY DATA'!L122=""),"",('ENTRY DATA'!L122))</f>
        <v/>
      </c>
      <c r="M122" s="89" t="str">
        <f>IF(AND('ENTRY DATA'!M122=""),"",('ENTRY DATA'!M122))</f>
        <v/>
      </c>
      <c r="N122" s="67" t="str">
        <f>IF(AND('ENTRY DATA'!N122=""),"",('ENTRY DATA'!N122))</f>
        <v/>
      </c>
      <c r="O122" s="12"/>
      <c r="P122" s="66">
        <f>'SET 1 PLAYERS'!O122</f>
        <v>0</v>
      </c>
      <c r="Q122" s="67" t="str">
        <f>'SET 1 PLAYERS'!P122</f>
        <v/>
      </c>
      <c r="R122" s="14"/>
      <c r="S122" s="111" t="e">
        <f t="shared" si="2"/>
        <v>#VALUE!</v>
      </c>
      <c r="T122" s="112" t="e">
        <f t="shared" si="3"/>
        <v>#VALUE!</v>
      </c>
      <c r="U122" s="12"/>
      <c r="V122" s="95" t="str">
        <f>'SET 1 PLAYERS'!Q122</f>
        <v/>
      </c>
      <c r="W122" s="12"/>
    </row>
    <row r="123" spans="2:23" x14ac:dyDescent="0.25">
      <c r="B123" s="88" t="str">
        <f>'SET 1 PLAYERS'!G123</f>
        <v>CLASS 1</v>
      </c>
      <c r="C123" t="str">
        <f>IF(AND('ENTRY DATA'!C123=""),"",('ENTRY DATA'!C123))</f>
        <v/>
      </c>
      <c r="D123" t="str">
        <f>IF(AND('ENTRY DATA'!D123=""),"",('ENTRY DATA'!D123))</f>
        <v/>
      </c>
      <c r="E123" s="12"/>
      <c r="F123" t="str">
        <f>IF(AND('ENTRY DATA'!F123=""),"",('ENTRY DATA'!F123))</f>
        <v/>
      </c>
      <c r="G123" t="str">
        <f>IF(AND('ENTRY DATA'!G123=""),"",('ENTRY DATA'!G123))</f>
        <v/>
      </c>
      <c r="H123" s="12"/>
      <c r="I123" s="12"/>
      <c r="J123" s="66" t="str">
        <f>IF(AND('ENTRY DATA'!J123=""),"",('ENTRY DATA'!J123))</f>
        <v/>
      </c>
      <c r="K123" s="89" t="str">
        <f>IF(AND('ENTRY DATA'!K123=""),"",('ENTRY DATA'!K123))</f>
        <v/>
      </c>
      <c r="L123" s="89" t="str">
        <f>IF(AND('ENTRY DATA'!L123=""),"",('ENTRY DATA'!L123))</f>
        <v/>
      </c>
      <c r="M123" s="89" t="str">
        <f>IF(AND('ENTRY DATA'!M123=""),"",('ENTRY DATA'!M123))</f>
        <v/>
      </c>
      <c r="N123" s="67" t="str">
        <f>IF(AND('ENTRY DATA'!N123=""),"",('ENTRY DATA'!N123))</f>
        <v/>
      </c>
      <c r="O123" s="12"/>
      <c r="P123" s="66">
        <f>'SET 1 PLAYERS'!O123</f>
        <v>0</v>
      </c>
      <c r="Q123" s="67" t="str">
        <f>'SET 1 PLAYERS'!P123</f>
        <v/>
      </c>
      <c r="R123" s="14"/>
      <c r="S123" s="111" t="e">
        <f t="shared" si="2"/>
        <v>#VALUE!</v>
      </c>
      <c r="T123" s="112" t="e">
        <f t="shared" si="3"/>
        <v>#VALUE!</v>
      </c>
      <c r="U123" s="12"/>
      <c r="V123" s="95" t="str">
        <f>'SET 1 PLAYERS'!Q123</f>
        <v/>
      </c>
      <c r="W123" s="12"/>
    </row>
    <row r="124" spans="2:23" x14ac:dyDescent="0.25">
      <c r="B124" s="88" t="str">
        <f>'SET 1 PLAYERS'!G124</f>
        <v>CLASS 1</v>
      </c>
      <c r="C124" t="str">
        <f>IF(AND('ENTRY DATA'!C124=""),"",('ENTRY DATA'!C124))</f>
        <v/>
      </c>
      <c r="D124" t="str">
        <f>IF(AND('ENTRY DATA'!D124=""),"",('ENTRY DATA'!D124))</f>
        <v/>
      </c>
      <c r="E124" s="12"/>
      <c r="F124" t="str">
        <f>IF(AND('ENTRY DATA'!F124=""),"",('ENTRY DATA'!F124))</f>
        <v/>
      </c>
      <c r="G124" t="str">
        <f>IF(AND('ENTRY DATA'!G124=""),"",('ENTRY DATA'!G124))</f>
        <v/>
      </c>
      <c r="H124" s="12"/>
      <c r="I124" s="12"/>
      <c r="J124" s="66" t="str">
        <f>IF(AND('ENTRY DATA'!J124=""),"",('ENTRY DATA'!J124))</f>
        <v/>
      </c>
      <c r="K124" s="89" t="str">
        <f>IF(AND('ENTRY DATA'!K124=""),"",('ENTRY DATA'!K124))</f>
        <v/>
      </c>
      <c r="L124" s="89" t="str">
        <f>IF(AND('ENTRY DATA'!L124=""),"",('ENTRY DATA'!L124))</f>
        <v/>
      </c>
      <c r="M124" s="89" t="str">
        <f>IF(AND('ENTRY DATA'!M124=""),"",('ENTRY DATA'!M124))</f>
        <v/>
      </c>
      <c r="N124" s="67" t="str">
        <f>IF(AND('ENTRY DATA'!N124=""),"",('ENTRY DATA'!N124))</f>
        <v/>
      </c>
      <c r="O124" s="12"/>
      <c r="P124" s="66">
        <f>'SET 1 PLAYERS'!O124</f>
        <v>0</v>
      </c>
      <c r="Q124" s="67" t="str">
        <f>'SET 1 PLAYERS'!P124</f>
        <v/>
      </c>
      <c r="R124" s="14"/>
      <c r="S124" s="111" t="e">
        <f t="shared" si="2"/>
        <v>#VALUE!</v>
      </c>
      <c r="T124" s="112" t="e">
        <f t="shared" si="3"/>
        <v>#VALUE!</v>
      </c>
      <c r="U124" s="12"/>
      <c r="V124" s="95" t="str">
        <f>'SET 1 PLAYERS'!Q124</f>
        <v/>
      </c>
      <c r="W124" s="12"/>
    </row>
    <row r="125" spans="2:23" x14ac:dyDescent="0.25">
      <c r="B125" s="88" t="str">
        <f>'SET 1 PLAYERS'!G125</f>
        <v>CLASS 1</v>
      </c>
      <c r="C125" t="str">
        <f>IF(AND('ENTRY DATA'!C125=""),"",('ENTRY DATA'!C125))</f>
        <v/>
      </c>
      <c r="D125" t="str">
        <f>IF(AND('ENTRY DATA'!D125=""),"",('ENTRY DATA'!D125))</f>
        <v/>
      </c>
      <c r="E125" s="12"/>
      <c r="F125" t="str">
        <f>IF(AND('ENTRY DATA'!F125=""),"",('ENTRY DATA'!F125))</f>
        <v/>
      </c>
      <c r="G125" t="str">
        <f>IF(AND('ENTRY DATA'!G125=""),"",('ENTRY DATA'!G125))</f>
        <v/>
      </c>
      <c r="H125" s="12"/>
      <c r="I125" s="12"/>
      <c r="J125" s="66" t="str">
        <f>IF(AND('ENTRY DATA'!J125=""),"",('ENTRY DATA'!J125))</f>
        <v/>
      </c>
      <c r="K125" s="89" t="str">
        <f>IF(AND('ENTRY DATA'!K125=""),"",('ENTRY DATA'!K125))</f>
        <v/>
      </c>
      <c r="L125" s="89" t="str">
        <f>IF(AND('ENTRY DATA'!L125=""),"",('ENTRY DATA'!L125))</f>
        <v/>
      </c>
      <c r="M125" s="89" t="str">
        <f>IF(AND('ENTRY DATA'!M125=""),"",('ENTRY DATA'!M125))</f>
        <v/>
      </c>
      <c r="N125" s="67" t="str">
        <f>IF(AND('ENTRY DATA'!N125=""),"",('ENTRY DATA'!N125))</f>
        <v/>
      </c>
      <c r="O125" s="12"/>
      <c r="P125" s="66">
        <f>'SET 1 PLAYERS'!O125</f>
        <v>0</v>
      </c>
      <c r="Q125" s="67" t="str">
        <f>'SET 1 PLAYERS'!P125</f>
        <v/>
      </c>
      <c r="R125" s="14"/>
      <c r="S125" s="111" t="e">
        <f t="shared" si="2"/>
        <v>#VALUE!</v>
      </c>
      <c r="T125" s="112" t="e">
        <f t="shared" si="3"/>
        <v>#VALUE!</v>
      </c>
      <c r="U125" s="12"/>
      <c r="V125" s="95" t="str">
        <f>'SET 1 PLAYERS'!Q125</f>
        <v/>
      </c>
      <c r="W125" s="12"/>
    </row>
    <row r="126" spans="2:23" x14ac:dyDescent="0.25">
      <c r="B126" s="88" t="str">
        <f>'SET 1 PLAYERS'!G126</f>
        <v>CLASS 1</v>
      </c>
      <c r="C126" t="str">
        <f>IF(AND('ENTRY DATA'!C126=""),"",('ENTRY DATA'!C126))</f>
        <v/>
      </c>
      <c r="D126" t="str">
        <f>IF(AND('ENTRY DATA'!D126=""),"",('ENTRY DATA'!D126))</f>
        <v/>
      </c>
      <c r="E126" s="12"/>
      <c r="F126" t="str">
        <f>IF(AND('ENTRY DATA'!F126=""),"",('ENTRY DATA'!F126))</f>
        <v/>
      </c>
      <c r="G126" t="str">
        <f>IF(AND('ENTRY DATA'!G126=""),"",('ENTRY DATA'!G126))</f>
        <v/>
      </c>
      <c r="H126" s="12"/>
      <c r="I126" s="12"/>
      <c r="J126" s="66" t="str">
        <f>IF(AND('ENTRY DATA'!J126=""),"",('ENTRY DATA'!J126))</f>
        <v/>
      </c>
      <c r="K126" s="89" t="str">
        <f>IF(AND('ENTRY DATA'!K126=""),"",('ENTRY DATA'!K126))</f>
        <v/>
      </c>
      <c r="L126" s="89" t="str">
        <f>IF(AND('ENTRY DATA'!L126=""),"",('ENTRY DATA'!L126))</f>
        <v/>
      </c>
      <c r="M126" s="89" t="str">
        <f>IF(AND('ENTRY DATA'!M126=""),"",('ENTRY DATA'!M126))</f>
        <v/>
      </c>
      <c r="N126" s="67" t="str">
        <f>IF(AND('ENTRY DATA'!N126=""),"",('ENTRY DATA'!N126))</f>
        <v/>
      </c>
      <c r="O126" s="12"/>
      <c r="P126" s="66">
        <f>'SET 1 PLAYERS'!O126</f>
        <v>0</v>
      </c>
      <c r="Q126" s="67" t="str">
        <f>'SET 1 PLAYERS'!P126</f>
        <v/>
      </c>
      <c r="R126" s="14"/>
      <c r="S126" s="111" t="e">
        <f t="shared" si="2"/>
        <v>#VALUE!</v>
      </c>
      <c r="T126" s="112" t="e">
        <f t="shared" si="3"/>
        <v>#VALUE!</v>
      </c>
      <c r="U126" s="12"/>
      <c r="V126" s="95" t="str">
        <f>'SET 1 PLAYERS'!Q126</f>
        <v/>
      </c>
      <c r="W126" s="12"/>
    </row>
    <row r="127" spans="2:23" x14ac:dyDescent="0.25">
      <c r="B127" s="88" t="str">
        <f>'SET 1 PLAYERS'!G127</f>
        <v>CLASS 1</v>
      </c>
      <c r="C127" t="str">
        <f>IF(AND('ENTRY DATA'!C127=""),"",('ENTRY DATA'!C127))</f>
        <v/>
      </c>
      <c r="D127" t="str">
        <f>IF(AND('ENTRY DATA'!D127=""),"",('ENTRY DATA'!D127))</f>
        <v/>
      </c>
      <c r="E127" s="12"/>
      <c r="F127" t="str">
        <f>IF(AND('ENTRY DATA'!F127=""),"",('ENTRY DATA'!F127))</f>
        <v/>
      </c>
      <c r="G127" t="str">
        <f>IF(AND('ENTRY DATA'!G127=""),"",('ENTRY DATA'!G127))</f>
        <v/>
      </c>
      <c r="H127" s="12"/>
      <c r="I127" s="12"/>
      <c r="J127" s="66" t="str">
        <f>IF(AND('ENTRY DATA'!J127=""),"",('ENTRY DATA'!J127))</f>
        <v/>
      </c>
      <c r="K127" s="89" t="str">
        <f>IF(AND('ENTRY DATA'!K127=""),"",('ENTRY DATA'!K127))</f>
        <v/>
      </c>
      <c r="L127" s="89" t="str">
        <f>IF(AND('ENTRY DATA'!L127=""),"",('ENTRY DATA'!L127))</f>
        <v/>
      </c>
      <c r="M127" s="89" t="str">
        <f>IF(AND('ENTRY DATA'!M127=""),"",('ENTRY DATA'!M127))</f>
        <v/>
      </c>
      <c r="N127" s="67" t="str">
        <f>IF(AND('ENTRY DATA'!N127=""),"",('ENTRY DATA'!N127))</f>
        <v/>
      </c>
      <c r="O127" s="12"/>
      <c r="P127" s="66">
        <f>'SET 1 PLAYERS'!O127</f>
        <v>0</v>
      </c>
      <c r="Q127" s="67" t="str">
        <f>'SET 1 PLAYERS'!P127</f>
        <v/>
      </c>
      <c r="R127" s="14"/>
      <c r="S127" s="111" t="e">
        <f t="shared" si="2"/>
        <v>#VALUE!</v>
      </c>
      <c r="T127" s="112" t="e">
        <f t="shared" si="3"/>
        <v>#VALUE!</v>
      </c>
      <c r="U127" s="12"/>
      <c r="V127" s="95" t="str">
        <f>'SET 1 PLAYERS'!Q127</f>
        <v/>
      </c>
      <c r="W127" s="12"/>
    </row>
    <row r="128" spans="2:23" x14ac:dyDescent="0.25">
      <c r="B128" s="88" t="str">
        <f>'SET 1 PLAYERS'!G128</f>
        <v>CLASS 1</v>
      </c>
      <c r="C128" t="str">
        <f>IF(AND('ENTRY DATA'!C128=""),"",('ENTRY DATA'!C128))</f>
        <v/>
      </c>
      <c r="D128" t="str">
        <f>IF(AND('ENTRY DATA'!D128=""),"",('ENTRY DATA'!D128))</f>
        <v/>
      </c>
      <c r="E128" s="12"/>
      <c r="F128" t="str">
        <f>IF(AND('ENTRY DATA'!F128=""),"",('ENTRY DATA'!F128))</f>
        <v/>
      </c>
      <c r="G128" t="str">
        <f>IF(AND('ENTRY DATA'!G128=""),"",('ENTRY DATA'!G128))</f>
        <v/>
      </c>
      <c r="H128" s="12"/>
      <c r="I128" s="12"/>
      <c r="J128" s="66" t="str">
        <f>IF(AND('ENTRY DATA'!J128=""),"",('ENTRY DATA'!J128))</f>
        <v/>
      </c>
      <c r="K128" s="89" t="str">
        <f>IF(AND('ENTRY DATA'!K128=""),"",('ENTRY DATA'!K128))</f>
        <v/>
      </c>
      <c r="L128" s="89" t="str">
        <f>IF(AND('ENTRY DATA'!L128=""),"",('ENTRY DATA'!L128))</f>
        <v/>
      </c>
      <c r="M128" s="89" t="str">
        <f>IF(AND('ENTRY DATA'!M128=""),"",('ENTRY DATA'!M128))</f>
        <v/>
      </c>
      <c r="N128" s="67" t="str">
        <f>IF(AND('ENTRY DATA'!N128=""),"",('ENTRY DATA'!N128))</f>
        <v/>
      </c>
      <c r="O128" s="12"/>
      <c r="P128" s="66">
        <f>'SET 1 PLAYERS'!O128</f>
        <v>0</v>
      </c>
      <c r="Q128" s="67" t="str">
        <f>'SET 1 PLAYERS'!P128</f>
        <v/>
      </c>
      <c r="R128" s="14"/>
      <c r="S128" s="111" t="e">
        <f t="shared" si="2"/>
        <v>#VALUE!</v>
      </c>
      <c r="T128" s="112" t="e">
        <f t="shared" si="3"/>
        <v>#VALUE!</v>
      </c>
      <c r="U128" s="12"/>
      <c r="V128" s="95" t="str">
        <f>'SET 1 PLAYERS'!Q128</f>
        <v/>
      </c>
      <c r="W128" s="12"/>
    </row>
    <row r="129" spans="2:23" x14ac:dyDescent="0.25">
      <c r="B129" s="88" t="str">
        <f>'SET 1 PLAYERS'!G129</f>
        <v>CLASS 1</v>
      </c>
      <c r="C129" t="str">
        <f>IF(AND('ENTRY DATA'!C129=""),"",('ENTRY DATA'!C129))</f>
        <v/>
      </c>
      <c r="D129" t="str">
        <f>IF(AND('ENTRY DATA'!D129=""),"",('ENTRY DATA'!D129))</f>
        <v/>
      </c>
      <c r="E129" s="12"/>
      <c r="F129" t="str">
        <f>IF(AND('ENTRY DATA'!F129=""),"",('ENTRY DATA'!F129))</f>
        <v/>
      </c>
      <c r="G129" t="str">
        <f>IF(AND('ENTRY DATA'!G129=""),"",('ENTRY DATA'!G129))</f>
        <v/>
      </c>
      <c r="H129" s="12"/>
      <c r="I129" s="12"/>
      <c r="J129" s="66" t="str">
        <f>IF(AND('ENTRY DATA'!J129=""),"",('ENTRY DATA'!J129))</f>
        <v/>
      </c>
      <c r="K129" s="89" t="str">
        <f>IF(AND('ENTRY DATA'!K129=""),"",('ENTRY DATA'!K129))</f>
        <v/>
      </c>
      <c r="L129" s="89" t="str">
        <f>IF(AND('ENTRY DATA'!L129=""),"",('ENTRY DATA'!L129))</f>
        <v/>
      </c>
      <c r="M129" s="89" t="str">
        <f>IF(AND('ENTRY DATA'!M129=""),"",('ENTRY DATA'!M129))</f>
        <v/>
      </c>
      <c r="N129" s="67" t="str">
        <f>IF(AND('ENTRY DATA'!N129=""),"",('ENTRY DATA'!N129))</f>
        <v/>
      </c>
      <c r="O129" s="12"/>
      <c r="P129" s="66">
        <f>'SET 1 PLAYERS'!O129</f>
        <v>0</v>
      </c>
      <c r="Q129" s="67" t="str">
        <f>'SET 1 PLAYERS'!P129</f>
        <v/>
      </c>
      <c r="R129" s="14"/>
      <c r="S129" s="111" t="e">
        <f t="shared" si="2"/>
        <v>#VALUE!</v>
      </c>
      <c r="T129" s="112" t="e">
        <f t="shared" si="3"/>
        <v>#VALUE!</v>
      </c>
      <c r="U129" s="12"/>
      <c r="V129" s="95" t="str">
        <f>'SET 1 PLAYERS'!Q129</f>
        <v/>
      </c>
      <c r="W129" s="12"/>
    </row>
    <row r="130" spans="2:23" x14ac:dyDescent="0.25">
      <c r="B130" s="88" t="str">
        <f>'SET 1 PLAYERS'!G130</f>
        <v>CLASS 1</v>
      </c>
      <c r="C130" t="str">
        <f>IF(AND('ENTRY DATA'!C130=""),"",('ENTRY DATA'!C130))</f>
        <v/>
      </c>
      <c r="D130" t="str">
        <f>IF(AND('ENTRY DATA'!D130=""),"",('ENTRY DATA'!D130))</f>
        <v/>
      </c>
      <c r="E130" s="12"/>
      <c r="F130" t="str">
        <f>IF(AND('ENTRY DATA'!F130=""),"",('ENTRY DATA'!F130))</f>
        <v/>
      </c>
      <c r="G130" t="str">
        <f>IF(AND('ENTRY DATA'!G130=""),"",('ENTRY DATA'!G130))</f>
        <v/>
      </c>
      <c r="H130" s="12"/>
      <c r="I130" s="12"/>
      <c r="J130" s="66" t="str">
        <f>IF(AND('ENTRY DATA'!J130=""),"",('ENTRY DATA'!J130))</f>
        <v/>
      </c>
      <c r="K130" s="89" t="str">
        <f>IF(AND('ENTRY DATA'!K130=""),"",('ENTRY DATA'!K130))</f>
        <v/>
      </c>
      <c r="L130" s="89" t="str">
        <f>IF(AND('ENTRY DATA'!L130=""),"",('ENTRY DATA'!L130))</f>
        <v/>
      </c>
      <c r="M130" s="89" t="str">
        <f>IF(AND('ENTRY DATA'!M130=""),"",('ENTRY DATA'!M130))</f>
        <v/>
      </c>
      <c r="N130" s="67" t="str">
        <f>IF(AND('ENTRY DATA'!N130=""),"",('ENTRY DATA'!N130))</f>
        <v/>
      </c>
      <c r="O130" s="12"/>
      <c r="P130" s="66">
        <f>'SET 1 PLAYERS'!O130</f>
        <v>0</v>
      </c>
      <c r="Q130" s="67" t="str">
        <f>'SET 1 PLAYERS'!P130</f>
        <v/>
      </c>
      <c r="R130" s="14"/>
      <c r="S130" s="111" t="e">
        <f t="shared" si="2"/>
        <v>#VALUE!</v>
      </c>
      <c r="T130" s="112" t="e">
        <f t="shared" si="3"/>
        <v>#VALUE!</v>
      </c>
      <c r="U130" s="12"/>
      <c r="V130" s="95" t="str">
        <f>'SET 1 PLAYERS'!Q130</f>
        <v/>
      </c>
      <c r="W130" s="12"/>
    </row>
    <row r="131" spans="2:23" x14ac:dyDescent="0.25">
      <c r="B131" s="88" t="str">
        <f>'SET 1 PLAYERS'!G131</f>
        <v>CLASS 1</v>
      </c>
      <c r="C131" t="str">
        <f>IF(AND('ENTRY DATA'!C131=""),"",('ENTRY DATA'!C131))</f>
        <v/>
      </c>
      <c r="D131" t="str">
        <f>IF(AND('ENTRY DATA'!D131=""),"",('ENTRY DATA'!D131))</f>
        <v/>
      </c>
      <c r="E131" s="12"/>
      <c r="F131" t="str">
        <f>IF(AND('ENTRY DATA'!F131=""),"",('ENTRY DATA'!F131))</f>
        <v/>
      </c>
      <c r="G131" t="str">
        <f>IF(AND('ENTRY DATA'!G131=""),"",('ENTRY DATA'!G131))</f>
        <v/>
      </c>
      <c r="H131" s="12"/>
      <c r="I131" s="12"/>
      <c r="J131" s="66" t="str">
        <f>IF(AND('ENTRY DATA'!J131=""),"",('ENTRY DATA'!J131))</f>
        <v/>
      </c>
      <c r="K131" s="89" t="str">
        <f>IF(AND('ENTRY DATA'!K131=""),"",('ENTRY DATA'!K131))</f>
        <v/>
      </c>
      <c r="L131" s="89" t="str">
        <f>IF(AND('ENTRY DATA'!L131=""),"",('ENTRY DATA'!L131))</f>
        <v/>
      </c>
      <c r="M131" s="89" t="str">
        <f>IF(AND('ENTRY DATA'!M131=""),"",('ENTRY DATA'!M131))</f>
        <v/>
      </c>
      <c r="N131" s="67" t="str">
        <f>IF(AND('ENTRY DATA'!N131=""),"",('ENTRY DATA'!N131))</f>
        <v/>
      </c>
      <c r="O131" s="12"/>
      <c r="P131" s="66">
        <f>'SET 1 PLAYERS'!O131</f>
        <v>0</v>
      </c>
      <c r="Q131" s="67" t="str">
        <f>'SET 1 PLAYERS'!P131</f>
        <v/>
      </c>
      <c r="R131" s="14"/>
      <c r="S131" s="111" t="e">
        <f t="shared" si="2"/>
        <v>#VALUE!</v>
      </c>
      <c r="T131" s="112" t="e">
        <f t="shared" si="3"/>
        <v>#VALUE!</v>
      </c>
      <c r="U131" s="12"/>
      <c r="V131" s="95" t="str">
        <f>'SET 1 PLAYERS'!Q131</f>
        <v/>
      </c>
      <c r="W131" s="12"/>
    </row>
    <row r="132" spans="2:23" x14ac:dyDescent="0.25">
      <c r="B132" s="88" t="str">
        <f>'SET 1 PLAYERS'!G132</f>
        <v>CLASS 1</v>
      </c>
      <c r="C132" t="str">
        <f>IF(AND('ENTRY DATA'!C132=""),"",('ENTRY DATA'!C132))</f>
        <v/>
      </c>
      <c r="D132" t="str">
        <f>IF(AND('ENTRY DATA'!D132=""),"",('ENTRY DATA'!D132))</f>
        <v/>
      </c>
      <c r="E132" s="12"/>
      <c r="F132" t="str">
        <f>IF(AND('ENTRY DATA'!F132=""),"",('ENTRY DATA'!F132))</f>
        <v/>
      </c>
      <c r="G132" t="str">
        <f>IF(AND('ENTRY DATA'!G132=""),"",('ENTRY DATA'!G132))</f>
        <v/>
      </c>
      <c r="H132" s="12"/>
      <c r="I132" s="12"/>
      <c r="J132" s="66" t="str">
        <f>IF(AND('ENTRY DATA'!J132=""),"",('ENTRY DATA'!J132))</f>
        <v/>
      </c>
      <c r="K132" s="89" t="str">
        <f>IF(AND('ENTRY DATA'!K132=""),"",('ENTRY DATA'!K132))</f>
        <v/>
      </c>
      <c r="L132" s="89" t="str">
        <f>IF(AND('ENTRY DATA'!L132=""),"",('ENTRY DATA'!L132))</f>
        <v/>
      </c>
      <c r="M132" s="89" t="str">
        <f>IF(AND('ENTRY DATA'!M132=""),"",('ENTRY DATA'!M132))</f>
        <v/>
      </c>
      <c r="N132" s="67" t="str">
        <f>IF(AND('ENTRY DATA'!N132=""),"",('ENTRY DATA'!N132))</f>
        <v/>
      </c>
      <c r="O132" s="12"/>
      <c r="P132" s="66">
        <f>'SET 1 PLAYERS'!O132</f>
        <v>0</v>
      </c>
      <c r="Q132" s="67" t="str">
        <f>'SET 1 PLAYERS'!P132</f>
        <v/>
      </c>
      <c r="R132" s="14"/>
      <c r="S132" s="111" t="e">
        <f t="shared" si="2"/>
        <v>#VALUE!</v>
      </c>
      <c r="T132" s="112" t="e">
        <f t="shared" si="3"/>
        <v>#VALUE!</v>
      </c>
      <c r="U132" s="12"/>
      <c r="V132" s="95" t="str">
        <f>'SET 1 PLAYERS'!Q132</f>
        <v/>
      </c>
      <c r="W132" s="12"/>
    </row>
    <row r="133" spans="2:23" x14ac:dyDescent="0.25">
      <c r="B133" s="88" t="str">
        <f>'SET 1 PLAYERS'!G133</f>
        <v>CLASS 1</v>
      </c>
      <c r="C133" t="str">
        <f>IF(AND('ENTRY DATA'!C133=""),"",('ENTRY DATA'!C133))</f>
        <v/>
      </c>
      <c r="D133" t="str">
        <f>IF(AND('ENTRY DATA'!D133=""),"",('ENTRY DATA'!D133))</f>
        <v/>
      </c>
      <c r="E133" s="12"/>
      <c r="F133" t="str">
        <f>IF(AND('ENTRY DATA'!F133=""),"",('ENTRY DATA'!F133))</f>
        <v/>
      </c>
      <c r="G133" t="str">
        <f>IF(AND('ENTRY DATA'!G133=""),"",('ENTRY DATA'!G133))</f>
        <v/>
      </c>
      <c r="H133" s="12"/>
      <c r="I133" s="12"/>
      <c r="J133" s="66" t="str">
        <f>IF(AND('ENTRY DATA'!J133=""),"",('ENTRY DATA'!J133))</f>
        <v/>
      </c>
      <c r="K133" s="89" t="str">
        <f>IF(AND('ENTRY DATA'!K133=""),"",('ENTRY DATA'!K133))</f>
        <v/>
      </c>
      <c r="L133" s="89" t="str">
        <f>IF(AND('ENTRY DATA'!L133=""),"",('ENTRY DATA'!L133))</f>
        <v/>
      </c>
      <c r="M133" s="89" t="str">
        <f>IF(AND('ENTRY DATA'!M133=""),"",('ENTRY DATA'!M133))</f>
        <v/>
      </c>
      <c r="N133" s="67" t="str">
        <f>IF(AND('ENTRY DATA'!N133=""),"",('ENTRY DATA'!N133))</f>
        <v/>
      </c>
      <c r="O133" s="12"/>
      <c r="P133" s="66">
        <f>'SET 1 PLAYERS'!O133</f>
        <v>0</v>
      </c>
      <c r="Q133" s="67" t="str">
        <f>'SET 1 PLAYERS'!P133</f>
        <v/>
      </c>
      <c r="R133" s="14"/>
      <c r="S133" s="111" t="e">
        <f t="shared" si="2"/>
        <v>#VALUE!</v>
      </c>
      <c r="T133" s="112" t="e">
        <f t="shared" si="3"/>
        <v>#VALUE!</v>
      </c>
      <c r="U133" s="12"/>
      <c r="V133" s="95" t="str">
        <f>'SET 1 PLAYERS'!Q133</f>
        <v/>
      </c>
      <c r="W133" s="12"/>
    </row>
    <row r="134" spans="2:23" x14ac:dyDescent="0.25">
      <c r="B134" s="88" t="str">
        <f>'SET 1 PLAYERS'!G134</f>
        <v>CLASS 1</v>
      </c>
      <c r="C134" t="str">
        <f>IF(AND('ENTRY DATA'!C134=""),"",('ENTRY DATA'!C134))</f>
        <v/>
      </c>
      <c r="D134" t="str">
        <f>IF(AND('ENTRY DATA'!D134=""),"",('ENTRY DATA'!D134))</f>
        <v/>
      </c>
      <c r="E134" s="12"/>
      <c r="F134" t="str">
        <f>IF(AND('ENTRY DATA'!F134=""),"",('ENTRY DATA'!F134))</f>
        <v/>
      </c>
      <c r="G134" t="str">
        <f>IF(AND('ENTRY DATA'!G134=""),"",('ENTRY DATA'!G134))</f>
        <v/>
      </c>
      <c r="H134" s="12"/>
      <c r="I134" s="12"/>
      <c r="J134" s="66" t="str">
        <f>IF(AND('ENTRY DATA'!J134=""),"",('ENTRY DATA'!J134))</f>
        <v/>
      </c>
      <c r="K134" s="89" t="str">
        <f>IF(AND('ENTRY DATA'!K134=""),"",('ENTRY DATA'!K134))</f>
        <v/>
      </c>
      <c r="L134" s="89" t="str">
        <f>IF(AND('ENTRY DATA'!L134=""),"",('ENTRY DATA'!L134))</f>
        <v/>
      </c>
      <c r="M134" s="89" t="str">
        <f>IF(AND('ENTRY DATA'!M134=""),"",('ENTRY DATA'!M134))</f>
        <v/>
      </c>
      <c r="N134" s="67" t="str">
        <f>IF(AND('ENTRY DATA'!N134=""),"",('ENTRY DATA'!N134))</f>
        <v/>
      </c>
      <c r="O134" s="12"/>
      <c r="P134" s="66">
        <f>'SET 1 PLAYERS'!O134</f>
        <v>0</v>
      </c>
      <c r="Q134" s="67" t="str">
        <f>'SET 1 PLAYERS'!P134</f>
        <v/>
      </c>
      <c r="R134" s="14"/>
      <c r="S134" s="111" t="e">
        <f t="shared" ref="S134:S197" si="4">V134/P134</f>
        <v>#VALUE!</v>
      </c>
      <c r="T134" s="112" t="e">
        <f t="shared" ref="T134:T197" si="5">V134/Q134</f>
        <v>#VALUE!</v>
      </c>
      <c r="U134" s="12"/>
      <c r="V134" s="95" t="str">
        <f>'SET 1 PLAYERS'!Q134</f>
        <v/>
      </c>
      <c r="W134" s="12"/>
    </row>
    <row r="135" spans="2:23" x14ac:dyDescent="0.25">
      <c r="B135" s="88" t="str">
        <f>'SET 1 PLAYERS'!G135</f>
        <v>CLASS 1</v>
      </c>
      <c r="C135" t="str">
        <f>IF(AND('ENTRY DATA'!C135=""),"",('ENTRY DATA'!C135))</f>
        <v/>
      </c>
      <c r="D135" t="str">
        <f>IF(AND('ENTRY DATA'!D135=""),"",('ENTRY DATA'!D135))</f>
        <v/>
      </c>
      <c r="E135" s="12"/>
      <c r="F135" t="str">
        <f>IF(AND('ENTRY DATA'!F135=""),"",('ENTRY DATA'!F135))</f>
        <v/>
      </c>
      <c r="G135" t="str">
        <f>IF(AND('ENTRY DATA'!G135=""),"",('ENTRY DATA'!G135))</f>
        <v/>
      </c>
      <c r="H135" s="12"/>
      <c r="I135" s="12"/>
      <c r="J135" s="66" t="str">
        <f>IF(AND('ENTRY DATA'!J135=""),"",('ENTRY DATA'!J135))</f>
        <v/>
      </c>
      <c r="K135" s="89" t="str">
        <f>IF(AND('ENTRY DATA'!K135=""),"",('ENTRY DATA'!K135))</f>
        <v/>
      </c>
      <c r="L135" s="89" t="str">
        <f>IF(AND('ENTRY DATA'!L135=""),"",('ENTRY DATA'!L135))</f>
        <v/>
      </c>
      <c r="M135" s="89" t="str">
        <f>IF(AND('ENTRY DATA'!M135=""),"",('ENTRY DATA'!M135))</f>
        <v/>
      </c>
      <c r="N135" s="67" t="str">
        <f>IF(AND('ENTRY DATA'!N135=""),"",('ENTRY DATA'!N135))</f>
        <v/>
      </c>
      <c r="O135" s="12"/>
      <c r="P135" s="66">
        <f>'SET 1 PLAYERS'!O135</f>
        <v>0</v>
      </c>
      <c r="Q135" s="67" t="str">
        <f>'SET 1 PLAYERS'!P135</f>
        <v/>
      </c>
      <c r="R135" s="14"/>
      <c r="S135" s="111" t="e">
        <f t="shared" si="4"/>
        <v>#VALUE!</v>
      </c>
      <c r="T135" s="112" t="e">
        <f t="shared" si="5"/>
        <v>#VALUE!</v>
      </c>
      <c r="U135" s="12"/>
      <c r="V135" s="95" t="str">
        <f>'SET 1 PLAYERS'!Q135</f>
        <v/>
      </c>
      <c r="W135" s="12"/>
    </row>
    <row r="136" spans="2:23" x14ac:dyDescent="0.25">
      <c r="B136" s="88" t="str">
        <f>'SET 1 PLAYERS'!G136</f>
        <v>CLASS 1</v>
      </c>
      <c r="C136" t="str">
        <f>IF(AND('ENTRY DATA'!C136=""),"",('ENTRY DATA'!C136))</f>
        <v/>
      </c>
      <c r="D136" t="str">
        <f>IF(AND('ENTRY DATA'!D136=""),"",('ENTRY DATA'!D136))</f>
        <v/>
      </c>
      <c r="E136" s="12"/>
      <c r="F136" t="str">
        <f>IF(AND('ENTRY DATA'!F136=""),"",('ENTRY DATA'!F136))</f>
        <v/>
      </c>
      <c r="G136" t="str">
        <f>IF(AND('ENTRY DATA'!G136=""),"",('ENTRY DATA'!G136))</f>
        <v/>
      </c>
      <c r="H136" s="12"/>
      <c r="I136" s="12"/>
      <c r="J136" s="66" t="str">
        <f>IF(AND('ENTRY DATA'!J136=""),"",('ENTRY DATA'!J136))</f>
        <v/>
      </c>
      <c r="K136" s="89" t="str">
        <f>IF(AND('ENTRY DATA'!K136=""),"",('ENTRY DATA'!K136))</f>
        <v/>
      </c>
      <c r="L136" s="89" t="str">
        <f>IF(AND('ENTRY DATA'!L136=""),"",('ENTRY DATA'!L136))</f>
        <v/>
      </c>
      <c r="M136" s="89" t="str">
        <f>IF(AND('ENTRY DATA'!M136=""),"",('ENTRY DATA'!M136))</f>
        <v/>
      </c>
      <c r="N136" s="67" t="str">
        <f>IF(AND('ENTRY DATA'!N136=""),"",('ENTRY DATA'!N136))</f>
        <v/>
      </c>
      <c r="O136" s="12"/>
      <c r="P136" s="66">
        <f>'SET 1 PLAYERS'!O136</f>
        <v>0</v>
      </c>
      <c r="Q136" s="67" t="str">
        <f>'SET 1 PLAYERS'!P136</f>
        <v/>
      </c>
      <c r="R136" s="14"/>
      <c r="S136" s="111" t="e">
        <f t="shared" si="4"/>
        <v>#VALUE!</v>
      </c>
      <c r="T136" s="112" t="e">
        <f t="shared" si="5"/>
        <v>#VALUE!</v>
      </c>
      <c r="U136" s="12"/>
      <c r="V136" s="95" t="str">
        <f>'SET 1 PLAYERS'!Q136</f>
        <v/>
      </c>
      <c r="W136" s="12"/>
    </row>
    <row r="137" spans="2:23" x14ac:dyDescent="0.25">
      <c r="B137" s="88" t="str">
        <f>'SET 1 PLAYERS'!G137</f>
        <v>CLASS 1</v>
      </c>
      <c r="C137" t="str">
        <f>IF(AND('ENTRY DATA'!C137=""),"",('ENTRY DATA'!C137))</f>
        <v/>
      </c>
      <c r="D137" t="str">
        <f>IF(AND('ENTRY DATA'!D137=""),"",('ENTRY DATA'!D137))</f>
        <v/>
      </c>
      <c r="E137" s="12"/>
      <c r="F137" t="str">
        <f>IF(AND('ENTRY DATA'!F137=""),"",('ENTRY DATA'!F137))</f>
        <v/>
      </c>
      <c r="G137" t="str">
        <f>IF(AND('ENTRY DATA'!G137=""),"",('ENTRY DATA'!G137))</f>
        <v/>
      </c>
      <c r="H137" s="12"/>
      <c r="I137" s="12"/>
      <c r="J137" s="66" t="str">
        <f>IF(AND('ENTRY DATA'!J137=""),"",('ENTRY DATA'!J137))</f>
        <v/>
      </c>
      <c r="K137" s="89" t="str">
        <f>IF(AND('ENTRY DATA'!K137=""),"",('ENTRY DATA'!K137))</f>
        <v/>
      </c>
      <c r="L137" s="89" t="str">
        <f>IF(AND('ENTRY DATA'!L137=""),"",('ENTRY DATA'!L137))</f>
        <v/>
      </c>
      <c r="M137" s="89" t="str">
        <f>IF(AND('ENTRY DATA'!M137=""),"",('ENTRY DATA'!M137))</f>
        <v/>
      </c>
      <c r="N137" s="67" t="str">
        <f>IF(AND('ENTRY DATA'!N137=""),"",('ENTRY DATA'!N137))</f>
        <v/>
      </c>
      <c r="O137" s="12"/>
      <c r="P137" s="66">
        <f>'SET 1 PLAYERS'!O137</f>
        <v>0</v>
      </c>
      <c r="Q137" s="67" t="str">
        <f>'SET 1 PLAYERS'!P137</f>
        <v/>
      </c>
      <c r="R137" s="14"/>
      <c r="S137" s="111" t="e">
        <f t="shared" si="4"/>
        <v>#VALUE!</v>
      </c>
      <c r="T137" s="112" t="e">
        <f t="shared" si="5"/>
        <v>#VALUE!</v>
      </c>
      <c r="U137" s="12"/>
      <c r="V137" s="95" t="str">
        <f>'SET 1 PLAYERS'!Q137</f>
        <v/>
      </c>
      <c r="W137" s="12"/>
    </row>
    <row r="138" spans="2:23" x14ac:dyDescent="0.25">
      <c r="B138" s="88" t="str">
        <f>'SET 1 PLAYERS'!G138</f>
        <v>CLASS 1</v>
      </c>
      <c r="C138" t="str">
        <f>IF(AND('ENTRY DATA'!C138=""),"",('ENTRY DATA'!C138))</f>
        <v/>
      </c>
      <c r="D138" t="str">
        <f>IF(AND('ENTRY DATA'!D138=""),"",('ENTRY DATA'!D138))</f>
        <v/>
      </c>
      <c r="E138" s="12"/>
      <c r="F138" t="str">
        <f>IF(AND('ENTRY DATA'!F138=""),"",('ENTRY DATA'!F138))</f>
        <v/>
      </c>
      <c r="G138" t="str">
        <f>IF(AND('ENTRY DATA'!G138=""),"",('ENTRY DATA'!G138))</f>
        <v/>
      </c>
      <c r="H138" s="12"/>
      <c r="I138" s="12"/>
      <c r="J138" s="66" t="str">
        <f>IF(AND('ENTRY DATA'!J138=""),"",('ENTRY DATA'!J138))</f>
        <v/>
      </c>
      <c r="K138" s="89" t="str">
        <f>IF(AND('ENTRY DATA'!K138=""),"",('ENTRY DATA'!K138))</f>
        <v/>
      </c>
      <c r="L138" s="89" t="str">
        <f>IF(AND('ENTRY DATA'!L138=""),"",('ENTRY DATA'!L138))</f>
        <v/>
      </c>
      <c r="M138" s="89" t="str">
        <f>IF(AND('ENTRY DATA'!M138=""),"",('ENTRY DATA'!M138))</f>
        <v/>
      </c>
      <c r="N138" s="67" t="str">
        <f>IF(AND('ENTRY DATA'!N138=""),"",('ENTRY DATA'!N138))</f>
        <v/>
      </c>
      <c r="O138" s="12"/>
      <c r="P138" s="66">
        <f>'SET 1 PLAYERS'!O138</f>
        <v>0</v>
      </c>
      <c r="Q138" s="67" t="str">
        <f>'SET 1 PLAYERS'!P138</f>
        <v/>
      </c>
      <c r="R138" s="14"/>
      <c r="S138" s="111" t="e">
        <f t="shared" si="4"/>
        <v>#VALUE!</v>
      </c>
      <c r="T138" s="112" t="e">
        <f t="shared" si="5"/>
        <v>#VALUE!</v>
      </c>
      <c r="U138" s="12"/>
      <c r="V138" s="95" t="str">
        <f>'SET 1 PLAYERS'!Q138</f>
        <v/>
      </c>
      <c r="W138" s="12"/>
    </row>
    <row r="139" spans="2:23" x14ac:dyDescent="0.25">
      <c r="B139" s="88" t="str">
        <f>'SET 1 PLAYERS'!G139</f>
        <v>CLASS 1</v>
      </c>
      <c r="C139" t="str">
        <f>IF(AND('ENTRY DATA'!C139=""),"",('ENTRY DATA'!C139))</f>
        <v/>
      </c>
      <c r="D139" t="str">
        <f>IF(AND('ENTRY DATA'!D139=""),"",('ENTRY DATA'!D139))</f>
        <v/>
      </c>
      <c r="E139" s="12"/>
      <c r="F139" t="str">
        <f>IF(AND('ENTRY DATA'!F139=""),"",('ENTRY DATA'!F139))</f>
        <v/>
      </c>
      <c r="G139" t="str">
        <f>IF(AND('ENTRY DATA'!G139=""),"",('ENTRY DATA'!G139))</f>
        <v/>
      </c>
      <c r="H139" s="12"/>
      <c r="I139" s="12"/>
      <c r="J139" s="66" t="str">
        <f>IF(AND('ENTRY DATA'!J139=""),"",('ENTRY DATA'!J139))</f>
        <v/>
      </c>
      <c r="K139" s="89" t="str">
        <f>IF(AND('ENTRY DATA'!K139=""),"",('ENTRY DATA'!K139))</f>
        <v/>
      </c>
      <c r="L139" s="89" t="str">
        <f>IF(AND('ENTRY DATA'!L139=""),"",('ENTRY DATA'!L139))</f>
        <v/>
      </c>
      <c r="M139" s="89" t="str">
        <f>IF(AND('ENTRY DATA'!M139=""),"",('ENTRY DATA'!M139))</f>
        <v/>
      </c>
      <c r="N139" s="67" t="str">
        <f>IF(AND('ENTRY DATA'!N139=""),"",('ENTRY DATA'!N139))</f>
        <v/>
      </c>
      <c r="O139" s="12"/>
      <c r="P139" s="66">
        <f>'SET 1 PLAYERS'!O139</f>
        <v>0</v>
      </c>
      <c r="Q139" s="67" t="str">
        <f>'SET 1 PLAYERS'!P139</f>
        <v/>
      </c>
      <c r="R139" s="14"/>
      <c r="S139" s="111" t="e">
        <f t="shared" si="4"/>
        <v>#VALUE!</v>
      </c>
      <c r="T139" s="112" t="e">
        <f t="shared" si="5"/>
        <v>#VALUE!</v>
      </c>
      <c r="U139" s="12"/>
      <c r="V139" s="95" t="str">
        <f>'SET 1 PLAYERS'!Q139</f>
        <v/>
      </c>
      <c r="W139" s="12"/>
    </row>
    <row r="140" spans="2:23" x14ac:dyDescent="0.25">
      <c r="B140" s="88" t="str">
        <f>'SET 1 PLAYERS'!G140</f>
        <v>CLASS 1</v>
      </c>
      <c r="C140" t="str">
        <f>IF(AND('ENTRY DATA'!C140=""),"",('ENTRY DATA'!C140))</f>
        <v/>
      </c>
      <c r="D140" t="str">
        <f>IF(AND('ENTRY DATA'!D140=""),"",('ENTRY DATA'!D140))</f>
        <v/>
      </c>
      <c r="E140" s="12"/>
      <c r="F140" t="str">
        <f>IF(AND('ENTRY DATA'!F140=""),"",('ENTRY DATA'!F140))</f>
        <v/>
      </c>
      <c r="G140" t="str">
        <f>IF(AND('ENTRY DATA'!G140=""),"",('ENTRY DATA'!G140))</f>
        <v/>
      </c>
      <c r="H140" s="12"/>
      <c r="I140" s="12"/>
      <c r="J140" s="66" t="str">
        <f>IF(AND('ENTRY DATA'!J140=""),"",('ENTRY DATA'!J140))</f>
        <v/>
      </c>
      <c r="K140" s="89" t="str">
        <f>IF(AND('ENTRY DATA'!K140=""),"",('ENTRY DATA'!K140))</f>
        <v/>
      </c>
      <c r="L140" s="89" t="str">
        <f>IF(AND('ENTRY DATA'!L140=""),"",('ENTRY DATA'!L140))</f>
        <v/>
      </c>
      <c r="M140" s="89" t="str">
        <f>IF(AND('ENTRY DATA'!M140=""),"",('ENTRY DATA'!M140))</f>
        <v/>
      </c>
      <c r="N140" s="67" t="str">
        <f>IF(AND('ENTRY DATA'!N140=""),"",('ENTRY DATA'!N140))</f>
        <v/>
      </c>
      <c r="O140" s="12"/>
      <c r="P140" s="66">
        <f>'SET 1 PLAYERS'!O140</f>
        <v>0</v>
      </c>
      <c r="Q140" s="67" t="str">
        <f>'SET 1 PLAYERS'!P140</f>
        <v/>
      </c>
      <c r="R140" s="14"/>
      <c r="S140" s="111" t="e">
        <f t="shared" si="4"/>
        <v>#VALUE!</v>
      </c>
      <c r="T140" s="112" t="e">
        <f t="shared" si="5"/>
        <v>#VALUE!</v>
      </c>
      <c r="U140" s="12"/>
      <c r="V140" s="95" t="str">
        <f>'SET 1 PLAYERS'!Q140</f>
        <v/>
      </c>
      <c r="W140" s="12"/>
    </row>
    <row r="141" spans="2:23" x14ac:dyDescent="0.25">
      <c r="B141" s="88" t="str">
        <f>'SET 1 PLAYERS'!G141</f>
        <v>CLASS 1</v>
      </c>
      <c r="C141" t="str">
        <f>IF(AND('ENTRY DATA'!C141=""),"",('ENTRY DATA'!C141))</f>
        <v/>
      </c>
      <c r="D141" t="str">
        <f>IF(AND('ENTRY DATA'!D141=""),"",('ENTRY DATA'!D141))</f>
        <v/>
      </c>
      <c r="E141" s="12"/>
      <c r="F141" t="str">
        <f>IF(AND('ENTRY DATA'!F141=""),"",('ENTRY DATA'!F141))</f>
        <v/>
      </c>
      <c r="G141" t="str">
        <f>IF(AND('ENTRY DATA'!G141=""),"",('ENTRY DATA'!G141))</f>
        <v/>
      </c>
      <c r="H141" s="12"/>
      <c r="I141" s="12"/>
      <c r="J141" s="66" t="str">
        <f>IF(AND('ENTRY DATA'!J141=""),"",('ENTRY DATA'!J141))</f>
        <v/>
      </c>
      <c r="K141" s="89" t="str">
        <f>IF(AND('ENTRY DATA'!K141=""),"",('ENTRY DATA'!K141))</f>
        <v/>
      </c>
      <c r="L141" s="89" t="str">
        <f>IF(AND('ENTRY DATA'!L141=""),"",('ENTRY DATA'!L141))</f>
        <v/>
      </c>
      <c r="M141" s="89" t="str">
        <f>IF(AND('ENTRY DATA'!M141=""),"",('ENTRY DATA'!M141))</f>
        <v/>
      </c>
      <c r="N141" s="67" t="str">
        <f>IF(AND('ENTRY DATA'!N141=""),"",('ENTRY DATA'!N141))</f>
        <v/>
      </c>
      <c r="O141" s="12"/>
      <c r="P141" s="66">
        <f>'SET 1 PLAYERS'!O141</f>
        <v>0</v>
      </c>
      <c r="Q141" s="67" t="str">
        <f>'SET 1 PLAYERS'!P141</f>
        <v/>
      </c>
      <c r="R141" s="14"/>
      <c r="S141" s="111" t="e">
        <f t="shared" si="4"/>
        <v>#VALUE!</v>
      </c>
      <c r="T141" s="112" t="e">
        <f t="shared" si="5"/>
        <v>#VALUE!</v>
      </c>
      <c r="U141" s="12"/>
      <c r="V141" s="95" t="str">
        <f>'SET 1 PLAYERS'!Q141</f>
        <v/>
      </c>
      <c r="W141" s="12"/>
    </row>
    <row r="142" spans="2:23" x14ac:dyDescent="0.25">
      <c r="B142" s="88" t="str">
        <f>'SET 1 PLAYERS'!G142</f>
        <v>CLASS 1</v>
      </c>
      <c r="C142" t="str">
        <f>IF(AND('ENTRY DATA'!C142=""),"",('ENTRY DATA'!C142))</f>
        <v/>
      </c>
      <c r="D142" t="str">
        <f>IF(AND('ENTRY DATA'!D142=""),"",('ENTRY DATA'!D142))</f>
        <v/>
      </c>
      <c r="E142" s="12"/>
      <c r="F142" t="str">
        <f>IF(AND('ENTRY DATA'!F142=""),"",('ENTRY DATA'!F142))</f>
        <v/>
      </c>
      <c r="G142" t="str">
        <f>IF(AND('ENTRY DATA'!G142=""),"",('ENTRY DATA'!G142))</f>
        <v/>
      </c>
      <c r="H142" s="12"/>
      <c r="I142" s="12"/>
      <c r="J142" s="66" t="str">
        <f>IF(AND('ENTRY DATA'!J142=""),"",('ENTRY DATA'!J142))</f>
        <v/>
      </c>
      <c r="K142" s="89" t="str">
        <f>IF(AND('ENTRY DATA'!K142=""),"",('ENTRY DATA'!K142))</f>
        <v/>
      </c>
      <c r="L142" s="89" t="str">
        <f>IF(AND('ENTRY DATA'!L142=""),"",('ENTRY DATA'!L142))</f>
        <v/>
      </c>
      <c r="M142" s="89" t="str">
        <f>IF(AND('ENTRY DATA'!M142=""),"",('ENTRY DATA'!M142))</f>
        <v/>
      </c>
      <c r="N142" s="67" t="str">
        <f>IF(AND('ENTRY DATA'!N142=""),"",('ENTRY DATA'!N142))</f>
        <v/>
      </c>
      <c r="O142" s="12"/>
      <c r="P142" s="66">
        <f>'SET 1 PLAYERS'!O142</f>
        <v>0</v>
      </c>
      <c r="Q142" s="67" t="str">
        <f>'SET 1 PLAYERS'!P142</f>
        <v/>
      </c>
      <c r="R142" s="14"/>
      <c r="S142" s="111" t="e">
        <f t="shared" si="4"/>
        <v>#VALUE!</v>
      </c>
      <c r="T142" s="112" t="e">
        <f t="shared" si="5"/>
        <v>#VALUE!</v>
      </c>
      <c r="U142" s="12"/>
      <c r="V142" s="95" t="str">
        <f>'SET 1 PLAYERS'!Q142</f>
        <v/>
      </c>
      <c r="W142" s="12"/>
    </row>
    <row r="143" spans="2:23" x14ac:dyDescent="0.25">
      <c r="B143" s="88" t="str">
        <f>'SET 1 PLAYERS'!G143</f>
        <v>CLASS 1</v>
      </c>
      <c r="C143" t="str">
        <f>IF(AND('ENTRY DATA'!C143=""),"",('ENTRY DATA'!C143))</f>
        <v/>
      </c>
      <c r="D143" t="str">
        <f>IF(AND('ENTRY DATA'!D143=""),"",('ENTRY DATA'!D143))</f>
        <v/>
      </c>
      <c r="E143" s="12"/>
      <c r="F143" t="str">
        <f>IF(AND('ENTRY DATA'!F143=""),"",('ENTRY DATA'!F143))</f>
        <v/>
      </c>
      <c r="G143" t="str">
        <f>IF(AND('ENTRY DATA'!G143=""),"",('ENTRY DATA'!G143))</f>
        <v/>
      </c>
      <c r="H143" s="12"/>
      <c r="I143" s="12"/>
      <c r="J143" s="66" t="str">
        <f>IF(AND('ENTRY DATA'!J143=""),"",('ENTRY DATA'!J143))</f>
        <v/>
      </c>
      <c r="K143" s="89" t="str">
        <f>IF(AND('ENTRY DATA'!K143=""),"",('ENTRY DATA'!K143))</f>
        <v/>
      </c>
      <c r="L143" s="89" t="str">
        <f>IF(AND('ENTRY DATA'!L143=""),"",('ENTRY DATA'!L143))</f>
        <v/>
      </c>
      <c r="M143" s="89" t="str">
        <f>IF(AND('ENTRY DATA'!M143=""),"",('ENTRY DATA'!M143))</f>
        <v/>
      </c>
      <c r="N143" s="67" t="str">
        <f>IF(AND('ENTRY DATA'!N143=""),"",('ENTRY DATA'!N143))</f>
        <v/>
      </c>
      <c r="O143" s="12"/>
      <c r="P143" s="66">
        <f>'SET 1 PLAYERS'!O143</f>
        <v>0</v>
      </c>
      <c r="Q143" s="67" t="str">
        <f>'SET 1 PLAYERS'!P143</f>
        <v/>
      </c>
      <c r="R143" s="14"/>
      <c r="S143" s="111" t="e">
        <f t="shared" si="4"/>
        <v>#VALUE!</v>
      </c>
      <c r="T143" s="112" t="e">
        <f t="shared" si="5"/>
        <v>#VALUE!</v>
      </c>
      <c r="U143" s="12"/>
      <c r="V143" s="95" t="str">
        <f>'SET 1 PLAYERS'!Q143</f>
        <v/>
      </c>
      <c r="W143" s="12"/>
    </row>
    <row r="144" spans="2:23" x14ac:dyDescent="0.25">
      <c r="B144" s="88" t="str">
        <f>'SET 1 PLAYERS'!G144</f>
        <v>CLASS 1</v>
      </c>
      <c r="C144" t="str">
        <f>IF(AND('ENTRY DATA'!C144=""),"",('ENTRY DATA'!C144))</f>
        <v/>
      </c>
      <c r="D144" t="str">
        <f>IF(AND('ENTRY DATA'!D144=""),"",('ENTRY DATA'!D144))</f>
        <v/>
      </c>
      <c r="E144" s="12"/>
      <c r="F144" t="str">
        <f>IF(AND('ENTRY DATA'!F144=""),"",('ENTRY DATA'!F144))</f>
        <v/>
      </c>
      <c r="G144" t="str">
        <f>IF(AND('ENTRY DATA'!G144=""),"",('ENTRY DATA'!G144))</f>
        <v/>
      </c>
      <c r="H144" s="12"/>
      <c r="I144" s="12"/>
      <c r="J144" s="66" t="str">
        <f>IF(AND('ENTRY DATA'!J144=""),"",('ENTRY DATA'!J144))</f>
        <v/>
      </c>
      <c r="K144" s="89" t="str">
        <f>IF(AND('ENTRY DATA'!K144=""),"",('ENTRY DATA'!K144))</f>
        <v/>
      </c>
      <c r="L144" s="89" t="str">
        <f>IF(AND('ENTRY DATA'!L144=""),"",('ENTRY DATA'!L144))</f>
        <v/>
      </c>
      <c r="M144" s="89" t="str">
        <f>IF(AND('ENTRY DATA'!M144=""),"",('ENTRY DATA'!M144))</f>
        <v/>
      </c>
      <c r="N144" s="67" t="str">
        <f>IF(AND('ENTRY DATA'!N144=""),"",('ENTRY DATA'!N144))</f>
        <v/>
      </c>
      <c r="O144" s="12"/>
      <c r="P144" s="66">
        <f>'SET 1 PLAYERS'!O144</f>
        <v>0</v>
      </c>
      <c r="Q144" s="67" t="str">
        <f>'SET 1 PLAYERS'!P144</f>
        <v/>
      </c>
      <c r="R144" s="14"/>
      <c r="S144" s="111" t="e">
        <f t="shared" si="4"/>
        <v>#VALUE!</v>
      </c>
      <c r="T144" s="112" t="e">
        <f t="shared" si="5"/>
        <v>#VALUE!</v>
      </c>
      <c r="U144" s="12"/>
      <c r="V144" s="95" t="str">
        <f>'SET 1 PLAYERS'!Q144</f>
        <v/>
      </c>
      <c r="W144" s="12"/>
    </row>
    <row r="145" spans="2:23" x14ac:dyDescent="0.25">
      <c r="B145" s="88" t="str">
        <f>'SET 1 PLAYERS'!G145</f>
        <v>CLASS 1</v>
      </c>
      <c r="C145" t="str">
        <f>IF(AND('ENTRY DATA'!C145=""),"",('ENTRY DATA'!C145))</f>
        <v/>
      </c>
      <c r="D145" t="str">
        <f>IF(AND('ENTRY DATA'!D145=""),"",('ENTRY DATA'!D145))</f>
        <v/>
      </c>
      <c r="E145" s="12"/>
      <c r="F145" t="str">
        <f>IF(AND('ENTRY DATA'!F145=""),"",('ENTRY DATA'!F145))</f>
        <v/>
      </c>
      <c r="G145" t="str">
        <f>IF(AND('ENTRY DATA'!G145=""),"",('ENTRY DATA'!G145))</f>
        <v/>
      </c>
      <c r="H145" s="12"/>
      <c r="I145" s="12"/>
      <c r="J145" s="66" t="str">
        <f>IF(AND('ENTRY DATA'!J145=""),"",('ENTRY DATA'!J145))</f>
        <v/>
      </c>
      <c r="K145" s="89" t="str">
        <f>IF(AND('ENTRY DATA'!K145=""),"",('ENTRY DATA'!K145))</f>
        <v/>
      </c>
      <c r="L145" s="89" t="str">
        <f>IF(AND('ENTRY DATA'!L145=""),"",('ENTRY DATA'!L145))</f>
        <v/>
      </c>
      <c r="M145" s="89" t="str">
        <f>IF(AND('ENTRY DATA'!M145=""),"",('ENTRY DATA'!M145))</f>
        <v/>
      </c>
      <c r="N145" s="67" t="str">
        <f>IF(AND('ENTRY DATA'!N145=""),"",('ENTRY DATA'!N145))</f>
        <v/>
      </c>
      <c r="O145" s="12"/>
      <c r="P145" s="66">
        <f>'SET 1 PLAYERS'!O145</f>
        <v>0</v>
      </c>
      <c r="Q145" s="67" t="str">
        <f>'SET 1 PLAYERS'!P145</f>
        <v/>
      </c>
      <c r="R145" s="14"/>
      <c r="S145" s="111" t="e">
        <f t="shared" si="4"/>
        <v>#VALUE!</v>
      </c>
      <c r="T145" s="112" t="e">
        <f t="shared" si="5"/>
        <v>#VALUE!</v>
      </c>
      <c r="U145" s="12"/>
      <c r="V145" s="95" t="str">
        <f>'SET 1 PLAYERS'!Q145</f>
        <v/>
      </c>
      <c r="W145" s="12"/>
    </row>
    <row r="146" spans="2:23" x14ac:dyDescent="0.25">
      <c r="B146" s="88" t="str">
        <f>'SET 1 PLAYERS'!G146</f>
        <v>CLASS 1</v>
      </c>
      <c r="C146" t="str">
        <f>IF(AND('ENTRY DATA'!C146=""),"",('ENTRY DATA'!C146))</f>
        <v/>
      </c>
      <c r="D146" t="str">
        <f>IF(AND('ENTRY DATA'!D146=""),"",('ENTRY DATA'!D146))</f>
        <v/>
      </c>
      <c r="E146" s="12"/>
      <c r="F146" t="str">
        <f>IF(AND('ENTRY DATA'!F146=""),"",('ENTRY DATA'!F146))</f>
        <v/>
      </c>
      <c r="G146" t="str">
        <f>IF(AND('ENTRY DATA'!G146=""),"",('ENTRY DATA'!G146))</f>
        <v/>
      </c>
      <c r="H146" s="12"/>
      <c r="I146" s="12"/>
      <c r="J146" s="66" t="str">
        <f>IF(AND('ENTRY DATA'!J146=""),"",('ENTRY DATA'!J146))</f>
        <v/>
      </c>
      <c r="K146" s="89" t="str">
        <f>IF(AND('ENTRY DATA'!K146=""),"",('ENTRY DATA'!K146))</f>
        <v/>
      </c>
      <c r="L146" s="89" t="str">
        <f>IF(AND('ENTRY DATA'!L146=""),"",('ENTRY DATA'!L146))</f>
        <v/>
      </c>
      <c r="M146" s="89" t="str">
        <f>IF(AND('ENTRY DATA'!M146=""),"",('ENTRY DATA'!M146))</f>
        <v/>
      </c>
      <c r="N146" s="67" t="str">
        <f>IF(AND('ENTRY DATA'!N146=""),"",('ENTRY DATA'!N146))</f>
        <v/>
      </c>
      <c r="O146" s="12"/>
      <c r="P146" s="66">
        <f>'SET 1 PLAYERS'!O146</f>
        <v>0</v>
      </c>
      <c r="Q146" s="67" t="str">
        <f>'SET 1 PLAYERS'!P146</f>
        <v/>
      </c>
      <c r="R146" s="14"/>
      <c r="S146" s="111" t="e">
        <f t="shared" si="4"/>
        <v>#VALUE!</v>
      </c>
      <c r="T146" s="112" t="e">
        <f t="shared" si="5"/>
        <v>#VALUE!</v>
      </c>
      <c r="U146" s="12"/>
      <c r="V146" s="95" t="str">
        <f>'SET 1 PLAYERS'!Q146</f>
        <v/>
      </c>
      <c r="W146" s="12"/>
    </row>
    <row r="147" spans="2:23" x14ac:dyDescent="0.25">
      <c r="B147" s="88" t="str">
        <f>'SET 1 PLAYERS'!G147</f>
        <v>CLASS 1</v>
      </c>
      <c r="C147" t="str">
        <f>IF(AND('ENTRY DATA'!C147=""),"",('ENTRY DATA'!C147))</f>
        <v/>
      </c>
      <c r="D147" t="str">
        <f>IF(AND('ENTRY DATA'!D147=""),"",('ENTRY DATA'!D147))</f>
        <v/>
      </c>
      <c r="E147" s="12"/>
      <c r="F147" t="str">
        <f>IF(AND('ENTRY DATA'!F147=""),"",('ENTRY DATA'!F147))</f>
        <v/>
      </c>
      <c r="G147" t="str">
        <f>IF(AND('ENTRY DATA'!G147=""),"",('ENTRY DATA'!G147))</f>
        <v/>
      </c>
      <c r="H147" s="12"/>
      <c r="I147" s="12"/>
      <c r="J147" s="66" t="str">
        <f>IF(AND('ENTRY DATA'!J147=""),"",('ENTRY DATA'!J147))</f>
        <v/>
      </c>
      <c r="K147" s="89" t="str">
        <f>IF(AND('ENTRY DATA'!K147=""),"",('ENTRY DATA'!K147))</f>
        <v/>
      </c>
      <c r="L147" s="89" t="str">
        <f>IF(AND('ENTRY DATA'!L147=""),"",('ENTRY DATA'!L147))</f>
        <v/>
      </c>
      <c r="M147" s="89" t="str">
        <f>IF(AND('ENTRY DATA'!M147=""),"",('ENTRY DATA'!M147))</f>
        <v/>
      </c>
      <c r="N147" s="67" t="str">
        <f>IF(AND('ENTRY DATA'!N147=""),"",('ENTRY DATA'!N147))</f>
        <v/>
      </c>
      <c r="O147" s="12"/>
      <c r="P147" s="66">
        <f>'SET 1 PLAYERS'!O147</f>
        <v>0</v>
      </c>
      <c r="Q147" s="67" t="str">
        <f>'SET 1 PLAYERS'!P147</f>
        <v/>
      </c>
      <c r="R147" s="14"/>
      <c r="S147" s="111" t="e">
        <f t="shared" si="4"/>
        <v>#VALUE!</v>
      </c>
      <c r="T147" s="112" t="e">
        <f t="shared" si="5"/>
        <v>#VALUE!</v>
      </c>
      <c r="U147" s="12"/>
      <c r="V147" s="95" t="str">
        <f>'SET 1 PLAYERS'!Q147</f>
        <v/>
      </c>
      <c r="W147" s="12"/>
    </row>
    <row r="148" spans="2:23" x14ac:dyDescent="0.25">
      <c r="B148" s="88" t="str">
        <f>'SET 1 PLAYERS'!G148</f>
        <v>CLASS 1</v>
      </c>
      <c r="C148" t="str">
        <f>IF(AND('ENTRY DATA'!C148=""),"",('ENTRY DATA'!C148))</f>
        <v/>
      </c>
      <c r="D148" t="str">
        <f>IF(AND('ENTRY DATA'!D148=""),"",('ENTRY DATA'!D148))</f>
        <v/>
      </c>
      <c r="E148" s="12"/>
      <c r="F148" t="str">
        <f>IF(AND('ENTRY DATA'!F148=""),"",('ENTRY DATA'!F148))</f>
        <v/>
      </c>
      <c r="G148" t="str">
        <f>IF(AND('ENTRY DATA'!G148=""),"",('ENTRY DATA'!G148))</f>
        <v/>
      </c>
      <c r="H148" s="12"/>
      <c r="I148" s="12"/>
      <c r="J148" s="66" t="str">
        <f>IF(AND('ENTRY DATA'!J148=""),"",('ENTRY DATA'!J148))</f>
        <v/>
      </c>
      <c r="K148" s="89" t="str">
        <f>IF(AND('ENTRY DATA'!K148=""),"",('ENTRY DATA'!K148))</f>
        <v/>
      </c>
      <c r="L148" s="89" t="str">
        <f>IF(AND('ENTRY DATA'!L148=""),"",('ENTRY DATA'!L148))</f>
        <v/>
      </c>
      <c r="M148" s="89" t="str">
        <f>IF(AND('ENTRY DATA'!M148=""),"",('ENTRY DATA'!M148))</f>
        <v/>
      </c>
      <c r="N148" s="67" t="str">
        <f>IF(AND('ENTRY DATA'!N148=""),"",('ENTRY DATA'!N148))</f>
        <v/>
      </c>
      <c r="O148" s="12"/>
      <c r="P148" s="66">
        <f>'SET 1 PLAYERS'!O148</f>
        <v>0</v>
      </c>
      <c r="Q148" s="67" t="str">
        <f>'SET 1 PLAYERS'!P148</f>
        <v/>
      </c>
      <c r="R148" s="14"/>
      <c r="S148" s="111" t="e">
        <f t="shared" si="4"/>
        <v>#VALUE!</v>
      </c>
      <c r="T148" s="112" t="e">
        <f t="shared" si="5"/>
        <v>#VALUE!</v>
      </c>
      <c r="U148" s="12"/>
      <c r="V148" s="95" t="str">
        <f>'SET 1 PLAYERS'!Q148</f>
        <v/>
      </c>
      <c r="W148" s="12"/>
    </row>
    <row r="149" spans="2:23" x14ac:dyDescent="0.25">
      <c r="B149" s="88" t="str">
        <f>'SET 1 PLAYERS'!G149</f>
        <v>CLASS 1</v>
      </c>
      <c r="C149" t="str">
        <f>IF(AND('ENTRY DATA'!C149=""),"",('ENTRY DATA'!C149))</f>
        <v/>
      </c>
      <c r="D149" t="str">
        <f>IF(AND('ENTRY DATA'!D149=""),"",('ENTRY DATA'!D149))</f>
        <v/>
      </c>
      <c r="E149" s="12"/>
      <c r="F149" t="str">
        <f>IF(AND('ENTRY DATA'!F149=""),"",('ENTRY DATA'!F149))</f>
        <v/>
      </c>
      <c r="G149" t="str">
        <f>IF(AND('ENTRY DATA'!G149=""),"",('ENTRY DATA'!G149))</f>
        <v/>
      </c>
      <c r="H149" s="12"/>
      <c r="I149" s="12"/>
      <c r="J149" s="66" t="str">
        <f>IF(AND('ENTRY DATA'!J149=""),"",('ENTRY DATA'!J149))</f>
        <v/>
      </c>
      <c r="K149" s="89" t="str">
        <f>IF(AND('ENTRY DATA'!K149=""),"",('ENTRY DATA'!K149))</f>
        <v/>
      </c>
      <c r="L149" s="89" t="str">
        <f>IF(AND('ENTRY DATA'!L149=""),"",('ENTRY DATA'!L149))</f>
        <v/>
      </c>
      <c r="M149" s="89" t="str">
        <f>IF(AND('ENTRY DATA'!M149=""),"",('ENTRY DATA'!M149))</f>
        <v/>
      </c>
      <c r="N149" s="67" t="str">
        <f>IF(AND('ENTRY DATA'!N149=""),"",('ENTRY DATA'!N149))</f>
        <v/>
      </c>
      <c r="O149" s="12"/>
      <c r="P149" s="66">
        <f>'SET 1 PLAYERS'!O149</f>
        <v>0</v>
      </c>
      <c r="Q149" s="67" t="str">
        <f>'SET 1 PLAYERS'!P149</f>
        <v/>
      </c>
      <c r="R149" s="14"/>
      <c r="S149" s="111" t="e">
        <f t="shared" si="4"/>
        <v>#VALUE!</v>
      </c>
      <c r="T149" s="112" t="e">
        <f t="shared" si="5"/>
        <v>#VALUE!</v>
      </c>
      <c r="U149" s="12"/>
      <c r="V149" s="95" t="str">
        <f>'SET 1 PLAYERS'!Q149</f>
        <v/>
      </c>
      <c r="W149" s="12"/>
    </row>
    <row r="150" spans="2:23" x14ac:dyDescent="0.25">
      <c r="B150" s="88" t="str">
        <f>'SET 1 PLAYERS'!G150</f>
        <v>CLASS 1</v>
      </c>
      <c r="C150" t="str">
        <f>IF(AND('ENTRY DATA'!C150=""),"",('ENTRY DATA'!C150))</f>
        <v/>
      </c>
      <c r="D150" t="str">
        <f>IF(AND('ENTRY DATA'!D150=""),"",('ENTRY DATA'!D150))</f>
        <v/>
      </c>
      <c r="E150" s="12"/>
      <c r="F150" t="str">
        <f>IF(AND('ENTRY DATA'!F150=""),"",('ENTRY DATA'!F150))</f>
        <v/>
      </c>
      <c r="G150" t="str">
        <f>IF(AND('ENTRY DATA'!G150=""),"",('ENTRY DATA'!G150))</f>
        <v/>
      </c>
      <c r="H150" s="12"/>
      <c r="I150" s="12"/>
      <c r="J150" s="66" t="str">
        <f>IF(AND('ENTRY DATA'!J150=""),"",('ENTRY DATA'!J150))</f>
        <v/>
      </c>
      <c r="K150" s="89" t="str">
        <f>IF(AND('ENTRY DATA'!K150=""),"",('ENTRY DATA'!K150))</f>
        <v/>
      </c>
      <c r="L150" s="89" t="str">
        <f>IF(AND('ENTRY DATA'!L150=""),"",('ENTRY DATA'!L150))</f>
        <v/>
      </c>
      <c r="M150" s="89" t="str">
        <f>IF(AND('ENTRY DATA'!M150=""),"",('ENTRY DATA'!M150))</f>
        <v/>
      </c>
      <c r="N150" s="67" t="str">
        <f>IF(AND('ENTRY DATA'!N150=""),"",('ENTRY DATA'!N150))</f>
        <v/>
      </c>
      <c r="O150" s="12"/>
      <c r="P150" s="66">
        <f>'SET 1 PLAYERS'!O150</f>
        <v>0</v>
      </c>
      <c r="Q150" s="67" t="str">
        <f>'SET 1 PLAYERS'!P150</f>
        <v/>
      </c>
      <c r="R150" s="14"/>
      <c r="S150" s="111" t="e">
        <f t="shared" si="4"/>
        <v>#VALUE!</v>
      </c>
      <c r="T150" s="112" t="e">
        <f t="shared" si="5"/>
        <v>#VALUE!</v>
      </c>
      <c r="U150" s="12"/>
      <c r="V150" s="95" t="str">
        <f>'SET 1 PLAYERS'!Q150</f>
        <v/>
      </c>
      <c r="W150" s="12"/>
    </row>
    <row r="151" spans="2:23" x14ac:dyDescent="0.25">
      <c r="B151" s="88" t="str">
        <f>'SET 1 PLAYERS'!G151</f>
        <v>CLASS 1</v>
      </c>
      <c r="C151" t="str">
        <f>IF(AND('ENTRY DATA'!C151=""),"",('ENTRY DATA'!C151))</f>
        <v/>
      </c>
      <c r="D151" t="str">
        <f>IF(AND('ENTRY DATA'!D151=""),"",('ENTRY DATA'!D151))</f>
        <v/>
      </c>
      <c r="E151" s="12"/>
      <c r="F151" t="str">
        <f>IF(AND('ENTRY DATA'!F151=""),"",('ENTRY DATA'!F151))</f>
        <v/>
      </c>
      <c r="G151" t="str">
        <f>IF(AND('ENTRY DATA'!G151=""),"",('ENTRY DATA'!G151))</f>
        <v/>
      </c>
      <c r="H151" s="12"/>
      <c r="I151" s="12"/>
      <c r="J151" s="66" t="str">
        <f>IF(AND('ENTRY DATA'!J151=""),"",('ENTRY DATA'!J151))</f>
        <v/>
      </c>
      <c r="K151" s="89" t="str">
        <f>IF(AND('ENTRY DATA'!K151=""),"",('ENTRY DATA'!K151))</f>
        <v/>
      </c>
      <c r="L151" s="89" t="str">
        <f>IF(AND('ENTRY DATA'!L151=""),"",('ENTRY DATA'!L151))</f>
        <v/>
      </c>
      <c r="M151" s="89" t="str">
        <f>IF(AND('ENTRY DATA'!M151=""),"",('ENTRY DATA'!M151))</f>
        <v/>
      </c>
      <c r="N151" s="67" t="str">
        <f>IF(AND('ENTRY DATA'!N151=""),"",('ENTRY DATA'!N151))</f>
        <v/>
      </c>
      <c r="O151" s="12"/>
      <c r="P151" s="66">
        <f>'SET 1 PLAYERS'!O151</f>
        <v>0</v>
      </c>
      <c r="Q151" s="67" t="str">
        <f>'SET 1 PLAYERS'!P151</f>
        <v/>
      </c>
      <c r="R151" s="14"/>
      <c r="S151" s="111" t="e">
        <f t="shared" si="4"/>
        <v>#VALUE!</v>
      </c>
      <c r="T151" s="112" t="e">
        <f t="shared" si="5"/>
        <v>#VALUE!</v>
      </c>
      <c r="U151" s="12"/>
      <c r="V151" s="95" t="str">
        <f>'SET 1 PLAYERS'!Q151</f>
        <v/>
      </c>
      <c r="W151" s="12"/>
    </row>
    <row r="152" spans="2:23" x14ac:dyDescent="0.25">
      <c r="B152" s="88" t="str">
        <f>'SET 1 PLAYERS'!G152</f>
        <v>CLASS 1</v>
      </c>
      <c r="C152" t="str">
        <f>IF(AND('ENTRY DATA'!C152=""),"",('ENTRY DATA'!C152))</f>
        <v/>
      </c>
      <c r="D152" t="str">
        <f>IF(AND('ENTRY DATA'!D152=""),"",('ENTRY DATA'!D152))</f>
        <v/>
      </c>
      <c r="E152" s="12"/>
      <c r="F152" t="str">
        <f>IF(AND('ENTRY DATA'!F152=""),"",('ENTRY DATA'!F152))</f>
        <v/>
      </c>
      <c r="G152" t="str">
        <f>IF(AND('ENTRY DATA'!G152=""),"",('ENTRY DATA'!G152))</f>
        <v/>
      </c>
      <c r="H152" s="12"/>
      <c r="I152" s="12"/>
      <c r="J152" s="66" t="str">
        <f>IF(AND('ENTRY DATA'!J152=""),"",('ENTRY DATA'!J152))</f>
        <v/>
      </c>
      <c r="K152" s="89" t="str">
        <f>IF(AND('ENTRY DATA'!K152=""),"",('ENTRY DATA'!K152))</f>
        <v/>
      </c>
      <c r="L152" s="89" t="str">
        <f>IF(AND('ENTRY DATA'!L152=""),"",('ENTRY DATA'!L152))</f>
        <v/>
      </c>
      <c r="M152" s="89" t="str">
        <f>IF(AND('ENTRY DATA'!M152=""),"",('ENTRY DATA'!M152))</f>
        <v/>
      </c>
      <c r="N152" s="67" t="str">
        <f>IF(AND('ENTRY DATA'!N152=""),"",('ENTRY DATA'!N152))</f>
        <v/>
      </c>
      <c r="O152" s="12"/>
      <c r="P152" s="66">
        <f>'SET 1 PLAYERS'!O152</f>
        <v>0</v>
      </c>
      <c r="Q152" s="67" t="str">
        <f>'SET 1 PLAYERS'!P152</f>
        <v/>
      </c>
      <c r="R152" s="14"/>
      <c r="S152" s="111" t="e">
        <f t="shared" si="4"/>
        <v>#VALUE!</v>
      </c>
      <c r="T152" s="112" t="e">
        <f t="shared" si="5"/>
        <v>#VALUE!</v>
      </c>
      <c r="U152" s="12"/>
      <c r="V152" s="95" t="str">
        <f>'SET 1 PLAYERS'!Q152</f>
        <v/>
      </c>
      <c r="W152" s="12"/>
    </row>
    <row r="153" spans="2:23" x14ac:dyDescent="0.25">
      <c r="B153" s="88" t="str">
        <f>'SET 1 PLAYERS'!G153</f>
        <v>CLASS 1</v>
      </c>
      <c r="C153" t="str">
        <f>IF(AND('ENTRY DATA'!C153=""),"",('ENTRY DATA'!C153))</f>
        <v/>
      </c>
      <c r="D153" t="str">
        <f>IF(AND('ENTRY DATA'!D153=""),"",('ENTRY DATA'!D153))</f>
        <v/>
      </c>
      <c r="E153" s="12"/>
      <c r="F153" t="str">
        <f>IF(AND('ENTRY DATA'!F153=""),"",('ENTRY DATA'!F153))</f>
        <v/>
      </c>
      <c r="G153" t="str">
        <f>IF(AND('ENTRY DATA'!G153=""),"",('ENTRY DATA'!G153))</f>
        <v/>
      </c>
      <c r="H153" s="12"/>
      <c r="I153" s="12"/>
      <c r="J153" s="66" t="str">
        <f>IF(AND('ENTRY DATA'!J153=""),"",('ENTRY DATA'!J153))</f>
        <v/>
      </c>
      <c r="K153" s="89" t="str">
        <f>IF(AND('ENTRY DATA'!K153=""),"",('ENTRY DATA'!K153))</f>
        <v/>
      </c>
      <c r="L153" s="89" t="str">
        <f>IF(AND('ENTRY DATA'!L153=""),"",('ENTRY DATA'!L153))</f>
        <v/>
      </c>
      <c r="M153" s="89" t="str">
        <f>IF(AND('ENTRY DATA'!M153=""),"",('ENTRY DATA'!M153))</f>
        <v/>
      </c>
      <c r="N153" s="67" t="str">
        <f>IF(AND('ENTRY DATA'!N153=""),"",('ENTRY DATA'!N153))</f>
        <v/>
      </c>
      <c r="O153" s="12"/>
      <c r="P153" s="66">
        <f>'SET 1 PLAYERS'!O153</f>
        <v>0</v>
      </c>
      <c r="Q153" s="67" t="str">
        <f>'SET 1 PLAYERS'!P153</f>
        <v/>
      </c>
      <c r="R153" s="14"/>
      <c r="S153" s="111" t="e">
        <f t="shared" si="4"/>
        <v>#VALUE!</v>
      </c>
      <c r="T153" s="112" t="e">
        <f t="shared" si="5"/>
        <v>#VALUE!</v>
      </c>
      <c r="U153" s="12"/>
      <c r="V153" s="95" t="str">
        <f>'SET 1 PLAYERS'!Q153</f>
        <v/>
      </c>
      <c r="W153" s="12"/>
    </row>
    <row r="154" spans="2:23" x14ac:dyDescent="0.25">
      <c r="B154" s="88" t="str">
        <f>'SET 1 PLAYERS'!G154</f>
        <v>CLASS 1</v>
      </c>
      <c r="C154" t="str">
        <f>IF(AND('ENTRY DATA'!C154=""),"",('ENTRY DATA'!C154))</f>
        <v/>
      </c>
      <c r="D154" t="str">
        <f>IF(AND('ENTRY DATA'!D154=""),"",('ENTRY DATA'!D154))</f>
        <v/>
      </c>
      <c r="E154" s="12"/>
      <c r="F154" t="str">
        <f>IF(AND('ENTRY DATA'!F154=""),"",('ENTRY DATA'!F154))</f>
        <v/>
      </c>
      <c r="G154" t="str">
        <f>IF(AND('ENTRY DATA'!G154=""),"",('ENTRY DATA'!G154))</f>
        <v/>
      </c>
      <c r="H154" s="12"/>
      <c r="I154" s="12"/>
      <c r="J154" s="66" t="str">
        <f>IF(AND('ENTRY DATA'!J154=""),"",('ENTRY DATA'!J154))</f>
        <v/>
      </c>
      <c r="K154" s="89" t="str">
        <f>IF(AND('ENTRY DATA'!K154=""),"",('ENTRY DATA'!K154))</f>
        <v/>
      </c>
      <c r="L154" s="89" t="str">
        <f>IF(AND('ENTRY DATA'!L154=""),"",('ENTRY DATA'!L154))</f>
        <v/>
      </c>
      <c r="M154" s="89" t="str">
        <f>IF(AND('ENTRY DATA'!M154=""),"",('ENTRY DATA'!M154))</f>
        <v/>
      </c>
      <c r="N154" s="67" t="str">
        <f>IF(AND('ENTRY DATA'!N154=""),"",('ENTRY DATA'!N154))</f>
        <v/>
      </c>
      <c r="O154" s="12"/>
      <c r="P154" s="66">
        <f>'SET 1 PLAYERS'!O154</f>
        <v>0</v>
      </c>
      <c r="Q154" s="67" t="str">
        <f>'SET 1 PLAYERS'!P154</f>
        <v/>
      </c>
      <c r="R154" s="14"/>
      <c r="S154" s="111" t="e">
        <f t="shared" si="4"/>
        <v>#VALUE!</v>
      </c>
      <c r="T154" s="112" t="e">
        <f t="shared" si="5"/>
        <v>#VALUE!</v>
      </c>
      <c r="U154" s="12"/>
      <c r="V154" s="95" t="str">
        <f>'SET 1 PLAYERS'!Q154</f>
        <v/>
      </c>
      <c r="W154" s="12"/>
    </row>
    <row r="155" spans="2:23" x14ac:dyDescent="0.25">
      <c r="B155" s="88" t="str">
        <f>'SET 1 PLAYERS'!G155</f>
        <v>CLASS 1</v>
      </c>
      <c r="C155" t="str">
        <f>IF(AND('ENTRY DATA'!C155=""),"",('ENTRY DATA'!C155))</f>
        <v/>
      </c>
      <c r="D155" t="str">
        <f>IF(AND('ENTRY DATA'!D155=""),"",('ENTRY DATA'!D155))</f>
        <v/>
      </c>
      <c r="E155" s="12"/>
      <c r="F155" t="str">
        <f>IF(AND('ENTRY DATA'!F155=""),"",('ENTRY DATA'!F155))</f>
        <v/>
      </c>
      <c r="G155" t="str">
        <f>IF(AND('ENTRY DATA'!G155=""),"",('ENTRY DATA'!G155))</f>
        <v/>
      </c>
      <c r="H155" s="12"/>
      <c r="I155" s="12"/>
      <c r="J155" s="66" t="str">
        <f>IF(AND('ENTRY DATA'!J155=""),"",('ENTRY DATA'!J155))</f>
        <v/>
      </c>
      <c r="K155" s="89" t="str">
        <f>IF(AND('ENTRY DATA'!K155=""),"",('ENTRY DATA'!K155))</f>
        <v/>
      </c>
      <c r="L155" s="89" t="str">
        <f>IF(AND('ENTRY DATA'!L155=""),"",('ENTRY DATA'!L155))</f>
        <v/>
      </c>
      <c r="M155" s="89" t="str">
        <f>IF(AND('ENTRY DATA'!M155=""),"",('ENTRY DATA'!M155))</f>
        <v/>
      </c>
      <c r="N155" s="67" t="str">
        <f>IF(AND('ENTRY DATA'!N155=""),"",('ENTRY DATA'!N155))</f>
        <v/>
      </c>
      <c r="O155" s="12"/>
      <c r="P155" s="66">
        <f>'SET 1 PLAYERS'!O155</f>
        <v>0</v>
      </c>
      <c r="Q155" s="67" t="str">
        <f>'SET 1 PLAYERS'!P155</f>
        <v/>
      </c>
      <c r="R155" s="14"/>
      <c r="S155" s="111" t="e">
        <f t="shared" si="4"/>
        <v>#VALUE!</v>
      </c>
      <c r="T155" s="112" t="e">
        <f t="shared" si="5"/>
        <v>#VALUE!</v>
      </c>
      <c r="U155" s="12"/>
      <c r="V155" s="95" t="str">
        <f>'SET 1 PLAYERS'!Q155</f>
        <v/>
      </c>
      <c r="W155" s="12"/>
    </row>
    <row r="156" spans="2:23" x14ac:dyDescent="0.25">
      <c r="B156" s="88" t="str">
        <f>'SET 1 PLAYERS'!G156</f>
        <v>CLASS 1</v>
      </c>
      <c r="C156" t="str">
        <f>IF(AND('ENTRY DATA'!C156=""),"",('ENTRY DATA'!C156))</f>
        <v/>
      </c>
      <c r="D156" t="str">
        <f>IF(AND('ENTRY DATA'!D156=""),"",('ENTRY DATA'!D156))</f>
        <v/>
      </c>
      <c r="E156" s="12"/>
      <c r="F156" t="str">
        <f>IF(AND('ENTRY DATA'!F156=""),"",('ENTRY DATA'!F156))</f>
        <v/>
      </c>
      <c r="G156" t="str">
        <f>IF(AND('ENTRY DATA'!G156=""),"",('ENTRY DATA'!G156))</f>
        <v/>
      </c>
      <c r="H156" s="12"/>
      <c r="I156" s="12"/>
      <c r="J156" s="66" t="str">
        <f>IF(AND('ENTRY DATA'!J156=""),"",('ENTRY DATA'!J156))</f>
        <v/>
      </c>
      <c r="K156" s="89" t="str">
        <f>IF(AND('ENTRY DATA'!K156=""),"",('ENTRY DATA'!K156))</f>
        <v/>
      </c>
      <c r="L156" s="89" t="str">
        <f>IF(AND('ENTRY DATA'!L156=""),"",('ENTRY DATA'!L156))</f>
        <v/>
      </c>
      <c r="M156" s="89" t="str">
        <f>IF(AND('ENTRY DATA'!M156=""),"",('ENTRY DATA'!M156))</f>
        <v/>
      </c>
      <c r="N156" s="67" t="str">
        <f>IF(AND('ENTRY DATA'!N156=""),"",('ENTRY DATA'!N156))</f>
        <v/>
      </c>
      <c r="O156" s="12"/>
      <c r="P156" s="66">
        <f>'SET 1 PLAYERS'!O156</f>
        <v>0</v>
      </c>
      <c r="Q156" s="67" t="str">
        <f>'SET 1 PLAYERS'!P156</f>
        <v/>
      </c>
      <c r="R156" s="14"/>
      <c r="S156" s="111" t="e">
        <f t="shared" si="4"/>
        <v>#VALUE!</v>
      </c>
      <c r="T156" s="112" t="e">
        <f t="shared" si="5"/>
        <v>#VALUE!</v>
      </c>
      <c r="U156" s="12"/>
      <c r="V156" s="95" t="str">
        <f>'SET 1 PLAYERS'!Q156</f>
        <v/>
      </c>
      <c r="W156" s="12"/>
    </row>
    <row r="157" spans="2:23" x14ac:dyDescent="0.25">
      <c r="B157" s="88" t="str">
        <f>'SET 1 PLAYERS'!G157</f>
        <v>CLASS 1</v>
      </c>
      <c r="C157" t="str">
        <f>IF(AND('ENTRY DATA'!C157=""),"",('ENTRY DATA'!C157))</f>
        <v/>
      </c>
      <c r="D157" t="str">
        <f>IF(AND('ENTRY DATA'!D157=""),"",('ENTRY DATA'!D157))</f>
        <v/>
      </c>
      <c r="E157" s="12"/>
      <c r="F157" t="str">
        <f>IF(AND('ENTRY DATA'!F157=""),"",('ENTRY DATA'!F157))</f>
        <v/>
      </c>
      <c r="G157" t="str">
        <f>IF(AND('ENTRY DATA'!G157=""),"",('ENTRY DATA'!G157))</f>
        <v/>
      </c>
      <c r="H157" s="12"/>
      <c r="I157" s="12"/>
      <c r="J157" s="66" t="str">
        <f>IF(AND('ENTRY DATA'!J157=""),"",('ENTRY DATA'!J157))</f>
        <v/>
      </c>
      <c r="K157" s="89" t="str">
        <f>IF(AND('ENTRY DATA'!K157=""),"",('ENTRY DATA'!K157))</f>
        <v/>
      </c>
      <c r="L157" s="89" t="str">
        <f>IF(AND('ENTRY DATA'!L157=""),"",('ENTRY DATA'!L157))</f>
        <v/>
      </c>
      <c r="M157" s="89" t="str">
        <f>IF(AND('ENTRY DATA'!M157=""),"",('ENTRY DATA'!M157))</f>
        <v/>
      </c>
      <c r="N157" s="67" t="str">
        <f>IF(AND('ENTRY DATA'!N157=""),"",('ENTRY DATA'!N157))</f>
        <v/>
      </c>
      <c r="O157" s="12"/>
      <c r="P157" s="66">
        <f>'SET 1 PLAYERS'!O157</f>
        <v>0</v>
      </c>
      <c r="Q157" s="67" t="str">
        <f>'SET 1 PLAYERS'!P157</f>
        <v/>
      </c>
      <c r="R157" s="14"/>
      <c r="S157" s="111" t="e">
        <f t="shared" si="4"/>
        <v>#VALUE!</v>
      </c>
      <c r="T157" s="112" t="e">
        <f t="shared" si="5"/>
        <v>#VALUE!</v>
      </c>
      <c r="U157" s="12"/>
      <c r="V157" s="95" t="str">
        <f>'SET 1 PLAYERS'!Q157</f>
        <v/>
      </c>
      <c r="W157" s="12"/>
    </row>
    <row r="158" spans="2:23" x14ac:dyDescent="0.25">
      <c r="B158" s="88" t="str">
        <f>'SET 1 PLAYERS'!G158</f>
        <v>CLASS 1</v>
      </c>
      <c r="C158" t="str">
        <f>IF(AND('ENTRY DATA'!C158=""),"",('ENTRY DATA'!C158))</f>
        <v/>
      </c>
      <c r="D158" t="str">
        <f>IF(AND('ENTRY DATA'!D158=""),"",('ENTRY DATA'!D158))</f>
        <v/>
      </c>
      <c r="E158" s="12"/>
      <c r="F158" t="str">
        <f>IF(AND('ENTRY DATA'!F158=""),"",('ENTRY DATA'!F158))</f>
        <v/>
      </c>
      <c r="G158" t="str">
        <f>IF(AND('ENTRY DATA'!G158=""),"",('ENTRY DATA'!G158))</f>
        <v/>
      </c>
      <c r="H158" s="12"/>
      <c r="I158" s="12"/>
      <c r="J158" s="66" t="str">
        <f>IF(AND('ENTRY DATA'!J158=""),"",('ENTRY DATA'!J158))</f>
        <v/>
      </c>
      <c r="K158" s="89" t="str">
        <f>IF(AND('ENTRY DATA'!K158=""),"",('ENTRY DATA'!K158))</f>
        <v/>
      </c>
      <c r="L158" s="89" t="str">
        <f>IF(AND('ENTRY DATA'!L158=""),"",('ENTRY DATA'!L158))</f>
        <v/>
      </c>
      <c r="M158" s="89" t="str">
        <f>IF(AND('ENTRY DATA'!M158=""),"",('ENTRY DATA'!M158))</f>
        <v/>
      </c>
      <c r="N158" s="67" t="str">
        <f>IF(AND('ENTRY DATA'!N158=""),"",('ENTRY DATA'!N158))</f>
        <v/>
      </c>
      <c r="O158" s="12"/>
      <c r="P158" s="66">
        <f>'SET 1 PLAYERS'!O158</f>
        <v>0</v>
      </c>
      <c r="Q158" s="67" t="str">
        <f>'SET 1 PLAYERS'!P158</f>
        <v/>
      </c>
      <c r="R158" s="14"/>
      <c r="S158" s="111" t="e">
        <f t="shared" si="4"/>
        <v>#VALUE!</v>
      </c>
      <c r="T158" s="112" t="e">
        <f t="shared" si="5"/>
        <v>#VALUE!</v>
      </c>
      <c r="U158" s="12"/>
      <c r="V158" s="95" t="str">
        <f>'SET 1 PLAYERS'!Q158</f>
        <v/>
      </c>
      <c r="W158" s="12"/>
    </row>
    <row r="159" spans="2:23" x14ac:dyDescent="0.25">
      <c r="B159" s="88" t="str">
        <f>'SET 1 PLAYERS'!G159</f>
        <v>CLASS 1</v>
      </c>
      <c r="C159" t="str">
        <f>IF(AND('ENTRY DATA'!C159=""),"",('ENTRY DATA'!C159))</f>
        <v/>
      </c>
      <c r="D159" t="str">
        <f>IF(AND('ENTRY DATA'!D159=""),"",('ENTRY DATA'!D159))</f>
        <v/>
      </c>
      <c r="E159" s="12"/>
      <c r="F159" t="str">
        <f>IF(AND('ENTRY DATA'!F159=""),"",('ENTRY DATA'!F159))</f>
        <v/>
      </c>
      <c r="G159" t="str">
        <f>IF(AND('ENTRY DATA'!G159=""),"",('ENTRY DATA'!G159))</f>
        <v/>
      </c>
      <c r="H159" s="12"/>
      <c r="I159" s="12"/>
      <c r="J159" s="66" t="str">
        <f>IF(AND('ENTRY DATA'!J159=""),"",('ENTRY DATA'!J159))</f>
        <v/>
      </c>
      <c r="K159" s="89" t="str">
        <f>IF(AND('ENTRY DATA'!K159=""),"",('ENTRY DATA'!K159))</f>
        <v/>
      </c>
      <c r="L159" s="89" t="str">
        <f>IF(AND('ENTRY DATA'!L159=""),"",('ENTRY DATA'!L159))</f>
        <v/>
      </c>
      <c r="M159" s="89" t="str">
        <f>IF(AND('ENTRY DATA'!M159=""),"",('ENTRY DATA'!M159))</f>
        <v/>
      </c>
      <c r="N159" s="67" t="str">
        <f>IF(AND('ENTRY DATA'!N159=""),"",('ENTRY DATA'!N159))</f>
        <v/>
      </c>
      <c r="O159" s="12"/>
      <c r="P159" s="66">
        <f>'SET 1 PLAYERS'!O159</f>
        <v>0</v>
      </c>
      <c r="Q159" s="67" t="str">
        <f>'SET 1 PLAYERS'!P159</f>
        <v/>
      </c>
      <c r="R159" s="14"/>
      <c r="S159" s="111" t="e">
        <f t="shared" si="4"/>
        <v>#VALUE!</v>
      </c>
      <c r="T159" s="112" t="e">
        <f t="shared" si="5"/>
        <v>#VALUE!</v>
      </c>
      <c r="U159" s="12"/>
      <c r="V159" s="95" t="str">
        <f>'SET 1 PLAYERS'!Q159</f>
        <v/>
      </c>
      <c r="W159" s="12"/>
    </row>
    <row r="160" spans="2:23" x14ac:dyDescent="0.25">
      <c r="B160" s="88" t="str">
        <f>'SET 1 PLAYERS'!G160</f>
        <v>CLASS 1</v>
      </c>
      <c r="C160" t="str">
        <f>IF(AND('ENTRY DATA'!C160=""),"",('ENTRY DATA'!C160))</f>
        <v/>
      </c>
      <c r="D160" t="str">
        <f>IF(AND('ENTRY DATA'!D160=""),"",('ENTRY DATA'!D160))</f>
        <v/>
      </c>
      <c r="E160" s="12"/>
      <c r="F160" t="str">
        <f>IF(AND('ENTRY DATA'!F160=""),"",('ENTRY DATA'!F160))</f>
        <v/>
      </c>
      <c r="G160" t="str">
        <f>IF(AND('ENTRY DATA'!G160=""),"",('ENTRY DATA'!G160))</f>
        <v/>
      </c>
      <c r="H160" s="12"/>
      <c r="I160" s="12"/>
      <c r="J160" s="66" t="str">
        <f>IF(AND('ENTRY DATA'!J160=""),"",('ENTRY DATA'!J160))</f>
        <v/>
      </c>
      <c r="K160" s="89" t="str">
        <f>IF(AND('ENTRY DATA'!K160=""),"",('ENTRY DATA'!K160))</f>
        <v/>
      </c>
      <c r="L160" s="89" t="str">
        <f>IF(AND('ENTRY DATA'!L160=""),"",('ENTRY DATA'!L160))</f>
        <v/>
      </c>
      <c r="M160" s="89" t="str">
        <f>IF(AND('ENTRY DATA'!M160=""),"",('ENTRY DATA'!M160))</f>
        <v/>
      </c>
      <c r="N160" s="67" t="str">
        <f>IF(AND('ENTRY DATA'!N160=""),"",('ENTRY DATA'!N160))</f>
        <v/>
      </c>
      <c r="O160" s="12"/>
      <c r="P160" s="66">
        <f>'SET 1 PLAYERS'!O160</f>
        <v>0</v>
      </c>
      <c r="Q160" s="67" t="str">
        <f>'SET 1 PLAYERS'!P160</f>
        <v/>
      </c>
      <c r="R160" s="14"/>
      <c r="S160" s="111" t="e">
        <f t="shared" si="4"/>
        <v>#VALUE!</v>
      </c>
      <c r="T160" s="112" t="e">
        <f t="shared" si="5"/>
        <v>#VALUE!</v>
      </c>
      <c r="U160" s="12"/>
      <c r="V160" s="95" t="str">
        <f>'SET 1 PLAYERS'!Q160</f>
        <v/>
      </c>
      <c r="W160" s="12"/>
    </row>
    <row r="161" spans="2:23" x14ac:dyDescent="0.25">
      <c r="B161" s="88" t="str">
        <f>'SET 1 PLAYERS'!G161</f>
        <v>CLASS 1</v>
      </c>
      <c r="C161" t="str">
        <f>IF(AND('ENTRY DATA'!C161=""),"",('ENTRY DATA'!C161))</f>
        <v/>
      </c>
      <c r="D161" t="str">
        <f>IF(AND('ENTRY DATA'!D161=""),"",('ENTRY DATA'!D161))</f>
        <v/>
      </c>
      <c r="E161" s="12"/>
      <c r="F161" t="str">
        <f>IF(AND('ENTRY DATA'!F161=""),"",('ENTRY DATA'!F161))</f>
        <v/>
      </c>
      <c r="G161" t="str">
        <f>IF(AND('ENTRY DATA'!G161=""),"",('ENTRY DATA'!G161))</f>
        <v/>
      </c>
      <c r="H161" s="12"/>
      <c r="I161" s="12"/>
      <c r="J161" s="66" t="str">
        <f>IF(AND('ENTRY DATA'!J161=""),"",('ENTRY DATA'!J161))</f>
        <v/>
      </c>
      <c r="K161" s="89" t="str">
        <f>IF(AND('ENTRY DATA'!K161=""),"",('ENTRY DATA'!K161))</f>
        <v/>
      </c>
      <c r="L161" s="89" t="str">
        <f>IF(AND('ENTRY DATA'!L161=""),"",('ENTRY DATA'!L161))</f>
        <v/>
      </c>
      <c r="M161" s="89" t="str">
        <f>IF(AND('ENTRY DATA'!M161=""),"",('ENTRY DATA'!M161))</f>
        <v/>
      </c>
      <c r="N161" s="67" t="str">
        <f>IF(AND('ENTRY DATA'!N161=""),"",('ENTRY DATA'!N161))</f>
        <v/>
      </c>
      <c r="O161" s="12"/>
      <c r="P161" s="66">
        <f>'SET 1 PLAYERS'!O161</f>
        <v>0</v>
      </c>
      <c r="Q161" s="67" t="str">
        <f>'SET 1 PLAYERS'!P161</f>
        <v/>
      </c>
      <c r="R161" s="14"/>
      <c r="S161" s="111" t="e">
        <f t="shared" si="4"/>
        <v>#VALUE!</v>
      </c>
      <c r="T161" s="112" t="e">
        <f t="shared" si="5"/>
        <v>#VALUE!</v>
      </c>
      <c r="U161" s="12"/>
      <c r="V161" s="95" t="str">
        <f>'SET 1 PLAYERS'!Q161</f>
        <v/>
      </c>
      <c r="W161" s="12"/>
    </row>
    <row r="162" spans="2:23" x14ac:dyDescent="0.25">
      <c r="B162" s="88" t="str">
        <f>'SET 1 PLAYERS'!G162</f>
        <v>CLASS 1</v>
      </c>
      <c r="C162" t="str">
        <f>IF(AND('ENTRY DATA'!C162=""),"",('ENTRY DATA'!C162))</f>
        <v/>
      </c>
      <c r="D162" t="str">
        <f>IF(AND('ENTRY DATA'!D162=""),"",('ENTRY DATA'!D162))</f>
        <v/>
      </c>
      <c r="E162" s="12"/>
      <c r="F162" t="str">
        <f>IF(AND('ENTRY DATA'!F162=""),"",('ENTRY DATA'!F162))</f>
        <v/>
      </c>
      <c r="G162" t="str">
        <f>IF(AND('ENTRY DATA'!G162=""),"",('ENTRY DATA'!G162))</f>
        <v/>
      </c>
      <c r="H162" s="12"/>
      <c r="I162" s="12"/>
      <c r="J162" s="66" t="str">
        <f>IF(AND('ENTRY DATA'!J162=""),"",('ENTRY DATA'!J162))</f>
        <v/>
      </c>
      <c r="K162" s="89" t="str">
        <f>IF(AND('ENTRY DATA'!K162=""),"",('ENTRY DATA'!K162))</f>
        <v/>
      </c>
      <c r="L162" s="89" t="str">
        <f>IF(AND('ENTRY DATA'!L162=""),"",('ENTRY DATA'!L162))</f>
        <v/>
      </c>
      <c r="M162" s="89" t="str">
        <f>IF(AND('ENTRY DATA'!M162=""),"",('ENTRY DATA'!M162))</f>
        <v/>
      </c>
      <c r="N162" s="67" t="str">
        <f>IF(AND('ENTRY DATA'!N162=""),"",('ENTRY DATA'!N162))</f>
        <v/>
      </c>
      <c r="O162" s="12"/>
      <c r="P162" s="66">
        <f>'SET 1 PLAYERS'!O162</f>
        <v>0</v>
      </c>
      <c r="Q162" s="67" t="str">
        <f>'SET 1 PLAYERS'!P162</f>
        <v/>
      </c>
      <c r="R162" s="14"/>
      <c r="S162" s="111" t="e">
        <f t="shared" si="4"/>
        <v>#VALUE!</v>
      </c>
      <c r="T162" s="112" t="e">
        <f t="shared" si="5"/>
        <v>#VALUE!</v>
      </c>
      <c r="U162" s="12"/>
      <c r="V162" s="95" t="str">
        <f>'SET 1 PLAYERS'!Q162</f>
        <v/>
      </c>
      <c r="W162" s="12"/>
    </row>
    <row r="163" spans="2:23" x14ac:dyDescent="0.25">
      <c r="B163" s="88" t="str">
        <f>'SET 1 PLAYERS'!G163</f>
        <v>CLASS 1</v>
      </c>
      <c r="C163" t="str">
        <f>IF(AND('ENTRY DATA'!C163=""),"",('ENTRY DATA'!C163))</f>
        <v/>
      </c>
      <c r="D163" t="str">
        <f>IF(AND('ENTRY DATA'!D163=""),"",('ENTRY DATA'!D163))</f>
        <v/>
      </c>
      <c r="E163" s="12"/>
      <c r="F163" t="str">
        <f>IF(AND('ENTRY DATA'!F163=""),"",('ENTRY DATA'!F163))</f>
        <v/>
      </c>
      <c r="G163" t="str">
        <f>IF(AND('ENTRY DATA'!G163=""),"",('ENTRY DATA'!G163))</f>
        <v/>
      </c>
      <c r="H163" s="12"/>
      <c r="I163" s="12"/>
      <c r="J163" s="66" t="str">
        <f>IF(AND('ENTRY DATA'!J163=""),"",('ENTRY DATA'!J163))</f>
        <v/>
      </c>
      <c r="K163" s="89" t="str">
        <f>IF(AND('ENTRY DATA'!K163=""),"",('ENTRY DATA'!K163))</f>
        <v/>
      </c>
      <c r="L163" s="89" t="str">
        <f>IF(AND('ENTRY DATA'!L163=""),"",('ENTRY DATA'!L163))</f>
        <v/>
      </c>
      <c r="M163" s="89" t="str">
        <f>IF(AND('ENTRY DATA'!M163=""),"",('ENTRY DATA'!M163))</f>
        <v/>
      </c>
      <c r="N163" s="67" t="str">
        <f>IF(AND('ENTRY DATA'!N163=""),"",('ENTRY DATA'!N163))</f>
        <v/>
      </c>
      <c r="O163" s="12"/>
      <c r="P163" s="66">
        <f>'SET 1 PLAYERS'!O163</f>
        <v>0</v>
      </c>
      <c r="Q163" s="67" t="str">
        <f>'SET 1 PLAYERS'!P163</f>
        <v/>
      </c>
      <c r="R163" s="14"/>
      <c r="S163" s="111" t="e">
        <f t="shared" si="4"/>
        <v>#VALUE!</v>
      </c>
      <c r="T163" s="112" t="e">
        <f t="shared" si="5"/>
        <v>#VALUE!</v>
      </c>
      <c r="U163" s="12"/>
      <c r="V163" s="95" t="str">
        <f>'SET 1 PLAYERS'!Q163</f>
        <v/>
      </c>
      <c r="W163" s="12"/>
    </row>
    <row r="164" spans="2:23" x14ac:dyDescent="0.25">
      <c r="B164" s="88" t="str">
        <f>'SET 1 PLAYERS'!G164</f>
        <v>CLASS 1</v>
      </c>
      <c r="C164" t="str">
        <f>IF(AND('ENTRY DATA'!C164=""),"",('ENTRY DATA'!C164))</f>
        <v/>
      </c>
      <c r="D164" t="str">
        <f>IF(AND('ENTRY DATA'!D164=""),"",('ENTRY DATA'!D164))</f>
        <v/>
      </c>
      <c r="E164" s="12"/>
      <c r="F164" t="str">
        <f>IF(AND('ENTRY DATA'!F164=""),"",('ENTRY DATA'!F164))</f>
        <v/>
      </c>
      <c r="G164" t="str">
        <f>IF(AND('ENTRY DATA'!G164=""),"",('ENTRY DATA'!G164))</f>
        <v/>
      </c>
      <c r="H164" s="12"/>
      <c r="I164" s="12"/>
      <c r="J164" s="66" t="str">
        <f>IF(AND('ENTRY DATA'!J164=""),"",('ENTRY DATA'!J164))</f>
        <v/>
      </c>
      <c r="K164" s="89" t="str">
        <f>IF(AND('ENTRY DATA'!K164=""),"",('ENTRY DATA'!K164))</f>
        <v/>
      </c>
      <c r="L164" s="89" t="str">
        <f>IF(AND('ENTRY DATA'!L164=""),"",('ENTRY DATA'!L164))</f>
        <v/>
      </c>
      <c r="M164" s="89" t="str">
        <f>IF(AND('ENTRY DATA'!M164=""),"",('ENTRY DATA'!M164))</f>
        <v/>
      </c>
      <c r="N164" s="67" t="str">
        <f>IF(AND('ENTRY DATA'!N164=""),"",('ENTRY DATA'!N164))</f>
        <v/>
      </c>
      <c r="O164" s="12"/>
      <c r="P164" s="66">
        <f>'SET 1 PLAYERS'!O164</f>
        <v>0</v>
      </c>
      <c r="Q164" s="67" t="str">
        <f>'SET 1 PLAYERS'!P164</f>
        <v/>
      </c>
      <c r="R164" s="14"/>
      <c r="S164" s="111" t="e">
        <f t="shared" si="4"/>
        <v>#VALUE!</v>
      </c>
      <c r="T164" s="112" t="e">
        <f t="shared" si="5"/>
        <v>#VALUE!</v>
      </c>
      <c r="U164" s="12"/>
      <c r="V164" s="95" t="str">
        <f>'SET 1 PLAYERS'!Q164</f>
        <v/>
      </c>
      <c r="W164" s="12"/>
    </row>
    <row r="165" spans="2:23" x14ac:dyDescent="0.25">
      <c r="B165" s="88" t="str">
        <f>'SET 1 PLAYERS'!G165</f>
        <v>CLASS 1</v>
      </c>
      <c r="C165" t="str">
        <f>IF(AND('ENTRY DATA'!C165=""),"",('ENTRY DATA'!C165))</f>
        <v/>
      </c>
      <c r="D165" t="str">
        <f>IF(AND('ENTRY DATA'!D165=""),"",('ENTRY DATA'!D165))</f>
        <v/>
      </c>
      <c r="E165" s="12"/>
      <c r="F165" t="str">
        <f>IF(AND('ENTRY DATA'!F165=""),"",('ENTRY DATA'!F165))</f>
        <v/>
      </c>
      <c r="G165" t="str">
        <f>IF(AND('ENTRY DATA'!G165=""),"",('ENTRY DATA'!G165))</f>
        <v/>
      </c>
      <c r="H165" s="12"/>
      <c r="I165" s="12"/>
      <c r="J165" s="66" t="str">
        <f>IF(AND('ENTRY DATA'!J165=""),"",('ENTRY DATA'!J165))</f>
        <v/>
      </c>
      <c r="K165" s="89" t="str">
        <f>IF(AND('ENTRY DATA'!K165=""),"",('ENTRY DATA'!K165))</f>
        <v/>
      </c>
      <c r="L165" s="89" t="str">
        <f>IF(AND('ENTRY DATA'!L165=""),"",('ENTRY DATA'!L165))</f>
        <v/>
      </c>
      <c r="M165" s="89" t="str">
        <f>IF(AND('ENTRY DATA'!M165=""),"",('ENTRY DATA'!M165))</f>
        <v/>
      </c>
      <c r="N165" s="67" t="str">
        <f>IF(AND('ENTRY DATA'!N165=""),"",('ENTRY DATA'!N165))</f>
        <v/>
      </c>
      <c r="O165" s="12"/>
      <c r="P165" s="66">
        <f>'SET 1 PLAYERS'!O165</f>
        <v>0</v>
      </c>
      <c r="Q165" s="67" t="str">
        <f>'SET 1 PLAYERS'!P165</f>
        <v/>
      </c>
      <c r="R165" s="14"/>
      <c r="S165" s="111" t="e">
        <f t="shared" si="4"/>
        <v>#VALUE!</v>
      </c>
      <c r="T165" s="112" t="e">
        <f t="shared" si="5"/>
        <v>#VALUE!</v>
      </c>
      <c r="U165" s="12"/>
      <c r="V165" s="95" t="str">
        <f>'SET 1 PLAYERS'!Q165</f>
        <v/>
      </c>
      <c r="W165" s="12"/>
    </row>
    <row r="166" spans="2:23" x14ac:dyDescent="0.25">
      <c r="B166" s="88" t="str">
        <f>'SET 1 PLAYERS'!G166</f>
        <v>CLASS 1</v>
      </c>
      <c r="C166" t="str">
        <f>IF(AND('ENTRY DATA'!C166=""),"",('ENTRY DATA'!C166))</f>
        <v/>
      </c>
      <c r="D166" t="str">
        <f>IF(AND('ENTRY DATA'!D166=""),"",('ENTRY DATA'!D166))</f>
        <v/>
      </c>
      <c r="E166" s="12"/>
      <c r="F166" t="str">
        <f>IF(AND('ENTRY DATA'!F166=""),"",('ENTRY DATA'!F166))</f>
        <v/>
      </c>
      <c r="G166" t="str">
        <f>IF(AND('ENTRY DATA'!G166=""),"",('ENTRY DATA'!G166))</f>
        <v/>
      </c>
      <c r="H166" s="12"/>
      <c r="I166" s="12"/>
      <c r="J166" s="66" t="str">
        <f>IF(AND('ENTRY DATA'!J166=""),"",('ENTRY DATA'!J166))</f>
        <v/>
      </c>
      <c r="K166" s="89" t="str">
        <f>IF(AND('ENTRY DATA'!K166=""),"",('ENTRY DATA'!K166))</f>
        <v/>
      </c>
      <c r="L166" s="89" t="str">
        <f>IF(AND('ENTRY DATA'!L166=""),"",('ENTRY DATA'!L166))</f>
        <v/>
      </c>
      <c r="M166" s="89" t="str">
        <f>IF(AND('ENTRY DATA'!M166=""),"",('ENTRY DATA'!M166))</f>
        <v/>
      </c>
      <c r="N166" s="67" t="str">
        <f>IF(AND('ENTRY DATA'!N166=""),"",('ENTRY DATA'!N166))</f>
        <v/>
      </c>
      <c r="O166" s="12"/>
      <c r="P166" s="66">
        <f>'SET 1 PLAYERS'!O166</f>
        <v>0</v>
      </c>
      <c r="Q166" s="67" t="str">
        <f>'SET 1 PLAYERS'!P166</f>
        <v/>
      </c>
      <c r="R166" s="14"/>
      <c r="S166" s="111" t="e">
        <f t="shared" si="4"/>
        <v>#VALUE!</v>
      </c>
      <c r="T166" s="112" t="e">
        <f t="shared" si="5"/>
        <v>#VALUE!</v>
      </c>
      <c r="U166" s="12"/>
      <c r="V166" s="95" t="str">
        <f>'SET 1 PLAYERS'!Q166</f>
        <v/>
      </c>
      <c r="W166" s="12"/>
    </row>
    <row r="167" spans="2:23" x14ac:dyDescent="0.25">
      <c r="B167" s="88" t="str">
        <f>'SET 1 PLAYERS'!G167</f>
        <v>CLASS 1</v>
      </c>
      <c r="C167" t="str">
        <f>IF(AND('ENTRY DATA'!C167=""),"",('ENTRY DATA'!C167))</f>
        <v/>
      </c>
      <c r="D167" t="str">
        <f>IF(AND('ENTRY DATA'!D167=""),"",('ENTRY DATA'!D167))</f>
        <v/>
      </c>
      <c r="E167" s="12"/>
      <c r="F167" t="str">
        <f>IF(AND('ENTRY DATA'!F167=""),"",('ENTRY DATA'!F167))</f>
        <v/>
      </c>
      <c r="G167" t="str">
        <f>IF(AND('ENTRY DATA'!G167=""),"",('ENTRY DATA'!G167))</f>
        <v/>
      </c>
      <c r="H167" s="12"/>
      <c r="I167" s="12"/>
      <c r="J167" s="66" t="str">
        <f>IF(AND('ENTRY DATA'!J167=""),"",('ENTRY DATA'!J167))</f>
        <v/>
      </c>
      <c r="K167" s="89" t="str">
        <f>IF(AND('ENTRY DATA'!K167=""),"",('ENTRY DATA'!K167))</f>
        <v/>
      </c>
      <c r="L167" s="89" t="str">
        <f>IF(AND('ENTRY DATA'!L167=""),"",('ENTRY DATA'!L167))</f>
        <v/>
      </c>
      <c r="M167" s="89" t="str">
        <f>IF(AND('ENTRY DATA'!M167=""),"",('ENTRY DATA'!M167))</f>
        <v/>
      </c>
      <c r="N167" s="67" t="str">
        <f>IF(AND('ENTRY DATA'!N167=""),"",('ENTRY DATA'!N167))</f>
        <v/>
      </c>
      <c r="O167" s="12"/>
      <c r="P167" s="66">
        <f>'SET 1 PLAYERS'!O167</f>
        <v>0</v>
      </c>
      <c r="Q167" s="67" t="str">
        <f>'SET 1 PLAYERS'!P167</f>
        <v/>
      </c>
      <c r="R167" s="14"/>
      <c r="S167" s="111" t="e">
        <f t="shared" si="4"/>
        <v>#VALUE!</v>
      </c>
      <c r="T167" s="112" t="e">
        <f t="shared" si="5"/>
        <v>#VALUE!</v>
      </c>
      <c r="U167" s="12"/>
      <c r="V167" s="95" t="str">
        <f>'SET 1 PLAYERS'!Q167</f>
        <v/>
      </c>
      <c r="W167" s="12"/>
    </row>
    <row r="168" spans="2:23" x14ac:dyDescent="0.25">
      <c r="B168" s="88" t="str">
        <f>'SET 1 PLAYERS'!G168</f>
        <v>CLASS 1</v>
      </c>
      <c r="C168" t="str">
        <f>IF(AND('ENTRY DATA'!C168=""),"",('ENTRY DATA'!C168))</f>
        <v/>
      </c>
      <c r="D168" t="str">
        <f>IF(AND('ENTRY DATA'!D168=""),"",('ENTRY DATA'!D168))</f>
        <v/>
      </c>
      <c r="E168" s="12"/>
      <c r="F168" t="str">
        <f>IF(AND('ENTRY DATA'!F168=""),"",('ENTRY DATA'!F168))</f>
        <v/>
      </c>
      <c r="G168" t="str">
        <f>IF(AND('ENTRY DATA'!G168=""),"",('ENTRY DATA'!G168))</f>
        <v/>
      </c>
      <c r="H168" s="12"/>
      <c r="I168" s="12"/>
      <c r="J168" s="66" t="str">
        <f>IF(AND('ENTRY DATA'!J168=""),"",('ENTRY DATA'!J168))</f>
        <v/>
      </c>
      <c r="K168" s="89" t="str">
        <f>IF(AND('ENTRY DATA'!K168=""),"",('ENTRY DATA'!K168))</f>
        <v/>
      </c>
      <c r="L168" s="89" t="str">
        <f>IF(AND('ENTRY DATA'!L168=""),"",('ENTRY DATA'!L168))</f>
        <v/>
      </c>
      <c r="M168" s="89" t="str">
        <f>IF(AND('ENTRY DATA'!M168=""),"",('ENTRY DATA'!M168))</f>
        <v/>
      </c>
      <c r="N168" s="67" t="str">
        <f>IF(AND('ENTRY DATA'!N168=""),"",('ENTRY DATA'!N168))</f>
        <v/>
      </c>
      <c r="O168" s="12"/>
      <c r="P168" s="66">
        <f>'SET 1 PLAYERS'!O168</f>
        <v>0</v>
      </c>
      <c r="Q168" s="67" t="str">
        <f>'SET 1 PLAYERS'!P168</f>
        <v/>
      </c>
      <c r="R168" s="14"/>
      <c r="S168" s="111" t="e">
        <f t="shared" si="4"/>
        <v>#VALUE!</v>
      </c>
      <c r="T168" s="112" t="e">
        <f t="shared" si="5"/>
        <v>#VALUE!</v>
      </c>
      <c r="U168" s="12"/>
      <c r="V168" s="95" t="str">
        <f>'SET 1 PLAYERS'!Q168</f>
        <v/>
      </c>
      <c r="W168" s="12"/>
    </row>
    <row r="169" spans="2:23" x14ac:dyDescent="0.25">
      <c r="B169" s="88" t="str">
        <f>'SET 1 PLAYERS'!G169</f>
        <v>CLASS 1</v>
      </c>
      <c r="C169" t="str">
        <f>IF(AND('ENTRY DATA'!C169=""),"",('ENTRY DATA'!C169))</f>
        <v/>
      </c>
      <c r="D169" t="str">
        <f>IF(AND('ENTRY DATA'!D169=""),"",('ENTRY DATA'!D169))</f>
        <v/>
      </c>
      <c r="E169" s="12"/>
      <c r="F169" t="str">
        <f>IF(AND('ENTRY DATA'!F169=""),"",('ENTRY DATA'!F169))</f>
        <v/>
      </c>
      <c r="G169" t="str">
        <f>IF(AND('ENTRY DATA'!G169=""),"",('ENTRY DATA'!G169))</f>
        <v/>
      </c>
      <c r="H169" s="12"/>
      <c r="I169" s="12"/>
      <c r="J169" s="66" t="str">
        <f>IF(AND('ENTRY DATA'!J169=""),"",('ENTRY DATA'!J169))</f>
        <v/>
      </c>
      <c r="K169" s="89" t="str">
        <f>IF(AND('ENTRY DATA'!K169=""),"",('ENTRY DATA'!K169))</f>
        <v/>
      </c>
      <c r="L169" s="89" t="str">
        <f>IF(AND('ENTRY DATA'!L169=""),"",('ENTRY DATA'!L169))</f>
        <v/>
      </c>
      <c r="M169" s="89" t="str">
        <f>IF(AND('ENTRY DATA'!M169=""),"",('ENTRY DATA'!M169))</f>
        <v/>
      </c>
      <c r="N169" s="67" t="str">
        <f>IF(AND('ENTRY DATA'!N169=""),"",('ENTRY DATA'!N169))</f>
        <v/>
      </c>
      <c r="O169" s="12"/>
      <c r="P169" s="66">
        <f>'SET 1 PLAYERS'!O169</f>
        <v>0</v>
      </c>
      <c r="Q169" s="67" t="str">
        <f>'SET 1 PLAYERS'!P169</f>
        <v/>
      </c>
      <c r="R169" s="14"/>
      <c r="S169" s="111" t="e">
        <f t="shared" si="4"/>
        <v>#VALUE!</v>
      </c>
      <c r="T169" s="112" t="e">
        <f t="shared" si="5"/>
        <v>#VALUE!</v>
      </c>
      <c r="U169" s="12"/>
      <c r="V169" s="95" t="str">
        <f>'SET 1 PLAYERS'!Q169</f>
        <v/>
      </c>
      <c r="W169" s="12"/>
    </row>
    <row r="170" spans="2:23" x14ac:dyDescent="0.25">
      <c r="B170" s="88" t="str">
        <f>'SET 1 PLAYERS'!G170</f>
        <v>CLASS 1</v>
      </c>
      <c r="C170" t="str">
        <f>IF(AND('ENTRY DATA'!C170=""),"",('ENTRY DATA'!C170))</f>
        <v/>
      </c>
      <c r="D170" t="str">
        <f>IF(AND('ENTRY DATA'!D170=""),"",('ENTRY DATA'!D170))</f>
        <v/>
      </c>
      <c r="E170" s="12"/>
      <c r="F170" t="str">
        <f>IF(AND('ENTRY DATA'!F170=""),"",('ENTRY DATA'!F170))</f>
        <v/>
      </c>
      <c r="G170" t="str">
        <f>IF(AND('ENTRY DATA'!G170=""),"",('ENTRY DATA'!G170))</f>
        <v/>
      </c>
      <c r="H170" s="12"/>
      <c r="I170" s="12"/>
      <c r="J170" s="66" t="str">
        <f>IF(AND('ENTRY DATA'!J170=""),"",('ENTRY DATA'!J170))</f>
        <v/>
      </c>
      <c r="K170" s="89" t="str">
        <f>IF(AND('ENTRY DATA'!K170=""),"",('ENTRY DATA'!K170))</f>
        <v/>
      </c>
      <c r="L170" s="89" t="str">
        <f>IF(AND('ENTRY DATA'!L170=""),"",('ENTRY DATA'!L170))</f>
        <v/>
      </c>
      <c r="M170" s="89" t="str">
        <f>IF(AND('ENTRY DATA'!M170=""),"",('ENTRY DATA'!M170))</f>
        <v/>
      </c>
      <c r="N170" s="67" t="str">
        <f>IF(AND('ENTRY DATA'!N170=""),"",('ENTRY DATA'!N170))</f>
        <v/>
      </c>
      <c r="O170" s="12"/>
      <c r="P170" s="66">
        <f>'SET 1 PLAYERS'!O170</f>
        <v>0</v>
      </c>
      <c r="Q170" s="67" t="str">
        <f>'SET 1 PLAYERS'!P170</f>
        <v/>
      </c>
      <c r="R170" s="14"/>
      <c r="S170" s="111" t="e">
        <f t="shared" si="4"/>
        <v>#VALUE!</v>
      </c>
      <c r="T170" s="112" t="e">
        <f t="shared" si="5"/>
        <v>#VALUE!</v>
      </c>
      <c r="U170" s="12"/>
      <c r="V170" s="95" t="str">
        <f>'SET 1 PLAYERS'!Q170</f>
        <v/>
      </c>
      <c r="W170" s="12"/>
    </row>
    <row r="171" spans="2:23" x14ac:dyDescent="0.25">
      <c r="B171" s="88" t="str">
        <f>'SET 1 PLAYERS'!G171</f>
        <v>CLASS 1</v>
      </c>
      <c r="C171" t="str">
        <f>IF(AND('ENTRY DATA'!C171=""),"",('ENTRY DATA'!C171))</f>
        <v/>
      </c>
      <c r="D171" t="str">
        <f>IF(AND('ENTRY DATA'!D171=""),"",('ENTRY DATA'!D171))</f>
        <v/>
      </c>
      <c r="E171" s="12"/>
      <c r="F171" t="str">
        <f>IF(AND('ENTRY DATA'!F171=""),"",('ENTRY DATA'!F171))</f>
        <v/>
      </c>
      <c r="G171" t="str">
        <f>IF(AND('ENTRY DATA'!G171=""),"",('ENTRY DATA'!G171))</f>
        <v/>
      </c>
      <c r="H171" s="12"/>
      <c r="I171" s="12"/>
      <c r="J171" s="66" t="str">
        <f>IF(AND('ENTRY DATA'!J171=""),"",('ENTRY DATA'!J171))</f>
        <v/>
      </c>
      <c r="K171" s="89" t="str">
        <f>IF(AND('ENTRY DATA'!K171=""),"",('ENTRY DATA'!K171))</f>
        <v/>
      </c>
      <c r="L171" s="89" t="str">
        <f>IF(AND('ENTRY DATA'!L171=""),"",('ENTRY DATA'!L171))</f>
        <v/>
      </c>
      <c r="M171" s="89" t="str">
        <f>IF(AND('ENTRY DATA'!M171=""),"",('ENTRY DATA'!M171))</f>
        <v/>
      </c>
      <c r="N171" s="67" t="str">
        <f>IF(AND('ENTRY DATA'!N171=""),"",('ENTRY DATA'!N171))</f>
        <v/>
      </c>
      <c r="O171" s="12"/>
      <c r="P171" s="66">
        <f>'SET 1 PLAYERS'!O171</f>
        <v>0</v>
      </c>
      <c r="Q171" s="67" t="str">
        <f>'SET 1 PLAYERS'!P171</f>
        <v/>
      </c>
      <c r="R171" s="14"/>
      <c r="S171" s="111" t="e">
        <f t="shared" si="4"/>
        <v>#VALUE!</v>
      </c>
      <c r="T171" s="112" t="e">
        <f t="shared" si="5"/>
        <v>#VALUE!</v>
      </c>
      <c r="U171" s="12"/>
      <c r="V171" s="95" t="str">
        <f>'SET 1 PLAYERS'!Q171</f>
        <v/>
      </c>
      <c r="W171" s="12"/>
    </row>
    <row r="172" spans="2:23" x14ac:dyDescent="0.25">
      <c r="B172" s="88" t="str">
        <f>'SET 1 PLAYERS'!G172</f>
        <v>CLASS 1</v>
      </c>
      <c r="C172" t="str">
        <f>IF(AND('ENTRY DATA'!C172=""),"",('ENTRY DATA'!C172))</f>
        <v/>
      </c>
      <c r="D172" t="str">
        <f>IF(AND('ENTRY DATA'!D172=""),"",('ENTRY DATA'!D172))</f>
        <v/>
      </c>
      <c r="E172" s="12"/>
      <c r="F172" t="str">
        <f>IF(AND('ENTRY DATA'!F172=""),"",('ENTRY DATA'!F172))</f>
        <v/>
      </c>
      <c r="G172" t="str">
        <f>IF(AND('ENTRY DATA'!G172=""),"",('ENTRY DATA'!G172))</f>
        <v/>
      </c>
      <c r="H172" s="12"/>
      <c r="I172" s="12"/>
      <c r="J172" s="66" t="str">
        <f>IF(AND('ENTRY DATA'!J172=""),"",('ENTRY DATA'!J172))</f>
        <v/>
      </c>
      <c r="K172" s="89" t="str">
        <f>IF(AND('ENTRY DATA'!K172=""),"",('ENTRY DATA'!K172))</f>
        <v/>
      </c>
      <c r="L172" s="89" t="str">
        <f>IF(AND('ENTRY DATA'!L172=""),"",('ENTRY DATA'!L172))</f>
        <v/>
      </c>
      <c r="M172" s="89" t="str">
        <f>IF(AND('ENTRY DATA'!M172=""),"",('ENTRY DATA'!M172))</f>
        <v/>
      </c>
      <c r="N172" s="67" t="str">
        <f>IF(AND('ENTRY DATA'!N172=""),"",('ENTRY DATA'!N172))</f>
        <v/>
      </c>
      <c r="O172" s="12"/>
      <c r="P172" s="66">
        <f>'SET 1 PLAYERS'!O172</f>
        <v>0</v>
      </c>
      <c r="Q172" s="67" t="str">
        <f>'SET 1 PLAYERS'!P172</f>
        <v/>
      </c>
      <c r="R172" s="14"/>
      <c r="S172" s="111" t="e">
        <f t="shared" si="4"/>
        <v>#VALUE!</v>
      </c>
      <c r="T172" s="112" t="e">
        <f t="shared" si="5"/>
        <v>#VALUE!</v>
      </c>
      <c r="U172" s="12"/>
      <c r="V172" s="95" t="str">
        <f>'SET 1 PLAYERS'!Q172</f>
        <v/>
      </c>
      <c r="W172" s="12"/>
    </row>
    <row r="173" spans="2:23" x14ac:dyDescent="0.25">
      <c r="B173" s="88" t="str">
        <f>'SET 1 PLAYERS'!G173</f>
        <v>CLASS 1</v>
      </c>
      <c r="C173" t="str">
        <f>IF(AND('ENTRY DATA'!C173=""),"",('ENTRY DATA'!C173))</f>
        <v/>
      </c>
      <c r="D173" t="str">
        <f>IF(AND('ENTRY DATA'!D173=""),"",('ENTRY DATA'!D173))</f>
        <v/>
      </c>
      <c r="E173" s="12"/>
      <c r="F173" t="str">
        <f>IF(AND('ENTRY DATA'!F173=""),"",('ENTRY DATA'!F173))</f>
        <v/>
      </c>
      <c r="G173" t="str">
        <f>IF(AND('ENTRY DATA'!G173=""),"",('ENTRY DATA'!G173))</f>
        <v/>
      </c>
      <c r="H173" s="12"/>
      <c r="I173" s="12"/>
      <c r="J173" s="66" t="str">
        <f>IF(AND('ENTRY DATA'!J173=""),"",('ENTRY DATA'!J173))</f>
        <v/>
      </c>
      <c r="K173" s="89" t="str">
        <f>IF(AND('ENTRY DATA'!K173=""),"",('ENTRY DATA'!K173))</f>
        <v/>
      </c>
      <c r="L173" s="89" t="str">
        <f>IF(AND('ENTRY DATA'!L173=""),"",('ENTRY DATA'!L173))</f>
        <v/>
      </c>
      <c r="M173" s="89" t="str">
        <f>IF(AND('ENTRY DATA'!M173=""),"",('ENTRY DATA'!M173))</f>
        <v/>
      </c>
      <c r="N173" s="67" t="str">
        <f>IF(AND('ENTRY DATA'!N173=""),"",('ENTRY DATA'!N173))</f>
        <v/>
      </c>
      <c r="O173" s="12"/>
      <c r="P173" s="66">
        <f>'SET 1 PLAYERS'!O173</f>
        <v>0</v>
      </c>
      <c r="Q173" s="67" t="str">
        <f>'SET 1 PLAYERS'!P173</f>
        <v/>
      </c>
      <c r="R173" s="14"/>
      <c r="S173" s="111" t="e">
        <f t="shared" si="4"/>
        <v>#VALUE!</v>
      </c>
      <c r="T173" s="112" t="e">
        <f t="shared" si="5"/>
        <v>#VALUE!</v>
      </c>
      <c r="U173" s="12"/>
      <c r="V173" s="95" t="str">
        <f>'SET 1 PLAYERS'!Q173</f>
        <v/>
      </c>
      <c r="W173" s="12"/>
    </row>
    <row r="174" spans="2:23" x14ac:dyDescent="0.25">
      <c r="B174" s="88" t="str">
        <f>'SET 1 PLAYERS'!G174</f>
        <v>CLASS 1</v>
      </c>
      <c r="C174" t="str">
        <f>IF(AND('ENTRY DATA'!C174=""),"",('ENTRY DATA'!C174))</f>
        <v/>
      </c>
      <c r="D174" t="str">
        <f>IF(AND('ENTRY DATA'!D174=""),"",('ENTRY DATA'!D174))</f>
        <v/>
      </c>
      <c r="E174" s="12"/>
      <c r="F174" t="str">
        <f>IF(AND('ENTRY DATA'!F174=""),"",('ENTRY DATA'!F174))</f>
        <v/>
      </c>
      <c r="G174" t="str">
        <f>IF(AND('ENTRY DATA'!G174=""),"",('ENTRY DATA'!G174))</f>
        <v/>
      </c>
      <c r="H174" s="12"/>
      <c r="I174" s="12"/>
      <c r="J174" s="66" t="str">
        <f>IF(AND('ENTRY DATA'!J174=""),"",('ENTRY DATA'!J174))</f>
        <v/>
      </c>
      <c r="K174" s="89" t="str">
        <f>IF(AND('ENTRY DATA'!K174=""),"",('ENTRY DATA'!K174))</f>
        <v/>
      </c>
      <c r="L174" s="89" t="str">
        <f>IF(AND('ENTRY DATA'!L174=""),"",('ENTRY DATA'!L174))</f>
        <v/>
      </c>
      <c r="M174" s="89" t="str">
        <f>IF(AND('ENTRY DATA'!M174=""),"",('ENTRY DATA'!M174))</f>
        <v/>
      </c>
      <c r="N174" s="67" t="str">
        <f>IF(AND('ENTRY DATA'!N174=""),"",('ENTRY DATA'!N174))</f>
        <v/>
      </c>
      <c r="O174" s="12"/>
      <c r="P174" s="66">
        <f>'SET 1 PLAYERS'!O174</f>
        <v>0</v>
      </c>
      <c r="Q174" s="67" t="str">
        <f>'SET 1 PLAYERS'!P174</f>
        <v/>
      </c>
      <c r="R174" s="14"/>
      <c r="S174" s="111" t="e">
        <f t="shared" si="4"/>
        <v>#VALUE!</v>
      </c>
      <c r="T174" s="112" t="e">
        <f t="shared" si="5"/>
        <v>#VALUE!</v>
      </c>
      <c r="U174" s="12"/>
      <c r="V174" s="95" t="str">
        <f>'SET 1 PLAYERS'!Q174</f>
        <v/>
      </c>
      <c r="W174" s="12"/>
    </row>
    <row r="175" spans="2:23" x14ac:dyDescent="0.25">
      <c r="B175" s="88" t="str">
        <f>'SET 1 PLAYERS'!G175</f>
        <v>CLASS 1</v>
      </c>
      <c r="C175" t="str">
        <f>IF(AND('ENTRY DATA'!C175=""),"",('ENTRY DATA'!C175))</f>
        <v/>
      </c>
      <c r="D175" t="str">
        <f>IF(AND('ENTRY DATA'!D175=""),"",('ENTRY DATA'!D175))</f>
        <v/>
      </c>
      <c r="E175" s="12"/>
      <c r="F175" t="str">
        <f>IF(AND('ENTRY DATA'!F175=""),"",('ENTRY DATA'!F175))</f>
        <v/>
      </c>
      <c r="G175" t="str">
        <f>IF(AND('ENTRY DATA'!G175=""),"",('ENTRY DATA'!G175))</f>
        <v/>
      </c>
      <c r="H175" s="12"/>
      <c r="I175" s="12"/>
      <c r="J175" s="66" t="str">
        <f>IF(AND('ENTRY DATA'!J175=""),"",('ENTRY DATA'!J175))</f>
        <v/>
      </c>
      <c r="K175" s="89" t="str">
        <f>IF(AND('ENTRY DATA'!K175=""),"",('ENTRY DATA'!K175))</f>
        <v/>
      </c>
      <c r="L175" s="89" t="str">
        <f>IF(AND('ENTRY DATA'!L175=""),"",('ENTRY DATA'!L175))</f>
        <v/>
      </c>
      <c r="M175" s="89" t="str">
        <f>IF(AND('ENTRY DATA'!M175=""),"",('ENTRY DATA'!M175))</f>
        <v/>
      </c>
      <c r="N175" s="67" t="str">
        <f>IF(AND('ENTRY DATA'!N175=""),"",('ENTRY DATA'!N175))</f>
        <v/>
      </c>
      <c r="O175" s="12"/>
      <c r="P175" s="66">
        <f>'SET 1 PLAYERS'!O175</f>
        <v>0</v>
      </c>
      <c r="Q175" s="67" t="str">
        <f>'SET 1 PLAYERS'!P175</f>
        <v/>
      </c>
      <c r="R175" s="14"/>
      <c r="S175" s="111" t="e">
        <f t="shared" si="4"/>
        <v>#VALUE!</v>
      </c>
      <c r="T175" s="112" t="e">
        <f t="shared" si="5"/>
        <v>#VALUE!</v>
      </c>
      <c r="U175" s="12"/>
      <c r="V175" s="95" t="str">
        <f>'SET 1 PLAYERS'!Q175</f>
        <v/>
      </c>
      <c r="W175" s="12"/>
    </row>
    <row r="176" spans="2:23" x14ac:dyDescent="0.25">
      <c r="B176" s="88" t="str">
        <f>'SET 1 PLAYERS'!G176</f>
        <v>CLASS 1</v>
      </c>
      <c r="C176" t="str">
        <f>IF(AND('ENTRY DATA'!C176=""),"",('ENTRY DATA'!C176))</f>
        <v/>
      </c>
      <c r="D176" t="str">
        <f>IF(AND('ENTRY DATA'!D176=""),"",('ENTRY DATA'!D176))</f>
        <v/>
      </c>
      <c r="E176" s="12"/>
      <c r="F176" t="str">
        <f>IF(AND('ENTRY DATA'!F176=""),"",('ENTRY DATA'!F176))</f>
        <v/>
      </c>
      <c r="G176" t="str">
        <f>IF(AND('ENTRY DATA'!G176=""),"",('ENTRY DATA'!G176))</f>
        <v/>
      </c>
      <c r="H176" s="12"/>
      <c r="I176" s="12"/>
      <c r="J176" s="66" t="str">
        <f>IF(AND('ENTRY DATA'!J176=""),"",('ENTRY DATA'!J176))</f>
        <v/>
      </c>
      <c r="K176" s="89" t="str">
        <f>IF(AND('ENTRY DATA'!K176=""),"",('ENTRY DATA'!K176))</f>
        <v/>
      </c>
      <c r="L176" s="89" t="str">
        <f>IF(AND('ENTRY DATA'!L176=""),"",('ENTRY DATA'!L176))</f>
        <v/>
      </c>
      <c r="M176" s="89" t="str">
        <f>IF(AND('ENTRY DATA'!M176=""),"",('ENTRY DATA'!M176))</f>
        <v/>
      </c>
      <c r="N176" s="67" t="str">
        <f>IF(AND('ENTRY DATA'!N176=""),"",('ENTRY DATA'!N176))</f>
        <v/>
      </c>
      <c r="O176" s="12"/>
      <c r="P176" s="66">
        <f>'SET 1 PLAYERS'!O176</f>
        <v>0</v>
      </c>
      <c r="Q176" s="67" t="str">
        <f>'SET 1 PLAYERS'!P176</f>
        <v/>
      </c>
      <c r="R176" s="14"/>
      <c r="S176" s="111" t="e">
        <f t="shared" si="4"/>
        <v>#VALUE!</v>
      </c>
      <c r="T176" s="112" t="e">
        <f t="shared" si="5"/>
        <v>#VALUE!</v>
      </c>
      <c r="U176" s="12"/>
      <c r="V176" s="95" t="str">
        <f>'SET 1 PLAYERS'!Q176</f>
        <v/>
      </c>
      <c r="W176" s="12"/>
    </row>
    <row r="177" spans="2:23" x14ac:dyDescent="0.25">
      <c r="B177" s="88" t="str">
        <f>'SET 1 PLAYERS'!G177</f>
        <v>CLASS 1</v>
      </c>
      <c r="C177" t="str">
        <f>IF(AND('ENTRY DATA'!C177=""),"",('ENTRY DATA'!C177))</f>
        <v/>
      </c>
      <c r="D177" t="str">
        <f>IF(AND('ENTRY DATA'!D177=""),"",('ENTRY DATA'!D177))</f>
        <v/>
      </c>
      <c r="E177" s="12"/>
      <c r="F177" t="str">
        <f>IF(AND('ENTRY DATA'!F177=""),"",('ENTRY DATA'!F177))</f>
        <v/>
      </c>
      <c r="G177" t="str">
        <f>IF(AND('ENTRY DATA'!G177=""),"",('ENTRY DATA'!G177))</f>
        <v/>
      </c>
      <c r="H177" s="12"/>
      <c r="I177" s="12"/>
      <c r="J177" s="66" t="str">
        <f>IF(AND('ENTRY DATA'!J177=""),"",('ENTRY DATA'!J177))</f>
        <v/>
      </c>
      <c r="K177" s="89" t="str">
        <f>IF(AND('ENTRY DATA'!K177=""),"",('ENTRY DATA'!K177))</f>
        <v/>
      </c>
      <c r="L177" s="89" t="str">
        <f>IF(AND('ENTRY DATA'!L177=""),"",('ENTRY DATA'!L177))</f>
        <v/>
      </c>
      <c r="M177" s="89" t="str">
        <f>IF(AND('ENTRY DATA'!M177=""),"",('ENTRY DATA'!M177))</f>
        <v/>
      </c>
      <c r="N177" s="67" t="str">
        <f>IF(AND('ENTRY DATA'!N177=""),"",('ENTRY DATA'!N177))</f>
        <v/>
      </c>
      <c r="O177" s="12"/>
      <c r="P177" s="66">
        <f>'SET 1 PLAYERS'!O177</f>
        <v>0</v>
      </c>
      <c r="Q177" s="67" t="str">
        <f>'SET 1 PLAYERS'!P177</f>
        <v/>
      </c>
      <c r="R177" s="14"/>
      <c r="S177" s="111" t="e">
        <f t="shared" si="4"/>
        <v>#VALUE!</v>
      </c>
      <c r="T177" s="112" t="e">
        <f t="shared" si="5"/>
        <v>#VALUE!</v>
      </c>
      <c r="U177" s="12"/>
      <c r="V177" s="95" t="str">
        <f>'SET 1 PLAYERS'!Q177</f>
        <v/>
      </c>
      <c r="W177" s="12"/>
    </row>
    <row r="178" spans="2:23" x14ac:dyDescent="0.25">
      <c r="B178" s="88" t="str">
        <f>'SET 1 PLAYERS'!G178</f>
        <v>CLASS 1</v>
      </c>
      <c r="C178" t="str">
        <f>IF(AND('ENTRY DATA'!C178=""),"",('ENTRY DATA'!C178))</f>
        <v/>
      </c>
      <c r="D178" t="str">
        <f>IF(AND('ENTRY DATA'!D178=""),"",('ENTRY DATA'!D178))</f>
        <v/>
      </c>
      <c r="E178" s="12"/>
      <c r="F178" t="str">
        <f>IF(AND('ENTRY DATA'!F178=""),"",('ENTRY DATA'!F178))</f>
        <v/>
      </c>
      <c r="G178" t="str">
        <f>IF(AND('ENTRY DATA'!G178=""),"",('ENTRY DATA'!G178))</f>
        <v/>
      </c>
      <c r="H178" s="12"/>
      <c r="I178" s="12"/>
      <c r="J178" s="66" t="str">
        <f>IF(AND('ENTRY DATA'!J178=""),"",('ENTRY DATA'!J178))</f>
        <v/>
      </c>
      <c r="K178" s="89" t="str">
        <f>IF(AND('ENTRY DATA'!K178=""),"",('ENTRY DATA'!K178))</f>
        <v/>
      </c>
      <c r="L178" s="89" t="str">
        <f>IF(AND('ENTRY DATA'!L178=""),"",('ENTRY DATA'!L178))</f>
        <v/>
      </c>
      <c r="M178" s="89" t="str">
        <f>IF(AND('ENTRY DATA'!M178=""),"",('ENTRY DATA'!M178))</f>
        <v/>
      </c>
      <c r="N178" s="67" t="str">
        <f>IF(AND('ENTRY DATA'!N178=""),"",('ENTRY DATA'!N178))</f>
        <v/>
      </c>
      <c r="O178" s="12"/>
      <c r="P178" s="66">
        <f>'SET 1 PLAYERS'!O178</f>
        <v>0</v>
      </c>
      <c r="Q178" s="67" t="str">
        <f>'SET 1 PLAYERS'!P178</f>
        <v/>
      </c>
      <c r="R178" s="14"/>
      <c r="S178" s="111" t="e">
        <f t="shared" si="4"/>
        <v>#VALUE!</v>
      </c>
      <c r="T178" s="112" t="e">
        <f t="shared" si="5"/>
        <v>#VALUE!</v>
      </c>
      <c r="U178" s="12"/>
      <c r="V178" s="95" t="str">
        <f>'SET 1 PLAYERS'!Q178</f>
        <v/>
      </c>
      <c r="W178" s="12"/>
    </row>
    <row r="179" spans="2:23" x14ac:dyDescent="0.25">
      <c r="B179" s="88" t="str">
        <f>'SET 1 PLAYERS'!G179</f>
        <v>CLASS 1</v>
      </c>
      <c r="C179" t="str">
        <f>IF(AND('ENTRY DATA'!C179=""),"",('ENTRY DATA'!C179))</f>
        <v/>
      </c>
      <c r="D179" t="str">
        <f>IF(AND('ENTRY DATA'!D179=""),"",('ENTRY DATA'!D179))</f>
        <v/>
      </c>
      <c r="E179" s="12"/>
      <c r="F179" t="str">
        <f>IF(AND('ENTRY DATA'!F179=""),"",('ENTRY DATA'!F179))</f>
        <v/>
      </c>
      <c r="G179" t="str">
        <f>IF(AND('ENTRY DATA'!G179=""),"",('ENTRY DATA'!G179))</f>
        <v/>
      </c>
      <c r="H179" s="12"/>
      <c r="I179" s="12"/>
      <c r="J179" s="66" t="str">
        <f>IF(AND('ENTRY DATA'!J179=""),"",('ENTRY DATA'!J179))</f>
        <v/>
      </c>
      <c r="K179" s="89" t="str">
        <f>IF(AND('ENTRY DATA'!K179=""),"",('ENTRY DATA'!K179))</f>
        <v/>
      </c>
      <c r="L179" s="89" t="str">
        <f>IF(AND('ENTRY DATA'!L179=""),"",('ENTRY DATA'!L179))</f>
        <v/>
      </c>
      <c r="M179" s="89" t="str">
        <f>IF(AND('ENTRY DATA'!M179=""),"",('ENTRY DATA'!M179))</f>
        <v/>
      </c>
      <c r="N179" s="67" t="str">
        <f>IF(AND('ENTRY DATA'!N179=""),"",('ENTRY DATA'!N179))</f>
        <v/>
      </c>
      <c r="O179" s="12"/>
      <c r="P179" s="66">
        <f>'SET 1 PLAYERS'!O179</f>
        <v>0</v>
      </c>
      <c r="Q179" s="67" t="str">
        <f>'SET 1 PLAYERS'!P179</f>
        <v/>
      </c>
      <c r="R179" s="14"/>
      <c r="S179" s="111" t="e">
        <f t="shared" si="4"/>
        <v>#VALUE!</v>
      </c>
      <c r="T179" s="112" t="e">
        <f t="shared" si="5"/>
        <v>#VALUE!</v>
      </c>
      <c r="U179" s="12"/>
      <c r="V179" s="95" t="str">
        <f>'SET 1 PLAYERS'!Q179</f>
        <v/>
      </c>
      <c r="W179" s="12"/>
    </row>
    <row r="180" spans="2:23" x14ac:dyDescent="0.25">
      <c r="B180" s="88" t="str">
        <f>'SET 1 PLAYERS'!G180</f>
        <v>CLASS 1</v>
      </c>
      <c r="C180" t="str">
        <f>IF(AND('ENTRY DATA'!C180=""),"",('ENTRY DATA'!C180))</f>
        <v/>
      </c>
      <c r="D180" t="str">
        <f>IF(AND('ENTRY DATA'!D180=""),"",('ENTRY DATA'!D180))</f>
        <v/>
      </c>
      <c r="E180" s="12"/>
      <c r="F180" t="str">
        <f>IF(AND('ENTRY DATA'!F180=""),"",('ENTRY DATA'!F180))</f>
        <v/>
      </c>
      <c r="G180" t="str">
        <f>IF(AND('ENTRY DATA'!G180=""),"",('ENTRY DATA'!G180))</f>
        <v/>
      </c>
      <c r="H180" s="12"/>
      <c r="I180" s="12"/>
      <c r="J180" s="66" t="str">
        <f>IF(AND('ENTRY DATA'!J180=""),"",('ENTRY DATA'!J180))</f>
        <v/>
      </c>
      <c r="K180" s="89" t="str">
        <f>IF(AND('ENTRY DATA'!K180=""),"",('ENTRY DATA'!K180))</f>
        <v/>
      </c>
      <c r="L180" s="89" t="str">
        <f>IF(AND('ENTRY DATA'!L180=""),"",('ENTRY DATA'!L180))</f>
        <v/>
      </c>
      <c r="M180" s="89" t="str">
        <f>IF(AND('ENTRY DATA'!M180=""),"",('ENTRY DATA'!M180))</f>
        <v/>
      </c>
      <c r="N180" s="67" t="str">
        <f>IF(AND('ENTRY DATA'!N180=""),"",('ENTRY DATA'!N180))</f>
        <v/>
      </c>
      <c r="O180" s="12"/>
      <c r="P180" s="66">
        <f>'SET 1 PLAYERS'!O180</f>
        <v>0</v>
      </c>
      <c r="Q180" s="67" t="str">
        <f>'SET 1 PLAYERS'!P180</f>
        <v/>
      </c>
      <c r="R180" s="14"/>
      <c r="S180" s="111" t="e">
        <f t="shared" si="4"/>
        <v>#VALUE!</v>
      </c>
      <c r="T180" s="112" t="e">
        <f t="shared" si="5"/>
        <v>#VALUE!</v>
      </c>
      <c r="U180" s="12"/>
      <c r="V180" s="95" t="str">
        <f>'SET 1 PLAYERS'!Q180</f>
        <v/>
      </c>
      <c r="W180" s="12"/>
    </row>
    <row r="181" spans="2:23" x14ac:dyDescent="0.25">
      <c r="B181" s="88" t="str">
        <f>'SET 1 PLAYERS'!G181</f>
        <v>CLASS 1</v>
      </c>
      <c r="C181" t="str">
        <f>IF(AND('ENTRY DATA'!C181=""),"",('ENTRY DATA'!C181))</f>
        <v/>
      </c>
      <c r="D181" t="str">
        <f>IF(AND('ENTRY DATA'!D181=""),"",('ENTRY DATA'!D181))</f>
        <v/>
      </c>
      <c r="E181" s="12"/>
      <c r="F181" t="str">
        <f>IF(AND('ENTRY DATA'!F181=""),"",('ENTRY DATA'!F181))</f>
        <v/>
      </c>
      <c r="G181" t="str">
        <f>IF(AND('ENTRY DATA'!G181=""),"",('ENTRY DATA'!G181))</f>
        <v/>
      </c>
      <c r="H181" s="12"/>
      <c r="I181" s="12"/>
      <c r="J181" s="66" t="str">
        <f>IF(AND('ENTRY DATA'!J181=""),"",('ENTRY DATA'!J181))</f>
        <v/>
      </c>
      <c r="K181" s="89" t="str">
        <f>IF(AND('ENTRY DATA'!K181=""),"",('ENTRY DATA'!K181))</f>
        <v/>
      </c>
      <c r="L181" s="89" t="str">
        <f>IF(AND('ENTRY DATA'!L181=""),"",('ENTRY DATA'!L181))</f>
        <v/>
      </c>
      <c r="M181" s="89" t="str">
        <f>IF(AND('ENTRY DATA'!M181=""),"",('ENTRY DATA'!M181))</f>
        <v/>
      </c>
      <c r="N181" s="67" t="str">
        <f>IF(AND('ENTRY DATA'!N181=""),"",('ENTRY DATA'!N181))</f>
        <v/>
      </c>
      <c r="O181" s="12"/>
      <c r="P181" s="66">
        <f>'SET 1 PLAYERS'!O181</f>
        <v>0</v>
      </c>
      <c r="Q181" s="67" t="str">
        <f>'SET 1 PLAYERS'!P181</f>
        <v/>
      </c>
      <c r="R181" s="14"/>
      <c r="S181" s="111" t="e">
        <f t="shared" si="4"/>
        <v>#VALUE!</v>
      </c>
      <c r="T181" s="112" t="e">
        <f t="shared" si="5"/>
        <v>#VALUE!</v>
      </c>
      <c r="U181" s="12"/>
      <c r="V181" s="95" t="str">
        <f>'SET 1 PLAYERS'!Q181</f>
        <v/>
      </c>
      <c r="W181" s="12"/>
    </row>
    <row r="182" spans="2:23" x14ac:dyDescent="0.25">
      <c r="B182" s="88" t="str">
        <f>'SET 1 PLAYERS'!G182</f>
        <v>CLASS 1</v>
      </c>
      <c r="C182" t="str">
        <f>IF(AND('ENTRY DATA'!C182=""),"",('ENTRY DATA'!C182))</f>
        <v/>
      </c>
      <c r="D182" t="str">
        <f>IF(AND('ENTRY DATA'!D182=""),"",('ENTRY DATA'!D182))</f>
        <v/>
      </c>
      <c r="E182" s="12"/>
      <c r="F182" t="str">
        <f>IF(AND('ENTRY DATA'!F182=""),"",('ENTRY DATA'!F182))</f>
        <v/>
      </c>
      <c r="G182" t="str">
        <f>IF(AND('ENTRY DATA'!G182=""),"",('ENTRY DATA'!G182))</f>
        <v/>
      </c>
      <c r="H182" s="12"/>
      <c r="I182" s="12"/>
      <c r="J182" s="66" t="str">
        <f>IF(AND('ENTRY DATA'!J182=""),"",('ENTRY DATA'!J182))</f>
        <v/>
      </c>
      <c r="K182" s="89" t="str">
        <f>IF(AND('ENTRY DATA'!K182=""),"",('ENTRY DATA'!K182))</f>
        <v/>
      </c>
      <c r="L182" s="89" t="str">
        <f>IF(AND('ENTRY DATA'!L182=""),"",('ENTRY DATA'!L182))</f>
        <v/>
      </c>
      <c r="M182" s="89" t="str">
        <f>IF(AND('ENTRY DATA'!M182=""),"",('ENTRY DATA'!M182))</f>
        <v/>
      </c>
      <c r="N182" s="67" t="str">
        <f>IF(AND('ENTRY DATA'!N182=""),"",('ENTRY DATA'!N182))</f>
        <v/>
      </c>
      <c r="O182" s="12"/>
      <c r="P182" s="66">
        <f>'SET 1 PLAYERS'!O182</f>
        <v>0</v>
      </c>
      <c r="Q182" s="67" t="str">
        <f>'SET 1 PLAYERS'!P182</f>
        <v/>
      </c>
      <c r="R182" s="14"/>
      <c r="S182" s="111" t="e">
        <f t="shared" si="4"/>
        <v>#VALUE!</v>
      </c>
      <c r="T182" s="112" t="e">
        <f t="shared" si="5"/>
        <v>#VALUE!</v>
      </c>
      <c r="U182" s="12"/>
      <c r="V182" s="95" t="str">
        <f>'SET 1 PLAYERS'!Q182</f>
        <v/>
      </c>
      <c r="W182" s="12"/>
    </row>
    <row r="183" spans="2:23" x14ac:dyDescent="0.25">
      <c r="B183" s="88" t="str">
        <f>'SET 1 PLAYERS'!G183</f>
        <v>CLASS 1</v>
      </c>
      <c r="C183" t="str">
        <f>IF(AND('ENTRY DATA'!C183=""),"",('ENTRY DATA'!C183))</f>
        <v/>
      </c>
      <c r="D183" t="str">
        <f>IF(AND('ENTRY DATA'!D183=""),"",('ENTRY DATA'!D183))</f>
        <v/>
      </c>
      <c r="E183" s="12"/>
      <c r="F183" t="str">
        <f>IF(AND('ENTRY DATA'!F183=""),"",('ENTRY DATA'!F183))</f>
        <v/>
      </c>
      <c r="G183" t="str">
        <f>IF(AND('ENTRY DATA'!G183=""),"",('ENTRY DATA'!G183))</f>
        <v/>
      </c>
      <c r="H183" s="12"/>
      <c r="I183" s="12"/>
      <c r="J183" s="66" t="str">
        <f>IF(AND('ENTRY DATA'!J183=""),"",('ENTRY DATA'!J183))</f>
        <v/>
      </c>
      <c r="K183" s="89" t="str">
        <f>IF(AND('ENTRY DATA'!K183=""),"",('ENTRY DATA'!K183))</f>
        <v/>
      </c>
      <c r="L183" s="89" t="str">
        <f>IF(AND('ENTRY DATA'!L183=""),"",('ENTRY DATA'!L183))</f>
        <v/>
      </c>
      <c r="M183" s="89" t="str">
        <f>IF(AND('ENTRY DATA'!M183=""),"",('ENTRY DATA'!M183))</f>
        <v/>
      </c>
      <c r="N183" s="67" t="str">
        <f>IF(AND('ENTRY DATA'!N183=""),"",('ENTRY DATA'!N183))</f>
        <v/>
      </c>
      <c r="O183" s="12"/>
      <c r="P183" s="66">
        <f>'SET 1 PLAYERS'!O183</f>
        <v>0</v>
      </c>
      <c r="Q183" s="67" t="str">
        <f>'SET 1 PLAYERS'!P183</f>
        <v/>
      </c>
      <c r="R183" s="14"/>
      <c r="S183" s="111" t="e">
        <f t="shared" si="4"/>
        <v>#VALUE!</v>
      </c>
      <c r="T183" s="112" t="e">
        <f t="shared" si="5"/>
        <v>#VALUE!</v>
      </c>
      <c r="U183" s="12"/>
      <c r="V183" s="95" t="str">
        <f>'SET 1 PLAYERS'!Q183</f>
        <v/>
      </c>
      <c r="W183" s="12"/>
    </row>
    <row r="184" spans="2:23" x14ac:dyDescent="0.25">
      <c r="B184" s="88" t="str">
        <f>'SET 1 PLAYERS'!G184</f>
        <v>CLASS 1</v>
      </c>
      <c r="C184" t="str">
        <f>IF(AND('ENTRY DATA'!C184=""),"",('ENTRY DATA'!C184))</f>
        <v/>
      </c>
      <c r="D184" t="str">
        <f>IF(AND('ENTRY DATA'!D184=""),"",('ENTRY DATA'!D184))</f>
        <v/>
      </c>
      <c r="E184" s="12"/>
      <c r="F184" t="str">
        <f>IF(AND('ENTRY DATA'!F184=""),"",('ENTRY DATA'!F184))</f>
        <v/>
      </c>
      <c r="G184" t="str">
        <f>IF(AND('ENTRY DATA'!G184=""),"",('ENTRY DATA'!G184))</f>
        <v/>
      </c>
      <c r="H184" s="12"/>
      <c r="I184" s="12"/>
      <c r="J184" s="66" t="str">
        <f>IF(AND('ENTRY DATA'!J184=""),"",('ENTRY DATA'!J184))</f>
        <v/>
      </c>
      <c r="K184" s="89" t="str">
        <f>IF(AND('ENTRY DATA'!K184=""),"",('ENTRY DATA'!K184))</f>
        <v/>
      </c>
      <c r="L184" s="89" t="str">
        <f>IF(AND('ENTRY DATA'!L184=""),"",('ENTRY DATA'!L184))</f>
        <v/>
      </c>
      <c r="M184" s="89" t="str">
        <f>IF(AND('ENTRY DATA'!M184=""),"",('ENTRY DATA'!M184))</f>
        <v/>
      </c>
      <c r="N184" s="67" t="str">
        <f>IF(AND('ENTRY DATA'!N184=""),"",('ENTRY DATA'!N184))</f>
        <v/>
      </c>
      <c r="O184" s="12"/>
      <c r="P184" s="66">
        <f>'SET 1 PLAYERS'!O184</f>
        <v>0</v>
      </c>
      <c r="Q184" s="67" t="str">
        <f>'SET 1 PLAYERS'!P184</f>
        <v/>
      </c>
      <c r="R184" s="14"/>
      <c r="S184" s="111" t="e">
        <f t="shared" si="4"/>
        <v>#VALUE!</v>
      </c>
      <c r="T184" s="112" t="e">
        <f t="shared" si="5"/>
        <v>#VALUE!</v>
      </c>
      <c r="U184" s="12"/>
      <c r="V184" s="95" t="str">
        <f>'SET 1 PLAYERS'!Q184</f>
        <v/>
      </c>
      <c r="W184" s="12"/>
    </row>
    <row r="185" spans="2:23" x14ac:dyDescent="0.25">
      <c r="B185" s="88" t="str">
        <f>'SET 1 PLAYERS'!G185</f>
        <v>CLASS 1</v>
      </c>
      <c r="C185" t="str">
        <f>IF(AND('ENTRY DATA'!C185=""),"",('ENTRY DATA'!C185))</f>
        <v/>
      </c>
      <c r="D185" t="str">
        <f>IF(AND('ENTRY DATA'!D185=""),"",('ENTRY DATA'!D185))</f>
        <v/>
      </c>
      <c r="E185" s="12"/>
      <c r="F185" t="str">
        <f>IF(AND('ENTRY DATA'!F185=""),"",('ENTRY DATA'!F185))</f>
        <v/>
      </c>
      <c r="G185" t="str">
        <f>IF(AND('ENTRY DATA'!G185=""),"",('ENTRY DATA'!G185))</f>
        <v/>
      </c>
      <c r="H185" s="12"/>
      <c r="I185" s="12"/>
      <c r="J185" s="66" t="str">
        <f>IF(AND('ENTRY DATA'!J185=""),"",('ENTRY DATA'!J185))</f>
        <v/>
      </c>
      <c r="K185" s="89" t="str">
        <f>IF(AND('ENTRY DATA'!K185=""),"",('ENTRY DATA'!K185))</f>
        <v/>
      </c>
      <c r="L185" s="89" t="str">
        <f>IF(AND('ENTRY DATA'!L185=""),"",('ENTRY DATA'!L185))</f>
        <v/>
      </c>
      <c r="M185" s="89" t="str">
        <f>IF(AND('ENTRY DATA'!M185=""),"",('ENTRY DATA'!M185))</f>
        <v/>
      </c>
      <c r="N185" s="67" t="str">
        <f>IF(AND('ENTRY DATA'!N185=""),"",('ENTRY DATA'!N185))</f>
        <v/>
      </c>
      <c r="O185" s="12"/>
      <c r="P185" s="66">
        <f>'SET 1 PLAYERS'!O185</f>
        <v>0</v>
      </c>
      <c r="Q185" s="67" t="str">
        <f>'SET 1 PLAYERS'!P185</f>
        <v/>
      </c>
      <c r="R185" s="14"/>
      <c r="S185" s="111" t="e">
        <f t="shared" si="4"/>
        <v>#VALUE!</v>
      </c>
      <c r="T185" s="112" t="e">
        <f t="shared" si="5"/>
        <v>#VALUE!</v>
      </c>
      <c r="U185" s="12"/>
      <c r="V185" s="95" t="str">
        <f>'SET 1 PLAYERS'!Q185</f>
        <v/>
      </c>
      <c r="W185" s="12"/>
    </row>
    <row r="186" spans="2:23" x14ac:dyDescent="0.25">
      <c r="B186" s="88" t="str">
        <f>'SET 1 PLAYERS'!G186</f>
        <v>CLASS 1</v>
      </c>
      <c r="C186" t="str">
        <f>IF(AND('ENTRY DATA'!C186=""),"",('ENTRY DATA'!C186))</f>
        <v/>
      </c>
      <c r="D186" t="str">
        <f>IF(AND('ENTRY DATA'!D186=""),"",('ENTRY DATA'!D186))</f>
        <v/>
      </c>
      <c r="E186" s="12"/>
      <c r="F186" t="str">
        <f>IF(AND('ENTRY DATA'!F186=""),"",('ENTRY DATA'!F186))</f>
        <v/>
      </c>
      <c r="G186" t="str">
        <f>IF(AND('ENTRY DATA'!G186=""),"",('ENTRY DATA'!G186))</f>
        <v/>
      </c>
      <c r="H186" s="12"/>
      <c r="I186" s="12"/>
      <c r="J186" s="66" t="str">
        <f>IF(AND('ENTRY DATA'!J186=""),"",('ENTRY DATA'!J186))</f>
        <v/>
      </c>
      <c r="K186" s="89" t="str">
        <f>IF(AND('ENTRY DATA'!K186=""),"",('ENTRY DATA'!K186))</f>
        <v/>
      </c>
      <c r="L186" s="89" t="str">
        <f>IF(AND('ENTRY DATA'!L186=""),"",('ENTRY DATA'!L186))</f>
        <v/>
      </c>
      <c r="M186" s="89" t="str">
        <f>IF(AND('ENTRY DATA'!M186=""),"",('ENTRY DATA'!M186))</f>
        <v/>
      </c>
      <c r="N186" s="67" t="str">
        <f>IF(AND('ENTRY DATA'!N186=""),"",('ENTRY DATA'!N186))</f>
        <v/>
      </c>
      <c r="O186" s="12"/>
      <c r="P186" s="66">
        <f>'SET 1 PLAYERS'!O186</f>
        <v>0</v>
      </c>
      <c r="Q186" s="67" t="str">
        <f>'SET 1 PLAYERS'!P186</f>
        <v/>
      </c>
      <c r="R186" s="14"/>
      <c r="S186" s="111" t="e">
        <f t="shared" si="4"/>
        <v>#VALUE!</v>
      </c>
      <c r="T186" s="112" t="e">
        <f t="shared" si="5"/>
        <v>#VALUE!</v>
      </c>
      <c r="U186" s="12"/>
      <c r="V186" s="95" t="str">
        <f>'SET 1 PLAYERS'!Q186</f>
        <v/>
      </c>
      <c r="W186" s="12"/>
    </row>
    <row r="187" spans="2:23" x14ac:dyDescent="0.25">
      <c r="B187" s="88" t="str">
        <f>'SET 1 PLAYERS'!G187</f>
        <v>CLASS 1</v>
      </c>
      <c r="C187" t="str">
        <f>IF(AND('ENTRY DATA'!C187=""),"",('ENTRY DATA'!C187))</f>
        <v/>
      </c>
      <c r="D187" t="str">
        <f>IF(AND('ENTRY DATA'!D187=""),"",('ENTRY DATA'!D187))</f>
        <v/>
      </c>
      <c r="E187" s="12"/>
      <c r="F187" t="str">
        <f>IF(AND('ENTRY DATA'!F187=""),"",('ENTRY DATA'!F187))</f>
        <v/>
      </c>
      <c r="G187" t="str">
        <f>IF(AND('ENTRY DATA'!G187=""),"",('ENTRY DATA'!G187))</f>
        <v/>
      </c>
      <c r="H187" s="12"/>
      <c r="I187" s="12"/>
      <c r="J187" s="66" t="str">
        <f>IF(AND('ENTRY DATA'!J187=""),"",('ENTRY DATA'!J187))</f>
        <v/>
      </c>
      <c r="K187" s="89" t="str">
        <f>IF(AND('ENTRY DATA'!K187=""),"",('ENTRY DATA'!K187))</f>
        <v/>
      </c>
      <c r="L187" s="89" t="str">
        <f>IF(AND('ENTRY DATA'!L187=""),"",('ENTRY DATA'!L187))</f>
        <v/>
      </c>
      <c r="M187" s="89" t="str">
        <f>IF(AND('ENTRY DATA'!M187=""),"",('ENTRY DATA'!M187))</f>
        <v/>
      </c>
      <c r="N187" s="67" t="str">
        <f>IF(AND('ENTRY DATA'!N187=""),"",('ENTRY DATA'!N187))</f>
        <v/>
      </c>
      <c r="O187" s="12"/>
      <c r="P187" s="66">
        <f>'SET 1 PLAYERS'!O187</f>
        <v>0</v>
      </c>
      <c r="Q187" s="67" t="str">
        <f>'SET 1 PLAYERS'!P187</f>
        <v/>
      </c>
      <c r="R187" s="14"/>
      <c r="S187" s="111" t="e">
        <f t="shared" si="4"/>
        <v>#VALUE!</v>
      </c>
      <c r="T187" s="112" t="e">
        <f t="shared" si="5"/>
        <v>#VALUE!</v>
      </c>
      <c r="U187" s="12"/>
      <c r="V187" s="95" t="str">
        <f>'SET 1 PLAYERS'!Q187</f>
        <v/>
      </c>
      <c r="W187" s="12"/>
    </row>
    <row r="188" spans="2:23" x14ac:dyDescent="0.25">
      <c r="B188" s="88" t="str">
        <f>'SET 1 PLAYERS'!G188</f>
        <v>CLASS 1</v>
      </c>
      <c r="C188" t="str">
        <f>IF(AND('ENTRY DATA'!C188=""),"",('ENTRY DATA'!C188))</f>
        <v/>
      </c>
      <c r="D188" t="str">
        <f>IF(AND('ENTRY DATA'!D188=""),"",('ENTRY DATA'!D188))</f>
        <v/>
      </c>
      <c r="E188" s="12"/>
      <c r="F188" t="str">
        <f>IF(AND('ENTRY DATA'!F188=""),"",('ENTRY DATA'!F188))</f>
        <v/>
      </c>
      <c r="G188" t="str">
        <f>IF(AND('ENTRY DATA'!G188=""),"",('ENTRY DATA'!G188))</f>
        <v/>
      </c>
      <c r="H188" s="12"/>
      <c r="I188" s="12"/>
      <c r="J188" s="66" t="str">
        <f>IF(AND('ENTRY DATA'!J188=""),"",('ENTRY DATA'!J188))</f>
        <v/>
      </c>
      <c r="K188" s="89" t="str">
        <f>IF(AND('ENTRY DATA'!K188=""),"",('ENTRY DATA'!K188))</f>
        <v/>
      </c>
      <c r="L188" s="89" t="str">
        <f>IF(AND('ENTRY DATA'!L188=""),"",('ENTRY DATA'!L188))</f>
        <v/>
      </c>
      <c r="M188" s="89" t="str">
        <f>IF(AND('ENTRY DATA'!M188=""),"",('ENTRY DATA'!M188))</f>
        <v/>
      </c>
      <c r="N188" s="67" t="str">
        <f>IF(AND('ENTRY DATA'!N188=""),"",('ENTRY DATA'!N188))</f>
        <v/>
      </c>
      <c r="O188" s="12"/>
      <c r="P188" s="66">
        <f>'SET 1 PLAYERS'!O188</f>
        <v>0</v>
      </c>
      <c r="Q188" s="67" t="str">
        <f>'SET 1 PLAYERS'!P188</f>
        <v/>
      </c>
      <c r="R188" s="14"/>
      <c r="S188" s="111" t="e">
        <f t="shared" si="4"/>
        <v>#VALUE!</v>
      </c>
      <c r="T188" s="112" t="e">
        <f t="shared" si="5"/>
        <v>#VALUE!</v>
      </c>
      <c r="U188" s="12"/>
      <c r="V188" s="95" t="str">
        <f>'SET 1 PLAYERS'!Q188</f>
        <v/>
      </c>
      <c r="W188" s="12"/>
    </row>
    <row r="189" spans="2:23" x14ac:dyDescent="0.25">
      <c r="B189" s="88" t="str">
        <f>'SET 1 PLAYERS'!G189</f>
        <v>CLASS 1</v>
      </c>
      <c r="C189" t="str">
        <f>IF(AND('ENTRY DATA'!C189=""),"",('ENTRY DATA'!C189))</f>
        <v/>
      </c>
      <c r="D189" t="str">
        <f>IF(AND('ENTRY DATA'!D189=""),"",('ENTRY DATA'!D189))</f>
        <v/>
      </c>
      <c r="E189" s="12"/>
      <c r="F189" t="str">
        <f>IF(AND('ENTRY DATA'!F189=""),"",('ENTRY DATA'!F189))</f>
        <v/>
      </c>
      <c r="G189" t="str">
        <f>IF(AND('ENTRY DATA'!G189=""),"",('ENTRY DATA'!G189))</f>
        <v/>
      </c>
      <c r="H189" s="12"/>
      <c r="I189" s="12"/>
      <c r="J189" s="66" t="str">
        <f>IF(AND('ENTRY DATA'!J189=""),"",('ENTRY DATA'!J189))</f>
        <v/>
      </c>
      <c r="K189" s="89" t="str">
        <f>IF(AND('ENTRY DATA'!K189=""),"",('ENTRY DATA'!K189))</f>
        <v/>
      </c>
      <c r="L189" s="89" t="str">
        <f>IF(AND('ENTRY DATA'!L189=""),"",('ENTRY DATA'!L189))</f>
        <v/>
      </c>
      <c r="M189" s="89" t="str">
        <f>IF(AND('ENTRY DATA'!M189=""),"",('ENTRY DATA'!M189))</f>
        <v/>
      </c>
      <c r="N189" s="67" t="str">
        <f>IF(AND('ENTRY DATA'!N189=""),"",('ENTRY DATA'!N189))</f>
        <v/>
      </c>
      <c r="O189" s="12"/>
      <c r="P189" s="66">
        <f>'SET 1 PLAYERS'!O189</f>
        <v>0</v>
      </c>
      <c r="Q189" s="67" t="str">
        <f>'SET 1 PLAYERS'!P189</f>
        <v/>
      </c>
      <c r="R189" s="14"/>
      <c r="S189" s="111" t="e">
        <f t="shared" si="4"/>
        <v>#VALUE!</v>
      </c>
      <c r="T189" s="112" t="e">
        <f t="shared" si="5"/>
        <v>#VALUE!</v>
      </c>
      <c r="U189" s="12"/>
      <c r="V189" s="95" t="str">
        <f>'SET 1 PLAYERS'!Q189</f>
        <v/>
      </c>
      <c r="W189" s="12"/>
    </row>
    <row r="190" spans="2:23" x14ac:dyDescent="0.25">
      <c r="B190" s="88" t="str">
        <f>'SET 1 PLAYERS'!G190</f>
        <v>CLASS 1</v>
      </c>
      <c r="C190" t="str">
        <f>IF(AND('ENTRY DATA'!C190=""),"",('ENTRY DATA'!C190))</f>
        <v/>
      </c>
      <c r="D190" t="str">
        <f>IF(AND('ENTRY DATA'!D190=""),"",('ENTRY DATA'!D190))</f>
        <v/>
      </c>
      <c r="E190" s="12"/>
      <c r="F190" t="str">
        <f>IF(AND('ENTRY DATA'!F190=""),"",('ENTRY DATA'!F190))</f>
        <v/>
      </c>
      <c r="G190" t="str">
        <f>IF(AND('ENTRY DATA'!G190=""),"",('ENTRY DATA'!G190))</f>
        <v/>
      </c>
      <c r="H190" s="12"/>
      <c r="I190" s="12"/>
      <c r="J190" s="66" t="str">
        <f>IF(AND('ENTRY DATA'!J190=""),"",('ENTRY DATA'!J190))</f>
        <v/>
      </c>
      <c r="K190" s="89" t="str">
        <f>IF(AND('ENTRY DATA'!K190=""),"",('ENTRY DATA'!K190))</f>
        <v/>
      </c>
      <c r="L190" s="89" t="str">
        <f>IF(AND('ENTRY DATA'!L190=""),"",('ENTRY DATA'!L190))</f>
        <v/>
      </c>
      <c r="M190" s="89" t="str">
        <f>IF(AND('ENTRY DATA'!M190=""),"",('ENTRY DATA'!M190))</f>
        <v/>
      </c>
      <c r="N190" s="67" t="str">
        <f>IF(AND('ENTRY DATA'!N190=""),"",('ENTRY DATA'!N190))</f>
        <v/>
      </c>
      <c r="O190" s="12"/>
      <c r="P190" s="66">
        <f>'SET 1 PLAYERS'!O190</f>
        <v>0</v>
      </c>
      <c r="Q190" s="67" t="str">
        <f>'SET 1 PLAYERS'!P190</f>
        <v/>
      </c>
      <c r="R190" s="14"/>
      <c r="S190" s="111" t="e">
        <f t="shared" si="4"/>
        <v>#VALUE!</v>
      </c>
      <c r="T190" s="112" t="e">
        <f t="shared" si="5"/>
        <v>#VALUE!</v>
      </c>
      <c r="U190" s="12"/>
      <c r="V190" s="95" t="str">
        <f>'SET 1 PLAYERS'!Q190</f>
        <v/>
      </c>
      <c r="W190" s="12"/>
    </row>
    <row r="191" spans="2:23" x14ac:dyDescent="0.25">
      <c r="B191" s="88" t="str">
        <f>'SET 1 PLAYERS'!G191</f>
        <v>CLASS 1</v>
      </c>
      <c r="C191" t="str">
        <f>IF(AND('ENTRY DATA'!C191=""),"",('ENTRY DATA'!C191))</f>
        <v/>
      </c>
      <c r="D191" t="str">
        <f>IF(AND('ENTRY DATA'!D191=""),"",('ENTRY DATA'!D191))</f>
        <v/>
      </c>
      <c r="E191" s="12"/>
      <c r="F191" t="str">
        <f>IF(AND('ENTRY DATA'!F191=""),"",('ENTRY DATA'!F191))</f>
        <v/>
      </c>
      <c r="G191" t="str">
        <f>IF(AND('ENTRY DATA'!G191=""),"",('ENTRY DATA'!G191))</f>
        <v/>
      </c>
      <c r="H191" s="12"/>
      <c r="I191" s="12"/>
      <c r="J191" s="66" t="str">
        <f>IF(AND('ENTRY DATA'!J191=""),"",('ENTRY DATA'!J191))</f>
        <v/>
      </c>
      <c r="K191" s="89" t="str">
        <f>IF(AND('ENTRY DATA'!K191=""),"",('ENTRY DATA'!K191))</f>
        <v/>
      </c>
      <c r="L191" s="89" t="str">
        <f>IF(AND('ENTRY DATA'!L191=""),"",('ENTRY DATA'!L191))</f>
        <v/>
      </c>
      <c r="M191" s="89" t="str">
        <f>IF(AND('ENTRY DATA'!M191=""),"",('ENTRY DATA'!M191))</f>
        <v/>
      </c>
      <c r="N191" s="67" t="str">
        <f>IF(AND('ENTRY DATA'!N191=""),"",('ENTRY DATA'!N191))</f>
        <v/>
      </c>
      <c r="O191" s="12"/>
      <c r="P191" s="66">
        <f>'SET 1 PLAYERS'!O191</f>
        <v>0</v>
      </c>
      <c r="Q191" s="67" t="str">
        <f>'SET 1 PLAYERS'!P191</f>
        <v/>
      </c>
      <c r="R191" s="14"/>
      <c r="S191" s="111" t="e">
        <f t="shared" si="4"/>
        <v>#VALUE!</v>
      </c>
      <c r="T191" s="112" t="e">
        <f t="shared" si="5"/>
        <v>#VALUE!</v>
      </c>
      <c r="U191" s="12"/>
      <c r="V191" s="95" t="str">
        <f>'SET 1 PLAYERS'!Q191</f>
        <v/>
      </c>
      <c r="W191" s="12"/>
    </row>
    <row r="192" spans="2:23" x14ac:dyDescent="0.25">
      <c r="B192" s="88" t="str">
        <f>'SET 1 PLAYERS'!G192</f>
        <v>CLASS 1</v>
      </c>
      <c r="C192" t="str">
        <f>IF(AND('ENTRY DATA'!C192=""),"",('ENTRY DATA'!C192))</f>
        <v/>
      </c>
      <c r="D192" t="str">
        <f>IF(AND('ENTRY DATA'!D192=""),"",('ENTRY DATA'!D192))</f>
        <v/>
      </c>
      <c r="E192" s="12"/>
      <c r="F192" t="str">
        <f>IF(AND('ENTRY DATA'!F192=""),"",('ENTRY DATA'!F192))</f>
        <v/>
      </c>
      <c r="G192" t="str">
        <f>IF(AND('ENTRY DATA'!G192=""),"",('ENTRY DATA'!G192))</f>
        <v/>
      </c>
      <c r="H192" s="12"/>
      <c r="I192" s="12"/>
      <c r="J192" s="66" t="str">
        <f>IF(AND('ENTRY DATA'!J192=""),"",('ENTRY DATA'!J192))</f>
        <v/>
      </c>
      <c r="K192" s="89" t="str">
        <f>IF(AND('ENTRY DATA'!K192=""),"",('ENTRY DATA'!K192))</f>
        <v/>
      </c>
      <c r="L192" s="89" t="str">
        <f>IF(AND('ENTRY DATA'!L192=""),"",('ENTRY DATA'!L192))</f>
        <v/>
      </c>
      <c r="M192" s="89" t="str">
        <f>IF(AND('ENTRY DATA'!M192=""),"",('ENTRY DATA'!M192))</f>
        <v/>
      </c>
      <c r="N192" s="67" t="str">
        <f>IF(AND('ENTRY DATA'!N192=""),"",('ENTRY DATA'!N192))</f>
        <v/>
      </c>
      <c r="O192" s="12"/>
      <c r="P192" s="66">
        <f>'SET 1 PLAYERS'!O192</f>
        <v>0</v>
      </c>
      <c r="Q192" s="67" t="str">
        <f>'SET 1 PLAYERS'!P192</f>
        <v/>
      </c>
      <c r="R192" s="14"/>
      <c r="S192" s="111" t="e">
        <f t="shared" si="4"/>
        <v>#VALUE!</v>
      </c>
      <c r="T192" s="112" t="e">
        <f t="shared" si="5"/>
        <v>#VALUE!</v>
      </c>
      <c r="U192" s="12"/>
      <c r="V192" s="95" t="str">
        <f>'SET 1 PLAYERS'!Q192</f>
        <v/>
      </c>
      <c r="W192" s="12"/>
    </row>
    <row r="193" spans="2:23" x14ac:dyDescent="0.25">
      <c r="B193" s="88" t="str">
        <f>'SET 1 PLAYERS'!G193</f>
        <v>CLASS 1</v>
      </c>
      <c r="C193" t="str">
        <f>IF(AND('ENTRY DATA'!C193=""),"",('ENTRY DATA'!C193))</f>
        <v/>
      </c>
      <c r="D193" t="str">
        <f>IF(AND('ENTRY DATA'!D193=""),"",('ENTRY DATA'!D193))</f>
        <v/>
      </c>
      <c r="E193" s="12"/>
      <c r="F193" t="str">
        <f>IF(AND('ENTRY DATA'!F193=""),"",('ENTRY DATA'!F193))</f>
        <v/>
      </c>
      <c r="G193" t="str">
        <f>IF(AND('ENTRY DATA'!G193=""),"",('ENTRY DATA'!G193))</f>
        <v/>
      </c>
      <c r="H193" s="12"/>
      <c r="I193" s="12"/>
      <c r="J193" s="66" t="str">
        <f>IF(AND('ENTRY DATA'!J193=""),"",('ENTRY DATA'!J193))</f>
        <v/>
      </c>
      <c r="K193" s="89" t="str">
        <f>IF(AND('ENTRY DATA'!K193=""),"",('ENTRY DATA'!K193))</f>
        <v/>
      </c>
      <c r="L193" s="89" t="str">
        <f>IF(AND('ENTRY DATA'!L193=""),"",('ENTRY DATA'!L193))</f>
        <v/>
      </c>
      <c r="M193" s="89" t="str">
        <f>IF(AND('ENTRY DATA'!M193=""),"",('ENTRY DATA'!M193))</f>
        <v/>
      </c>
      <c r="N193" s="67" t="str">
        <f>IF(AND('ENTRY DATA'!N193=""),"",('ENTRY DATA'!N193))</f>
        <v/>
      </c>
      <c r="O193" s="12"/>
      <c r="P193" s="66">
        <f>'SET 1 PLAYERS'!O193</f>
        <v>0</v>
      </c>
      <c r="Q193" s="67" t="str">
        <f>'SET 1 PLAYERS'!P193</f>
        <v/>
      </c>
      <c r="R193" s="14"/>
      <c r="S193" s="111" t="e">
        <f t="shared" si="4"/>
        <v>#VALUE!</v>
      </c>
      <c r="T193" s="112" t="e">
        <f t="shared" si="5"/>
        <v>#VALUE!</v>
      </c>
      <c r="U193" s="12"/>
      <c r="V193" s="95" t="str">
        <f>'SET 1 PLAYERS'!Q193</f>
        <v/>
      </c>
      <c r="W193" s="12"/>
    </row>
    <row r="194" spans="2:23" x14ac:dyDescent="0.25">
      <c r="B194" s="88" t="str">
        <f>'SET 1 PLAYERS'!G194</f>
        <v>CLASS 1</v>
      </c>
      <c r="C194" t="str">
        <f>IF(AND('ENTRY DATA'!C194=""),"",('ENTRY DATA'!C194))</f>
        <v/>
      </c>
      <c r="D194" t="str">
        <f>IF(AND('ENTRY DATA'!D194=""),"",('ENTRY DATA'!D194))</f>
        <v/>
      </c>
      <c r="E194" s="12"/>
      <c r="F194" t="str">
        <f>IF(AND('ENTRY DATA'!F194=""),"",('ENTRY DATA'!F194))</f>
        <v/>
      </c>
      <c r="G194" t="str">
        <f>IF(AND('ENTRY DATA'!G194=""),"",('ENTRY DATA'!G194))</f>
        <v/>
      </c>
      <c r="H194" s="12"/>
      <c r="I194" s="12"/>
      <c r="J194" s="66" t="str">
        <f>IF(AND('ENTRY DATA'!J194=""),"",('ENTRY DATA'!J194))</f>
        <v/>
      </c>
      <c r="K194" s="89" t="str">
        <f>IF(AND('ENTRY DATA'!K194=""),"",('ENTRY DATA'!K194))</f>
        <v/>
      </c>
      <c r="L194" s="89" t="str">
        <f>IF(AND('ENTRY DATA'!L194=""),"",('ENTRY DATA'!L194))</f>
        <v/>
      </c>
      <c r="M194" s="89" t="str">
        <f>IF(AND('ENTRY DATA'!M194=""),"",('ENTRY DATA'!M194))</f>
        <v/>
      </c>
      <c r="N194" s="67" t="str">
        <f>IF(AND('ENTRY DATA'!N194=""),"",('ENTRY DATA'!N194))</f>
        <v/>
      </c>
      <c r="O194" s="12"/>
      <c r="P194" s="66">
        <f>'SET 1 PLAYERS'!O194</f>
        <v>0</v>
      </c>
      <c r="Q194" s="67" t="str">
        <f>'SET 1 PLAYERS'!P194</f>
        <v/>
      </c>
      <c r="R194" s="14"/>
      <c r="S194" s="111" t="e">
        <f t="shared" si="4"/>
        <v>#VALUE!</v>
      </c>
      <c r="T194" s="112" t="e">
        <f t="shared" si="5"/>
        <v>#VALUE!</v>
      </c>
      <c r="U194" s="12"/>
      <c r="V194" s="95" t="str">
        <f>'SET 1 PLAYERS'!Q194</f>
        <v/>
      </c>
      <c r="W194" s="12"/>
    </row>
    <row r="195" spans="2:23" x14ac:dyDescent="0.25">
      <c r="B195" s="88" t="str">
        <f>'SET 1 PLAYERS'!G195</f>
        <v>CLASS 1</v>
      </c>
      <c r="C195" t="str">
        <f>IF(AND('ENTRY DATA'!C195=""),"",('ENTRY DATA'!C195))</f>
        <v/>
      </c>
      <c r="D195" t="str">
        <f>IF(AND('ENTRY DATA'!D195=""),"",('ENTRY DATA'!D195))</f>
        <v/>
      </c>
      <c r="E195" s="12"/>
      <c r="F195" t="str">
        <f>IF(AND('ENTRY DATA'!F195=""),"",('ENTRY DATA'!F195))</f>
        <v/>
      </c>
      <c r="G195" t="str">
        <f>IF(AND('ENTRY DATA'!G195=""),"",('ENTRY DATA'!G195))</f>
        <v/>
      </c>
      <c r="H195" s="12"/>
      <c r="I195" s="12"/>
      <c r="J195" s="66" t="str">
        <f>IF(AND('ENTRY DATA'!J195=""),"",('ENTRY DATA'!J195))</f>
        <v/>
      </c>
      <c r="K195" s="89" t="str">
        <f>IF(AND('ENTRY DATA'!K195=""),"",('ENTRY DATA'!K195))</f>
        <v/>
      </c>
      <c r="L195" s="89" t="str">
        <f>IF(AND('ENTRY DATA'!L195=""),"",('ENTRY DATA'!L195))</f>
        <v/>
      </c>
      <c r="M195" s="89" t="str">
        <f>IF(AND('ENTRY DATA'!M195=""),"",('ENTRY DATA'!M195))</f>
        <v/>
      </c>
      <c r="N195" s="67" t="str">
        <f>IF(AND('ENTRY DATA'!N195=""),"",('ENTRY DATA'!N195))</f>
        <v/>
      </c>
      <c r="O195" s="12"/>
      <c r="P195" s="66">
        <f>'SET 1 PLAYERS'!O195</f>
        <v>0</v>
      </c>
      <c r="Q195" s="67" t="str">
        <f>'SET 1 PLAYERS'!P195</f>
        <v/>
      </c>
      <c r="R195" s="14"/>
      <c r="S195" s="111" t="e">
        <f t="shared" si="4"/>
        <v>#VALUE!</v>
      </c>
      <c r="T195" s="112" t="e">
        <f t="shared" si="5"/>
        <v>#VALUE!</v>
      </c>
      <c r="U195" s="12"/>
      <c r="V195" s="95" t="str">
        <f>'SET 1 PLAYERS'!Q195</f>
        <v/>
      </c>
      <c r="W195" s="12"/>
    </row>
    <row r="196" spans="2:23" x14ac:dyDescent="0.25">
      <c r="B196" s="88" t="str">
        <f>'SET 1 PLAYERS'!G196</f>
        <v>CLASS 1</v>
      </c>
      <c r="C196" t="str">
        <f>IF(AND('ENTRY DATA'!C196=""),"",('ENTRY DATA'!C196))</f>
        <v/>
      </c>
      <c r="D196" t="str">
        <f>IF(AND('ENTRY DATA'!D196=""),"",('ENTRY DATA'!D196))</f>
        <v/>
      </c>
      <c r="E196" s="12"/>
      <c r="F196" t="str">
        <f>IF(AND('ENTRY DATA'!F196=""),"",('ENTRY DATA'!F196))</f>
        <v/>
      </c>
      <c r="G196" t="str">
        <f>IF(AND('ENTRY DATA'!G196=""),"",('ENTRY DATA'!G196))</f>
        <v/>
      </c>
      <c r="H196" s="12"/>
      <c r="I196" s="12"/>
      <c r="J196" s="66" t="str">
        <f>IF(AND('ENTRY DATA'!J196=""),"",('ENTRY DATA'!J196))</f>
        <v/>
      </c>
      <c r="K196" s="89" t="str">
        <f>IF(AND('ENTRY DATA'!K196=""),"",('ENTRY DATA'!K196))</f>
        <v/>
      </c>
      <c r="L196" s="89" t="str">
        <f>IF(AND('ENTRY DATA'!L196=""),"",('ENTRY DATA'!L196))</f>
        <v/>
      </c>
      <c r="M196" s="89" t="str">
        <f>IF(AND('ENTRY DATA'!M196=""),"",('ENTRY DATA'!M196))</f>
        <v/>
      </c>
      <c r="N196" s="67" t="str">
        <f>IF(AND('ENTRY DATA'!N196=""),"",('ENTRY DATA'!N196))</f>
        <v/>
      </c>
      <c r="O196" s="12"/>
      <c r="P196" s="66">
        <f>'SET 1 PLAYERS'!O196</f>
        <v>0</v>
      </c>
      <c r="Q196" s="67" t="str">
        <f>'SET 1 PLAYERS'!P196</f>
        <v/>
      </c>
      <c r="R196" s="14"/>
      <c r="S196" s="111" t="e">
        <f t="shared" si="4"/>
        <v>#VALUE!</v>
      </c>
      <c r="T196" s="112" t="e">
        <f t="shared" si="5"/>
        <v>#VALUE!</v>
      </c>
      <c r="U196" s="12"/>
      <c r="V196" s="95" t="str">
        <f>'SET 1 PLAYERS'!Q196</f>
        <v/>
      </c>
      <c r="W196" s="12"/>
    </row>
    <row r="197" spans="2:23" x14ac:dyDescent="0.25">
      <c r="B197" s="88" t="str">
        <f>'SET 1 PLAYERS'!G197</f>
        <v>CLASS 1</v>
      </c>
      <c r="C197" t="str">
        <f>IF(AND('ENTRY DATA'!C197=""),"",('ENTRY DATA'!C197))</f>
        <v/>
      </c>
      <c r="D197" t="str">
        <f>IF(AND('ENTRY DATA'!D197=""),"",('ENTRY DATA'!D197))</f>
        <v/>
      </c>
      <c r="E197" s="12"/>
      <c r="F197" t="str">
        <f>IF(AND('ENTRY DATA'!F197=""),"",('ENTRY DATA'!F197))</f>
        <v/>
      </c>
      <c r="G197" t="str">
        <f>IF(AND('ENTRY DATA'!G197=""),"",('ENTRY DATA'!G197))</f>
        <v/>
      </c>
      <c r="H197" s="12"/>
      <c r="I197" s="12"/>
      <c r="J197" s="66" t="str">
        <f>IF(AND('ENTRY DATA'!J197=""),"",('ENTRY DATA'!J197))</f>
        <v/>
      </c>
      <c r="K197" s="89" t="str">
        <f>IF(AND('ENTRY DATA'!K197=""),"",('ENTRY DATA'!K197))</f>
        <v/>
      </c>
      <c r="L197" s="89" t="str">
        <f>IF(AND('ENTRY DATA'!L197=""),"",('ENTRY DATA'!L197))</f>
        <v/>
      </c>
      <c r="M197" s="89" t="str">
        <f>IF(AND('ENTRY DATA'!M197=""),"",('ENTRY DATA'!M197))</f>
        <v/>
      </c>
      <c r="N197" s="67" t="str">
        <f>IF(AND('ENTRY DATA'!N197=""),"",('ENTRY DATA'!N197))</f>
        <v/>
      </c>
      <c r="O197" s="12"/>
      <c r="P197" s="66">
        <f>'SET 1 PLAYERS'!O197</f>
        <v>0</v>
      </c>
      <c r="Q197" s="67" t="str">
        <f>'SET 1 PLAYERS'!P197</f>
        <v/>
      </c>
      <c r="R197" s="14"/>
      <c r="S197" s="111" t="e">
        <f t="shared" si="4"/>
        <v>#VALUE!</v>
      </c>
      <c r="T197" s="112" t="e">
        <f t="shared" si="5"/>
        <v>#VALUE!</v>
      </c>
      <c r="U197" s="12"/>
      <c r="V197" s="95" t="str">
        <f>'SET 1 PLAYERS'!Q197</f>
        <v/>
      </c>
      <c r="W197" s="12"/>
    </row>
    <row r="198" spans="2:23" x14ac:dyDescent="0.25">
      <c r="B198" s="88" t="str">
        <f>'SET 1 PLAYERS'!G198</f>
        <v>CLASS 1</v>
      </c>
      <c r="C198" t="str">
        <f>IF(AND('ENTRY DATA'!C198=""),"",('ENTRY DATA'!C198))</f>
        <v/>
      </c>
      <c r="D198" t="str">
        <f>IF(AND('ENTRY DATA'!D198=""),"",('ENTRY DATA'!D198))</f>
        <v/>
      </c>
      <c r="E198" s="12"/>
      <c r="F198" t="str">
        <f>IF(AND('ENTRY DATA'!F198=""),"",('ENTRY DATA'!F198))</f>
        <v/>
      </c>
      <c r="G198" t="str">
        <f>IF(AND('ENTRY DATA'!G198=""),"",('ENTRY DATA'!G198))</f>
        <v/>
      </c>
      <c r="H198" s="12"/>
      <c r="I198" s="12"/>
      <c r="J198" s="66" t="str">
        <f>IF(AND('ENTRY DATA'!J198=""),"",('ENTRY DATA'!J198))</f>
        <v/>
      </c>
      <c r="K198" s="89" t="str">
        <f>IF(AND('ENTRY DATA'!K198=""),"",('ENTRY DATA'!K198))</f>
        <v/>
      </c>
      <c r="L198" s="89" t="str">
        <f>IF(AND('ENTRY DATA'!L198=""),"",('ENTRY DATA'!L198))</f>
        <v/>
      </c>
      <c r="M198" s="89" t="str">
        <f>IF(AND('ENTRY DATA'!M198=""),"",('ENTRY DATA'!M198))</f>
        <v/>
      </c>
      <c r="N198" s="67" t="str">
        <f>IF(AND('ENTRY DATA'!N198=""),"",('ENTRY DATA'!N198))</f>
        <v/>
      </c>
      <c r="O198" s="12"/>
      <c r="P198" s="66">
        <f>'SET 1 PLAYERS'!O198</f>
        <v>0</v>
      </c>
      <c r="Q198" s="67" t="str">
        <f>'SET 1 PLAYERS'!P198</f>
        <v/>
      </c>
      <c r="R198" s="14"/>
      <c r="S198" s="111" t="e">
        <f t="shared" ref="S198:S261" si="6">V198/P198</f>
        <v>#VALUE!</v>
      </c>
      <c r="T198" s="112" t="e">
        <f t="shared" ref="T198:T261" si="7">V198/Q198</f>
        <v>#VALUE!</v>
      </c>
      <c r="U198" s="12"/>
      <c r="V198" s="95" t="str">
        <f>'SET 1 PLAYERS'!Q198</f>
        <v/>
      </c>
      <c r="W198" s="12"/>
    </row>
    <row r="199" spans="2:23" x14ac:dyDescent="0.25">
      <c r="B199" s="88" t="str">
        <f>'SET 1 PLAYERS'!G199</f>
        <v>CLASS 1</v>
      </c>
      <c r="C199" t="str">
        <f>IF(AND('ENTRY DATA'!C199=""),"",('ENTRY DATA'!C199))</f>
        <v/>
      </c>
      <c r="D199" t="str">
        <f>IF(AND('ENTRY DATA'!D199=""),"",('ENTRY DATA'!D199))</f>
        <v/>
      </c>
      <c r="E199" s="12"/>
      <c r="F199" t="str">
        <f>IF(AND('ENTRY DATA'!F199=""),"",('ENTRY DATA'!F199))</f>
        <v/>
      </c>
      <c r="G199" t="str">
        <f>IF(AND('ENTRY DATA'!G199=""),"",('ENTRY DATA'!G199))</f>
        <v/>
      </c>
      <c r="H199" s="12"/>
      <c r="I199" s="12"/>
      <c r="J199" s="66" t="str">
        <f>IF(AND('ENTRY DATA'!J199=""),"",('ENTRY DATA'!J199))</f>
        <v/>
      </c>
      <c r="K199" s="89" t="str">
        <f>IF(AND('ENTRY DATA'!K199=""),"",('ENTRY DATA'!K199))</f>
        <v/>
      </c>
      <c r="L199" s="89" t="str">
        <f>IF(AND('ENTRY DATA'!L199=""),"",('ENTRY DATA'!L199))</f>
        <v/>
      </c>
      <c r="M199" s="89" t="str">
        <f>IF(AND('ENTRY DATA'!M199=""),"",('ENTRY DATA'!M199))</f>
        <v/>
      </c>
      <c r="N199" s="67" t="str">
        <f>IF(AND('ENTRY DATA'!N199=""),"",('ENTRY DATA'!N199))</f>
        <v/>
      </c>
      <c r="O199" s="12"/>
      <c r="P199" s="66">
        <f>'SET 1 PLAYERS'!O199</f>
        <v>0</v>
      </c>
      <c r="Q199" s="67" t="str">
        <f>'SET 1 PLAYERS'!P199</f>
        <v/>
      </c>
      <c r="R199" s="14"/>
      <c r="S199" s="111" t="e">
        <f t="shared" si="6"/>
        <v>#VALUE!</v>
      </c>
      <c r="T199" s="112" t="e">
        <f t="shared" si="7"/>
        <v>#VALUE!</v>
      </c>
      <c r="U199" s="12"/>
      <c r="V199" s="95" t="str">
        <f>'SET 1 PLAYERS'!Q199</f>
        <v/>
      </c>
      <c r="W199" s="12"/>
    </row>
    <row r="200" spans="2:23" x14ac:dyDescent="0.25">
      <c r="B200" s="88" t="str">
        <f>'SET 1 PLAYERS'!G200</f>
        <v>CLASS 1</v>
      </c>
      <c r="C200" t="str">
        <f>IF(AND('ENTRY DATA'!C200=""),"",('ENTRY DATA'!C200))</f>
        <v/>
      </c>
      <c r="D200" t="str">
        <f>IF(AND('ENTRY DATA'!D200=""),"",('ENTRY DATA'!D200))</f>
        <v/>
      </c>
      <c r="E200" s="12"/>
      <c r="F200" t="str">
        <f>IF(AND('ENTRY DATA'!F200=""),"",('ENTRY DATA'!F200))</f>
        <v/>
      </c>
      <c r="G200" t="str">
        <f>IF(AND('ENTRY DATA'!G200=""),"",('ENTRY DATA'!G200))</f>
        <v/>
      </c>
      <c r="H200" s="12"/>
      <c r="I200" s="12"/>
      <c r="J200" s="66" t="str">
        <f>IF(AND('ENTRY DATA'!J200=""),"",('ENTRY DATA'!J200))</f>
        <v/>
      </c>
      <c r="K200" s="89" t="str">
        <f>IF(AND('ENTRY DATA'!K200=""),"",('ENTRY DATA'!K200))</f>
        <v/>
      </c>
      <c r="L200" s="89" t="str">
        <f>IF(AND('ENTRY DATA'!L200=""),"",('ENTRY DATA'!L200))</f>
        <v/>
      </c>
      <c r="M200" s="89" t="str">
        <f>IF(AND('ENTRY DATA'!M200=""),"",('ENTRY DATA'!M200))</f>
        <v/>
      </c>
      <c r="N200" s="67" t="str">
        <f>IF(AND('ENTRY DATA'!N200=""),"",('ENTRY DATA'!N200))</f>
        <v/>
      </c>
      <c r="O200" s="12"/>
      <c r="P200" s="66">
        <f>'SET 1 PLAYERS'!O200</f>
        <v>0</v>
      </c>
      <c r="Q200" s="67" t="str">
        <f>'SET 1 PLAYERS'!P200</f>
        <v/>
      </c>
      <c r="R200" s="14"/>
      <c r="S200" s="111" t="e">
        <f t="shared" si="6"/>
        <v>#VALUE!</v>
      </c>
      <c r="T200" s="112" t="e">
        <f t="shared" si="7"/>
        <v>#VALUE!</v>
      </c>
      <c r="U200" s="12"/>
      <c r="V200" s="95" t="str">
        <f>'SET 1 PLAYERS'!Q200</f>
        <v/>
      </c>
      <c r="W200" s="12"/>
    </row>
    <row r="201" spans="2:23" x14ac:dyDescent="0.25">
      <c r="B201" s="88" t="str">
        <f>'SET 1 PLAYERS'!G201</f>
        <v>CLASS 1</v>
      </c>
      <c r="C201" t="str">
        <f>IF(AND('ENTRY DATA'!C201=""),"",('ENTRY DATA'!C201))</f>
        <v/>
      </c>
      <c r="D201" t="str">
        <f>IF(AND('ENTRY DATA'!D201=""),"",('ENTRY DATA'!D201))</f>
        <v/>
      </c>
      <c r="E201" s="12"/>
      <c r="F201" t="str">
        <f>IF(AND('ENTRY DATA'!F201=""),"",('ENTRY DATA'!F201))</f>
        <v/>
      </c>
      <c r="G201" t="str">
        <f>IF(AND('ENTRY DATA'!G201=""),"",('ENTRY DATA'!G201))</f>
        <v/>
      </c>
      <c r="H201" s="12"/>
      <c r="I201" s="12"/>
      <c r="J201" s="66" t="str">
        <f>IF(AND('ENTRY DATA'!J201=""),"",('ENTRY DATA'!J201))</f>
        <v/>
      </c>
      <c r="K201" s="89" t="str">
        <f>IF(AND('ENTRY DATA'!K201=""),"",('ENTRY DATA'!K201))</f>
        <v/>
      </c>
      <c r="L201" s="89" t="str">
        <f>IF(AND('ENTRY DATA'!L201=""),"",('ENTRY DATA'!L201))</f>
        <v/>
      </c>
      <c r="M201" s="89" t="str">
        <f>IF(AND('ENTRY DATA'!M201=""),"",('ENTRY DATA'!M201))</f>
        <v/>
      </c>
      <c r="N201" s="67" t="str">
        <f>IF(AND('ENTRY DATA'!N201=""),"",('ENTRY DATA'!N201))</f>
        <v/>
      </c>
      <c r="O201" s="12"/>
      <c r="P201" s="66">
        <f>'SET 1 PLAYERS'!O201</f>
        <v>0</v>
      </c>
      <c r="Q201" s="67" t="str">
        <f>'SET 1 PLAYERS'!P201</f>
        <v/>
      </c>
      <c r="R201" s="14"/>
      <c r="S201" s="111" t="e">
        <f t="shared" si="6"/>
        <v>#VALUE!</v>
      </c>
      <c r="T201" s="112" t="e">
        <f t="shared" si="7"/>
        <v>#VALUE!</v>
      </c>
      <c r="U201" s="12"/>
      <c r="V201" s="95" t="str">
        <f>'SET 1 PLAYERS'!Q201</f>
        <v/>
      </c>
      <c r="W201" s="12"/>
    </row>
    <row r="202" spans="2:23" x14ac:dyDescent="0.25">
      <c r="B202" s="88" t="str">
        <f>'SET 1 PLAYERS'!G202</f>
        <v>CLASS 1</v>
      </c>
      <c r="C202" t="str">
        <f>IF(AND('ENTRY DATA'!C202=""),"",('ENTRY DATA'!C202))</f>
        <v/>
      </c>
      <c r="D202" t="str">
        <f>IF(AND('ENTRY DATA'!D202=""),"",('ENTRY DATA'!D202))</f>
        <v/>
      </c>
      <c r="E202" s="12"/>
      <c r="F202" t="str">
        <f>IF(AND('ENTRY DATA'!F202=""),"",('ENTRY DATA'!F202))</f>
        <v/>
      </c>
      <c r="G202" t="str">
        <f>IF(AND('ENTRY DATA'!G202=""),"",('ENTRY DATA'!G202))</f>
        <v/>
      </c>
      <c r="H202" s="12"/>
      <c r="I202" s="12"/>
      <c r="J202" s="66" t="str">
        <f>IF(AND('ENTRY DATA'!J202=""),"",('ENTRY DATA'!J202))</f>
        <v/>
      </c>
      <c r="K202" s="89" t="str">
        <f>IF(AND('ENTRY DATA'!K202=""),"",('ENTRY DATA'!K202))</f>
        <v/>
      </c>
      <c r="L202" s="89" t="str">
        <f>IF(AND('ENTRY DATA'!L202=""),"",('ENTRY DATA'!L202))</f>
        <v/>
      </c>
      <c r="M202" s="89" t="str">
        <f>IF(AND('ENTRY DATA'!M202=""),"",('ENTRY DATA'!M202))</f>
        <v/>
      </c>
      <c r="N202" s="67" t="str">
        <f>IF(AND('ENTRY DATA'!N202=""),"",('ENTRY DATA'!N202))</f>
        <v/>
      </c>
      <c r="O202" s="12"/>
      <c r="P202" s="66">
        <f>'SET 1 PLAYERS'!O202</f>
        <v>0</v>
      </c>
      <c r="Q202" s="67" t="str">
        <f>'SET 1 PLAYERS'!P202</f>
        <v/>
      </c>
      <c r="R202" s="14"/>
      <c r="S202" s="111" t="e">
        <f t="shared" si="6"/>
        <v>#VALUE!</v>
      </c>
      <c r="T202" s="112" t="e">
        <f t="shared" si="7"/>
        <v>#VALUE!</v>
      </c>
      <c r="U202" s="12"/>
      <c r="V202" s="95" t="str">
        <f>'SET 1 PLAYERS'!Q202</f>
        <v/>
      </c>
      <c r="W202" s="12"/>
    </row>
    <row r="203" spans="2:23" x14ac:dyDescent="0.25">
      <c r="B203" s="88" t="str">
        <f>'SET 1 PLAYERS'!G203</f>
        <v>CLASS 1</v>
      </c>
      <c r="C203" t="str">
        <f>IF(AND('ENTRY DATA'!C203=""),"",('ENTRY DATA'!C203))</f>
        <v/>
      </c>
      <c r="D203" t="str">
        <f>IF(AND('ENTRY DATA'!D203=""),"",('ENTRY DATA'!D203))</f>
        <v/>
      </c>
      <c r="E203" s="12"/>
      <c r="F203" t="str">
        <f>IF(AND('ENTRY DATA'!F203=""),"",('ENTRY DATA'!F203))</f>
        <v/>
      </c>
      <c r="G203" t="str">
        <f>IF(AND('ENTRY DATA'!G203=""),"",('ENTRY DATA'!G203))</f>
        <v/>
      </c>
      <c r="H203" s="12"/>
      <c r="I203" s="12"/>
      <c r="J203" s="66" t="str">
        <f>IF(AND('ENTRY DATA'!J203=""),"",('ENTRY DATA'!J203))</f>
        <v/>
      </c>
      <c r="K203" s="89" t="str">
        <f>IF(AND('ENTRY DATA'!K203=""),"",('ENTRY DATA'!K203))</f>
        <v/>
      </c>
      <c r="L203" s="89" t="str">
        <f>IF(AND('ENTRY DATA'!L203=""),"",('ENTRY DATA'!L203))</f>
        <v/>
      </c>
      <c r="M203" s="89" t="str">
        <f>IF(AND('ENTRY DATA'!M203=""),"",('ENTRY DATA'!M203))</f>
        <v/>
      </c>
      <c r="N203" s="67" t="str">
        <f>IF(AND('ENTRY DATA'!N203=""),"",('ENTRY DATA'!N203))</f>
        <v/>
      </c>
      <c r="O203" s="12"/>
      <c r="P203" s="66">
        <f>'SET 1 PLAYERS'!O203</f>
        <v>0</v>
      </c>
      <c r="Q203" s="67" t="str">
        <f>'SET 1 PLAYERS'!P203</f>
        <v/>
      </c>
      <c r="R203" s="14"/>
      <c r="S203" s="111" t="e">
        <f t="shared" si="6"/>
        <v>#VALUE!</v>
      </c>
      <c r="T203" s="112" t="e">
        <f t="shared" si="7"/>
        <v>#VALUE!</v>
      </c>
      <c r="U203" s="12"/>
      <c r="V203" s="95" t="str">
        <f>'SET 1 PLAYERS'!Q203</f>
        <v/>
      </c>
      <c r="W203" s="12"/>
    </row>
    <row r="204" spans="2:23" x14ac:dyDescent="0.25">
      <c r="B204" s="88" t="str">
        <f>'SET 1 PLAYERS'!G204</f>
        <v>CLASS 1</v>
      </c>
      <c r="C204" t="str">
        <f>IF(AND('ENTRY DATA'!C204=""),"",('ENTRY DATA'!C204))</f>
        <v/>
      </c>
      <c r="D204" t="str">
        <f>IF(AND('ENTRY DATA'!D204=""),"",('ENTRY DATA'!D204))</f>
        <v/>
      </c>
      <c r="E204" s="12"/>
      <c r="F204" t="str">
        <f>IF(AND('ENTRY DATA'!F204=""),"",('ENTRY DATA'!F204))</f>
        <v/>
      </c>
      <c r="G204" t="str">
        <f>IF(AND('ENTRY DATA'!G204=""),"",('ENTRY DATA'!G204))</f>
        <v/>
      </c>
      <c r="H204" s="12"/>
      <c r="I204" s="12"/>
      <c r="J204" s="66" t="str">
        <f>IF(AND('ENTRY DATA'!J204=""),"",('ENTRY DATA'!J204))</f>
        <v/>
      </c>
      <c r="K204" s="89" t="str">
        <f>IF(AND('ENTRY DATA'!K204=""),"",('ENTRY DATA'!K204))</f>
        <v/>
      </c>
      <c r="L204" s="89" t="str">
        <f>IF(AND('ENTRY DATA'!L204=""),"",('ENTRY DATA'!L204))</f>
        <v/>
      </c>
      <c r="M204" s="89" t="str">
        <f>IF(AND('ENTRY DATA'!M204=""),"",('ENTRY DATA'!M204))</f>
        <v/>
      </c>
      <c r="N204" s="67" t="str">
        <f>IF(AND('ENTRY DATA'!N204=""),"",('ENTRY DATA'!N204))</f>
        <v/>
      </c>
      <c r="O204" s="12"/>
      <c r="P204" s="66">
        <f>'SET 1 PLAYERS'!O204</f>
        <v>0</v>
      </c>
      <c r="Q204" s="67" t="str">
        <f>'SET 1 PLAYERS'!P204</f>
        <v/>
      </c>
      <c r="R204" s="14"/>
      <c r="S204" s="111" t="e">
        <f t="shared" si="6"/>
        <v>#VALUE!</v>
      </c>
      <c r="T204" s="112" t="e">
        <f t="shared" si="7"/>
        <v>#VALUE!</v>
      </c>
      <c r="U204" s="12"/>
      <c r="V204" s="95" t="str">
        <f>'SET 1 PLAYERS'!Q204</f>
        <v/>
      </c>
      <c r="W204" s="12"/>
    </row>
    <row r="205" spans="2:23" x14ac:dyDescent="0.25">
      <c r="B205" s="88" t="str">
        <f>'SET 1 PLAYERS'!G205</f>
        <v>CLASS 1</v>
      </c>
      <c r="C205" t="str">
        <f>IF(AND('ENTRY DATA'!C205=""),"",('ENTRY DATA'!C205))</f>
        <v/>
      </c>
      <c r="D205" t="str">
        <f>IF(AND('ENTRY DATA'!D205=""),"",('ENTRY DATA'!D205))</f>
        <v/>
      </c>
      <c r="E205" s="12"/>
      <c r="F205" t="str">
        <f>IF(AND('ENTRY DATA'!F205=""),"",('ENTRY DATA'!F205))</f>
        <v/>
      </c>
      <c r="G205" t="str">
        <f>IF(AND('ENTRY DATA'!G205=""),"",('ENTRY DATA'!G205))</f>
        <v/>
      </c>
      <c r="H205" s="12"/>
      <c r="I205" s="12"/>
      <c r="J205" s="66" t="str">
        <f>IF(AND('ENTRY DATA'!J205=""),"",('ENTRY DATA'!J205))</f>
        <v/>
      </c>
      <c r="K205" s="89" t="str">
        <f>IF(AND('ENTRY DATA'!K205=""),"",('ENTRY DATA'!K205))</f>
        <v/>
      </c>
      <c r="L205" s="89" t="str">
        <f>IF(AND('ENTRY DATA'!L205=""),"",('ENTRY DATA'!L205))</f>
        <v/>
      </c>
      <c r="M205" s="89" t="str">
        <f>IF(AND('ENTRY DATA'!M205=""),"",('ENTRY DATA'!M205))</f>
        <v/>
      </c>
      <c r="N205" s="67" t="str">
        <f>IF(AND('ENTRY DATA'!N205=""),"",('ENTRY DATA'!N205))</f>
        <v/>
      </c>
      <c r="O205" s="12"/>
      <c r="P205" s="66">
        <f>'SET 1 PLAYERS'!O205</f>
        <v>0</v>
      </c>
      <c r="Q205" s="67" t="str">
        <f>'SET 1 PLAYERS'!P205</f>
        <v/>
      </c>
      <c r="R205" s="14"/>
      <c r="S205" s="111" t="e">
        <f t="shared" si="6"/>
        <v>#VALUE!</v>
      </c>
      <c r="T205" s="112" t="e">
        <f t="shared" si="7"/>
        <v>#VALUE!</v>
      </c>
      <c r="U205" s="12"/>
      <c r="V205" s="95" t="str">
        <f>'SET 1 PLAYERS'!Q205</f>
        <v/>
      </c>
      <c r="W205" s="12"/>
    </row>
    <row r="206" spans="2:23" x14ac:dyDescent="0.25">
      <c r="B206" s="88" t="str">
        <f>'SET 1 PLAYERS'!G206</f>
        <v>CLASS 1</v>
      </c>
      <c r="C206" t="str">
        <f>IF(AND('ENTRY DATA'!C206=""),"",('ENTRY DATA'!C206))</f>
        <v/>
      </c>
      <c r="D206" t="str">
        <f>IF(AND('ENTRY DATA'!D206=""),"",('ENTRY DATA'!D206))</f>
        <v/>
      </c>
      <c r="E206" s="12"/>
      <c r="F206" t="str">
        <f>IF(AND('ENTRY DATA'!F206=""),"",('ENTRY DATA'!F206))</f>
        <v/>
      </c>
      <c r="G206" t="str">
        <f>IF(AND('ENTRY DATA'!G206=""),"",('ENTRY DATA'!G206))</f>
        <v/>
      </c>
      <c r="H206" s="12"/>
      <c r="I206" s="12"/>
      <c r="J206" s="66" t="str">
        <f>IF(AND('ENTRY DATA'!J206=""),"",('ENTRY DATA'!J206))</f>
        <v/>
      </c>
      <c r="K206" s="89" t="str">
        <f>IF(AND('ENTRY DATA'!K206=""),"",('ENTRY DATA'!K206))</f>
        <v/>
      </c>
      <c r="L206" s="89" t="str">
        <f>IF(AND('ENTRY DATA'!L206=""),"",('ENTRY DATA'!L206))</f>
        <v/>
      </c>
      <c r="M206" s="89" t="str">
        <f>IF(AND('ENTRY DATA'!M206=""),"",('ENTRY DATA'!M206))</f>
        <v/>
      </c>
      <c r="N206" s="67" t="str">
        <f>IF(AND('ENTRY DATA'!N206=""),"",('ENTRY DATA'!N206))</f>
        <v/>
      </c>
      <c r="O206" s="12"/>
      <c r="P206" s="66">
        <f>'SET 1 PLAYERS'!O206</f>
        <v>0</v>
      </c>
      <c r="Q206" s="67" t="str">
        <f>'SET 1 PLAYERS'!P206</f>
        <v/>
      </c>
      <c r="R206" s="14"/>
      <c r="S206" s="111" t="e">
        <f t="shared" si="6"/>
        <v>#VALUE!</v>
      </c>
      <c r="T206" s="112" t="e">
        <f t="shared" si="7"/>
        <v>#VALUE!</v>
      </c>
      <c r="U206" s="12"/>
      <c r="V206" s="95" t="str">
        <f>'SET 1 PLAYERS'!Q206</f>
        <v/>
      </c>
      <c r="W206" s="12"/>
    </row>
    <row r="207" spans="2:23" x14ac:dyDescent="0.25">
      <c r="B207" s="88" t="str">
        <f>'SET 1 PLAYERS'!G207</f>
        <v>CLASS 1</v>
      </c>
      <c r="C207" t="str">
        <f>IF(AND('ENTRY DATA'!C207=""),"",('ENTRY DATA'!C207))</f>
        <v/>
      </c>
      <c r="D207" t="str">
        <f>IF(AND('ENTRY DATA'!D207=""),"",('ENTRY DATA'!D207))</f>
        <v/>
      </c>
      <c r="E207" s="12"/>
      <c r="F207" t="str">
        <f>IF(AND('ENTRY DATA'!F207=""),"",('ENTRY DATA'!F207))</f>
        <v/>
      </c>
      <c r="G207" t="str">
        <f>IF(AND('ENTRY DATA'!G207=""),"",('ENTRY DATA'!G207))</f>
        <v/>
      </c>
      <c r="H207" s="12"/>
      <c r="I207" s="12"/>
      <c r="J207" s="66" t="str">
        <f>IF(AND('ENTRY DATA'!J207=""),"",('ENTRY DATA'!J207))</f>
        <v/>
      </c>
      <c r="K207" s="89" t="str">
        <f>IF(AND('ENTRY DATA'!K207=""),"",('ENTRY DATA'!K207))</f>
        <v/>
      </c>
      <c r="L207" s="89" t="str">
        <f>IF(AND('ENTRY DATA'!L207=""),"",('ENTRY DATA'!L207))</f>
        <v/>
      </c>
      <c r="M207" s="89" t="str">
        <f>IF(AND('ENTRY DATA'!M207=""),"",('ENTRY DATA'!M207))</f>
        <v/>
      </c>
      <c r="N207" s="67" t="str">
        <f>IF(AND('ENTRY DATA'!N207=""),"",('ENTRY DATA'!N207))</f>
        <v/>
      </c>
      <c r="O207" s="12"/>
      <c r="P207" s="66">
        <f>'SET 1 PLAYERS'!O207</f>
        <v>0</v>
      </c>
      <c r="Q207" s="67" t="str">
        <f>'SET 1 PLAYERS'!P207</f>
        <v/>
      </c>
      <c r="R207" s="14"/>
      <c r="S207" s="111" t="e">
        <f t="shared" si="6"/>
        <v>#VALUE!</v>
      </c>
      <c r="T207" s="112" t="e">
        <f t="shared" si="7"/>
        <v>#VALUE!</v>
      </c>
      <c r="U207" s="12"/>
      <c r="V207" s="95" t="str">
        <f>'SET 1 PLAYERS'!Q207</f>
        <v/>
      </c>
      <c r="W207" s="12"/>
    </row>
    <row r="208" spans="2:23" x14ac:dyDescent="0.25">
      <c r="B208" s="88" t="str">
        <f>'SET 1 PLAYERS'!G208</f>
        <v>CLASS 1</v>
      </c>
      <c r="C208" t="str">
        <f>IF(AND('ENTRY DATA'!C208=""),"",('ENTRY DATA'!C208))</f>
        <v/>
      </c>
      <c r="D208" t="str">
        <f>IF(AND('ENTRY DATA'!D208=""),"",('ENTRY DATA'!D208))</f>
        <v/>
      </c>
      <c r="E208" s="12"/>
      <c r="F208" t="str">
        <f>IF(AND('ENTRY DATA'!F208=""),"",('ENTRY DATA'!F208))</f>
        <v/>
      </c>
      <c r="G208" t="str">
        <f>IF(AND('ENTRY DATA'!G208=""),"",('ENTRY DATA'!G208))</f>
        <v/>
      </c>
      <c r="H208" s="12"/>
      <c r="I208" s="12"/>
      <c r="J208" s="66" t="str">
        <f>IF(AND('ENTRY DATA'!J208=""),"",('ENTRY DATA'!J208))</f>
        <v/>
      </c>
      <c r="K208" s="89" t="str">
        <f>IF(AND('ENTRY DATA'!K208=""),"",('ENTRY DATA'!K208))</f>
        <v/>
      </c>
      <c r="L208" s="89" t="str">
        <f>IF(AND('ENTRY DATA'!L208=""),"",('ENTRY DATA'!L208))</f>
        <v/>
      </c>
      <c r="M208" s="89" t="str">
        <f>IF(AND('ENTRY DATA'!M208=""),"",('ENTRY DATA'!M208))</f>
        <v/>
      </c>
      <c r="N208" s="67" t="str">
        <f>IF(AND('ENTRY DATA'!N208=""),"",('ENTRY DATA'!N208))</f>
        <v/>
      </c>
      <c r="O208" s="12"/>
      <c r="P208" s="66">
        <f>'SET 1 PLAYERS'!O208</f>
        <v>0</v>
      </c>
      <c r="Q208" s="67" t="str">
        <f>'SET 1 PLAYERS'!P208</f>
        <v/>
      </c>
      <c r="R208" s="14"/>
      <c r="S208" s="111" t="e">
        <f t="shared" si="6"/>
        <v>#VALUE!</v>
      </c>
      <c r="T208" s="112" t="e">
        <f t="shared" si="7"/>
        <v>#VALUE!</v>
      </c>
      <c r="U208" s="12"/>
      <c r="V208" s="95" t="str">
        <f>'SET 1 PLAYERS'!Q208</f>
        <v/>
      </c>
      <c r="W208" s="12"/>
    </row>
    <row r="209" spans="2:23" x14ac:dyDescent="0.25">
      <c r="B209" s="88" t="str">
        <f>'SET 1 PLAYERS'!G209</f>
        <v>CLASS 1</v>
      </c>
      <c r="C209" t="str">
        <f>IF(AND('ENTRY DATA'!C209=""),"",('ENTRY DATA'!C209))</f>
        <v/>
      </c>
      <c r="D209" t="str">
        <f>IF(AND('ENTRY DATA'!D209=""),"",('ENTRY DATA'!D209))</f>
        <v/>
      </c>
      <c r="E209" s="12"/>
      <c r="F209" t="str">
        <f>IF(AND('ENTRY DATA'!F209=""),"",('ENTRY DATA'!F209))</f>
        <v/>
      </c>
      <c r="G209" t="str">
        <f>IF(AND('ENTRY DATA'!G209=""),"",('ENTRY DATA'!G209))</f>
        <v/>
      </c>
      <c r="H209" s="12"/>
      <c r="I209" s="12"/>
      <c r="J209" s="66" t="str">
        <f>IF(AND('ENTRY DATA'!J209=""),"",('ENTRY DATA'!J209))</f>
        <v/>
      </c>
      <c r="K209" s="89" t="str">
        <f>IF(AND('ENTRY DATA'!K209=""),"",('ENTRY DATA'!K209))</f>
        <v/>
      </c>
      <c r="L209" s="89" t="str">
        <f>IF(AND('ENTRY DATA'!L209=""),"",('ENTRY DATA'!L209))</f>
        <v/>
      </c>
      <c r="M209" s="89" t="str">
        <f>IF(AND('ENTRY DATA'!M209=""),"",('ENTRY DATA'!M209))</f>
        <v/>
      </c>
      <c r="N209" s="67" t="str">
        <f>IF(AND('ENTRY DATA'!N209=""),"",('ENTRY DATA'!N209))</f>
        <v/>
      </c>
      <c r="O209" s="12"/>
      <c r="P209" s="66">
        <f>'SET 1 PLAYERS'!O209</f>
        <v>0</v>
      </c>
      <c r="Q209" s="67" t="str">
        <f>'SET 1 PLAYERS'!P209</f>
        <v/>
      </c>
      <c r="R209" s="14"/>
      <c r="S209" s="111" t="e">
        <f t="shared" si="6"/>
        <v>#VALUE!</v>
      </c>
      <c r="T209" s="112" t="e">
        <f t="shared" si="7"/>
        <v>#VALUE!</v>
      </c>
      <c r="U209" s="12"/>
      <c r="V209" s="95" t="str">
        <f>'SET 1 PLAYERS'!Q209</f>
        <v/>
      </c>
      <c r="W209" s="12"/>
    </row>
    <row r="210" spans="2:23" x14ac:dyDescent="0.25">
      <c r="B210" s="88" t="str">
        <f>'SET 1 PLAYERS'!G210</f>
        <v>CLASS 1</v>
      </c>
      <c r="C210" t="str">
        <f>IF(AND('ENTRY DATA'!C210=""),"",('ENTRY DATA'!C210))</f>
        <v/>
      </c>
      <c r="D210" t="str">
        <f>IF(AND('ENTRY DATA'!D210=""),"",('ENTRY DATA'!D210))</f>
        <v/>
      </c>
      <c r="E210" s="12"/>
      <c r="F210" t="str">
        <f>IF(AND('ENTRY DATA'!F210=""),"",('ENTRY DATA'!F210))</f>
        <v/>
      </c>
      <c r="G210" t="str">
        <f>IF(AND('ENTRY DATA'!G210=""),"",('ENTRY DATA'!G210))</f>
        <v/>
      </c>
      <c r="H210" s="12"/>
      <c r="I210" s="12"/>
      <c r="J210" s="66" t="str">
        <f>IF(AND('ENTRY DATA'!J210=""),"",('ENTRY DATA'!J210))</f>
        <v/>
      </c>
      <c r="K210" s="89" t="str">
        <f>IF(AND('ENTRY DATA'!K210=""),"",('ENTRY DATA'!K210))</f>
        <v/>
      </c>
      <c r="L210" s="89" t="str">
        <f>IF(AND('ENTRY DATA'!L210=""),"",('ENTRY DATA'!L210))</f>
        <v/>
      </c>
      <c r="M210" s="89" t="str">
        <f>IF(AND('ENTRY DATA'!M210=""),"",('ENTRY DATA'!M210))</f>
        <v/>
      </c>
      <c r="N210" s="67" t="str">
        <f>IF(AND('ENTRY DATA'!N210=""),"",('ENTRY DATA'!N210))</f>
        <v/>
      </c>
      <c r="O210" s="12"/>
      <c r="P210" s="66">
        <f>'SET 1 PLAYERS'!O210</f>
        <v>0</v>
      </c>
      <c r="Q210" s="67" t="str">
        <f>'SET 1 PLAYERS'!P210</f>
        <v/>
      </c>
      <c r="R210" s="14"/>
      <c r="S210" s="111" t="e">
        <f t="shared" si="6"/>
        <v>#VALUE!</v>
      </c>
      <c r="T210" s="112" t="e">
        <f t="shared" si="7"/>
        <v>#VALUE!</v>
      </c>
      <c r="U210" s="12"/>
      <c r="V210" s="95" t="str">
        <f>'SET 1 PLAYERS'!Q210</f>
        <v/>
      </c>
      <c r="W210" s="12"/>
    </row>
    <row r="211" spans="2:23" x14ac:dyDescent="0.25">
      <c r="B211" s="88" t="str">
        <f>'SET 1 PLAYERS'!G211</f>
        <v>CLASS 1</v>
      </c>
      <c r="C211" t="str">
        <f>IF(AND('ENTRY DATA'!C211=""),"",('ENTRY DATA'!C211))</f>
        <v/>
      </c>
      <c r="D211" t="str">
        <f>IF(AND('ENTRY DATA'!D211=""),"",('ENTRY DATA'!D211))</f>
        <v/>
      </c>
      <c r="E211" s="12"/>
      <c r="F211" t="str">
        <f>IF(AND('ENTRY DATA'!F211=""),"",('ENTRY DATA'!F211))</f>
        <v/>
      </c>
      <c r="G211" t="str">
        <f>IF(AND('ENTRY DATA'!G211=""),"",('ENTRY DATA'!G211))</f>
        <v/>
      </c>
      <c r="H211" s="12"/>
      <c r="I211" s="12"/>
      <c r="J211" s="66" t="str">
        <f>IF(AND('ENTRY DATA'!J211=""),"",('ENTRY DATA'!J211))</f>
        <v/>
      </c>
      <c r="K211" s="89" t="str">
        <f>IF(AND('ENTRY DATA'!K211=""),"",('ENTRY DATA'!K211))</f>
        <v/>
      </c>
      <c r="L211" s="89" t="str">
        <f>IF(AND('ENTRY DATA'!L211=""),"",('ENTRY DATA'!L211))</f>
        <v/>
      </c>
      <c r="M211" s="89" t="str">
        <f>IF(AND('ENTRY DATA'!M211=""),"",('ENTRY DATA'!M211))</f>
        <v/>
      </c>
      <c r="N211" s="67" t="str">
        <f>IF(AND('ENTRY DATA'!N211=""),"",('ENTRY DATA'!N211))</f>
        <v/>
      </c>
      <c r="O211" s="12"/>
      <c r="P211" s="66">
        <f>'SET 1 PLAYERS'!O211</f>
        <v>0</v>
      </c>
      <c r="Q211" s="67" t="str">
        <f>'SET 1 PLAYERS'!P211</f>
        <v/>
      </c>
      <c r="R211" s="14"/>
      <c r="S211" s="111" t="e">
        <f t="shared" si="6"/>
        <v>#VALUE!</v>
      </c>
      <c r="T211" s="112" t="e">
        <f t="shared" si="7"/>
        <v>#VALUE!</v>
      </c>
      <c r="U211" s="12"/>
      <c r="V211" s="95" t="str">
        <f>'SET 1 PLAYERS'!Q211</f>
        <v/>
      </c>
      <c r="W211" s="12"/>
    </row>
    <row r="212" spans="2:23" x14ac:dyDescent="0.25">
      <c r="B212" s="88" t="str">
        <f>'SET 1 PLAYERS'!G212</f>
        <v>CLASS 1</v>
      </c>
      <c r="C212" t="str">
        <f>IF(AND('ENTRY DATA'!C212=""),"",('ENTRY DATA'!C212))</f>
        <v/>
      </c>
      <c r="D212" t="str">
        <f>IF(AND('ENTRY DATA'!D212=""),"",('ENTRY DATA'!D212))</f>
        <v/>
      </c>
      <c r="E212" s="12"/>
      <c r="F212" t="str">
        <f>IF(AND('ENTRY DATA'!F212=""),"",('ENTRY DATA'!F212))</f>
        <v/>
      </c>
      <c r="G212" t="str">
        <f>IF(AND('ENTRY DATA'!G212=""),"",('ENTRY DATA'!G212))</f>
        <v/>
      </c>
      <c r="H212" s="12"/>
      <c r="I212" s="12"/>
      <c r="J212" s="66" t="str">
        <f>IF(AND('ENTRY DATA'!J212=""),"",('ENTRY DATA'!J212))</f>
        <v/>
      </c>
      <c r="K212" s="89" t="str">
        <f>IF(AND('ENTRY DATA'!K212=""),"",('ENTRY DATA'!K212))</f>
        <v/>
      </c>
      <c r="L212" s="89" t="str">
        <f>IF(AND('ENTRY DATA'!L212=""),"",('ENTRY DATA'!L212))</f>
        <v/>
      </c>
      <c r="M212" s="89" t="str">
        <f>IF(AND('ENTRY DATA'!M212=""),"",('ENTRY DATA'!M212))</f>
        <v/>
      </c>
      <c r="N212" s="67" t="str">
        <f>IF(AND('ENTRY DATA'!N212=""),"",('ENTRY DATA'!N212))</f>
        <v/>
      </c>
      <c r="O212" s="12"/>
      <c r="P212" s="66">
        <f>'SET 1 PLAYERS'!O212</f>
        <v>0</v>
      </c>
      <c r="Q212" s="67" t="str">
        <f>'SET 1 PLAYERS'!P212</f>
        <v/>
      </c>
      <c r="R212" s="14"/>
      <c r="S212" s="111" t="e">
        <f t="shared" si="6"/>
        <v>#VALUE!</v>
      </c>
      <c r="T212" s="112" t="e">
        <f t="shared" si="7"/>
        <v>#VALUE!</v>
      </c>
      <c r="U212" s="12"/>
      <c r="V212" s="95" t="str">
        <f>'SET 1 PLAYERS'!Q212</f>
        <v/>
      </c>
      <c r="W212" s="12"/>
    </row>
    <row r="213" spans="2:23" x14ac:dyDescent="0.25">
      <c r="B213" s="88" t="str">
        <f>'SET 1 PLAYERS'!G213</f>
        <v>CLASS 1</v>
      </c>
      <c r="C213" t="str">
        <f>IF(AND('ENTRY DATA'!C213=""),"",('ENTRY DATA'!C213))</f>
        <v/>
      </c>
      <c r="D213" t="str">
        <f>IF(AND('ENTRY DATA'!D213=""),"",('ENTRY DATA'!D213))</f>
        <v/>
      </c>
      <c r="E213" s="12"/>
      <c r="F213" t="str">
        <f>IF(AND('ENTRY DATA'!F213=""),"",('ENTRY DATA'!F213))</f>
        <v/>
      </c>
      <c r="G213" t="str">
        <f>IF(AND('ENTRY DATA'!G213=""),"",('ENTRY DATA'!G213))</f>
        <v/>
      </c>
      <c r="H213" s="12"/>
      <c r="I213" s="12"/>
      <c r="J213" s="66" t="str">
        <f>IF(AND('ENTRY DATA'!J213=""),"",('ENTRY DATA'!J213))</f>
        <v/>
      </c>
      <c r="K213" s="89" t="str">
        <f>IF(AND('ENTRY DATA'!K213=""),"",('ENTRY DATA'!K213))</f>
        <v/>
      </c>
      <c r="L213" s="89" t="str">
        <f>IF(AND('ENTRY DATA'!L213=""),"",('ENTRY DATA'!L213))</f>
        <v/>
      </c>
      <c r="M213" s="89" t="str">
        <f>IF(AND('ENTRY DATA'!M213=""),"",('ENTRY DATA'!M213))</f>
        <v/>
      </c>
      <c r="N213" s="67" t="str">
        <f>IF(AND('ENTRY DATA'!N213=""),"",('ENTRY DATA'!N213))</f>
        <v/>
      </c>
      <c r="O213" s="12"/>
      <c r="P213" s="66">
        <f>'SET 1 PLAYERS'!O213</f>
        <v>0</v>
      </c>
      <c r="Q213" s="67" t="str">
        <f>'SET 1 PLAYERS'!P213</f>
        <v/>
      </c>
      <c r="R213" s="14"/>
      <c r="S213" s="111" t="e">
        <f t="shared" si="6"/>
        <v>#VALUE!</v>
      </c>
      <c r="T213" s="112" t="e">
        <f t="shared" si="7"/>
        <v>#VALUE!</v>
      </c>
      <c r="U213" s="12"/>
      <c r="V213" s="95" t="str">
        <f>'SET 1 PLAYERS'!Q213</f>
        <v/>
      </c>
      <c r="W213" s="12"/>
    </row>
    <row r="214" spans="2:23" x14ac:dyDescent="0.25">
      <c r="B214" s="88" t="str">
        <f>'SET 1 PLAYERS'!G214</f>
        <v>CLASS 1</v>
      </c>
      <c r="C214" t="str">
        <f>IF(AND('ENTRY DATA'!C214=""),"",('ENTRY DATA'!C214))</f>
        <v/>
      </c>
      <c r="D214" t="str">
        <f>IF(AND('ENTRY DATA'!D214=""),"",('ENTRY DATA'!D214))</f>
        <v/>
      </c>
      <c r="E214" s="12"/>
      <c r="F214" t="str">
        <f>IF(AND('ENTRY DATA'!F214=""),"",('ENTRY DATA'!F214))</f>
        <v/>
      </c>
      <c r="G214" t="str">
        <f>IF(AND('ENTRY DATA'!G214=""),"",('ENTRY DATA'!G214))</f>
        <v/>
      </c>
      <c r="H214" s="12"/>
      <c r="I214" s="12"/>
      <c r="J214" s="66" t="str">
        <f>IF(AND('ENTRY DATA'!J214=""),"",('ENTRY DATA'!J214))</f>
        <v/>
      </c>
      <c r="K214" s="89" t="str">
        <f>IF(AND('ENTRY DATA'!K214=""),"",('ENTRY DATA'!K214))</f>
        <v/>
      </c>
      <c r="L214" s="89" t="str">
        <f>IF(AND('ENTRY DATA'!L214=""),"",('ENTRY DATA'!L214))</f>
        <v/>
      </c>
      <c r="M214" s="89" t="str">
        <f>IF(AND('ENTRY DATA'!M214=""),"",('ENTRY DATA'!M214))</f>
        <v/>
      </c>
      <c r="N214" s="67" t="str">
        <f>IF(AND('ENTRY DATA'!N214=""),"",('ENTRY DATA'!N214))</f>
        <v/>
      </c>
      <c r="O214" s="12"/>
      <c r="P214" s="66">
        <f>'SET 1 PLAYERS'!O214</f>
        <v>0</v>
      </c>
      <c r="Q214" s="67" t="str">
        <f>'SET 1 PLAYERS'!P214</f>
        <v/>
      </c>
      <c r="R214" s="14"/>
      <c r="S214" s="111" t="e">
        <f t="shared" si="6"/>
        <v>#VALUE!</v>
      </c>
      <c r="T214" s="112" t="e">
        <f t="shared" si="7"/>
        <v>#VALUE!</v>
      </c>
      <c r="U214" s="12"/>
      <c r="V214" s="95" t="str">
        <f>'SET 1 PLAYERS'!Q214</f>
        <v/>
      </c>
      <c r="W214" s="12"/>
    </row>
    <row r="215" spans="2:23" x14ac:dyDescent="0.25">
      <c r="B215" s="88" t="str">
        <f>'SET 1 PLAYERS'!G215</f>
        <v>CLASS 1</v>
      </c>
      <c r="C215" t="str">
        <f>IF(AND('ENTRY DATA'!C215=""),"",('ENTRY DATA'!C215))</f>
        <v/>
      </c>
      <c r="D215" t="str">
        <f>IF(AND('ENTRY DATA'!D215=""),"",('ENTRY DATA'!D215))</f>
        <v/>
      </c>
      <c r="E215" s="12"/>
      <c r="F215" t="str">
        <f>IF(AND('ENTRY DATA'!F215=""),"",('ENTRY DATA'!F215))</f>
        <v/>
      </c>
      <c r="G215" t="str">
        <f>IF(AND('ENTRY DATA'!G215=""),"",('ENTRY DATA'!G215))</f>
        <v/>
      </c>
      <c r="H215" s="12"/>
      <c r="I215" s="12"/>
      <c r="J215" s="66" t="str">
        <f>IF(AND('ENTRY DATA'!J215=""),"",('ENTRY DATA'!J215))</f>
        <v/>
      </c>
      <c r="K215" s="89" t="str">
        <f>IF(AND('ENTRY DATA'!K215=""),"",('ENTRY DATA'!K215))</f>
        <v/>
      </c>
      <c r="L215" s="89" t="str">
        <f>IF(AND('ENTRY DATA'!L215=""),"",('ENTRY DATA'!L215))</f>
        <v/>
      </c>
      <c r="M215" s="89" t="str">
        <f>IF(AND('ENTRY DATA'!M215=""),"",('ENTRY DATA'!M215))</f>
        <v/>
      </c>
      <c r="N215" s="67" t="str">
        <f>IF(AND('ENTRY DATA'!N215=""),"",('ENTRY DATA'!N215))</f>
        <v/>
      </c>
      <c r="O215" s="12"/>
      <c r="P215" s="66">
        <f>'SET 1 PLAYERS'!O215</f>
        <v>0</v>
      </c>
      <c r="Q215" s="67" t="str">
        <f>'SET 1 PLAYERS'!P215</f>
        <v/>
      </c>
      <c r="R215" s="14"/>
      <c r="S215" s="111" t="e">
        <f t="shared" si="6"/>
        <v>#VALUE!</v>
      </c>
      <c r="T215" s="112" t="e">
        <f t="shared" si="7"/>
        <v>#VALUE!</v>
      </c>
      <c r="U215" s="12"/>
      <c r="V215" s="95" t="str">
        <f>'SET 1 PLAYERS'!Q215</f>
        <v/>
      </c>
      <c r="W215" s="12"/>
    </row>
    <row r="216" spans="2:23" x14ac:dyDescent="0.25">
      <c r="B216" s="88" t="str">
        <f>'SET 1 PLAYERS'!G216</f>
        <v>CLASS 1</v>
      </c>
      <c r="C216" t="str">
        <f>IF(AND('ENTRY DATA'!C216=""),"",('ENTRY DATA'!C216))</f>
        <v/>
      </c>
      <c r="D216" t="str">
        <f>IF(AND('ENTRY DATA'!D216=""),"",('ENTRY DATA'!D216))</f>
        <v/>
      </c>
      <c r="E216" s="12"/>
      <c r="F216" t="str">
        <f>IF(AND('ENTRY DATA'!F216=""),"",('ENTRY DATA'!F216))</f>
        <v/>
      </c>
      <c r="G216" t="str">
        <f>IF(AND('ENTRY DATA'!G216=""),"",('ENTRY DATA'!G216))</f>
        <v/>
      </c>
      <c r="H216" s="12"/>
      <c r="I216" s="12"/>
      <c r="J216" s="66" t="str">
        <f>IF(AND('ENTRY DATA'!J216=""),"",('ENTRY DATA'!J216))</f>
        <v/>
      </c>
      <c r="K216" s="89" t="str">
        <f>IF(AND('ENTRY DATA'!K216=""),"",('ENTRY DATA'!K216))</f>
        <v/>
      </c>
      <c r="L216" s="89" t="str">
        <f>IF(AND('ENTRY DATA'!L216=""),"",('ENTRY DATA'!L216))</f>
        <v/>
      </c>
      <c r="M216" s="89" t="str">
        <f>IF(AND('ENTRY DATA'!M216=""),"",('ENTRY DATA'!M216))</f>
        <v/>
      </c>
      <c r="N216" s="67" t="str">
        <f>IF(AND('ENTRY DATA'!N216=""),"",('ENTRY DATA'!N216))</f>
        <v/>
      </c>
      <c r="O216" s="12"/>
      <c r="P216" s="66">
        <f>'SET 1 PLAYERS'!O216</f>
        <v>0</v>
      </c>
      <c r="Q216" s="67" t="str">
        <f>'SET 1 PLAYERS'!P216</f>
        <v/>
      </c>
      <c r="R216" s="14"/>
      <c r="S216" s="111" t="e">
        <f t="shared" si="6"/>
        <v>#VALUE!</v>
      </c>
      <c r="T216" s="112" t="e">
        <f t="shared" si="7"/>
        <v>#VALUE!</v>
      </c>
      <c r="U216" s="12"/>
      <c r="V216" s="95" t="str">
        <f>'SET 1 PLAYERS'!Q216</f>
        <v/>
      </c>
      <c r="W216" s="12"/>
    </row>
    <row r="217" spans="2:23" x14ac:dyDescent="0.25">
      <c r="B217" s="88" t="str">
        <f>'SET 1 PLAYERS'!G217</f>
        <v>CLASS 1</v>
      </c>
      <c r="C217" t="str">
        <f>IF(AND('ENTRY DATA'!C217=""),"",('ENTRY DATA'!C217))</f>
        <v/>
      </c>
      <c r="D217" t="str">
        <f>IF(AND('ENTRY DATA'!D217=""),"",('ENTRY DATA'!D217))</f>
        <v/>
      </c>
      <c r="E217" s="12"/>
      <c r="F217" t="str">
        <f>IF(AND('ENTRY DATA'!F217=""),"",('ENTRY DATA'!F217))</f>
        <v/>
      </c>
      <c r="G217" t="str">
        <f>IF(AND('ENTRY DATA'!G217=""),"",('ENTRY DATA'!G217))</f>
        <v/>
      </c>
      <c r="H217" s="12"/>
      <c r="I217" s="12"/>
      <c r="J217" s="66" t="str">
        <f>IF(AND('ENTRY DATA'!J217=""),"",('ENTRY DATA'!J217))</f>
        <v/>
      </c>
      <c r="K217" s="89" t="str">
        <f>IF(AND('ENTRY DATA'!K217=""),"",('ENTRY DATA'!K217))</f>
        <v/>
      </c>
      <c r="L217" s="89" t="str">
        <f>IF(AND('ENTRY DATA'!L217=""),"",('ENTRY DATA'!L217))</f>
        <v/>
      </c>
      <c r="M217" s="89" t="str">
        <f>IF(AND('ENTRY DATA'!M217=""),"",('ENTRY DATA'!M217))</f>
        <v/>
      </c>
      <c r="N217" s="67" t="str">
        <f>IF(AND('ENTRY DATA'!N217=""),"",('ENTRY DATA'!N217))</f>
        <v/>
      </c>
      <c r="O217" s="12"/>
      <c r="P217" s="66">
        <f>'SET 1 PLAYERS'!O217</f>
        <v>0</v>
      </c>
      <c r="Q217" s="67" t="str">
        <f>'SET 1 PLAYERS'!P217</f>
        <v/>
      </c>
      <c r="R217" s="14"/>
      <c r="S217" s="111" t="e">
        <f t="shared" si="6"/>
        <v>#VALUE!</v>
      </c>
      <c r="T217" s="112" t="e">
        <f t="shared" si="7"/>
        <v>#VALUE!</v>
      </c>
      <c r="U217" s="12"/>
      <c r="V217" s="95" t="str">
        <f>'SET 1 PLAYERS'!Q217</f>
        <v/>
      </c>
      <c r="W217" s="12"/>
    </row>
    <row r="218" spans="2:23" x14ac:dyDescent="0.25">
      <c r="B218" s="88" t="str">
        <f>'SET 1 PLAYERS'!G218</f>
        <v>CLASS 1</v>
      </c>
      <c r="C218" t="str">
        <f>IF(AND('ENTRY DATA'!C218=""),"",('ENTRY DATA'!C218))</f>
        <v/>
      </c>
      <c r="D218" t="str">
        <f>IF(AND('ENTRY DATA'!D218=""),"",('ENTRY DATA'!D218))</f>
        <v/>
      </c>
      <c r="E218" s="12"/>
      <c r="F218" t="str">
        <f>IF(AND('ENTRY DATA'!F218=""),"",('ENTRY DATA'!F218))</f>
        <v/>
      </c>
      <c r="G218" t="str">
        <f>IF(AND('ENTRY DATA'!G218=""),"",('ENTRY DATA'!G218))</f>
        <v/>
      </c>
      <c r="H218" s="12"/>
      <c r="I218" s="12"/>
      <c r="J218" s="66" t="str">
        <f>IF(AND('ENTRY DATA'!J218=""),"",('ENTRY DATA'!J218))</f>
        <v/>
      </c>
      <c r="K218" s="89" t="str">
        <f>IF(AND('ENTRY DATA'!K218=""),"",('ENTRY DATA'!K218))</f>
        <v/>
      </c>
      <c r="L218" s="89" t="str">
        <f>IF(AND('ENTRY DATA'!L218=""),"",('ENTRY DATA'!L218))</f>
        <v/>
      </c>
      <c r="M218" s="89" t="str">
        <f>IF(AND('ENTRY DATA'!M218=""),"",('ENTRY DATA'!M218))</f>
        <v/>
      </c>
      <c r="N218" s="67" t="str">
        <f>IF(AND('ENTRY DATA'!N218=""),"",('ENTRY DATA'!N218))</f>
        <v/>
      </c>
      <c r="O218" s="12"/>
      <c r="P218" s="66">
        <f>'SET 1 PLAYERS'!O218</f>
        <v>0</v>
      </c>
      <c r="Q218" s="67" t="str">
        <f>'SET 1 PLAYERS'!P218</f>
        <v/>
      </c>
      <c r="R218" s="14"/>
      <c r="S218" s="111" t="e">
        <f t="shared" si="6"/>
        <v>#VALUE!</v>
      </c>
      <c r="T218" s="112" t="e">
        <f t="shared" si="7"/>
        <v>#VALUE!</v>
      </c>
      <c r="U218" s="12"/>
      <c r="V218" s="95" t="str">
        <f>'SET 1 PLAYERS'!Q218</f>
        <v/>
      </c>
      <c r="W218" s="12"/>
    </row>
    <row r="219" spans="2:23" x14ac:dyDescent="0.25">
      <c r="B219" s="88" t="str">
        <f>'SET 1 PLAYERS'!G219</f>
        <v>CLASS 1</v>
      </c>
      <c r="C219" t="str">
        <f>IF(AND('ENTRY DATA'!C219=""),"",('ENTRY DATA'!C219))</f>
        <v/>
      </c>
      <c r="D219" t="str">
        <f>IF(AND('ENTRY DATA'!D219=""),"",('ENTRY DATA'!D219))</f>
        <v/>
      </c>
      <c r="E219" s="12"/>
      <c r="F219" t="str">
        <f>IF(AND('ENTRY DATA'!F219=""),"",('ENTRY DATA'!F219))</f>
        <v/>
      </c>
      <c r="G219" t="str">
        <f>IF(AND('ENTRY DATA'!G219=""),"",('ENTRY DATA'!G219))</f>
        <v/>
      </c>
      <c r="H219" s="12"/>
      <c r="I219" s="12"/>
      <c r="J219" s="66" t="str">
        <f>IF(AND('ENTRY DATA'!J219=""),"",('ENTRY DATA'!J219))</f>
        <v/>
      </c>
      <c r="K219" s="89" t="str">
        <f>IF(AND('ENTRY DATA'!K219=""),"",('ENTRY DATA'!K219))</f>
        <v/>
      </c>
      <c r="L219" s="89" t="str">
        <f>IF(AND('ENTRY DATA'!L219=""),"",('ENTRY DATA'!L219))</f>
        <v/>
      </c>
      <c r="M219" s="89" t="str">
        <f>IF(AND('ENTRY DATA'!M219=""),"",('ENTRY DATA'!M219))</f>
        <v/>
      </c>
      <c r="N219" s="67" t="str">
        <f>IF(AND('ENTRY DATA'!N219=""),"",('ENTRY DATA'!N219))</f>
        <v/>
      </c>
      <c r="O219" s="12"/>
      <c r="P219" s="66">
        <f>'SET 1 PLAYERS'!O219</f>
        <v>0</v>
      </c>
      <c r="Q219" s="67" t="str">
        <f>'SET 1 PLAYERS'!P219</f>
        <v/>
      </c>
      <c r="R219" s="14"/>
      <c r="S219" s="111" t="e">
        <f t="shared" si="6"/>
        <v>#VALUE!</v>
      </c>
      <c r="T219" s="112" t="e">
        <f t="shared" si="7"/>
        <v>#VALUE!</v>
      </c>
      <c r="U219" s="12"/>
      <c r="V219" s="95" t="str">
        <f>'SET 1 PLAYERS'!Q219</f>
        <v/>
      </c>
      <c r="W219" s="12"/>
    </row>
    <row r="220" spans="2:23" x14ac:dyDescent="0.25">
      <c r="B220" s="88" t="str">
        <f>'SET 1 PLAYERS'!G220</f>
        <v>CLASS 1</v>
      </c>
      <c r="C220" t="str">
        <f>IF(AND('ENTRY DATA'!C220=""),"",('ENTRY DATA'!C220))</f>
        <v/>
      </c>
      <c r="D220" t="str">
        <f>IF(AND('ENTRY DATA'!D220=""),"",('ENTRY DATA'!D220))</f>
        <v/>
      </c>
      <c r="E220" s="12"/>
      <c r="F220" t="str">
        <f>IF(AND('ENTRY DATA'!F220=""),"",('ENTRY DATA'!F220))</f>
        <v/>
      </c>
      <c r="G220" t="str">
        <f>IF(AND('ENTRY DATA'!G220=""),"",('ENTRY DATA'!G220))</f>
        <v/>
      </c>
      <c r="H220" s="12"/>
      <c r="I220" s="12"/>
      <c r="J220" s="66" t="str">
        <f>IF(AND('ENTRY DATA'!J220=""),"",('ENTRY DATA'!J220))</f>
        <v/>
      </c>
      <c r="K220" s="89" t="str">
        <f>IF(AND('ENTRY DATA'!K220=""),"",('ENTRY DATA'!K220))</f>
        <v/>
      </c>
      <c r="L220" s="89" t="str">
        <f>IF(AND('ENTRY DATA'!L220=""),"",('ENTRY DATA'!L220))</f>
        <v/>
      </c>
      <c r="M220" s="89" t="str">
        <f>IF(AND('ENTRY DATA'!M220=""),"",('ENTRY DATA'!M220))</f>
        <v/>
      </c>
      <c r="N220" s="67" t="str">
        <f>IF(AND('ENTRY DATA'!N220=""),"",('ENTRY DATA'!N220))</f>
        <v/>
      </c>
      <c r="O220" s="12"/>
      <c r="P220" s="66">
        <f>'SET 1 PLAYERS'!O220</f>
        <v>0</v>
      </c>
      <c r="Q220" s="67" t="str">
        <f>'SET 1 PLAYERS'!P220</f>
        <v/>
      </c>
      <c r="R220" s="14"/>
      <c r="S220" s="111" t="e">
        <f t="shared" si="6"/>
        <v>#VALUE!</v>
      </c>
      <c r="T220" s="112" t="e">
        <f t="shared" si="7"/>
        <v>#VALUE!</v>
      </c>
      <c r="U220" s="12"/>
      <c r="V220" s="95" t="str">
        <f>'SET 1 PLAYERS'!Q220</f>
        <v/>
      </c>
      <c r="W220" s="12"/>
    </row>
    <row r="221" spans="2:23" x14ac:dyDescent="0.25">
      <c r="B221" s="88" t="str">
        <f>'SET 1 PLAYERS'!G221</f>
        <v>CLASS 1</v>
      </c>
      <c r="C221" t="str">
        <f>IF(AND('ENTRY DATA'!C221=""),"",('ENTRY DATA'!C221))</f>
        <v/>
      </c>
      <c r="D221" t="str">
        <f>IF(AND('ENTRY DATA'!D221=""),"",('ENTRY DATA'!D221))</f>
        <v/>
      </c>
      <c r="E221" s="12"/>
      <c r="F221" t="str">
        <f>IF(AND('ENTRY DATA'!F221=""),"",('ENTRY DATA'!F221))</f>
        <v/>
      </c>
      <c r="G221" t="str">
        <f>IF(AND('ENTRY DATA'!G221=""),"",('ENTRY DATA'!G221))</f>
        <v/>
      </c>
      <c r="H221" s="12"/>
      <c r="I221" s="12"/>
      <c r="J221" s="66" t="str">
        <f>IF(AND('ENTRY DATA'!J221=""),"",('ENTRY DATA'!J221))</f>
        <v/>
      </c>
      <c r="K221" s="89" t="str">
        <f>IF(AND('ENTRY DATA'!K221=""),"",('ENTRY DATA'!K221))</f>
        <v/>
      </c>
      <c r="L221" s="89" t="str">
        <f>IF(AND('ENTRY DATA'!L221=""),"",('ENTRY DATA'!L221))</f>
        <v/>
      </c>
      <c r="M221" s="89" t="str">
        <f>IF(AND('ENTRY DATA'!M221=""),"",('ENTRY DATA'!M221))</f>
        <v/>
      </c>
      <c r="N221" s="67" t="str">
        <f>IF(AND('ENTRY DATA'!N221=""),"",('ENTRY DATA'!N221))</f>
        <v/>
      </c>
      <c r="O221" s="12"/>
      <c r="P221" s="66">
        <f>'SET 1 PLAYERS'!O221</f>
        <v>0</v>
      </c>
      <c r="Q221" s="67" t="str">
        <f>'SET 1 PLAYERS'!P221</f>
        <v/>
      </c>
      <c r="R221" s="14"/>
      <c r="S221" s="111" t="e">
        <f t="shared" si="6"/>
        <v>#VALUE!</v>
      </c>
      <c r="T221" s="112" t="e">
        <f t="shared" si="7"/>
        <v>#VALUE!</v>
      </c>
      <c r="U221" s="12"/>
      <c r="V221" s="95" t="str">
        <f>'SET 1 PLAYERS'!Q221</f>
        <v/>
      </c>
      <c r="W221" s="12"/>
    </row>
    <row r="222" spans="2:23" x14ac:dyDescent="0.25">
      <c r="B222" s="88" t="str">
        <f>'SET 1 PLAYERS'!G222</f>
        <v>CLASS 1</v>
      </c>
      <c r="C222" t="str">
        <f>IF(AND('ENTRY DATA'!C222=""),"",('ENTRY DATA'!C222))</f>
        <v/>
      </c>
      <c r="D222" t="str">
        <f>IF(AND('ENTRY DATA'!D222=""),"",('ENTRY DATA'!D222))</f>
        <v/>
      </c>
      <c r="E222" s="12"/>
      <c r="F222" t="str">
        <f>IF(AND('ENTRY DATA'!F222=""),"",('ENTRY DATA'!F222))</f>
        <v/>
      </c>
      <c r="G222" t="str">
        <f>IF(AND('ENTRY DATA'!G222=""),"",('ENTRY DATA'!G222))</f>
        <v/>
      </c>
      <c r="H222" s="12"/>
      <c r="I222" s="12"/>
      <c r="J222" s="66" t="str">
        <f>IF(AND('ENTRY DATA'!J222=""),"",('ENTRY DATA'!J222))</f>
        <v/>
      </c>
      <c r="K222" s="89" t="str">
        <f>IF(AND('ENTRY DATA'!K222=""),"",('ENTRY DATA'!K222))</f>
        <v/>
      </c>
      <c r="L222" s="89" t="str">
        <f>IF(AND('ENTRY DATA'!L222=""),"",('ENTRY DATA'!L222))</f>
        <v/>
      </c>
      <c r="M222" s="89" t="str">
        <f>IF(AND('ENTRY DATA'!M222=""),"",('ENTRY DATA'!M222))</f>
        <v/>
      </c>
      <c r="N222" s="67" t="str">
        <f>IF(AND('ENTRY DATA'!N222=""),"",('ENTRY DATA'!N222))</f>
        <v/>
      </c>
      <c r="O222" s="12"/>
      <c r="P222" s="66">
        <f>'SET 1 PLAYERS'!O222</f>
        <v>0</v>
      </c>
      <c r="Q222" s="67" t="str">
        <f>'SET 1 PLAYERS'!P222</f>
        <v/>
      </c>
      <c r="R222" s="14"/>
      <c r="S222" s="111" t="e">
        <f t="shared" si="6"/>
        <v>#VALUE!</v>
      </c>
      <c r="T222" s="112" t="e">
        <f t="shared" si="7"/>
        <v>#VALUE!</v>
      </c>
      <c r="U222" s="12"/>
      <c r="V222" s="95" t="str">
        <f>'SET 1 PLAYERS'!Q222</f>
        <v/>
      </c>
      <c r="W222" s="12"/>
    </row>
    <row r="223" spans="2:23" x14ac:dyDescent="0.25">
      <c r="B223" s="88" t="str">
        <f>'SET 1 PLAYERS'!G223</f>
        <v>CLASS 1</v>
      </c>
      <c r="C223" t="str">
        <f>IF(AND('ENTRY DATA'!C223=""),"",('ENTRY DATA'!C223))</f>
        <v/>
      </c>
      <c r="D223" t="str">
        <f>IF(AND('ENTRY DATA'!D223=""),"",('ENTRY DATA'!D223))</f>
        <v/>
      </c>
      <c r="E223" s="12"/>
      <c r="F223" t="str">
        <f>IF(AND('ENTRY DATA'!F223=""),"",('ENTRY DATA'!F223))</f>
        <v/>
      </c>
      <c r="G223" t="str">
        <f>IF(AND('ENTRY DATA'!G223=""),"",('ENTRY DATA'!G223))</f>
        <v/>
      </c>
      <c r="H223" s="12"/>
      <c r="I223" s="12"/>
      <c r="J223" s="66" t="str">
        <f>IF(AND('ENTRY DATA'!J223=""),"",('ENTRY DATA'!J223))</f>
        <v/>
      </c>
      <c r="K223" s="89" t="str">
        <f>IF(AND('ENTRY DATA'!K223=""),"",('ENTRY DATA'!K223))</f>
        <v/>
      </c>
      <c r="L223" s="89" t="str">
        <f>IF(AND('ENTRY DATA'!L223=""),"",('ENTRY DATA'!L223))</f>
        <v/>
      </c>
      <c r="M223" s="89" t="str">
        <f>IF(AND('ENTRY DATA'!M223=""),"",('ENTRY DATA'!M223))</f>
        <v/>
      </c>
      <c r="N223" s="67" t="str">
        <f>IF(AND('ENTRY DATA'!N223=""),"",('ENTRY DATA'!N223))</f>
        <v/>
      </c>
      <c r="O223" s="12"/>
      <c r="P223" s="66">
        <f>'SET 1 PLAYERS'!O223</f>
        <v>0</v>
      </c>
      <c r="Q223" s="67" t="str">
        <f>'SET 1 PLAYERS'!P223</f>
        <v/>
      </c>
      <c r="R223" s="14"/>
      <c r="S223" s="111" t="e">
        <f t="shared" si="6"/>
        <v>#VALUE!</v>
      </c>
      <c r="T223" s="112" t="e">
        <f t="shared" si="7"/>
        <v>#VALUE!</v>
      </c>
      <c r="U223" s="12"/>
      <c r="V223" s="95" t="str">
        <f>'SET 1 PLAYERS'!Q223</f>
        <v/>
      </c>
      <c r="W223" s="12"/>
    </row>
    <row r="224" spans="2:23" x14ac:dyDescent="0.25">
      <c r="B224" s="88" t="str">
        <f>'SET 1 PLAYERS'!G224</f>
        <v>CLASS 1</v>
      </c>
      <c r="C224" t="str">
        <f>IF(AND('ENTRY DATA'!C224=""),"",('ENTRY DATA'!C224))</f>
        <v/>
      </c>
      <c r="D224" t="str">
        <f>IF(AND('ENTRY DATA'!D224=""),"",('ENTRY DATA'!D224))</f>
        <v/>
      </c>
      <c r="E224" s="12"/>
      <c r="F224" t="str">
        <f>IF(AND('ENTRY DATA'!F224=""),"",('ENTRY DATA'!F224))</f>
        <v/>
      </c>
      <c r="G224" t="str">
        <f>IF(AND('ENTRY DATA'!G224=""),"",('ENTRY DATA'!G224))</f>
        <v/>
      </c>
      <c r="H224" s="12"/>
      <c r="I224" s="12"/>
      <c r="J224" s="66" t="str">
        <f>IF(AND('ENTRY DATA'!J224=""),"",('ENTRY DATA'!J224))</f>
        <v/>
      </c>
      <c r="K224" s="89" t="str">
        <f>IF(AND('ENTRY DATA'!K224=""),"",('ENTRY DATA'!K224))</f>
        <v/>
      </c>
      <c r="L224" s="89" t="str">
        <f>IF(AND('ENTRY DATA'!L224=""),"",('ENTRY DATA'!L224))</f>
        <v/>
      </c>
      <c r="M224" s="89" t="str">
        <f>IF(AND('ENTRY DATA'!M224=""),"",('ENTRY DATA'!M224))</f>
        <v/>
      </c>
      <c r="N224" s="67" t="str">
        <f>IF(AND('ENTRY DATA'!N224=""),"",('ENTRY DATA'!N224))</f>
        <v/>
      </c>
      <c r="O224" s="12"/>
      <c r="P224" s="66">
        <f>'SET 1 PLAYERS'!O224</f>
        <v>0</v>
      </c>
      <c r="Q224" s="67" t="str">
        <f>'SET 1 PLAYERS'!P224</f>
        <v/>
      </c>
      <c r="R224" s="14"/>
      <c r="S224" s="111" t="e">
        <f t="shared" si="6"/>
        <v>#VALUE!</v>
      </c>
      <c r="T224" s="112" t="e">
        <f t="shared" si="7"/>
        <v>#VALUE!</v>
      </c>
      <c r="U224" s="12"/>
      <c r="V224" s="95" t="str">
        <f>'SET 1 PLAYERS'!Q224</f>
        <v/>
      </c>
      <c r="W224" s="12"/>
    </row>
    <row r="225" spans="2:23" x14ac:dyDescent="0.25">
      <c r="B225" s="88" t="str">
        <f>'SET 1 PLAYERS'!G225</f>
        <v>CLASS 1</v>
      </c>
      <c r="C225" t="str">
        <f>IF(AND('ENTRY DATA'!C225=""),"",('ENTRY DATA'!C225))</f>
        <v/>
      </c>
      <c r="D225" t="str">
        <f>IF(AND('ENTRY DATA'!D225=""),"",('ENTRY DATA'!D225))</f>
        <v/>
      </c>
      <c r="E225" s="12"/>
      <c r="F225" t="str">
        <f>IF(AND('ENTRY DATA'!F225=""),"",('ENTRY DATA'!F225))</f>
        <v/>
      </c>
      <c r="G225" t="str">
        <f>IF(AND('ENTRY DATA'!G225=""),"",('ENTRY DATA'!G225))</f>
        <v/>
      </c>
      <c r="H225" s="12"/>
      <c r="I225" s="12"/>
      <c r="J225" s="66" t="str">
        <f>IF(AND('ENTRY DATA'!J225=""),"",('ENTRY DATA'!J225))</f>
        <v/>
      </c>
      <c r="K225" s="89" t="str">
        <f>IF(AND('ENTRY DATA'!K225=""),"",('ENTRY DATA'!K225))</f>
        <v/>
      </c>
      <c r="L225" s="89" t="str">
        <f>IF(AND('ENTRY DATA'!L225=""),"",('ENTRY DATA'!L225))</f>
        <v/>
      </c>
      <c r="M225" s="89" t="str">
        <f>IF(AND('ENTRY DATA'!M225=""),"",('ENTRY DATA'!M225))</f>
        <v/>
      </c>
      <c r="N225" s="67" t="str">
        <f>IF(AND('ENTRY DATA'!N225=""),"",('ENTRY DATA'!N225))</f>
        <v/>
      </c>
      <c r="O225" s="12"/>
      <c r="P225" s="66">
        <f>'SET 1 PLAYERS'!O225</f>
        <v>0</v>
      </c>
      <c r="Q225" s="67" t="str">
        <f>'SET 1 PLAYERS'!P225</f>
        <v/>
      </c>
      <c r="R225" s="14"/>
      <c r="S225" s="111" t="e">
        <f t="shared" si="6"/>
        <v>#VALUE!</v>
      </c>
      <c r="T225" s="112" t="e">
        <f t="shared" si="7"/>
        <v>#VALUE!</v>
      </c>
      <c r="U225" s="12"/>
      <c r="V225" s="95" t="str">
        <f>'SET 1 PLAYERS'!Q225</f>
        <v/>
      </c>
      <c r="W225" s="12"/>
    </row>
    <row r="226" spans="2:23" x14ac:dyDescent="0.25">
      <c r="B226" s="88" t="str">
        <f>'SET 1 PLAYERS'!G226</f>
        <v>CLASS 1</v>
      </c>
      <c r="C226" t="str">
        <f>IF(AND('ENTRY DATA'!C226=""),"",('ENTRY DATA'!C226))</f>
        <v/>
      </c>
      <c r="D226" t="str">
        <f>IF(AND('ENTRY DATA'!D226=""),"",('ENTRY DATA'!D226))</f>
        <v/>
      </c>
      <c r="E226" s="12"/>
      <c r="F226" t="str">
        <f>IF(AND('ENTRY DATA'!F226=""),"",('ENTRY DATA'!F226))</f>
        <v/>
      </c>
      <c r="G226" t="str">
        <f>IF(AND('ENTRY DATA'!G226=""),"",('ENTRY DATA'!G226))</f>
        <v/>
      </c>
      <c r="H226" s="12"/>
      <c r="I226" s="12"/>
      <c r="J226" s="66" t="str">
        <f>IF(AND('ENTRY DATA'!J226=""),"",('ENTRY DATA'!J226))</f>
        <v/>
      </c>
      <c r="K226" s="89" t="str">
        <f>IF(AND('ENTRY DATA'!K226=""),"",('ENTRY DATA'!K226))</f>
        <v/>
      </c>
      <c r="L226" s="89" t="str">
        <f>IF(AND('ENTRY DATA'!L226=""),"",('ENTRY DATA'!L226))</f>
        <v/>
      </c>
      <c r="M226" s="89" t="str">
        <f>IF(AND('ENTRY DATA'!M226=""),"",('ENTRY DATA'!M226))</f>
        <v/>
      </c>
      <c r="N226" s="67" t="str">
        <f>IF(AND('ENTRY DATA'!N226=""),"",('ENTRY DATA'!N226))</f>
        <v/>
      </c>
      <c r="O226" s="12"/>
      <c r="P226" s="66">
        <f>'SET 1 PLAYERS'!O226</f>
        <v>0</v>
      </c>
      <c r="Q226" s="67" t="str">
        <f>'SET 1 PLAYERS'!P226</f>
        <v/>
      </c>
      <c r="R226" s="14"/>
      <c r="S226" s="111" t="e">
        <f t="shared" si="6"/>
        <v>#VALUE!</v>
      </c>
      <c r="T226" s="112" t="e">
        <f t="shared" si="7"/>
        <v>#VALUE!</v>
      </c>
      <c r="U226" s="12"/>
      <c r="V226" s="95" t="str">
        <f>'SET 1 PLAYERS'!Q226</f>
        <v/>
      </c>
      <c r="W226" s="12"/>
    </row>
    <row r="227" spans="2:23" x14ac:dyDescent="0.25">
      <c r="B227" s="88" t="str">
        <f>'SET 1 PLAYERS'!G227</f>
        <v>CLASS 1</v>
      </c>
      <c r="C227" t="str">
        <f>IF(AND('ENTRY DATA'!C227=""),"",('ENTRY DATA'!C227))</f>
        <v/>
      </c>
      <c r="D227" t="str">
        <f>IF(AND('ENTRY DATA'!D227=""),"",('ENTRY DATA'!D227))</f>
        <v/>
      </c>
      <c r="E227" s="12"/>
      <c r="F227" t="str">
        <f>IF(AND('ENTRY DATA'!F227=""),"",('ENTRY DATA'!F227))</f>
        <v/>
      </c>
      <c r="G227" t="str">
        <f>IF(AND('ENTRY DATA'!G227=""),"",('ENTRY DATA'!G227))</f>
        <v/>
      </c>
      <c r="H227" s="12"/>
      <c r="I227" s="12"/>
      <c r="J227" s="66" t="str">
        <f>IF(AND('ENTRY DATA'!J227=""),"",('ENTRY DATA'!J227))</f>
        <v/>
      </c>
      <c r="K227" s="89" t="str">
        <f>IF(AND('ENTRY DATA'!K227=""),"",('ENTRY DATA'!K227))</f>
        <v/>
      </c>
      <c r="L227" s="89" t="str">
        <f>IF(AND('ENTRY DATA'!L227=""),"",('ENTRY DATA'!L227))</f>
        <v/>
      </c>
      <c r="M227" s="89" t="str">
        <f>IF(AND('ENTRY DATA'!M227=""),"",('ENTRY DATA'!M227))</f>
        <v/>
      </c>
      <c r="N227" s="67" t="str">
        <f>IF(AND('ENTRY DATA'!N227=""),"",('ENTRY DATA'!N227))</f>
        <v/>
      </c>
      <c r="O227" s="12"/>
      <c r="P227" s="66">
        <f>'SET 1 PLAYERS'!O227</f>
        <v>0</v>
      </c>
      <c r="Q227" s="67" t="str">
        <f>'SET 1 PLAYERS'!P227</f>
        <v/>
      </c>
      <c r="R227" s="14"/>
      <c r="S227" s="111" t="e">
        <f t="shared" si="6"/>
        <v>#VALUE!</v>
      </c>
      <c r="T227" s="112" t="e">
        <f t="shared" si="7"/>
        <v>#VALUE!</v>
      </c>
      <c r="U227" s="12"/>
      <c r="V227" s="95" t="str">
        <f>'SET 1 PLAYERS'!Q227</f>
        <v/>
      </c>
      <c r="W227" s="12"/>
    </row>
    <row r="228" spans="2:23" x14ac:dyDescent="0.25">
      <c r="B228" s="88" t="str">
        <f>'SET 1 PLAYERS'!G228</f>
        <v>CLASS 1</v>
      </c>
      <c r="C228" t="str">
        <f>IF(AND('ENTRY DATA'!C228=""),"",('ENTRY DATA'!C228))</f>
        <v/>
      </c>
      <c r="D228" t="str">
        <f>IF(AND('ENTRY DATA'!D228=""),"",('ENTRY DATA'!D228))</f>
        <v/>
      </c>
      <c r="E228" s="12"/>
      <c r="F228" t="str">
        <f>IF(AND('ENTRY DATA'!F228=""),"",('ENTRY DATA'!F228))</f>
        <v/>
      </c>
      <c r="G228" t="str">
        <f>IF(AND('ENTRY DATA'!G228=""),"",('ENTRY DATA'!G228))</f>
        <v/>
      </c>
      <c r="H228" s="12"/>
      <c r="I228" s="12"/>
      <c r="J228" s="66" t="str">
        <f>IF(AND('ENTRY DATA'!J228=""),"",('ENTRY DATA'!J228))</f>
        <v/>
      </c>
      <c r="K228" s="89" t="str">
        <f>IF(AND('ENTRY DATA'!K228=""),"",('ENTRY DATA'!K228))</f>
        <v/>
      </c>
      <c r="L228" s="89" t="str">
        <f>IF(AND('ENTRY DATA'!L228=""),"",('ENTRY DATA'!L228))</f>
        <v/>
      </c>
      <c r="M228" s="89" t="str">
        <f>IF(AND('ENTRY DATA'!M228=""),"",('ENTRY DATA'!M228))</f>
        <v/>
      </c>
      <c r="N228" s="67" t="str">
        <f>IF(AND('ENTRY DATA'!N228=""),"",('ENTRY DATA'!N228))</f>
        <v/>
      </c>
      <c r="O228" s="12"/>
      <c r="P228" s="66">
        <f>'SET 1 PLAYERS'!O228</f>
        <v>0</v>
      </c>
      <c r="Q228" s="67" t="str">
        <f>'SET 1 PLAYERS'!P228</f>
        <v/>
      </c>
      <c r="R228" s="14"/>
      <c r="S228" s="111" t="e">
        <f t="shared" si="6"/>
        <v>#VALUE!</v>
      </c>
      <c r="T228" s="112" t="e">
        <f t="shared" si="7"/>
        <v>#VALUE!</v>
      </c>
      <c r="U228" s="12"/>
      <c r="V228" s="95" t="str">
        <f>'SET 1 PLAYERS'!Q228</f>
        <v/>
      </c>
      <c r="W228" s="12"/>
    </row>
    <row r="229" spans="2:23" x14ac:dyDescent="0.25">
      <c r="B229" s="88" t="str">
        <f>'SET 1 PLAYERS'!G229</f>
        <v>CLASS 1</v>
      </c>
      <c r="C229" t="str">
        <f>IF(AND('ENTRY DATA'!C229=""),"",('ENTRY DATA'!C229))</f>
        <v/>
      </c>
      <c r="D229" t="str">
        <f>IF(AND('ENTRY DATA'!D229=""),"",('ENTRY DATA'!D229))</f>
        <v/>
      </c>
      <c r="E229" s="12"/>
      <c r="F229" t="str">
        <f>IF(AND('ENTRY DATA'!F229=""),"",('ENTRY DATA'!F229))</f>
        <v/>
      </c>
      <c r="G229" t="str">
        <f>IF(AND('ENTRY DATA'!G229=""),"",('ENTRY DATA'!G229))</f>
        <v/>
      </c>
      <c r="H229" s="12"/>
      <c r="I229" s="12"/>
      <c r="J229" s="66" t="str">
        <f>IF(AND('ENTRY DATA'!J229=""),"",('ENTRY DATA'!J229))</f>
        <v/>
      </c>
      <c r="K229" s="89" t="str">
        <f>IF(AND('ENTRY DATA'!K229=""),"",('ENTRY DATA'!K229))</f>
        <v/>
      </c>
      <c r="L229" s="89" t="str">
        <f>IF(AND('ENTRY DATA'!L229=""),"",('ENTRY DATA'!L229))</f>
        <v/>
      </c>
      <c r="M229" s="89" t="str">
        <f>IF(AND('ENTRY DATA'!M229=""),"",('ENTRY DATA'!M229))</f>
        <v/>
      </c>
      <c r="N229" s="67" t="str">
        <f>IF(AND('ENTRY DATA'!N229=""),"",('ENTRY DATA'!N229))</f>
        <v/>
      </c>
      <c r="O229" s="12"/>
      <c r="P229" s="66">
        <f>'SET 1 PLAYERS'!O229</f>
        <v>0</v>
      </c>
      <c r="Q229" s="67" t="str">
        <f>'SET 1 PLAYERS'!P229</f>
        <v/>
      </c>
      <c r="R229" s="14"/>
      <c r="S229" s="111" t="e">
        <f t="shared" si="6"/>
        <v>#VALUE!</v>
      </c>
      <c r="T229" s="112" t="e">
        <f t="shared" si="7"/>
        <v>#VALUE!</v>
      </c>
      <c r="U229" s="12"/>
      <c r="V229" s="95" t="str">
        <f>'SET 1 PLAYERS'!Q229</f>
        <v/>
      </c>
      <c r="W229" s="12"/>
    </row>
    <row r="230" spans="2:23" x14ac:dyDescent="0.25">
      <c r="B230" s="88" t="str">
        <f>'SET 1 PLAYERS'!G230</f>
        <v>CLASS 1</v>
      </c>
      <c r="C230" t="str">
        <f>IF(AND('ENTRY DATA'!C230=""),"",('ENTRY DATA'!C230))</f>
        <v/>
      </c>
      <c r="D230" t="str">
        <f>IF(AND('ENTRY DATA'!D230=""),"",('ENTRY DATA'!D230))</f>
        <v/>
      </c>
      <c r="E230" s="12"/>
      <c r="F230" t="str">
        <f>IF(AND('ENTRY DATA'!F230=""),"",('ENTRY DATA'!F230))</f>
        <v/>
      </c>
      <c r="G230" t="str">
        <f>IF(AND('ENTRY DATA'!G230=""),"",('ENTRY DATA'!G230))</f>
        <v/>
      </c>
      <c r="H230" s="12"/>
      <c r="I230" s="12"/>
      <c r="J230" s="66" t="str">
        <f>IF(AND('ENTRY DATA'!J230=""),"",('ENTRY DATA'!J230))</f>
        <v/>
      </c>
      <c r="K230" s="89" t="str">
        <f>IF(AND('ENTRY DATA'!K230=""),"",('ENTRY DATA'!K230))</f>
        <v/>
      </c>
      <c r="L230" s="89" t="str">
        <f>IF(AND('ENTRY DATA'!L230=""),"",('ENTRY DATA'!L230))</f>
        <v/>
      </c>
      <c r="M230" s="89" t="str">
        <f>IF(AND('ENTRY DATA'!M230=""),"",('ENTRY DATA'!M230))</f>
        <v/>
      </c>
      <c r="N230" s="67" t="str">
        <f>IF(AND('ENTRY DATA'!N230=""),"",('ENTRY DATA'!N230))</f>
        <v/>
      </c>
      <c r="O230" s="12"/>
      <c r="P230" s="66">
        <f>'SET 1 PLAYERS'!O230</f>
        <v>0</v>
      </c>
      <c r="Q230" s="67" t="str">
        <f>'SET 1 PLAYERS'!P230</f>
        <v/>
      </c>
      <c r="R230" s="14"/>
      <c r="S230" s="111" t="e">
        <f t="shared" si="6"/>
        <v>#VALUE!</v>
      </c>
      <c r="T230" s="112" t="e">
        <f t="shared" si="7"/>
        <v>#VALUE!</v>
      </c>
      <c r="U230" s="12"/>
      <c r="V230" s="95" t="str">
        <f>'SET 1 PLAYERS'!Q230</f>
        <v/>
      </c>
      <c r="W230" s="12"/>
    </row>
    <row r="231" spans="2:23" x14ac:dyDescent="0.25">
      <c r="B231" s="88" t="str">
        <f>'SET 1 PLAYERS'!G231</f>
        <v>CLASS 1</v>
      </c>
      <c r="C231" t="str">
        <f>IF(AND('ENTRY DATA'!C231=""),"",('ENTRY DATA'!C231))</f>
        <v/>
      </c>
      <c r="D231" t="str">
        <f>IF(AND('ENTRY DATA'!D231=""),"",('ENTRY DATA'!D231))</f>
        <v/>
      </c>
      <c r="E231" s="12"/>
      <c r="F231" t="str">
        <f>IF(AND('ENTRY DATA'!F231=""),"",('ENTRY DATA'!F231))</f>
        <v/>
      </c>
      <c r="G231" t="str">
        <f>IF(AND('ENTRY DATA'!G231=""),"",('ENTRY DATA'!G231))</f>
        <v/>
      </c>
      <c r="H231" s="12"/>
      <c r="I231" s="12"/>
      <c r="J231" s="66" t="str">
        <f>IF(AND('ENTRY DATA'!J231=""),"",('ENTRY DATA'!J231))</f>
        <v/>
      </c>
      <c r="K231" s="89" t="str">
        <f>IF(AND('ENTRY DATA'!K231=""),"",('ENTRY DATA'!K231))</f>
        <v/>
      </c>
      <c r="L231" s="89" t="str">
        <f>IF(AND('ENTRY DATA'!L231=""),"",('ENTRY DATA'!L231))</f>
        <v/>
      </c>
      <c r="M231" s="89" t="str">
        <f>IF(AND('ENTRY DATA'!M231=""),"",('ENTRY DATA'!M231))</f>
        <v/>
      </c>
      <c r="N231" s="67" t="str">
        <f>IF(AND('ENTRY DATA'!N231=""),"",('ENTRY DATA'!N231))</f>
        <v/>
      </c>
      <c r="O231" s="12"/>
      <c r="P231" s="66">
        <f>'SET 1 PLAYERS'!O231</f>
        <v>0</v>
      </c>
      <c r="Q231" s="67" t="str">
        <f>'SET 1 PLAYERS'!P231</f>
        <v/>
      </c>
      <c r="R231" s="14"/>
      <c r="S231" s="111" t="e">
        <f t="shared" si="6"/>
        <v>#VALUE!</v>
      </c>
      <c r="T231" s="112" t="e">
        <f t="shared" si="7"/>
        <v>#VALUE!</v>
      </c>
      <c r="U231" s="12"/>
      <c r="V231" s="95" t="str">
        <f>'SET 1 PLAYERS'!Q231</f>
        <v/>
      </c>
      <c r="W231" s="12"/>
    </row>
    <row r="232" spans="2:23" x14ac:dyDescent="0.25">
      <c r="B232" s="88" t="str">
        <f>'SET 1 PLAYERS'!G232</f>
        <v>CLASS 1</v>
      </c>
      <c r="C232" t="str">
        <f>IF(AND('ENTRY DATA'!C232=""),"",('ENTRY DATA'!C232))</f>
        <v/>
      </c>
      <c r="D232" t="str">
        <f>IF(AND('ENTRY DATA'!D232=""),"",('ENTRY DATA'!D232))</f>
        <v/>
      </c>
      <c r="E232" s="12"/>
      <c r="F232" t="str">
        <f>IF(AND('ENTRY DATA'!F232=""),"",('ENTRY DATA'!F232))</f>
        <v/>
      </c>
      <c r="G232" t="str">
        <f>IF(AND('ENTRY DATA'!G232=""),"",('ENTRY DATA'!G232))</f>
        <v/>
      </c>
      <c r="H232" s="12"/>
      <c r="I232" s="12"/>
      <c r="J232" s="66" t="str">
        <f>IF(AND('ENTRY DATA'!J232=""),"",('ENTRY DATA'!J232))</f>
        <v/>
      </c>
      <c r="K232" s="89" t="str">
        <f>IF(AND('ENTRY DATA'!K232=""),"",('ENTRY DATA'!K232))</f>
        <v/>
      </c>
      <c r="L232" s="89" t="str">
        <f>IF(AND('ENTRY DATA'!L232=""),"",('ENTRY DATA'!L232))</f>
        <v/>
      </c>
      <c r="M232" s="89" t="str">
        <f>IF(AND('ENTRY DATA'!M232=""),"",('ENTRY DATA'!M232))</f>
        <v/>
      </c>
      <c r="N232" s="67" t="str">
        <f>IF(AND('ENTRY DATA'!N232=""),"",('ENTRY DATA'!N232))</f>
        <v/>
      </c>
      <c r="O232" s="12"/>
      <c r="P232" s="66">
        <f>'SET 1 PLAYERS'!O232</f>
        <v>0</v>
      </c>
      <c r="Q232" s="67" t="str">
        <f>'SET 1 PLAYERS'!P232</f>
        <v/>
      </c>
      <c r="R232" s="14"/>
      <c r="S232" s="111" t="e">
        <f t="shared" si="6"/>
        <v>#VALUE!</v>
      </c>
      <c r="T232" s="112" t="e">
        <f t="shared" si="7"/>
        <v>#VALUE!</v>
      </c>
      <c r="U232" s="12"/>
      <c r="V232" s="95" t="str">
        <f>'SET 1 PLAYERS'!Q232</f>
        <v/>
      </c>
      <c r="W232" s="12"/>
    </row>
    <row r="233" spans="2:23" x14ac:dyDescent="0.25">
      <c r="B233" s="88" t="str">
        <f>'SET 1 PLAYERS'!G233</f>
        <v>CLASS 1</v>
      </c>
      <c r="C233" t="str">
        <f>IF(AND('ENTRY DATA'!C233=""),"",('ENTRY DATA'!C233))</f>
        <v/>
      </c>
      <c r="D233" t="str">
        <f>IF(AND('ENTRY DATA'!D233=""),"",('ENTRY DATA'!D233))</f>
        <v/>
      </c>
      <c r="E233" s="12"/>
      <c r="F233" t="str">
        <f>IF(AND('ENTRY DATA'!F233=""),"",('ENTRY DATA'!F233))</f>
        <v/>
      </c>
      <c r="G233" t="str">
        <f>IF(AND('ENTRY DATA'!G233=""),"",('ENTRY DATA'!G233))</f>
        <v/>
      </c>
      <c r="H233" s="12"/>
      <c r="I233" s="12"/>
      <c r="J233" s="66" t="str">
        <f>IF(AND('ENTRY DATA'!J233=""),"",('ENTRY DATA'!J233))</f>
        <v/>
      </c>
      <c r="K233" s="89" t="str">
        <f>IF(AND('ENTRY DATA'!K233=""),"",('ENTRY DATA'!K233))</f>
        <v/>
      </c>
      <c r="L233" s="89" t="str">
        <f>IF(AND('ENTRY DATA'!L233=""),"",('ENTRY DATA'!L233))</f>
        <v/>
      </c>
      <c r="M233" s="89" t="str">
        <f>IF(AND('ENTRY DATA'!M233=""),"",('ENTRY DATA'!M233))</f>
        <v/>
      </c>
      <c r="N233" s="67" t="str">
        <f>IF(AND('ENTRY DATA'!N233=""),"",('ENTRY DATA'!N233))</f>
        <v/>
      </c>
      <c r="O233" s="12"/>
      <c r="P233" s="66">
        <f>'SET 1 PLAYERS'!O233</f>
        <v>0</v>
      </c>
      <c r="Q233" s="67" t="str">
        <f>'SET 1 PLAYERS'!P233</f>
        <v/>
      </c>
      <c r="R233" s="14"/>
      <c r="S233" s="111" t="e">
        <f t="shared" si="6"/>
        <v>#VALUE!</v>
      </c>
      <c r="T233" s="112" t="e">
        <f t="shared" si="7"/>
        <v>#VALUE!</v>
      </c>
      <c r="U233" s="12"/>
      <c r="V233" s="95" t="str">
        <f>'SET 1 PLAYERS'!Q233</f>
        <v/>
      </c>
      <c r="W233" s="12"/>
    </row>
    <row r="234" spans="2:23" x14ac:dyDescent="0.25">
      <c r="B234" s="88" t="str">
        <f>'SET 1 PLAYERS'!G234</f>
        <v>CLASS 1</v>
      </c>
      <c r="C234" t="str">
        <f>IF(AND('ENTRY DATA'!C234=""),"",('ENTRY DATA'!C234))</f>
        <v/>
      </c>
      <c r="D234" t="str">
        <f>IF(AND('ENTRY DATA'!D234=""),"",('ENTRY DATA'!D234))</f>
        <v/>
      </c>
      <c r="E234" s="12"/>
      <c r="F234" t="str">
        <f>IF(AND('ENTRY DATA'!F234=""),"",('ENTRY DATA'!F234))</f>
        <v/>
      </c>
      <c r="G234" t="str">
        <f>IF(AND('ENTRY DATA'!G234=""),"",('ENTRY DATA'!G234))</f>
        <v/>
      </c>
      <c r="H234" s="12"/>
      <c r="I234" s="12"/>
      <c r="J234" s="66" t="str">
        <f>IF(AND('ENTRY DATA'!J234=""),"",('ENTRY DATA'!J234))</f>
        <v/>
      </c>
      <c r="K234" s="89" t="str">
        <f>IF(AND('ENTRY DATA'!K234=""),"",('ENTRY DATA'!K234))</f>
        <v/>
      </c>
      <c r="L234" s="89" t="str">
        <f>IF(AND('ENTRY DATA'!L234=""),"",('ENTRY DATA'!L234))</f>
        <v/>
      </c>
      <c r="M234" s="89" t="str">
        <f>IF(AND('ENTRY DATA'!M234=""),"",('ENTRY DATA'!M234))</f>
        <v/>
      </c>
      <c r="N234" s="67" t="str">
        <f>IF(AND('ENTRY DATA'!N234=""),"",('ENTRY DATA'!N234))</f>
        <v/>
      </c>
      <c r="O234" s="12"/>
      <c r="P234" s="66">
        <f>'SET 1 PLAYERS'!O234</f>
        <v>0</v>
      </c>
      <c r="Q234" s="67" t="str">
        <f>'SET 1 PLAYERS'!P234</f>
        <v/>
      </c>
      <c r="R234" s="14"/>
      <c r="S234" s="111" t="e">
        <f t="shared" si="6"/>
        <v>#VALUE!</v>
      </c>
      <c r="T234" s="112" t="e">
        <f t="shared" si="7"/>
        <v>#VALUE!</v>
      </c>
      <c r="U234" s="12"/>
      <c r="V234" s="95" t="str">
        <f>'SET 1 PLAYERS'!Q234</f>
        <v/>
      </c>
      <c r="W234" s="12"/>
    </row>
    <row r="235" spans="2:23" x14ac:dyDescent="0.25">
      <c r="B235" s="88" t="str">
        <f>'SET 1 PLAYERS'!G235</f>
        <v>CLASS 1</v>
      </c>
      <c r="C235" t="str">
        <f>IF(AND('ENTRY DATA'!C235=""),"",('ENTRY DATA'!C235))</f>
        <v/>
      </c>
      <c r="D235" t="str">
        <f>IF(AND('ENTRY DATA'!D235=""),"",('ENTRY DATA'!D235))</f>
        <v/>
      </c>
      <c r="E235" s="12"/>
      <c r="F235" t="str">
        <f>IF(AND('ENTRY DATA'!F235=""),"",('ENTRY DATA'!F235))</f>
        <v/>
      </c>
      <c r="G235" t="str">
        <f>IF(AND('ENTRY DATA'!G235=""),"",('ENTRY DATA'!G235))</f>
        <v/>
      </c>
      <c r="H235" s="12"/>
      <c r="I235" s="12"/>
      <c r="J235" s="66" t="str">
        <f>IF(AND('ENTRY DATA'!J235=""),"",('ENTRY DATA'!J235))</f>
        <v/>
      </c>
      <c r="K235" s="89" t="str">
        <f>IF(AND('ENTRY DATA'!K235=""),"",('ENTRY DATA'!K235))</f>
        <v/>
      </c>
      <c r="L235" s="89" t="str">
        <f>IF(AND('ENTRY DATA'!L235=""),"",('ENTRY DATA'!L235))</f>
        <v/>
      </c>
      <c r="M235" s="89" t="str">
        <f>IF(AND('ENTRY DATA'!M235=""),"",('ENTRY DATA'!M235))</f>
        <v/>
      </c>
      <c r="N235" s="67" t="str">
        <f>IF(AND('ENTRY DATA'!N235=""),"",('ENTRY DATA'!N235))</f>
        <v/>
      </c>
      <c r="O235" s="12"/>
      <c r="P235" s="66">
        <f>'SET 1 PLAYERS'!O235</f>
        <v>0</v>
      </c>
      <c r="Q235" s="67" t="str">
        <f>'SET 1 PLAYERS'!P235</f>
        <v/>
      </c>
      <c r="R235" s="14"/>
      <c r="S235" s="111" t="e">
        <f t="shared" si="6"/>
        <v>#VALUE!</v>
      </c>
      <c r="T235" s="112" t="e">
        <f t="shared" si="7"/>
        <v>#VALUE!</v>
      </c>
      <c r="U235" s="12"/>
      <c r="V235" s="95" t="str">
        <f>'SET 1 PLAYERS'!Q235</f>
        <v/>
      </c>
      <c r="W235" s="12"/>
    </row>
    <row r="236" spans="2:23" x14ac:dyDescent="0.25">
      <c r="B236" s="88" t="str">
        <f>'SET 1 PLAYERS'!G236</f>
        <v>CLASS 1</v>
      </c>
      <c r="C236" t="str">
        <f>IF(AND('ENTRY DATA'!C236=""),"",('ENTRY DATA'!C236))</f>
        <v/>
      </c>
      <c r="D236" t="str">
        <f>IF(AND('ENTRY DATA'!D236=""),"",('ENTRY DATA'!D236))</f>
        <v/>
      </c>
      <c r="E236" s="12"/>
      <c r="F236" t="str">
        <f>IF(AND('ENTRY DATA'!F236=""),"",('ENTRY DATA'!F236))</f>
        <v/>
      </c>
      <c r="G236" t="str">
        <f>IF(AND('ENTRY DATA'!G236=""),"",('ENTRY DATA'!G236))</f>
        <v/>
      </c>
      <c r="H236" s="12"/>
      <c r="I236" s="12"/>
      <c r="J236" s="66" t="str">
        <f>IF(AND('ENTRY DATA'!J236=""),"",('ENTRY DATA'!J236))</f>
        <v/>
      </c>
      <c r="K236" s="89" t="str">
        <f>IF(AND('ENTRY DATA'!K236=""),"",('ENTRY DATA'!K236))</f>
        <v/>
      </c>
      <c r="L236" s="89" t="str">
        <f>IF(AND('ENTRY DATA'!L236=""),"",('ENTRY DATA'!L236))</f>
        <v/>
      </c>
      <c r="M236" s="89" t="str">
        <f>IF(AND('ENTRY DATA'!M236=""),"",('ENTRY DATA'!M236))</f>
        <v/>
      </c>
      <c r="N236" s="67" t="str">
        <f>IF(AND('ENTRY DATA'!N236=""),"",('ENTRY DATA'!N236))</f>
        <v/>
      </c>
      <c r="O236" s="12"/>
      <c r="P236" s="66">
        <f>'SET 1 PLAYERS'!O236</f>
        <v>0</v>
      </c>
      <c r="Q236" s="67" t="str">
        <f>'SET 1 PLAYERS'!P236</f>
        <v/>
      </c>
      <c r="R236" s="14"/>
      <c r="S236" s="111" t="e">
        <f t="shared" si="6"/>
        <v>#VALUE!</v>
      </c>
      <c r="T236" s="112" t="e">
        <f t="shared" si="7"/>
        <v>#VALUE!</v>
      </c>
      <c r="U236" s="12"/>
      <c r="V236" s="95" t="str">
        <f>'SET 1 PLAYERS'!Q236</f>
        <v/>
      </c>
      <c r="W236" s="12"/>
    </row>
    <row r="237" spans="2:23" x14ac:dyDescent="0.25">
      <c r="B237" s="88" t="str">
        <f>'SET 1 PLAYERS'!G237</f>
        <v>CLASS 1</v>
      </c>
      <c r="C237" t="str">
        <f>IF(AND('ENTRY DATA'!C237=""),"",('ENTRY DATA'!C237))</f>
        <v/>
      </c>
      <c r="D237" t="str">
        <f>IF(AND('ENTRY DATA'!D237=""),"",('ENTRY DATA'!D237))</f>
        <v/>
      </c>
      <c r="E237" s="12"/>
      <c r="F237" t="str">
        <f>IF(AND('ENTRY DATA'!F237=""),"",('ENTRY DATA'!F237))</f>
        <v/>
      </c>
      <c r="G237" t="str">
        <f>IF(AND('ENTRY DATA'!G237=""),"",('ENTRY DATA'!G237))</f>
        <v/>
      </c>
      <c r="H237" s="12"/>
      <c r="I237" s="12"/>
      <c r="J237" s="66" t="str">
        <f>IF(AND('ENTRY DATA'!J237=""),"",('ENTRY DATA'!J237))</f>
        <v/>
      </c>
      <c r="K237" s="89" t="str">
        <f>IF(AND('ENTRY DATA'!K237=""),"",('ENTRY DATA'!K237))</f>
        <v/>
      </c>
      <c r="L237" s="89" t="str">
        <f>IF(AND('ENTRY DATA'!L237=""),"",('ENTRY DATA'!L237))</f>
        <v/>
      </c>
      <c r="M237" s="89" t="str">
        <f>IF(AND('ENTRY DATA'!M237=""),"",('ENTRY DATA'!M237))</f>
        <v/>
      </c>
      <c r="N237" s="67" t="str">
        <f>IF(AND('ENTRY DATA'!N237=""),"",('ENTRY DATA'!N237))</f>
        <v/>
      </c>
      <c r="O237" s="12"/>
      <c r="P237" s="66">
        <f>'SET 1 PLAYERS'!O237</f>
        <v>0</v>
      </c>
      <c r="Q237" s="67" t="str">
        <f>'SET 1 PLAYERS'!P237</f>
        <v/>
      </c>
      <c r="R237" s="14"/>
      <c r="S237" s="111" t="e">
        <f t="shared" si="6"/>
        <v>#VALUE!</v>
      </c>
      <c r="T237" s="112" t="e">
        <f t="shared" si="7"/>
        <v>#VALUE!</v>
      </c>
      <c r="U237" s="12"/>
      <c r="V237" s="95" t="str">
        <f>'SET 1 PLAYERS'!Q237</f>
        <v/>
      </c>
      <c r="W237" s="12"/>
    </row>
    <row r="238" spans="2:23" x14ac:dyDescent="0.25">
      <c r="B238" s="88" t="str">
        <f>'SET 1 PLAYERS'!G238</f>
        <v>CLASS 1</v>
      </c>
      <c r="C238" t="str">
        <f>IF(AND('ENTRY DATA'!C238=""),"",('ENTRY DATA'!C238))</f>
        <v/>
      </c>
      <c r="D238" t="str">
        <f>IF(AND('ENTRY DATA'!D238=""),"",('ENTRY DATA'!D238))</f>
        <v/>
      </c>
      <c r="E238" s="12"/>
      <c r="F238" t="str">
        <f>IF(AND('ENTRY DATA'!F238=""),"",('ENTRY DATA'!F238))</f>
        <v/>
      </c>
      <c r="G238" t="str">
        <f>IF(AND('ENTRY DATA'!G238=""),"",('ENTRY DATA'!G238))</f>
        <v/>
      </c>
      <c r="H238" s="12"/>
      <c r="I238" s="12"/>
      <c r="J238" s="66" t="str">
        <f>IF(AND('ENTRY DATA'!J238=""),"",('ENTRY DATA'!J238))</f>
        <v/>
      </c>
      <c r="K238" s="89" t="str">
        <f>IF(AND('ENTRY DATA'!K238=""),"",('ENTRY DATA'!K238))</f>
        <v/>
      </c>
      <c r="L238" s="89" t="str">
        <f>IF(AND('ENTRY DATA'!L238=""),"",('ENTRY DATA'!L238))</f>
        <v/>
      </c>
      <c r="M238" s="89" t="str">
        <f>IF(AND('ENTRY DATA'!M238=""),"",('ENTRY DATA'!M238))</f>
        <v/>
      </c>
      <c r="N238" s="67" t="str">
        <f>IF(AND('ENTRY DATA'!N238=""),"",('ENTRY DATA'!N238))</f>
        <v/>
      </c>
      <c r="O238" s="12"/>
      <c r="P238" s="66">
        <f>'SET 1 PLAYERS'!O238</f>
        <v>0</v>
      </c>
      <c r="Q238" s="67" t="str">
        <f>'SET 1 PLAYERS'!P238</f>
        <v/>
      </c>
      <c r="R238" s="14"/>
      <c r="S238" s="111" t="e">
        <f t="shared" si="6"/>
        <v>#VALUE!</v>
      </c>
      <c r="T238" s="112" t="e">
        <f t="shared" si="7"/>
        <v>#VALUE!</v>
      </c>
      <c r="U238" s="12"/>
      <c r="V238" s="95" t="str">
        <f>'SET 1 PLAYERS'!Q238</f>
        <v/>
      </c>
      <c r="W238" s="12"/>
    </row>
    <row r="239" spans="2:23" x14ac:dyDescent="0.25">
      <c r="B239" s="88" t="str">
        <f>'SET 1 PLAYERS'!G239</f>
        <v>CLASS 1</v>
      </c>
      <c r="C239" t="str">
        <f>IF(AND('ENTRY DATA'!C239=""),"",('ENTRY DATA'!C239))</f>
        <v/>
      </c>
      <c r="D239" t="str">
        <f>IF(AND('ENTRY DATA'!D239=""),"",('ENTRY DATA'!D239))</f>
        <v/>
      </c>
      <c r="E239" s="12"/>
      <c r="F239" t="str">
        <f>IF(AND('ENTRY DATA'!F239=""),"",('ENTRY DATA'!F239))</f>
        <v/>
      </c>
      <c r="G239" t="str">
        <f>IF(AND('ENTRY DATA'!G239=""),"",('ENTRY DATA'!G239))</f>
        <v/>
      </c>
      <c r="H239" s="12"/>
      <c r="I239" s="12"/>
      <c r="J239" s="66" t="str">
        <f>IF(AND('ENTRY DATA'!J239=""),"",('ENTRY DATA'!J239))</f>
        <v/>
      </c>
      <c r="K239" s="89" t="str">
        <f>IF(AND('ENTRY DATA'!K239=""),"",('ENTRY DATA'!K239))</f>
        <v/>
      </c>
      <c r="L239" s="89" t="str">
        <f>IF(AND('ENTRY DATA'!L239=""),"",('ENTRY DATA'!L239))</f>
        <v/>
      </c>
      <c r="M239" s="89" t="str">
        <f>IF(AND('ENTRY DATA'!M239=""),"",('ENTRY DATA'!M239))</f>
        <v/>
      </c>
      <c r="N239" s="67" t="str">
        <f>IF(AND('ENTRY DATA'!N239=""),"",('ENTRY DATA'!N239))</f>
        <v/>
      </c>
      <c r="O239" s="12"/>
      <c r="P239" s="66">
        <f>'SET 1 PLAYERS'!O239</f>
        <v>0</v>
      </c>
      <c r="Q239" s="67" t="str">
        <f>'SET 1 PLAYERS'!P239</f>
        <v/>
      </c>
      <c r="R239" s="14"/>
      <c r="S239" s="111" t="e">
        <f t="shared" si="6"/>
        <v>#VALUE!</v>
      </c>
      <c r="T239" s="112" t="e">
        <f t="shared" si="7"/>
        <v>#VALUE!</v>
      </c>
      <c r="U239" s="12"/>
      <c r="V239" s="95" t="str">
        <f>'SET 1 PLAYERS'!Q239</f>
        <v/>
      </c>
      <c r="W239" s="12"/>
    </row>
    <row r="240" spans="2:23" x14ac:dyDescent="0.25">
      <c r="B240" s="88" t="str">
        <f>'SET 1 PLAYERS'!G240</f>
        <v>CLASS 1</v>
      </c>
      <c r="C240" t="str">
        <f>IF(AND('ENTRY DATA'!C240=""),"",('ENTRY DATA'!C240))</f>
        <v/>
      </c>
      <c r="D240" t="str">
        <f>IF(AND('ENTRY DATA'!D240=""),"",('ENTRY DATA'!D240))</f>
        <v/>
      </c>
      <c r="E240" s="12"/>
      <c r="F240" t="str">
        <f>IF(AND('ENTRY DATA'!F240=""),"",('ENTRY DATA'!F240))</f>
        <v/>
      </c>
      <c r="G240" t="str">
        <f>IF(AND('ENTRY DATA'!G240=""),"",('ENTRY DATA'!G240))</f>
        <v/>
      </c>
      <c r="H240" s="12"/>
      <c r="I240" s="12"/>
      <c r="J240" s="66" t="str">
        <f>IF(AND('ENTRY DATA'!J240=""),"",('ENTRY DATA'!J240))</f>
        <v/>
      </c>
      <c r="K240" s="89" t="str">
        <f>IF(AND('ENTRY DATA'!K240=""),"",('ENTRY DATA'!K240))</f>
        <v/>
      </c>
      <c r="L240" s="89" t="str">
        <f>IF(AND('ENTRY DATA'!L240=""),"",('ENTRY DATA'!L240))</f>
        <v/>
      </c>
      <c r="M240" s="89" t="str">
        <f>IF(AND('ENTRY DATA'!M240=""),"",('ENTRY DATA'!M240))</f>
        <v/>
      </c>
      <c r="N240" s="67" t="str">
        <f>IF(AND('ENTRY DATA'!N240=""),"",('ENTRY DATA'!N240))</f>
        <v/>
      </c>
      <c r="O240" s="12"/>
      <c r="P240" s="66">
        <f>'SET 1 PLAYERS'!O240</f>
        <v>0</v>
      </c>
      <c r="Q240" s="67" t="str">
        <f>'SET 1 PLAYERS'!P240</f>
        <v/>
      </c>
      <c r="R240" s="14"/>
      <c r="S240" s="111" t="e">
        <f t="shared" si="6"/>
        <v>#VALUE!</v>
      </c>
      <c r="T240" s="112" t="e">
        <f t="shared" si="7"/>
        <v>#VALUE!</v>
      </c>
      <c r="U240" s="12"/>
      <c r="V240" s="95" t="str">
        <f>'SET 1 PLAYERS'!Q240</f>
        <v/>
      </c>
      <c r="W240" s="12"/>
    </row>
    <row r="241" spans="2:23" x14ac:dyDescent="0.25">
      <c r="B241" s="88" t="str">
        <f>'SET 1 PLAYERS'!G241</f>
        <v>CLASS 1</v>
      </c>
      <c r="C241" t="str">
        <f>IF(AND('ENTRY DATA'!C241=""),"",('ENTRY DATA'!C241))</f>
        <v/>
      </c>
      <c r="D241" t="str">
        <f>IF(AND('ENTRY DATA'!D241=""),"",('ENTRY DATA'!D241))</f>
        <v/>
      </c>
      <c r="E241" s="12"/>
      <c r="F241" t="str">
        <f>IF(AND('ENTRY DATA'!F241=""),"",('ENTRY DATA'!F241))</f>
        <v/>
      </c>
      <c r="G241" t="str">
        <f>IF(AND('ENTRY DATA'!G241=""),"",('ENTRY DATA'!G241))</f>
        <v/>
      </c>
      <c r="H241" s="12"/>
      <c r="I241" s="12"/>
      <c r="J241" s="66" t="str">
        <f>IF(AND('ENTRY DATA'!J241=""),"",('ENTRY DATA'!J241))</f>
        <v/>
      </c>
      <c r="K241" s="89" t="str">
        <f>IF(AND('ENTRY DATA'!K241=""),"",('ENTRY DATA'!K241))</f>
        <v/>
      </c>
      <c r="L241" s="89" t="str">
        <f>IF(AND('ENTRY DATA'!L241=""),"",('ENTRY DATA'!L241))</f>
        <v/>
      </c>
      <c r="M241" s="89" t="str">
        <f>IF(AND('ENTRY DATA'!M241=""),"",('ENTRY DATA'!M241))</f>
        <v/>
      </c>
      <c r="N241" s="67" t="str">
        <f>IF(AND('ENTRY DATA'!N241=""),"",('ENTRY DATA'!N241))</f>
        <v/>
      </c>
      <c r="O241" s="12"/>
      <c r="P241" s="66">
        <f>'SET 1 PLAYERS'!O241</f>
        <v>0</v>
      </c>
      <c r="Q241" s="67" t="str">
        <f>'SET 1 PLAYERS'!P241</f>
        <v/>
      </c>
      <c r="R241" s="14"/>
      <c r="S241" s="111" t="e">
        <f t="shared" si="6"/>
        <v>#VALUE!</v>
      </c>
      <c r="T241" s="112" t="e">
        <f t="shared" si="7"/>
        <v>#VALUE!</v>
      </c>
      <c r="U241" s="12"/>
      <c r="V241" s="95" t="str">
        <f>'SET 1 PLAYERS'!Q241</f>
        <v/>
      </c>
      <c r="W241" s="12"/>
    </row>
    <row r="242" spans="2:23" x14ac:dyDescent="0.25">
      <c r="B242" s="88" t="str">
        <f>'SET 1 PLAYERS'!G242</f>
        <v>CLASS 1</v>
      </c>
      <c r="C242" t="str">
        <f>IF(AND('ENTRY DATA'!C242=""),"",('ENTRY DATA'!C242))</f>
        <v/>
      </c>
      <c r="D242" t="str">
        <f>IF(AND('ENTRY DATA'!D242=""),"",('ENTRY DATA'!D242))</f>
        <v/>
      </c>
      <c r="E242" s="12"/>
      <c r="F242" t="str">
        <f>IF(AND('ENTRY DATA'!F242=""),"",('ENTRY DATA'!F242))</f>
        <v/>
      </c>
      <c r="G242" t="str">
        <f>IF(AND('ENTRY DATA'!G242=""),"",('ENTRY DATA'!G242))</f>
        <v/>
      </c>
      <c r="H242" s="12"/>
      <c r="I242" s="12"/>
      <c r="J242" s="66" t="str">
        <f>IF(AND('ENTRY DATA'!J242=""),"",('ENTRY DATA'!J242))</f>
        <v/>
      </c>
      <c r="K242" s="89" t="str">
        <f>IF(AND('ENTRY DATA'!K242=""),"",('ENTRY DATA'!K242))</f>
        <v/>
      </c>
      <c r="L242" s="89" t="str">
        <f>IF(AND('ENTRY DATA'!L242=""),"",('ENTRY DATA'!L242))</f>
        <v/>
      </c>
      <c r="M242" s="89" t="str">
        <f>IF(AND('ENTRY DATA'!M242=""),"",('ENTRY DATA'!M242))</f>
        <v/>
      </c>
      <c r="N242" s="67" t="str">
        <f>IF(AND('ENTRY DATA'!N242=""),"",('ENTRY DATA'!N242))</f>
        <v/>
      </c>
      <c r="O242" s="12"/>
      <c r="P242" s="66">
        <f>'SET 1 PLAYERS'!O242</f>
        <v>0</v>
      </c>
      <c r="Q242" s="67" t="str">
        <f>'SET 1 PLAYERS'!P242</f>
        <v/>
      </c>
      <c r="R242" s="14"/>
      <c r="S242" s="111" t="e">
        <f t="shared" si="6"/>
        <v>#VALUE!</v>
      </c>
      <c r="T242" s="112" t="e">
        <f t="shared" si="7"/>
        <v>#VALUE!</v>
      </c>
      <c r="U242" s="12"/>
      <c r="V242" s="95" t="str">
        <f>'SET 1 PLAYERS'!Q242</f>
        <v/>
      </c>
      <c r="W242" s="12"/>
    </row>
    <row r="243" spans="2:23" x14ac:dyDescent="0.25">
      <c r="B243" s="88" t="str">
        <f>'SET 1 PLAYERS'!G243</f>
        <v>CLASS 1</v>
      </c>
      <c r="C243" t="str">
        <f>IF(AND('ENTRY DATA'!C243=""),"",('ENTRY DATA'!C243))</f>
        <v/>
      </c>
      <c r="D243" t="str">
        <f>IF(AND('ENTRY DATA'!D243=""),"",('ENTRY DATA'!D243))</f>
        <v/>
      </c>
      <c r="E243" s="12"/>
      <c r="F243" t="str">
        <f>IF(AND('ENTRY DATA'!F243=""),"",('ENTRY DATA'!F243))</f>
        <v/>
      </c>
      <c r="G243" t="str">
        <f>IF(AND('ENTRY DATA'!G243=""),"",('ENTRY DATA'!G243))</f>
        <v/>
      </c>
      <c r="H243" s="12"/>
      <c r="I243" s="12"/>
      <c r="J243" s="66" t="str">
        <f>IF(AND('ENTRY DATA'!J243=""),"",('ENTRY DATA'!J243))</f>
        <v/>
      </c>
      <c r="K243" s="89" t="str">
        <f>IF(AND('ENTRY DATA'!K243=""),"",('ENTRY DATA'!K243))</f>
        <v/>
      </c>
      <c r="L243" s="89" t="str">
        <f>IF(AND('ENTRY DATA'!L243=""),"",('ENTRY DATA'!L243))</f>
        <v/>
      </c>
      <c r="M243" s="89" t="str">
        <f>IF(AND('ENTRY DATA'!M243=""),"",('ENTRY DATA'!M243))</f>
        <v/>
      </c>
      <c r="N243" s="67" t="str">
        <f>IF(AND('ENTRY DATA'!N243=""),"",('ENTRY DATA'!N243))</f>
        <v/>
      </c>
      <c r="O243" s="12"/>
      <c r="P243" s="66">
        <f>'SET 1 PLAYERS'!O243</f>
        <v>0</v>
      </c>
      <c r="Q243" s="67" t="str">
        <f>'SET 1 PLAYERS'!P243</f>
        <v/>
      </c>
      <c r="R243" s="14"/>
      <c r="S243" s="111" t="e">
        <f t="shared" si="6"/>
        <v>#VALUE!</v>
      </c>
      <c r="T243" s="112" t="e">
        <f t="shared" si="7"/>
        <v>#VALUE!</v>
      </c>
      <c r="U243" s="12"/>
      <c r="V243" s="95" t="str">
        <f>'SET 1 PLAYERS'!Q243</f>
        <v/>
      </c>
      <c r="W243" s="12"/>
    </row>
    <row r="244" spans="2:23" x14ac:dyDescent="0.25">
      <c r="B244" s="88" t="str">
        <f>'SET 1 PLAYERS'!G244</f>
        <v>CLASS 1</v>
      </c>
      <c r="C244" t="str">
        <f>IF(AND('ENTRY DATA'!C244=""),"",('ENTRY DATA'!C244))</f>
        <v/>
      </c>
      <c r="D244" t="str">
        <f>IF(AND('ENTRY DATA'!D244=""),"",('ENTRY DATA'!D244))</f>
        <v/>
      </c>
      <c r="E244" s="12"/>
      <c r="F244" t="str">
        <f>IF(AND('ENTRY DATA'!F244=""),"",('ENTRY DATA'!F244))</f>
        <v/>
      </c>
      <c r="G244" t="str">
        <f>IF(AND('ENTRY DATA'!G244=""),"",('ENTRY DATA'!G244))</f>
        <v/>
      </c>
      <c r="H244" s="12"/>
      <c r="I244" s="12"/>
      <c r="J244" s="66" t="str">
        <f>IF(AND('ENTRY DATA'!J244=""),"",('ENTRY DATA'!J244))</f>
        <v/>
      </c>
      <c r="K244" s="89" t="str">
        <f>IF(AND('ENTRY DATA'!K244=""),"",('ENTRY DATA'!K244))</f>
        <v/>
      </c>
      <c r="L244" s="89" t="str">
        <f>IF(AND('ENTRY DATA'!L244=""),"",('ENTRY DATA'!L244))</f>
        <v/>
      </c>
      <c r="M244" s="89" t="str">
        <f>IF(AND('ENTRY DATA'!M244=""),"",('ENTRY DATA'!M244))</f>
        <v/>
      </c>
      <c r="N244" s="67" t="str">
        <f>IF(AND('ENTRY DATA'!N244=""),"",('ENTRY DATA'!N244))</f>
        <v/>
      </c>
      <c r="O244" s="12"/>
      <c r="P244" s="66">
        <f>'SET 1 PLAYERS'!O244</f>
        <v>0</v>
      </c>
      <c r="Q244" s="67" t="str">
        <f>'SET 1 PLAYERS'!P244</f>
        <v/>
      </c>
      <c r="R244" s="14"/>
      <c r="S244" s="111" t="e">
        <f t="shared" si="6"/>
        <v>#VALUE!</v>
      </c>
      <c r="T244" s="112" t="e">
        <f t="shared" si="7"/>
        <v>#VALUE!</v>
      </c>
      <c r="U244" s="12"/>
      <c r="V244" s="95" t="str">
        <f>'SET 1 PLAYERS'!Q244</f>
        <v/>
      </c>
      <c r="W244" s="12"/>
    </row>
    <row r="245" spans="2:23" x14ac:dyDescent="0.25">
      <c r="B245" s="88" t="str">
        <f>'SET 1 PLAYERS'!G245</f>
        <v>CLASS 1</v>
      </c>
      <c r="C245" t="str">
        <f>IF(AND('ENTRY DATA'!C245=""),"",('ENTRY DATA'!C245))</f>
        <v/>
      </c>
      <c r="D245" t="str">
        <f>IF(AND('ENTRY DATA'!D245=""),"",('ENTRY DATA'!D245))</f>
        <v/>
      </c>
      <c r="E245" s="12"/>
      <c r="F245" t="str">
        <f>IF(AND('ENTRY DATA'!F245=""),"",('ENTRY DATA'!F245))</f>
        <v/>
      </c>
      <c r="G245" t="str">
        <f>IF(AND('ENTRY DATA'!G245=""),"",('ENTRY DATA'!G245))</f>
        <v/>
      </c>
      <c r="H245" s="12"/>
      <c r="I245" s="12"/>
      <c r="J245" s="66" t="str">
        <f>IF(AND('ENTRY DATA'!J245=""),"",('ENTRY DATA'!J245))</f>
        <v/>
      </c>
      <c r="K245" s="89" t="str">
        <f>IF(AND('ENTRY DATA'!K245=""),"",('ENTRY DATA'!K245))</f>
        <v/>
      </c>
      <c r="L245" s="89" t="str">
        <f>IF(AND('ENTRY DATA'!L245=""),"",('ENTRY DATA'!L245))</f>
        <v/>
      </c>
      <c r="M245" s="89" t="str">
        <f>IF(AND('ENTRY DATA'!M245=""),"",('ENTRY DATA'!M245))</f>
        <v/>
      </c>
      <c r="N245" s="67" t="str">
        <f>IF(AND('ENTRY DATA'!N245=""),"",('ENTRY DATA'!N245))</f>
        <v/>
      </c>
      <c r="O245" s="12"/>
      <c r="P245" s="66">
        <f>'SET 1 PLAYERS'!O245</f>
        <v>0</v>
      </c>
      <c r="Q245" s="67" t="str">
        <f>'SET 1 PLAYERS'!P245</f>
        <v/>
      </c>
      <c r="R245" s="14"/>
      <c r="S245" s="111" t="e">
        <f t="shared" si="6"/>
        <v>#VALUE!</v>
      </c>
      <c r="T245" s="112" t="e">
        <f t="shared" si="7"/>
        <v>#VALUE!</v>
      </c>
      <c r="U245" s="12"/>
      <c r="V245" s="95" t="str">
        <f>'SET 1 PLAYERS'!Q245</f>
        <v/>
      </c>
      <c r="W245" s="12"/>
    </row>
    <row r="246" spans="2:23" x14ac:dyDescent="0.25">
      <c r="B246" s="88" t="str">
        <f>'SET 1 PLAYERS'!G246</f>
        <v>CLASS 1</v>
      </c>
      <c r="C246" t="str">
        <f>IF(AND('ENTRY DATA'!C246=""),"",('ENTRY DATA'!C246))</f>
        <v/>
      </c>
      <c r="D246" t="str">
        <f>IF(AND('ENTRY DATA'!D246=""),"",('ENTRY DATA'!D246))</f>
        <v/>
      </c>
      <c r="E246" s="12"/>
      <c r="F246" t="str">
        <f>IF(AND('ENTRY DATA'!F246=""),"",('ENTRY DATA'!F246))</f>
        <v/>
      </c>
      <c r="G246" t="str">
        <f>IF(AND('ENTRY DATA'!G246=""),"",('ENTRY DATA'!G246))</f>
        <v/>
      </c>
      <c r="H246" s="12"/>
      <c r="I246" s="12"/>
      <c r="J246" s="66" t="str">
        <f>IF(AND('ENTRY DATA'!J246=""),"",('ENTRY DATA'!J246))</f>
        <v/>
      </c>
      <c r="K246" s="89" t="str">
        <f>IF(AND('ENTRY DATA'!K246=""),"",('ENTRY DATA'!K246))</f>
        <v/>
      </c>
      <c r="L246" s="89" t="str">
        <f>IF(AND('ENTRY DATA'!L246=""),"",('ENTRY DATA'!L246))</f>
        <v/>
      </c>
      <c r="M246" s="89" t="str">
        <f>IF(AND('ENTRY DATA'!M246=""),"",('ENTRY DATA'!M246))</f>
        <v/>
      </c>
      <c r="N246" s="67" t="str">
        <f>IF(AND('ENTRY DATA'!N246=""),"",('ENTRY DATA'!N246))</f>
        <v/>
      </c>
      <c r="O246" s="12"/>
      <c r="P246" s="66">
        <f>'SET 1 PLAYERS'!O246</f>
        <v>0</v>
      </c>
      <c r="Q246" s="67" t="str">
        <f>'SET 1 PLAYERS'!P246</f>
        <v/>
      </c>
      <c r="R246" s="14"/>
      <c r="S246" s="111" t="e">
        <f t="shared" si="6"/>
        <v>#VALUE!</v>
      </c>
      <c r="T246" s="112" t="e">
        <f t="shared" si="7"/>
        <v>#VALUE!</v>
      </c>
      <c r="U246" s="12"/>
      <c r="V246" s="95" t="str">
        <f>'SET 1 PLAYERS'!Q246</f>
        <v/>
      </c>
      <c r="W246" s="12"/>
    </row>
    <row r="247" spans="2:23" x14ac:dyDescent="0.25">
      <c r="B247" s="88" t="str">
        <f>'SET 1 PLAYERS'!G247</f>
        <v>CLASS 1</v>
      </c>
      <c r="C247" t="str">
        <f>IF(AND('ENTRY DATA'!C247=""),"",('ENTRY DATA'!C247))</f>
        <v/>
      </c>
      <c r="D247" t="str">
        <f>IF(AND('ENTRY DATA'!D247=""),"",('ENTRY DATA'!D247))</f>
        <v/>
      </c>
      <c r="E247" s="12"/>
      <c r="F247" t="str">
        <f>IF(AND('ENTRY DATA'!F247=""),"",('ENTRY DATA'!F247))</f>
        <v/>
      </c>
      <c r="G247" t="str">
        <f>IF(AND('ENTRY DATA'!G247=""),"",('ENTRY DATA'!G247))</f>
        <v/>
      </c>
      <c r="H247" s="12"/>
      <c r="I247" s="12"/>
      <c r="J247" s="66" t="str">
        <f>IF(AND('ENTRY DATA'!J247=""),"",('ENTRY DATA'!J247))</f>
        <v/>
      </c>
      <c r="K247" s="89" t="str">
        <f>IF(AND('ENTRY DATA'!K247=""),"",('ENTRY DATA'!K247))</f>
        <v/>
      </c>
      <c r="L247" s="89" t="str">
        <f>IF(AND('ENTRY DATA'!L247=""),"",('ENTRY DATA'!L247))</f>
        <v/>
      </c>
      <c r="M247" s="89" t="str">
        <f>IF(AND('ENTRY DATA'!M247=""),"",('ENTRY DATA'!M247))</f>
        <v/>
      </c>
      <c r="N247" s="67" t="str">
        <f>IF(AND('ENTRY DATA'!N247=""),"",('ENTRY DATA'!N247))</f>
        <v/>
      </c>
      <c r="O247" s="12"/>
      <c r="P247" s="66">
        <f>'SET 1 PLAYERS'!O247</f>
        <v>0</v>
      </c>
      <c r="Q247" s="67" t="str">
        <f>'SET 1 PLAYERS'!P247</f>
        <v/>
      </c>
      <c r="R247" s="14"/>
      <c r="S247" s="111" t="e">
        <f t="shared" si="6"/>
        <v>#VALUE!</v>
      </c>
      <c r="T247" s="112" t="e">
        <f t="shared" si="7"/>
        <v>#VALUE!</v>
      </c>
      <c r="U247" s="12"/>
      <c r="V247" s="95" t="str">
        <f>'SET 1 PLAYERS'!Q247</f>
        <v/>
      </c>
      <c r="W247" s="12"/>
    </row>
    <row r="248" spans="2:23" x14ac:dyDescent="0.25">
      <c r="B248" s="88" t="str">
        <f>'SET 1 PLAYERS'!G248</f>
        <v>CLASS 1</v>
      </c>
      <c r="C248" t="str">
        <f>IF(AND('ENTRY DATA'!C248=""),"",('ENTRY DATA'!C248))</f>
        <v/>
      </c>
      <c r="D248" t="str">
        <f>IF(AND('ENTRY DATA'!D248=""),"",('ENTRY DATA'!D248))</f>
        <v/>
      </c>
      <c r="E248" s="12"/>
      <c r="F248" t="str">
        <f>IF(AND('ENTRY DATA'!F248=""),"",('ENTRY DATA'!F248))</f>
        <v/>
      </c>
      <c r="G248" t="str">
        <f>IF(AND('ENTRY DATA'!G248=""),"",('ENTRY DATA'!G248))</f>
        <v/>
      </c>
      <c r="H248" s="12"/>
      <c r="I248" s="12"/>
      <c r="J248" s="66" t="str">
        <f>IF(AND('ENTRY DATA'!J248=""),"",('ENTRY DATA'!J248))</f>
        <v/>
      </c>
      <c r="K248" s="89" t="str">
        <f>IF(AND('ENTRY DATA'!K248=""),"",('ENTRY DATA'!K248))</f>
        <v/>
      </c>
      <c r="L248" s="89" t="str">
        <f>IF(AND('ENTRY DATA'!L248=""),"",('ENTRY DATA'!L248))</f>
        <v/>
      </c>
      <c r="M248" s="89" t="str">
        <f>IF(AND('ENTRY DATA'!M248=""),"",('ENTRY DATA'!M248))</f>
        <v/>
      </c>
      <c r="N248" s="67" t="str">
        <f>IF(AND('ENTRY DATA'!N248=""),"",('ENTRY DATA'!N248))</f>
        <v/>
      </c>
      <c r="O248" s="12"/>
      <c r="P248" s="66">
        <f>'SET 1 PLAYERS'!O248</f>
        <v>0</v>
      </c>
      <c r="Q248" s="67" t="str">
        <f>'SET 1 PLAYERS'!P248</f>
        <v/>
      </c>
      <c r="R248" s="14"/>
      <c r="S248" s="111" t="e">
        <f t="shared" si="6"/>
        <v>#VALUE!</v>
      </c>
      <c r="T248" s="112" t="e">
        <f t="shared" si="7"/>
        <v>#VALUE!</v>
      </c>
      <c r="U248" s="12"/>
      <c r="V248" s="95" t="str">
        <f>'SET 1 PLAYERS'!Q248</f>
        <v/>
      </c>
      <c r="W248" s="12"/>
    </row>
    <row r="249" spans="2:23" x14ac:dyDescent="0.25">
      <c r="B249" s="88" t="str">
        <f>'SET 1 PLAYERS'!G249</f>
        <v>CLASS 1</v>
      </c>
      <c r="C249" t="str">
        <f>IF(AND('ENTRY DATA'!C249=""),"",('ENTRY DATA'!C249))</f>
        <v/>
      </c>
      <c r="D249" t="str">
        <f>IF(AND('ENTRY DATA'!D249=""),"",('ENTRY DATA'!D249))</f>
        <v/>
      </c>
      <c r="E249" s="12"/>
      <c r="F249" t="str">
        <f>IF(AND('ENTRY DATA'!F249=""),"",('ENTRY DATA'!F249))</f>
        <v/>
      </c>
      <c r="G249" t="str">
        <f>IF(AND('ENTRY DATA'!G249=""),"",('ENTRY DATA'!G249))</f>
        <v/>
      </c>
      <c r="H249" s="12"/>
      <c r="I249" s="12"/>
      <c r="J249" s="66" t="str">
        <f>IF(AND('ENTRY DATA'!J249=""),"",('ENTRY DATA'!J249))</f>
        <v/>
      </c>
      <c r="K249" s="89" t="str">
        <f>IF(AND('ENTRY DATA'!K249=""),"",('ENTRY DATA'!K249))</f>
        <v/>
      </c>
      <c r="L249" s="89" t="str">
        <f>IF(AND('ENTRY DATA'!L249=""),"",('ENTRY DATA'!L249))</f>
        <v/>
      </c>
      <c r="M249" s="89" t="str">
        <f>IF(AND('ENTRY DATA'!M249=""),"",('ENTRY DATA'!M249))</f>
        <v/>
      </c>
      <c r="N249" s="67" t="str">
        <f>IF(AND('ENTRY DATA'!N249=""),"",('ENTRY DATA'!N249))</f>
        <v/>
      </c>
      <c r="O249" s="12"/>
      <c r="P249" s="66">
        <f>'SET 1 PLAYERS'!O249</f>
        <v>0</v>
      </c>
      <c r="Q249" s="67" t="str">
        <f>'SET 1 PLAYERS'!P249</f>
        <v/>
      </c>
      <c r="R249" s="14"/>
      <c r="S249" s="111" t="e">
        <f t="shared" si="6"/>
        <v>#VALUE!</v>
      </c>
      <c r="T249" s="112" t="e">
        <f t="shared" si="7"/>
        <v>#VALUE!</v>
      </c>
      <c r="U249" s="12"/>
      <c r="V249" s="95" t="str">
        <f>'SET 1 PLAYERS'!Q249</f>
        <v/>
      </c>
      <c r="W249" s="12"/>
    </row>
    <row r="250" spans="2:23" x14ac:dyDescent="0.25">
      <c r="B250" s="88" t="str">
        <f>'SET 1 PLAYERS'!G250</f>
        <v>CLASS 1</v>
      </c>
      <c r="C250" t="str">
        <f>IF(AND('ENTRY DATA'!C250=""),"",('ENTRY DATA'!C250))</f>
        <v/>
      </c>
      <c r="D250" t="str">
        <f>IF(AND('ENTRY DATA'!D250=""),"",('ENTRY DATA'!D250))</f>
        <v/>
      </c>
      <c r="E250" s="12"/>
      <c r="F250" t="str">
        <f>IF(AND('ENTRY DATA'!F250=""),"",('ENTRY DATA'!F250))</f>
        <v/>
      </c>
      <c r="G250" t="str">
        <f>IF(AND('ENTRY DATA'!G250=""),"",('ENTRY DATA'!G250))</f>
        <v/>
      </c>
      <c r="H250" s="12"/>
      <c r="I250" s="12"/>
      <c r="J250" s="66" t="str">
        <f>IF(AND('ENTRY DATA'!J250=""),"",('ENTRY DATA'!J250))</f>
        <v/>
      </c>
      <c r="K250" s="89" t="str">
        <f>IF(AND('ENTRY DATA'!K250=""),"",('ENTRY DATA'!K250))</f>
        <v/>
      </c>
      <c r="L250" s="89" t="str">
        <f>IF(AND('ENTRY DATA'!L250=""),"",('ENTRY DATA'!L250))</f>
        <v/>
      </c>
      <c r="M250" s="89" t="str">
        <f>IF(AND('ENTRY DATA'!M250=""),"",('ENTRY DATA'!M250))</f>
        <v/>
      </c>
      <c r="N250" s="67" t="str">
        <f>IF(AND('ENTRY DATA'!N250=""),"",('ENTRY DATA'!N250))</f>
        <v/>
      </c>
      <c r="O250" s="12"/>
      <c r="P250" s="66">
        <f>'SET 1 PLAYERS'!O250</f>
        <v>0</v>
      </c>
      <c r="Q250" s="67" t="str">
        <f>'SET 1 PLAYERS'!P250</f>
        <v/>
      </c>
      <c r="R250" s="14"/>
      <c r="S250" s="111" t="e">
        <f t="shared" si="6"/>
        <v>#VALUE!</v>
      </c>
      <c r="T250" s="112" t="e">
        <f t="shared" si="7"/>
        <v>#VALUE!</v>
      </c>
      <c r="U250" s="12"/>
      <c r="V250" s="95" t="str">
        <f>'SET 1 PLAYERS'!Q250</f>
        <v/>
      </c>
      <c r="W250" s="12"/>
    </row>
    <row r="251" spans="2:23" x14ac:dyDescent="0.25">
      <c r="B251" s="88" t="str">
        <f>'SET 1 PLAYERS'!G251</f>
        <v>CLASS 1</v>
      </c>
      <c r="C251" t="str">
        <f>IF(AND('ENTRY DATA'!C251=""),"",('ENTRY DATA'!C251))</f>
        <v/>
      </c>
      <c r="D251" t="str">
        <f>IF(AND('ENTRY DATA'!D251=""),"",('ENTRY DATA'!D251))</f>
        <v/>
      </c>
      <c r="E251" s="12"/>
      <c r="F251" t="str">
        <f>IF(AND('ENTRY DATA'!F251=""),"",('ENTRY DATA'!F251))</f>
        <v/>
      </c>
      <c r="G251" t="str">
        <f>IF(AND('ENTRY DATA'!G251=""),"",('ENTRY DATA'!G251))</f>
        <v/>
      </c>
      <c r="H251" s="12"/>
      <c r="I251" s="12"/>
      <c r="J251" s="66" t="str">
        <f>IF(AND('ENTRY DATA'!J251=""),"",('ENTRY DATA'!J251))</f>
        <v/>
      </c>
      <c r="K251" s="89" t="str">
        <f>IF(AND('ENTRY DATA'!K251=""),"",('ENTRY DATA'!K251))</f>
        <v/>
      </c>
      <c r="L251" s="89" t="str">
        <f>IF(AND('ENTRY DATA'!L251=""),"",('ENTRY DATA'!L251))</f>
        <v/>
      </c>
      <c r="M251" s="89" t="str">
        <f>IF(AND('ENTRY DATA'!M251=""),"",('ENTRY DATA'!M251))</f>
        <v/>
      </c>
      <c r="N251" s="67" t="str">
        <f>IF(AND('ENTRY DATA'!N251=""),"",('ENTRY DATA'!N251))</f>
        <v/>
      </c>
      <c r="O251" s="12"/>
      <c r="P251" s="66">
        <f>'SET 1 PLAYERS'!O251</f>
        <v>0</v>
      </c>
      <c r="Q251" s="67" t="str">
        <f>'SET 1 PLAYERS'!P251</f>
        <v/>
      </c>
      <c r="R251" s="14"/>
      <c r="S251" s="111" t="e">
        <f t="shared" si="6"/>
        <v>#VALUE!</v>
      </c>
      <c r="T251" s="112" t="e">
        <f t="shared" si="7"/>
        <v>#VALUE!</v>
      </c>
      <c r="U251" s="12"/>
      <c r="V251" s="95" t="str">
        <f>'SET 1 PLAYERS'!Q251</f>
        <v/>
      </c>
      <c r="W251" s="12"/>
    </row>
    <row r="252" spans="2:23" x14ac:dyDescent="0.25">
      <c r="B252" s="88" t="str">
        <f>'SET 1 PLAYERS'!G252</f>
        <v>CLASS 1</v>
      </c>
      <c r="C252" t="str">
        <f>IF(AND('ENTRY DATA'!C252=""),"",('ENTRY DATA'!C252))</f>
        <v/>
      </c>
      <c r="D252" t="str">
        <f>IF(AND('ENTRY DATA'!D252=""),"",('ENTRY DATA'!D252))</f>
        <v/>
      </c>
      <c r="E252" s="12"/>
      <c r="F252" t="str">
        <f>IF(AND('ENTRY DATA'!F252=""),"",('ENTRY DATA'!F252))</f>
        <v/>
      </c>
      <c r="G252" t="str">
        <f>IF(AND('ENTRY DATA'!G252=""),"",('ENTRY DATA'!G252))</f>
        <v/>
      </c>
      <c r="H252" s="12"/>
      <c r="I252" s="12"/>
      <c r="J252" s="66" t="str">
        <f>IF(AND('ENTRY DATA'!J252=""),"",('ENTRY DATA'!J252))</f>
        <v/>
      </c>
      <c r="K252" s="89" t="str">
        <f>IF(AND('ENTRY DATA'!K252=""),"",('ENTRY DATA'!K252))</f>
        <v/>
      </c>
      <c r="L252" s="89" t="str">
        <f>IF(AND('ENTRY DATA'!L252=""),"",('ENTRY DATA'!L252))</f>
        <v/>
      </c>
      <c r="M252" s="89" t="str">
        <f>IF(AND('ENTRY DATA'!M252=""),"",('ENTRY DATA'!M252))</f>
        <v/>
      </c>
      <c r="N252" s="67" t="str">
        <f>IF(AND('ENTRY DATA'!N252=""),"",('ENTRY DATA'!N252))</f>
        <v/>
      </c>
      <c r="O252" s="12"/>
      <c r="P252" s="66">
        <f>'SET 1 PLAYERS'!O252</f>
        <v>0</v>
      </c>
      <c r="Q252" s="67" t="str">
        <f>'SET 1 PLAYERS'!P252</f>
        <v/>
      </c>
      <c r="R252" s="14"/>
      <c r="S252" s="111" t="e">
        <f t="shared" si="6"/>
        <v>#VALUE!</v>
      </c>
      <c r="T252" s="112" t="e">
        <f t="shared" si="7"/>
        <v>#VALUE!</v>
      </c>
      <c r="U252" s="12"/>
      <c r="V252" s="95" t="str">
        <f>'SET 1 PLAYERS'!Q252</f>
        <v/>
      </c>
      <c r="W252" s="12"/>
    </row>
    <row r="253" spans="2:23" x14ac:dyDescent="0.25">
      <c r="B253" s="88" t="str">
        <f>'SET 1 PLAYERS'!G253</f>
        <v>CLASS 1</v>
      </c>
      <c r="C253" t="str">
        <f>IF(AND('ENTRY DATA'!C253=""),"",('ENTRY DATA'!C253))</f>
        <v/>
      </c>
      <c r="D253" t="str">
        <f>IF(AND('ENTRY DATA'!D253=""),"",('ENTRY DATA'!D253))</f>
        <v/>
      </c>
      <c r="E253" s="12"/>
      <c r="F253" t="str">
        <f>IF(AND('ENTRY DATA'!F253=""),"",('ENTRY DATA'!F253))</f>
        <v/>
      </c>
      <c r="G253" t="str">
        <f>IF(AND('ENTRY DATA'!G253=""),"",('ENTRY DATA'!G253))</f>
        <v/>
      </c>
      <c r="H253" s="12"/>
      <c r="I253" s="12"/>
      <c r="J253" s="66" t="str">
        <f>IF(AND('ENTRY DATA'!J253=""),"",('ENTRY DATA'!J253))</f>
        <v/>
      </c>
      <c r="K253" s="89" t="str">
        <f>IF(AND('ENTRY DATA'!K253=""),"",('ENTRY DATA'!K253))</f>
        <v/>
      </c>
      <c r="L253" s="89" t="str">
        <f>IF(AND('ENTRY DATA'!L253=""),"",('ENTRY DATA'!L253))</f>
        <v/>
      </c>
      <c r="M253" s="89" t="str">
        <f>IF(AND('ENTRY DATA'!M253=""),"",('ENTRY DATA'!M253))</f>
        <v/>
      </c>
      <c r="N253" s="67" t="str">
        <f>IF(AND('ENTRY DATA'!N253=""),"",('ENTRY DATA'!N253))</f>
        <v/>
      </c>
      <c r="O253" s="12"/>
      <c r="P253" s="66">
        <f>'SET 1 PLAYERS'!O253</f>
        <v>0</v>
      </c>
      <c r="Q253" s="67" t="str">
        <f>'SET 1 PLAYERS'!P253</f>
        <v/>
      </c>
      <c r="R253" s="14"/>
      <c r="S253" s="111" t="e">
        <f t="shared" si="6"/>
        <v>#VALUE!</v>
      </c>
      <c r="T253" s="112" t="e">
        <f t="shared" si="7"/>
        <v>#VALUE!</v>
      </c>
      <c r="U253" s="12"/>
      <c r="V253" s="95" t="str">
        <f>'SET 1 PLAYERS'!Q253</f>
        <v/>
      </c>
      <c r="W253" s="12"/>
    </row>
    <row r="254" spans="2:23" x14ac:dyDescent="0.25">
      <c r="B254" s="88" t="str">
        <f>'SET 1 PLAYERS'!G254</f>
        <v>CLASS 1</v>
      </c>
      <c r="C254" t="str">
        <f>IF(AND('ENTRY DATA'!C254=""),"",('ENTRY DATA'!C254))</f>
        <v/>
      </c>
      <c r="D254" t="str">
        <f>IF(AND('ENTRY DATA'!D254=""),"",('ENTRY DATA'!D254))</f>
        <v/>
      </c>
      <c r="E254" s="12"/>
      <c r="F254" t="str">
        <f>IF(AND('ENTRY DATA'!F254=""),"",('ENTRY DATA'!F254))</f>
        <v/>
      </c>
      <c r="G254" t="str">
        <f>IF(AND('ENTRY DATA'!G254=""),"",('ENTRY DATA'!G254))</f>
        <v/>
      </c>
      <c r="H254" s="12"/>
      <c r="I254" s="12"/>
      <c r="J254" s="66" t="str">
        <f>IF(AND('ENTRY DATA'!J254=""),"",('ENTRY DATA'!J254))</f>
        <v/>
      </c>
      <c r="K254" s="89" t="str">
        <f>IF(AND('ENTRY DATA'!K254=""),"",('ENTRY DATA'!K254))</f>
        <v/>
      </c>
      <c r="L254" s="89" t="str">
        <f>IF(AND('ENTRY DATA'!L254=""),"",('ENTRY DATA'!L254))</f>
        <v/>
      </c>
      <c r="M254" s="89" t="str">
        <f>IF(AND('ENTRY DATA'!M254=""),"",('ENTRY DATA'!M254))</f>
        <v/>
      </c>
      <c r="N254" s="67" t="str">
        <f>IF(AND('ENTRY DATA'!N254=""),"",('ENTRY DATA'!N254))</f>
        <v/>
      </c>
      <c r="O254" s="12"/>
      <c r="P254" s="66">
        <f>'SET 1 PLAYERS'!O254</f>
        <v>0</v>
      </c>
      <c r="Q254" s="67" t="str">
        <f>'SET 1 PLAYERS'!P254</f>
        <v/>
      </c>
      <c r="R254" s="14"/>
      <c r="S254" s="111" t="e">
        <f t="shared" si="6"/>
        <v>#VALUE!</v>
      </c>
      <c r="T254" s="112" t="e">
        <f t="shared" si="7"/>
        <v>#VALUE!</v>
      </c>
      <c r="U254" s="12"/>
      <c r="V254" s="95" t="str">
        <f>'SET 1 PLAYERS'!Q254</f>
        <v/>
      </c>
      <c r="W254" s="12"/>
    </row>
    <row r="255" spans="2:23" x14ac:dyDescent="0.25">
      <c r="B255" s="88" t="str">
        <f>'SET 1 PLAYERS'!G255</f>
        <v>CLASS 1</v>
      </c>
      <c r="C255" t="str">
        <f>IF(AND('ENTRY DATA'!C255=""),"",('ENTRY DATA'!C255))</f>
        <v/>
      </c>
      <c r="D255" t="str">
        <f>IF(AND('ENTRY DATA'!D255=""),"",('ENTRY DATA'!D255))</f>
        <v/>
      </c>
      <c r="E255" s="12"/>
      <c r="F255" t="str">
        <f>IF(AND('ENTRY DATA'!F255=""),"",('ENTRY DATA'!F255))</f>
        <v/>
      </c>
      <c r="G255" t="str">
        <f>IF(AND('ENTRY DATA'!G255=""),"",('ENTRY DATA'!G255))</f>
        <v/>
      </c>
      <c r="H255" s="12"/>
      <c r="I255" s="12"/>
      <c r="J255" s="66" t="str">
        <f>IF(AND('ENTRY DATA'!J255=""),"",('ENTRY DATA'!J255))</f>
        <v/>
      </c>
      <c r="K255" s="89" t="str">
        <f>IF(AND('ENTRY DATA'!K255=""),"",('ENTRY DATA'!K255))</f>
        <v/>
      </c>
      <c r="L255" s="89" t="str">
        <f>IF(AND('ENTRY DATA'!L255=""),"",('ENTRY DATA'!L255))</f>
        <v/>
      </c>
      <c r="M255" s="89" t="str">
        <f>IF(AND('ENTRY DATA'!M255=""),"",('ENTRY DATA'!M255))</f>
        <v/>
      </c>
      <c r="N255" s="67" t="str">
        <f>IF(AND('ENTRY DATA'!N255=""),"",('ENTRY DATA'!N255))</f>
        <v/>
      </c>
      <c r="O255" s="12"/>
      <c r="P255" s="66">
        <f>'SET 1 PLAYERS'!O255</f>
        <v>0</v>
      </c>
      <c r="Q255" s="67" t="str">
        <f>'SET 1 PLAYERS'!P255</f>
        <v/>
      </c>
      <c r="R255" s="14"/>
      <c r="S255" s="111" t="e">
        <f t="shared" si="6"/>
        <v>#VALUE!</v>
      </c>
      <c r="T255" s="112" t="e">
        <f t="shared" si="7"/>
        <v>#VALUE!</v>
      </c>
      <c r="U255" s="12"/>
      <c r="V255" s="95" t="str">
        <f>'SET 1 PLAYERS'!Q255</f>
        <v/>
      </c>
      <c r="W255" s="12"/>
    </row>
    <row r="256" spans="2:23" x14ac:dyDescent="0.25">
      <c r="B256" s="88" t="str">
        <f>'SET 1 PLAYERS'!G256</f>
        <v>CLASS 1</v>
      </c>
      <c r="C256" t="str">
        <f>IF(AND('ENTRY DATA'!C256=""),"",('ENTRY DATA'!C256))</f>
        <v/>
      </c>
      <c r="D256" t="str">
        <f>IF(AND('ENTRY DATA'!D256=""),"",('ENTRY DATA'!D256))</f>
        <v/>
      </c>
      <c r="E256" s="12"/>
      <c r="F256" t="str">
        <f>IF(AND('ENTRY DATA'!F256=""),"",('ENTRY DATA'!F256))</f>
        <v/>
      </c>
      <c r="G256" t="str">
        <f>IF(AND('ENTRY DATA'!G256=""),"",('ENTRY DATA'!G256))</f>
        <v/>
      </c>
      <c r="H256" s="12"/>
      <c r="I256" s="12"/>
      <c r="J256" s="66" t="str">
        <f>IF(AND('ENTRY DATA'!J256=""),"",('ENTRY DATA'!J256))</f>
        <v/>
      </c>
      <c r="K256" s="89" t="str">
        <f>IF(AND('ENTRY DATA'!K256=""),"",('ENTRY DATA'!K256))</f>
        <v/>
      </c>
      <c r="L256" s="89" t="str">
        <f>IF(AND('ENTRY DATA'!L256=""),"",('ENTRY DATA'!L256))</f>
        <v/>
      </c>
      <c r="M256" s="89" t="str">
        <f>IF(AND('ENTRY DATA'!M256=""),"",('ENTRY DATA'!M256))</f>
        <v/>
      </c>
      <c r="N256" s="67" t="str">
        <f>IF(AND('ENTRY DATA'!N256=""),"",('ENTRY DATA'!N256))</f>
        <v/>
      </c>
      <c r="O256" s="12"/>
      <c r="P256" s="66">
        <f>'SET 1 PLAYERS'!O256</f>
        <v>0</v>
      </c>
      <c r="Q256" s="67" t="str">
        <f>'SET 1 PLAYERS'!P256</f>
        <v/>
      </c>
      <c r="R256" s="14"/>
      <c r="S256" s="111" t="e">
        <f t="shared" si="6"/>
        <v>#VALUE!</v>
      </c>
      <c r="T256" s="112" t="e">
        <f t="shared" si="7"/>
        <v>#VALUE!</v>
      </c>
      <c r="U256" s="12"/>
      <c r="V256" s="95" t="str">
        <f>'SET 1 PLAYERS'!Q256</f>
        <v/>
      </c>
      <c r="W256" s="12"/>
    </row>
    <row r="257" spans="2:23" x14ac:dyDescent="0.25">
      <c r="B257" s="88" t="str">
        <f>'SET 1 PLAYERS'!G257</f>
        <v>CLASS 1</v>
      </c>
      <c r="C257" t="str">
        <f>IF(AND('ENTRY DATA'!C257=""),"",('ENTRY DATA'!C257))</f>
        <v/>
      </c>
      <c r="D257" t="str">
        <f>IF(AND('ENTRY DATA'!D257=""),"",('ENTRY DATA'!D257))</f>
        <v/>
      </c>
      <c r="E257" s="12"/>
      <c r="F257" t="str">
        <f>IF(AND('ENTRY DATA'!F257=""),"",('ENTRY DATA'!F257))</f>
        <v/>
      </c>
      <c r="G257" t="str">
        <f>IF(AND('ENTRY DATA'!G257=""),"",('ENTRY DATA'!G257))</f>
        <v/>
      </c>
      <c r="H257" s="12"/>
      <c r="I257" s="12"/>
      <c r="J257" s="66" t="str">
        <f>IF(AND('ENTRY DATA'!J257=""),"",('ENTRY DATA'!J257))</f>
        <v/>
      </c>
      <c r="K257" s="89" t="str">
        <f>IF(AND('ENTRY DATA'!K257=""),"",('ENTRY DATA'!K257))</f>
        <v/>
      </c>
      <c r="L257" s="89" t="str">
        <f>IF(AND('ENTRY DATA'!L257=""),"",('ENTRY DATA'!L257))</f>
        <v/>
      </c>
      <c r="M257" s="89" t="str">
        <f>IF(AND('ENTRY DATA'!M257=""),"",('ENTRY DATA'!M257))</f>
        <v/>
      </c>
      <c r="N257" s="67" t="str">
        <f>IF(AND('ENTRY DATA'!N257=""),"",('ENTRY DATA'!N257))</f>
        <v/>
      </c>
      <c r="O257" s="12"/>
      <c r="P257" s="66">
        <f>'SET 1 PLAYERS'!O257</f>
        <v>0</v>
      </c>
      <c r="Q257" s="67" t="str">
        <f>'SET 1 PLAYERS'!P257</f>
        <v/>
      </c>
      <c r="R257" s="14"/>
      <c r="S257" s="111" t="e">
        <f t="shared" si="6"/>
        <v>#VALUE!</v>
      </c>
      <c r="T257" s="112" t="e">
        <f t="shared" si="7"/>
        <v>#VALUE!</v>
      </c>
      <c r="U257" s="12"/>
      <c r="V257" s="95" t="str">
        <f>'SET 1 PLAYERS'!Q257</f>
        <v/>
      </c>
      <c r="W257" s="12"/>
    </row>
    <row r="258" spans="2:23" x14ac:dyDescent="0.25">
      <c r="B258" s="88" t="str">
        <f>'SET 1 PLAYERS'!G258</f>
        <v>CLASS 1</v>
      </c>
      <c r="C258" t="str">
        <f>IF(AND('ENTRY DATA'!C258=""),"",('ENTRY DATA'!C258))</f>
        <v/>
      </c>
      <c r="D258" t="str">
        <f>IF(AND('ENTRY DATA'!D258=""),"",('ENTRY DATA'!D258))</f>
        <v/>
      </c>
      <c r="E258" s="12"/>
      <c r="F258" t="str">
        <f>IF(AND('ENTRY DATA'!F258=""),"",('ENTRY DATA'!F258))</f>
        <v/>
      </c>
      <c r="G258" t="str">
        <f>IF(AND('ENTRY DATA'!G258=""),"",('ENTRY DATA'!G258))</f>
        <v/>
      </c>
      <c r="H258" s="12"/>
      <c r="I258" s="12"/>
      <c r="J258" s="66" t="str">
        <f>IF(AND('ENTRY DATA'!J258=""),"",('ENTRY DATA'!J258))</f>
        <v/>
      </c>
      <c r="K258" s="89" t="str">
        <f>IF(AND('ENTRY DATA'!K258=""),"",('ENTRY DATA'!K258))</f>
        <v/>
      </c>
      <c r="L258" s="89" t="str">
        <f>IF(AND('ENTRY DATA'!L258=""),"",('ENTRY DATA'!L258))</f>
        <v/>
      </c>
      <c r="M258" s="89" t="str">
        <f>IF(AND('ENTRY DATA'!M258=""),"",('ENTRY DATA'!M258))</f>
        <v/>
      </c>
      <c r="N258" s="67" t="str">
        <f>IF(AND('ENTRY DATA'!N258=""),"",('ENTRY DATA'!N258))</f>
        <v/>
      </c>
      <c r="O258" s="12"/>
      <c r="P258" s="66">
        <f>'SET 1 PLAYERS'!O258</f>
        <v>0</v>
      </c>
      <c r="Q258" s="67" t="str">
        <f>'SET 1 PLAYERS'!P258</f>
        <v/>
      </c>
      <c r="R258" s="14"/>
      <c r="S258" s="111" t="e">
        <f t="shared" si="6"/>
        <v>#VALUE!</v>
      </c>
      <c r="T258" s="112" t="e">
        <f t="shared" si="7"/>
        <v>#VALUE!</v>
      </c>
      <c r="U258" s="12"/>
      <c r="V258" s="95" t="str">
        <f>'SET 1 PLAYERS'!Q258</f>
        <v/>
      </c>
      <c r="W258" s="12"/>
    </row>
    <row r="259" spans="2:23" x14ac:dyDescent="0.25">
      <c r="B259" s="88" t="str">
        <f>'SET 1 PLAYERS'!G259</f>
        <v>CLASS 1</v>
      </c>
      <c r="C259" t="str">
        <f>IF(AND('ENTRY DATA'!C259=""),"",('ENTRY DATA'!C259))</f>
        <v/>
      </c>
      <c r="D259" t="str">
        <f>IF(AND('ENTRY DATA'!D259=""),"",('ENTRY DATA'!D259))</f>
        <v/>
      </c>
      <c r="E259" s="12"/>
      <c r="F259" t="str">
        <f>IF(AND('ENTRY DATA'!F259=""),"",('ENTRY DATA'!F259))</f>
        <v/>
      </c>
      <c r="G259" t="str">
        <f>IF(AND('ENTRY DATA'!G259=""),"",('ENTRY DATA'!G259))</f>
        <v/>
      </c>
      <c r="H259" s="12"/>
      <c r="I259" s="12"/>
      <c r="J259" s="66" t="str">
        <f>IF(AND('ENTRY DATA'!J259=""),"",('ENTRY DATA'!J259))</f>
        <v/>
      </c>
      <c r="K259" s="89" t="str">
        <f>IF(AND('ENTRY DATA'!K259=""),"",('ENTRY DATA'!K259))</f>
        <v/>
      </c>
      <c r="L259" s="89" t="str">
        <f>IF(AND('ENTRY DATA'!L259=""),"",('ENTRY DATA'!L259))</f>
        <v/>
      </c>
      <c r="M259" s="89" t="str">
        <f>IF(AND('ENTRY DATA'!M259=""),"",('ENTRY DATA'!M259))</f>
        <v/>
      </c>
      <c r="N259" s="67" t="str">
        <f>IF(AND('ENTRY DATA'!N259=""),"",('ENTRY DATA'!N259))</f>
        <v/>
      </c>
      <c r="O259" s="12"/>
      <c r="P259" s="66">
        <f>'SET 1 PLAYERS'!O259</f>
        <v>0</v>
      </c>
      <c r="Q259" s="67" t="str">
        <f>'SET 1 PLAYERS'!P259</f>
        <v/>
      </c>
      <c r="R259" s="14"/>
      <c r="S259" s="111" t="e">
        <f t="shared" si="6"/>
        <v>#VALUE!</v>
      </c>
      <c r="T259" s="112" t="e">
        <f t="shared" si="7"/>
        <v>#VALUE!</v>
      </c>
      <c r="U259" s="12"/>
      <c r="V259" s="95" t="str">
        <f>'SET 1 PLAYERS'!Q259</f>
        <v/>
      </c>
      <c r="W259" s="12"/>
    </row>
    <row r="260" spans="2:23" x14ac:dyDescent="0.25">
      <c r="B260" s="88" t="str">
        <f>'SET 1 PLAYERS'!G260</f>
        <v>CLASS 1</v>
      </c>
      <c r="C260" t="str">
        <f>IF(AND('ENTRY DATA'!C260=""),"",('ENTRY DATA'!C260))</f>
        <v/>
      </c>
      <c r="D260" t="str">
        <f>IF(AND('ENTRY DATA'!D260=""),"",('ENTRY DATA'!D260))</f>
        <v/>
      </c>
      <c r="E260" s="12"/>
      <c r="F260" t="str">
        <f>IF(AND('ENTRY DATA'!F260=""),"",('ENTRY DATA'!F260))</f>
        <v/>
      </c>
      <c r="G260" t="str">
        <f>IF(AND('ENTRY DATA'!G260=""),"",('ENTRY DATA'!G260))</f>
        <v/>
      </c>
      <c r="H260" s="12"/>
      <c r="I260" s="12"/>
      <c r="J260" s="66" t="str">
        <f>IF(AND('ENTRY DATA'!J260=""),"",('ENTRY DATA'!J260))</f>
        <v/>
      </c>
      <c r="K260" s="89" t="str">
        <f>IF(AND('ENTRY DATA'!K260=""),"",('ENTRY DATA'!K260))</f>
        <v/>
      </c>
      <c r="L260" s="89" t="str">
        <f>IF(AND('ENTRY DATA'!L260=""),"",('ENTRY DATA'!L260))</f>
        <v/>
      </c>
      <c r="M260" s="89" t="str">
        <f>IF(AND('ENTRY DATA'!M260=""),"",('ENTRY DATA'!M260))</f>
        <v/>
      </c>
      <c r="N260" s="67" t="str">
        <f>IF(AND('ENTRY DATA'!N260=""),"",('ENTRY DATA'!N260))</f>
        <v/>
      </c>
      <c r="O260" s="12"/>
      <c r="P260" s="66">
        <f>'SET 1 PLAYERS'!O260</f>
        <v>0</v>
      </c>
      <c r="Q260" s="67" t="str">
        <f>'SET 1 PLAYERS'!P260</f>
        <v/>
      </c>
      <c r="R260" s="14"/>
      <c r="S260" s="111" t="e">
        <f t="shared" si="6"/>
        <v>#VALUE!</v>
      </c>
      <c r="T260" s="112" t="e">
        <f t="shared" si="7"/>
        <v>#VALUE!</v>
      </c>
      <c r="U260" s="12"/>
      <c r="V260" s="95" t="str">
        <f>'SET 1 PLAYERS'!Q260</f>
        <v/>
      </c>
      <c r="W260" s="12"/>
    </row>
    <row r="261" spans="2:23" x14ac:dyDescent="0.25">
      <c r="B261" s="88" t="str">
        <f>'SET 1 PLAYERS'!G261</f>
        <v>CLASS 1</v>
      </c>
      <c r="C261" t="str">
        <f>IF(AND('ENTRY DATA'!C261=""),"",('ENTRY DATA'!C261))</f>
        <v/>
      </c>
      <c r="D261" t="str">
        <f>IF(AND('ENTRY DATA'!D261=""),"",('ENTRY DATA'!D261))</f>
        <v/>
      </c>
      <c r="E261" s="12"/>
      <c r="F261" t="str">
        <f>IF(AND('ENTRY DATA'!F261=""),"",('ENTRY DATA'!F261))</f>
        <v/>
      </c>
      <c r="G261" t="str">
        <f>IF(AND('ENTRY DATA'!G261=""),"",('ENTRY DATA'!G261))</f>
        <v/>
      </c>
      <c r="H261" s="12"/>
      <c r="I261" s="12"/>
      <c r="J261" s="66" t="str">
        <f>IF(AND('ENTRY DATA'!J261=""),"",('ENTRY DATA'!J261))</f>
        <v/>
      </c>
      <c r="K261" s="89" t="str">
        <f>IF(AND('ENTRY DATA'!K261=""),"",('ENTRY DATA'!K261))</f>
        <v/>
      </c>
      <c r="L261" s="89" t="str">
        <f>IF(AND('ENTRY DATA'!L261=""),"",('ENTRY DATA'!L261))</f>
        <v/>
      </c>
      <c r="M261" s="89" t="str">
        <f>IF(AND('ENTRY DATA'!M261=""),"",('ENTRY DATA'!M261))</f>
        <v/>
      </c>
      <c r="N261" s="67" t="str">
        <f>IF(AND('ENTRY DATA'!N261=""),"",('ENTRY DATA'!N261))</f>
        <v/>
      </c>
      <c r="O261" s="12"/>
      <c r="P261" s="66">
        <f>'SET 1 PLAYERS'!O261</f>
        <v>0</v>
      </c>
      <c r="Q261" s="67" t="str">
        <f>'SET 1 PLAYERS'!P261</f>
        <v/>
      </c>
      <c r="R261" s="14"/>
      <c r="S261" s="111" t="e">
        <f t="shared" si="6"/>
        <v>#VALUE!</v>
      </c>
      <c r="T261" s="112" t="e">
        <f t="shared" si="7"/>
        <v>#VALUE!</v>
      </c>
      <c r="U261" s="12"/>
      <c r="V261" s="95" t="str">
        <f>'SET 1 PLAYERS'!Q261</f>
        <v/>
      </c>
      <c r="W261" s="12"/>
    </row>
    <row r="262" spans="2:23" x14ac:dyDescent="0.25">
      <c r="B262" s="88" t="str">
        <f>'SET 1 PLAYERS'!G262</f>
        <v>CLASS 1</v>
      </c>
      <c r="C262" t="str">
        <f>IF(AND('ENTRY DATA'!C262=""),"",('ENTRY DATA'!C262))</f>
        <v/>
      </c>
      <c r="D262" t="str">
        <f>IF(AND('ENTRY DATA'!D262=""),"",('ENTRY DATA'!D262))</f>
        <v/>
      </c>
      <c r="E262" s="12"/>
      <c r="F262" t="str">
        <f>IF(AND('ENTRY DATA'!F262=""),"",('ENTRY DATA'!F262))</f>
        <v/>
      </c>
      <c r="G262" t="str">
        <f>IF(AND('ENTRY DATA'!G262=""),"",('ENTRY DATA'!G262))</f>
        <v/>
      </c>
      <c r="H262" s="12"/>
      <c r="I262" s="12"/>
      <c r="J262" s="66" t="str">
        <f>IF(AND('ENTRY DATA'!J262=""),"",('ENTRY DATA'!J262))</f>
        <v/>
      </c>
      <c r="K262" s="89" t="str">
        <f>IF(AND('ENTRY DATA'!K262=""),"",('ENTRY DATA'!K262))</f>
        <v/>
      </c>
      <c r="L262" s="89" t="str">
        <f>IF(AND('ENTRY DATA'!L262=""),"",('ENTRY DATA'!L262))</f>
        <v/>
      </c>
      <c r="M262" s="89" t="str">
        <f>IF(AND('ENTRY DATA'!M262=""),"",('ENTRY DATA'!M262))</f>
        <v/>
      </c>
      <c r="N262" s="67" t="str">
        <f>IF(AND('ENTRY DATA'!N262=""),"",('ENTRY DATA'!N262))</f>
        <v/>
      </c>
      <c r="O262" s="12"/>
      <c r="P262" s="66">
        <f>'SET 1 PLAYERS'!O262</f>
        <v>0</v>
      </c>
      <c r="Q262" s="67" t="str">
        <f>'SET 1 PLAYERS'!P262</f>
        <v/>
      </c>
      <c r="R262" s="14"/>
      <c r="S262" s="111" t="e">
        <f t="shared" ref="S262:S300" si="8">V262/P262</f>
        <v>#VALUE!</v>
      </c>
      <c r="T262" s="112" t="e">
        <f t="shared" ref="T262:T300" si="9">V262/Q262</f>
        <v>#VALUE!</v>
      </c>
      <c r="U262" s="12"/>
      <c r="V262" s="95" t="str">
        <f>'SET 1 PLAYERS'!Q262</f>
        <v/>
      </c>
      <c r="W262" s="12"/>
    </row>
    <row r="263" spans="2:23" x14ac:dyDescent="0.25">
      <c r="B263" s="88" t="str">
        <f>'SET 1 PLAYERS'!G263</f>
        <v>CLASS 1</v>
      </c>
      <c r="C263" t="str">
        <f>IF(AND('ENTRY DATA'!C263=""),"",('ENTRY DATA'!C263))</f>
        <v/>
      </c>
      <c r="D263" t="str">
        <f>IF(AND('ENTRY DATA'!D263=""),"",('ENTRY DATA'!D263))</f>
        <v/>
      </c>
      <c r="E263" s="12"/>
      <c r="F263" t="str">
        <f>IF(AND('ENTRY DATA'!F263=""),"",('ENTRY DATA'!F263))</f>
        <v/>
      </c>
      <c r="G263" t="str">
        <f>IF(AND('ENTRY DATA'!G263=""),"",('ENTRY DATA'!G263))</f>
        <v/>
      </c>
      <c r="H263" s="12"/>
      <c r="I263" s="12"/>
      <c r="J263" s="66" t="str">
        <f>IF(AND('ENTRY DATA'!J263=""),"",('ENTRY DATA'!J263))</f>
        <v/>
      </c>
      <c r="K263" s="89" t="str">
        <f>IF(AND('ENTRY DATA'!K263=""),"",('ENTRY DATA'!K263))</f>
        <v/>
      </c>
      <c r="L263" s="89" t="str">
        <f>IF(AND('ENTRY DATA'!L263=""),"",('ENTRY DATA'!L263))</f>
        <v/>
      </c>
      <c r="M263" s="89" t="str">
        <f>IF(AND('ENTRY DATA'!M263=""),"",('ENTRY DATA'!M263))</f>
        <v/>
      </c>
      <c r="N263" s="67" t="str">
        <f>IF(AND('ENTRY DATA'!N263=""),"",('ENTRY DATA'!N263))</f>
        <v/>
      </c>
      <c r="O263" s="12"/>
      <c r="P263" s="66">
        <f>'SET 1 PLAYERS'!O263</f>
        <v>0</v>
      </c>
      <c r="Q263" s="67" t="str">
        <f>'SET 1 PLAYERS'!P263</f>
        <v/>
      </c>
      <c r="R263" s="14"/>
      <c r="S263" s="111" t="e">
        <f t="shared" si="8"/>
        <v>#VALUE!</v>
      </c>
      <c r="T263" s="112" t="e">
        <f t="shared" si="9"/>
        <v>#VALUE!</v>
      </c>
      <c r="U263" s="12"/>
      <c r="V263" s="95" t="str">
        <f>'SET 1 PLAYERS'!Q263</f>
        <v/>
      </c>
      <c r="W263" s="12"/>
    </row>
    <row r="264" spans="2:23" x14ac:dyDescent="0.25">
      <c r="B264" s="88" t="str">
        <f>'SET 1 PLAYERS'!G264</f>
        <v>CLASS 1</v>
      </c>
      <c r="C264" t="str">
        <f>IF(AND('ENTRY DATA'!C264=""),"",('ENTRY DATA'!C264))</f>
        <v/>
      </c>
      <c r="D264" t="str">
        <f>IF(AND('ENTRY DATA'!D264=""),"",('ENTRY DATA'!D264))</f>
        <v/>
      </c>
      <c r="E264" s="12"/>
      <c r="F264" t="str">
        <f>IF(AND('ENTRY DATA'!F264=""),"",('ENTRY DATA'!F264))</f>
        <v/>
      </c>
      <c r="G264" t="str">
        <f>IF(AND('ENTRY DATA'!G264=""),"",('ENTRY DATA'!G264))</f>
        <v/>
      </c>
      <c r="H264" s="12"/>
      <c r="I264" s="12"/>
      <c r="J264" s="66" t="str">
        <f>IF(AND('ENTRY DATA'!J264=""),"",('ENTRY DATA'!J264))</f>
        <v/>
      </c>
      <c r="K264" s="89" t="str">
        <f>IF(AND('ENTRY DATA'!K264=""),"",('ENTRY DATA'!K264))</f>
        <v/>
      </c>
      <c r="L264" s="89" t="str">
        <f>IF(AND('ENTRY DATA'!L264=""),"",('ENTRY DATA'!L264))</f>
        <v/>
      </c>
      <c r="M264" s="89" t="str">
        <f>IF(AND('ENTRY DATA'!M264=""),"",('ENTRY DATA'!M264))</f>
        <v/>
      </c>
      <c r="N264" s="67" t="str">
        <f>IF(AND('ENTRY DATA'!N264=""),"",('ENTRY DATA'!N264))</f>
        <v/>
      </c>
      <c r="O264" s="12"/>
      <c r="P264" s="66">
        <f>'SET 1 PLAYERS'!O264</f>
        <v>0</v>
      </c>
      <c r="Q264" s="67" t="str">
        <f>'SET 1 PLAYERS'!P264</f>
        <v/>
      </c>
      <c r="R264" s="14"/>
      <c r="S264" s="111" t="e">
        <f t="shared" si="8"/>
        <v>#VALUE!</v>
      </c>
      <c r="T264" s="112" t="e">
        <f t="shared" si="9"/>
        <v>#VALUE!</v>
      </c>
      <c r="U264" s="12"/>
      <c r="V264" s="95" t="str">
        <f>'SET 1 PLAYERS'!Q264</f>
        <v/>
      </c>
      <c r="W264" s="12"/>
    </row>
    <row r="265" spans="2:23" x14ac:dyDescent="0.25">
      <c r="B265" s="88" t="str">
        <f>'SET 1 PLAYERS'!G265</f>
        <v>CLASS 1</v>
      </c>
      <c r="C265" t="str">
        <f>IF(AND('ENTRY DATA'!C265=""),"",('ENTRY DATA'!C265))</f>
        <v/>
      </c>
      <c r="D265" t="str">
        <f>IF(AND('ENTRY DATA'!D265=""),"",('ENTRY DATA'!D265))</f>
        <v/>
      </c>
      <c r="E265" s="12"/>
      <c r="F265" t="str">
        <f>IF(AND('ENTRY DATA'!F265=""),"",('ENTRY DATA'!F265))</f>
        <v/>
      </c>
      <c r="G265" t="str">
        <f>IF(AND('ENTRY DATA'!G265=""),"",('ENTRY DATA'!G265))</f>
        <v/>
      </c>
      <c r="H265" s="12"/>
      <c r="I265" s="12"/>
      <c r="J265" s="66" t="str">
        <f>IF(AND('ENTRY DATA'!J265=""),"",('ENTRY DATA'!J265))</f>
        <v/>
      </c>
      <c r="K265" s="89" t="str">
        <f>IF(AND('ENTRY DATA'!K265=""),"",('ENTRY DATA'!K265))</f>
        <v/>
      </c>
      <c r="L265" s="89" t="str">
        <f>IF(AND('ENTRY DATA'!L265=""),"",('ENTRY DATA'!L265))</f>
        <v/>
      </c>
      <c r="M265" s="89" t="str">
        <f>IF(AND('ENTRY DATA'!M265=""),"",('ENTRY DATA'!M265))</f>
        <v/>
      </c>
      <c r="N265" s="67" t="str">
        <f>IF(AND('ENTRY DATA'!N265=""),"",('ENTRY DATA'!N265))</f>
        <v/>
      </c>
      <c r="O265" s="12"/>
      <c r="P265" s="66">
        <f>'SET 1 PLAYERS'!O265</f>
        <v>0</v>
      </c>
      <c r="Q265" s="67" t="str">
        <f>'SET 1 PLAYERS'!P265</f>
        <v/>
      </c>
      <c r="R265" s="14"/>
      <c r="S265" s="111" t="e">
        <f t="shared" si="8"/>
        <v>#VALUE!</v>
      </c>
      <c r="T265" s="112" t="e">
        <f t="shared" si="9"/>
        <v>#VALUE!</v>
      </c>
      <c r="U265" s="12"/>
      <c r="V265" s="95" t="str">
        <f>'SET 1 PLAYERS'!Q265</f>
        <v/>
      </c>
      <c r="W265" s="12"/>
    </row>
    <row r="266" spans="2:23" x14ac:dyDescent="0.25">
      <c r="B266" s="88" t="str">
        <f>'SET 1 PLAYERS'!G266</f>
        <v>CLASS 1</v>
      </c>
      <c r="C266" t="str">
        <f>IF(AND('ENTRY DATA'!C266=""),"",('ENTRY DATA'!C266))</f>
        <v/>
      </c>
      <c r="D266" t="str">
        <f>IF(AND('ENTRY DATA'!D266=""),"",('ENTRY DATA'!D266))</f>
        <v/>
      </c>
      <c r="E266" s="12"/>
      <c r="F266" t="str">
        <f>IF(AND('ENTRY DATA'!F266=""),"",('ENTRY DATA'!F266))</f>
        <v/>
      </c>
      <c r="G266" t="str">
        <f>IF(AND('ENTRY DATA'!G266=""),"",('ENTRY DATA'!G266))</f>
        <v/>
      </c>
      <c r="H266" s="12"/>
      <c r="I266" s="12"/>
      <c r="J266" s="66" t="str">
        <f>IF(AND('ENTRY DATA'!J266=""),"",('ENTRY DATA'!J266))</f>
        <v/>
      </c>
      <c r="K266" s="89" t="str">
        <f>IF(AND('ENTRY DATA'!K266=""),"",('ENTRY DATA'!K266))</f>
        <v/>
      </c>
      <c r="L266" s="89" t="str">
        <f>IF(AND('ENTRY DATA'!L266=""),"",('ENTRY DATA'!L266))</f>
        <v/>
      </c>
      <c r="M266" s="89" t="str">
        <f>IF(AND('ENTRY DATA'!M266=""),"",('ENTRY DATA'!M266))</f>
        <v/>
      </c>
      <c r="N266" s="67" t="str">
        <f>IF(AND('ENTRY DATA'!N266=""),"",('ENTRY DATA'!N266))</f>
        <v/>
      </c>
      <c r="O266" s="12"/>
      <c r="P266" s="66">
        <f>'SET 1 PLAYERS'!O266</f>
        <v>0</v>
      </c>
      <c r="Q266" s="67" t="str">
        <f>'SET 1 PLAYERS'!P266</f>
        <v/>
      </c>
      <c r="R266" s="14"/>
      <c r="S266" s="111" t="e">
        <f t="shared" si="8"/>
        <v>#VALUE!</v>
      </c>
      <c r="T266" s="112" t="e">
        <f t="shared" si="9"/>
        <v>#VALUE!</v>
      </c>
      <c r="U266" s="12"/>
      <c r="V266" s="95" t="str">
        <f>'SET 1 PLAYERS'!Q266</f>
        <v/>
      </c>
      <c r="W266" s="12"/>
    </row>
    <row r="267" spans="2:23" x14ac:dyDescent="0.25">
      <c r="B267" s="88" t="str">
        <f>'SET 1 PLAYERS'!G267</f>
        <v>CLASS 1</v>
      </c>
      <c r="C267" t="str">
        <f>IF(AND('ENTRY DATA'!C267=""),"",('ENTRY DATA'!C267))</f>
        <v/>
      </c>
      <c r="D267" t="str">
        <f>IF(AND('ENTRY DATA'!D267=""),"",('ENTRY DATA'!D267))</f>
        <v/>
      </c>
      <c r="E267" s="12"/>
      <c r="F267" t="str">
        <f>IF(AND('ENTRY DATA'!F267=""),"",('ENTRY DATA'!F267))</f>
        <v/>
      </c>
      <c r="G267" t="str">
        <f>IF(AND('ENTRY DATA'!G267=""),"",('ENTRY DATA'!G267))</f>
        <v/>
      </c>
      <c r="H267" s="12"/>
      <c r="I267" s="12"/>
      <c r="J267" s="66" t="str">
        <f>IF(AND('ENTRY DATA'!J267=""),"",('ENTRY DATA'!J267))</f>
        <v/>
      </c>
      <c r="K267" s="89" t="str">
        <f>IF(AND('ENTRY DATA'!K267=""),"",('ENTRY DATA'!K267))</f>
        <v/>
      </c>
      <c r="L267" s="89" t="str">
        <f>IF(AND('ENTRY DATA'!L267=""),"",('ENTRY DATA'!L267))</f>
        <v/>
      </c>
      <c r="M267" s="89" t="str">
        <f>IF(AND('ENTRY DATA'!M267=""),"",('ENTRY DATA'!M267))</f>
        <v/>
      </c>
      <c r="N267" s="67" t="str">
        <f>IF(AND('ENTRY DATA'!N267=""),"",('ENTRY DATA'!N267))</f>
        <v/>
      </c>
      <c r="O267" s="12"/>
      <c r="P267" s="66">
        <f>'SET 1 PLAYERS'!O267</f>
        <v>0</v>
      </c>
      <c r="Q267" s="67" t="str">
        <f>'SET 1 PLAYERS'!P267</f>
        <v/>
      </c>
      <c r="R267" s="14"/>
      <c r="S267" s="111" t="e">
        <f t="shared" si="8"/>
        <v>#VALUE!</v>
      </c>
      <c r="T267" s="112" t="e">
        <f t="shared" si="9"/>
        <v>#VALUE!</v>
      </c>
      <c r="U267" s="12"/>
      <c r="V267" s="95" t="str">
        <f>'SET 1 PLAYERS'!Q267</f>
        <v/>
      </c>
      <c r="W267" s="12"/>
    </row>
    <row r="268" spans="2:23" x14ac:dyDescent="0.25">
      <c r="B268" s="88" t="str">
        <f>'SET 1 PLAYERS'!G268</f>
        <v>CLASS 1</v>
      </c>
      <c r="C268" t="str">
        <f>IF(AND('ENTRY DATA'!C268=""),"",('ENTRY DATA'!C268))</f>
        <v/>
      </c>
      <c r="D268" t="str">
        <f>IF(AND('ENTRY DATA'!D268=""),"",('ENTRY DATA'!D268))</f>
        <v/>
      </c>
      <c r="E268" s="12"/>
      <c r="F268" t="str">
        <f>IF(AND('ENTRY DATA'!F268=""),"",('ENTRY DATA'!F268))</f>
        <v/>
      </c>
      <c r="G268" t="str">
        <f>IF(AND('ENTRY DATA'!G268=""),"",('ENTRY DATA'!G268))</f>
        <v/>
      </c>
      <c r="H268" s="12"/>
      <c r="I268" s="12"/>
      <c r="J268" s="66" t="str">
        <f>IF(AND('ENTRY DATA'!J268=""),"",('ENTRY DATA'!J268))</f>
        <v/>
      </c>
      <c r="K268" s="89" t="str">
        <f>IF(AND('ENTRY DATA'!K268=""),"",('ENTRY DATA'!K268))</f>
        <v/>
      </c>
      <c r="L268" s="89" t="str">
        <f>IF(AND('ENTRY DATA'!L268=""),"",('ENTRY DATA'!L268))</f>
        <v/>
      </c>
      <c r="M268" s="89" t="str">
        <f>IF(AND('ENTRY DATA'!M268=""),"",('ENTRY DATA'!M268))</f>
        <v/>
      </c>
      <c r="N268" s="67" t="str">
        <f>IF(AND('ENTRY DATA'!N268=""),"",('ENTRY DATA'!N268))</f>
        <v/>
      </c>
      <c r="O268" s="12"/>
      <c r="P268" s="66">
        <f>'SET 1 PLAYERS'!O268</f>
        <v>0</v>
      </c>
      <c r="Q268" s="67" t="str">
        <f>'SET 1 PLAYERS'!P268</f>
        <v/>
      </c>
      <c r="R268" s="14"/>
      <c r="S268" s="111" t="e">
        <f t="shared" si="8"/>
        <v>#VALUE!</v>
      </c>
      <c r="T268" s="112" t="e">
        <f t="shared" si="9"/>
        <v>#VALUE!</v>
      </c>
      <c r="U268" s="12"/>
      <c r="V268" s="95" t="str">
        <f>'SET 1 PLAYERS'!Q268</f>
        <v/>
      </c>
      <c r="W268" s="12"/>
    </row>
    <row r="269" spans="2:23" x14ac:dyDescent="0.25">
      <c r="B269" s="88" t="str">
        <f>'SET 1 PLAYERS'!G269</f>
        <v>CLASS 1</v>
      </c>
      <c r="C269" t="str">
        <f>IF(AND('ENTRY DATA'!C269=""),"",('ENTRY DATA'!C269))</f>
        <v/>
      </c>
      <c r="D269" t="str">
        <f>IF(AND('ENTRY DATA'!D269=""),"",('ENTRY DATA'!D269))</f>
        <v/>
      </c>
      <c r="E269" s="12"/>
      <c r="F269" t="str">
        <f>IF(AND('ENTRY DATA'!F269=""),"",('ENTRY DATA'!F269))</f>
        <v/>
      </c>
      <c r="G269" t="str">
        <f>IF(AND('ENTRY DATA'!G269=""),"",('ENTRY DATA'!G269))</f>
        <v/>
      </c>
      <c r="H269" s="12"/>
      <c r="I269" s="12"/>
      <c r="J269" s="66" t="str">
        <f>IF(AND('ENTRY DATA'!J269=""),"",('ENTRY DATA'!J269))</f>
        <v/>
      </c>
      <c r="K269" s="89" t="str">
        <f>IF(AND('ENTRY DATA'!K269=""),"",('ENTRY DATA'!K269))</f>
        <v/>
      </c>
      <c r="L269" s="89" t="str">
        <f>IF(AND('ENTRY DATA'!L269=""),"",('ENTRY DATA'!L269))</f>
        <v/>
      </c>
      <c r="M269" s="89" t="str">
        <f>IF(AND('ENTRY DATA'!M269=""),"",('ENTRY DATA'!M269))</f>
        <v/>
      </c>
      <c r="N269" s="67" t="str">
        <f>IF(AND('ENTRY DATA'!N269=""),"",('ENTRY DATA'!N269))</f>
        <v/>
      </c>
      <c r="O269" s="12"/>
      <c r="P269" s="66">
        <f>'SET 1 PLAYERS'!O269</f>
        <v>0</v>
      </c>
      <c r="Q269" s="67" t="str">
        <f>'SET 1 PLAYERS'!P269</f>
        <v/>
      </c>
      <c r="R269" s="14"/>
      <c r="S269" s="111" t="e">
        <f t="shared" si="8"/>
        <v>#VALUE!</v>
      </c>
      <c r="T269" s="112" t="e">
        <f t="shared" si="9"/>
        <v>#VALUE!</v>
      </c>
      <c r="U269" s="12"/>
      <c r="V269" s="95" t="str">
        <f>'SET 1 PLAYERS'!Q269</f>
        <v/>
      </c>
      <c r="W269" s="12"/>
    </row>
    <row r="270" spans="2:23" x14ac:dyDescent="0.25">
      <c r="B270" s="88" t="str">
        <f>'SET 1 PLAYERS'!G270</f>
        <v>CLASS 1</v>
      </c>
      <c r="C270" t="str">
        <f>IF(AND('ENTRY DATA'!C270=""),"",('ENTRY DATA'!C270))</f>
        <v/>
      </c>
      <c r="D270" t="str">
        <f>IF(AND('ENTRY DATA'!D270=""),"",('ENTRY DATA'!D270))</f>
        <v/>
      </c>
      <c r="E270" s="12"/>
      <c r="F270" t="str">
        <f>IF(AND('ENTRY DATA'!F270=""),"",('ENTRY DATA'!F270))</f>
        <v/>
      </c>
      <c r="G270" t="str">
        <f>IF(AND('ENTRY DATA'!G270=""),"",('ENTRY DATA'!G270))</f>
        <v/>
      </c>
      <c r="H270" s="12"/>
      <c r="I270" s="12"/>
      <c r="J270" s="66" t="str">
        <f>IF(AND('ENTRY DATA'!J270=""),"",('ENTRY DATA'!J270))</f>
        <v/>
      </c>
      <c r="K270" s="89" t="str">
        <f>IF(AND('ENTRY DATA'!K270=""),"",('ENTRY DATA'!K270))</f>
        <v/>
      </c>
      <c r="L270" s="89" t="str">
        <f>IF(AND('ENTRY DATA'!L270=""),"",('ENTRY DATA'!L270))</f>
        <v/>
      </c>
      <c r="M270" s="89" t="str">
        <f>IF(AND('ENTRY DATA'!M270=""),"",('ENTRY DATA'!M270))</f>
        <v/>
      </c>
      <c r="N270" s="67" t="str">
        <f>IF(AND('ENTRY DATA'!N270=""),"",('ENTRY DATA'!N270))</f>
        <v/>
      </c>
      <c r="O270" s="12"/>
      <c r="P270" s="66">
        <f>'SET 1 PLAYERS'!O270</f>
        <v>0</v>
      </c>
      <c r="Q270" s="67" t="str">
        <f>'SET 1 PLAYERS'!P270</f>
        <v/>
      </c>
      <c r="R270" s="14"/>
      <c r="S270" s="111" t="e">
        <f t="shared" si="8"/>
        <v>#VALUE!</v>
      </c>
      <c r="T270" s="112" t="e">
        <f t="shared" si="9"/>
        <v>#VALUE!</v>
      </c>
      <c r="U270" s="12"/>
      <c r="V270" s="95" t="str">
        <f>'SET 1 PLAYERS'!Q270</f>
        <v/>
      </c>
      <c r="W270" s="12"/>
    </row>
    <row r="271" spans="2:23" x14ac:dyDescent="0.25">
      <c r="B271" s="88" t="str">
        <f>'SET 1 PLAYERS'!G271</f>
        <v>CLASS 1</v>
      </c>
      <c r="C271" t="str">
        <f>IF(AND('ENTRY DATA'!C271=""),"",('ENTRY DATA'!C271))</f>
        <v/>
      </c>
      <c r="D271" t="str">
        <f>IF(AND('ENTRY DATA'!D271=""),"",('ENTRY DATA'!D271))</f>
        <v/>
      </c>
      <c r="E271" s="12"/>
      <c r="F271" t="str">
        <f>IF(AND('ENTRY DATA'!F271=""),"",('ENTRY DATA'!F271))</f>
        <v/>
      </c>
      <c r="G271" t="str">
        <f>IF(AND('ENTRY DATA'!G271=""),"",('ENTRY DATA'!G271))</f>
        <v/>
      </c>
      <c r="H271" s="12"/>
      <c r="I271" s="12"/>
      <c r="J271" s="66" t="str">
        <f>IF(AND('ENTRY DATA'!J271=""),"",('ENTRY DATA'!J271))</f>
        <v/>
      </c>
      <c r="K271" s="89" t="str">
        <f>IF(AND('ENTRY DATA'!K271=""),"",('ENTRY DATA'!K271))</f>
        <v/>
      </c>
      <c r="L271" s="89" t="str">
        <f>IF(AND('ENTRY DATA'!L271=""),"",('ENTRY DATA'!L271))</f>
        <v/>
      </c>
      <c r="M271" s="89" t="str">
        <f>IF(AND('ENTRY DATA'!M271=""),"",('ENTRY DATA'!M271))</f>
        <v/>
      </c>
      <c r="N271" s="67" t="str">
        <f>IF(AND('ENTRY DATA'!N271=""),"",('ENTRY DATA'!N271))</f>
        <v/>
      </c>
      <c r="O271" s="12"/>
      <c r="P271" s="66">
        <f>'SET 1 PLAYERS'!O271</f>
        <v>0</v>
      </c>
      <c r="Q271" s="67" t="str">
        <f>'SET 1 PLAYERS'!P271</f>
        <v/>
      </c>
      <c r="R271" s="14"/>
      <c r="S271" s="111" t="e">
        <f t="shared" si="8"/>
        <v>#VALUE!</v>
      </c>
      <c r="T271" s="112" t="e">
        <f t="shared" si="9"/>
        <v>#VALUE!</v>
      </c>
      <c r="U271" s="12"/>
      <c r="V271" s="95" t="str">
        <f>'SET 1 PLAYERS'!Q271</f>
        <v/>
      </c>
      <c r="W271" s="12"/>
    </row>
    <row r="272" spans="2:23" x14ac:dyDescent="0.25">
      <c r="B272" s="88" t="str">
        <f>'SET 1 PLAYERS'!G272</f>
        <v>CLASS 1</v>
      </c>
      <c r="C272" t="str">
        <f>IF(AND('ENTRY DATA'!C272=""),"",('ENTRY DATA'!C272))</f>
        <v/>
      </c>
      <c r="D272" t="str">
        <f>IF(AND('ENTRY DATA'!D272=""),"",('ENTRY DATA'!D272))</f>
        <v/>
      </c>
      <c r="E272" s="12"/>
      <c r="F272" t="str">
        <f>IF(AND('ENTRY DATA'!F272=""),"",('ENTRY DATA'!F272))</f>
        <v/>
      </c>
      <c r="G272" t="str">
        <f>IF(AND('ENTRY DATA'!G272=""),"",('ENTRY DATA'!G272))</f>
        <v/>
      </c>
      <c r="H272" s="12"/>
      <c r="I272" s="12"/>
      <c r="J272" s="66" t="str">
        <f>IF(AND('ENTRY DATA'!J272=""),"",('ENTRY DATA'!J272))</f>
        <v/>
      </c>
      <c r="K272" s="89" t="str">
        <f>IF(AND('ENTRY DATA'!K272=""),"",('ENTRY DATA'!K272))</f>
        <v/>
      </c>
      <c r="L272" s="89" t="str">
        <f>IF(AND('ENTRY DATA'!L272=""),"",('ENTRY DATA'!L272))</f>
        <v/>
      </c>
      <c r="M272" s="89" t="str">
        <f>IF(AND('ENTRY DATA'!M272=""),"",('ENTRY DATA'!M272))</f>
        <v/>
      </c>
      <c r="N272" s="67" t="str">
        <f>IF(AND('ENTRY DATA'!N272=""),"",('ENTRY DATA'!N272))</f>
        <v/>
      </c>
      <c r="O272" s="12"/>
      <c r="P272" s="66">
        <f>'SET 1 PLAYERS'!O272</f>
        <v>0</v>
      </c>
      <c r="Q272" s="67" t="str">
        <f>'SET 1 PLAYERS'!P272</f>
        <v/>
      </c>
      <c r="R272" s="14"/>
      <c r="S272" s="111" t="e">
        <f t="shared" si="8"/>
        <v>#VALUE!</v>
      </c>
      <c r="T272" s="112" t="e">
        <f t="shared" si="9"/>
        <v>#VALUE!</v>
      </c>
      <c r="U272" s="12"/>
      <c r="V272" s="95" t="str">
        <f>'SET 1 PLAYERS'!Q272</f>
        <v/>
      </c>
      <c r="W272" s="12"/>
    </row>
    <row r="273" spans="2:23" x14ac:dyDescent="0.25">
      <c r="B273" s="88" t="str">
        <f>'SET 1 PLAYERS'!G273</f>
        <v>CLASS 1</v>
      </c>
      <c r="C273" t="str">
        <f>IF(AND('ENTRY DATA'!C273=""),"",('ENTRY DATA'!C273))</f>
        <v/>
      </c>
      <c r="D273" t="str">
        <f>IF(AND('ENTRY DATA'!D273=""),"",('ENTRY DATA'!D273))</f>
        <v/>
      </c>
      <c r="E273" s="12"/>
      <c r="F273" t="str">
        <f>IF(AND('ENTRY DATA'!F273=""),"",('ENTRY DATA'!F273))</f>
        <v/>
      </c>
      <c r="G273" t="str">
        <f>IF(AND('ENTRY DATA'!G273=""),"",('ENTRY DATA'!G273))</f>
        <v/>
      </c>
      <c r="H273" s="12"/>
      <c r="I273" s="12"/>
      <c r="J273" s="66" t="str">
        <f>IF(AND('ENTRY DATA'!J273=""),"",('ENTRY DATA'!J273))</f>
        <v/>
      </c>
      <c r="K273" s="89" t="str">
        <f>IF(AND('ENTRY DATA'!K273=""),"",('ENTRY DATA'!K273))</f>
        <v/>
      </c>
      <c r="L273" s="89" t="str">
        <f>IF(AND('ENTRY DATA'!L273=""),"",('ENTRY DATA'!L273))</f>
        <v/>
      </c>
      <c r="M273" s="89" t="str">
        <f>IF(AND('ENTRY DATA'!M273=""),"",('ENTRY DATA'!M273))</f>
        <v/>
      </c>
      <c r="N273" s="67" t="str">
        <f>IF(AND('ENTRY DATA'!N273=""),"",('ENTRY DATA'!N273))</f>
        <v/>
      </c>
      <c r="O273" s="12"/>
      <c r="P273" s="66">
        <f>'SET 1 PLAYERS'!O273</f>
        <v>0</v>
      </c>
      <c r="Q273" s="67" t="str">
        <f>'SET 1 PLAYERS'!P273</f>
        <v/>
      </c>
      <c r="R273" s="14"/>
      <c r="S273" s="111" t="e">
        <f t="shared" si="8"/>
        <v>#VALUE!</v>
      </c>
      <c r="T273" s="112" t="e">
        <f t="shared" si="9"/>
        <v>#VALUE!</v>
      </c>
      <c r="U273" s="12"/>
      <c r="V273" s="95" t="str">
        <f>'SET 1 PLAYERS'!Q273</f>
        <v/>
      </c>
      <c r="W273" s="12"/>
    </row>
    <row r="274" spans="2:23" x14ac:dyDescent="0.25">
      <c r="B274" s="88" t="str">
        <f>'SET 1 PLAYERS'!G274</f>
        <v>CLASS 1</v>
      </c>
      <c r="C274" t="str">
        <f>IF(AND('ENTRY DATA'!C274=""),"",('ENTRY DATA'!C274))</f>
        <v/>
      </c>
      <c r="D274" t="str">
        <f>IF(AND('ENTRY DATA'!D274=""),"",('ENTRY DATA'!D274))</f>
        <v/>
      </c>
      <c r="E274" s="12"/>
      <c r="F274" t="str">
        <f>IF(AND('ENTRY DATA'!F274=""),"",('ENTRY DATA'!F274))</f>
        <v/>
      </c>
      <c r="G274" t="str">
        <f>IF(AND('ENTRY DATA'!G274=""),"",('ENTRY DATA'!G274))</f>
        <v/>
      </c>
      <c r="H274" s="12"/>
      <c r="I274" s="12"/>
      <c r="J274" s="66" t="str">
        <f>IF(AND('ENTRY DATA'!J274=""),"",('ENTRY DATA'!J274))</f>
        <v/>
      </c>
      <c r="K274" s="89" t="str">
        <f>IF(AND('ENTRY DATA'!K274=""),"",('ENTRY DATA'!K274))</f>
        <v/>
      </c>
      <c r="L274" s="89" t="str">
        <f>IF(AND('ENTRY DATA'!L274=""),"",('ENTRY DATA'!L274))</f>
        <v/>
      </c>
      <c r="M274" s="89" t="str">
        <f>IF(AND('ENTRY DATA'!M274=""),"",('ENTRY DATA'!M274))</f>
        <v/>
      </c>
      <c r="N274" s="67" t="str">
        <f>IF(AND('ENTRY DATA'!N274=""),"",('ENTRY DATA'!N274))</f>
        <v/>
      </c>
      <c r="O274" s="12"/>
      <c r="P274" s="66">
        <f>'SET 1 PLAYERS'!O274</f>
        <v>0</v>
      </c>
      <c r="Q274" s="67" t="str">
        <f>'SET 1 PLAYERS'!P274</f>
        <v/>
      </c>
      <c r="R274" s="14"/>
      <c r="S274" s="111" t="e">
        <f t="shared" si="8"/>
        <v>#VALUE!</v>
      </c>
      <c r="T274" s="112" t="e">
        <f t="shared" si="9"/>
        <v>#VALUE!</v>
      </c>
      <c r="U274" s="12"/>
      <c r="V274" s="95" t="str">
        <f>'SET 1 PLAYERS'!Q274</f>
        <v/>
      </c>
      <c r="W274" s="12"/>
    </row>
    <row r="275" spans="2:23" x14ac:dyDescent="0.25">
      <c r="B275" s="88" t="str">
        <f>'SET 1 PLAYERS'!G275</f>
        <v>CLASS 1</v>
      </c>
      <c r="C275" t="str">
        <f>IF(AND('ENTRY DATA'!C275=""),"",('ENTRY DATA'!C275))</f>
        <v/>
      </c>
      <c r="D275" t="str">
        <f>IF(AND('ENTRY DATA'!D275=""),"",('ENTRY DATA'!D275))</f>
        <v/>
      </c>
      <c r="E275" s="12"/>
      <c r="F275" t="str">
        <f>IF(AND('ENTRY DATA'!F275=""),"",('ENTRY DATA'!F275))</f>
        <v/>
      </c>
      <c r="G275" t="str">
        <f>IF(AND('ENTRY DATA'!G275=""),"",('ENTRY DATA'!G275))</f>
        <v/>
      </c>
      <c r="H275" s="12"/>
      <c r="I275" s="12"/>
      <c r="J275" s="66" t="str">
        <f>IF(AND('ENTRY DATA'!J275=""),"",('ENTRY DATA'!J275))</f>
        <v/>
      </c>
      <c r="K275" s="89" t="str">
        <f>IF(AND('ENTRY DATA'!K275=""),"",('ENTRY DATA'!K275))</f>
        <v/>
      </c>
      <c r="L275" s="89" t="str">
        <f>IF(AND('ENTRY DATA'!L275=""),"",('ENTRY DATA'!L275))</f>
        <v/>
      </c>
      <c r="M275" s="89" t="str">
        <f>IF(AND('ENTRY DATA'!M275=""),"",('ENTRY DATA'!M275))</f>
        <v/>
      </c>
      <c r="N275" s="67" t="str">
        <f>IF(AND('ENTRY DATA'!N275=""),"",('ENTRY DATA'!N275))</f>
        <v/>
      </c>
      <c r="O275" s="12"/>
      <c r="P275" s="66">
        <f>'SET 1 PLAYERS'!O275</f>
        <v>0</v>
      </c>
      <c r="Q275" s="67" t="str">
        <f>'SET 1 PLAYERS'!P275</f>
        <v/>
      </c>
      <c r="R275" s="14"/>
      <c r="S275" s="111" t="e">
        <f t="shared" si="8"/>
        <v>#VALUE!</v>
      </c>
      <c r="T275" s="112" t="e">
        <f t="shared" si="9"/>
        <v>#VALUE!</v>
      </c>
      <c r="U275" s="12"/>
      <c r="V275" s="95" t="str">
        <f>'SET 1 PLAYERS'!Q275</f>
        <v/>
      </c>
      <c r="W275" s="12"/>
    </row>
    <row r="276" spans="2:23" x14ac:dyDescent="0.25">
      <c r="B276" s="88" t="str">
        <f>'SET 1 PLAYERS'!G276</f>
        <v>CLASS 1</v>
      </c>
      <c r="C276" t="str">
        <f>IF(AND('ENTRY DATA'!C276=""),"",('ENTRY DATA'!C276))</f>
        <v/>
      </c>
      <c r="D276" t="str">
        <f>IF(AND('ENTRY DATA'!D276=""),"",('ENTRY DATA'!D276))</f>
        <v/>
      </c>
      <c r="E276" s="12"/>
      <c r="F276" t="str">
        <f>IF(AND('ENTRY DATA'!F276=""),"",('ENTRY DATA'!F276))</f>
        <v/>
      </c>
      <c r="G276" t="str">
        <f>IF(AND('ENTRY DATA'!G276=""),"",('ENTRY DATA'!G276))</f>
        <v/>
      </c>
      <c r="H276" s="12"/>
      <c r="I276" s="12"/>
      <c r="J276" s="66" t="str">
        <f>IF(AND('ENTRY DATA'!J276=""),"",('ENTRY DATA'!J276))</f>
        <v/>
      </c>
      <c r="K276" s="89" t="str">
        <f>IF(AND('ENTRY DATA'!K276=""),"",('ENTRY DATA'!K276))</f>
        <v/>
      </c>
      <c r="L276" s="89" t="str">
        <f>IF(AND('ENTRY DATA'!L276=""),"",('ENTRY DATA'!L276))</f>
        <v/>
      </c>
      <c r="M276" s="89" t="str">
        <f>IF(AND('ENTRY DATA'!M276=""),"",('ENTRY DATA'!M276))</f>
        <v/>
      </c>
      <c r="N276" s="67" t="str">
        <f>IF(AND('ENTRY DATA'!N276=""),"",('ENTRY DATA'!N276))</f>
        <v/>
      </c>
      <c r="O276" s="12"/>
      <c r="P276" s="66">
        <f>'SET 1 PLAYERS'!O276</f>
        <v>0</v>
      </c>
      <c r="Q276" s="67" t="str">
        <f>'SET 1 PLAYERS'!P276</f>
        <v/>
      </c>
      <c r="R276" s="14"/>
      <c r="S276" s="111" t="e">
        <f t="shared" si="8"/>
        <v>#VALUE!</v>
      </c>
      <c r="T276" s="112" t="e">
        <f t="shared" si="9"/>
        <v>#VALUE!</v>
      </c>
      <c r="U276" s="12"/>
      <c r="V276" s="95" t="str">
        <f>'SET 1 PLAYERS'!Q276</f>
        <v/>
      </c>
      <c r="W276" s="12"/>
    </row>
    <row r="277" spans="2:23" x14ac:dyDescent="0.25">
      <c r="B277" s="88" t="str">
        <f>'SET 1 PLAYERS'!G277</f>
        <v>CLASS 1</v>
      </c>
      <c r="C277" t="str">
        <f>IF(AND('ENTRY DATA'!C277=""),"",('ENTRY DATA'!C277))</f>
        <v/>
      </c>
      <c r="D277" t="str">
        <f>IF(AND('ENTRY DATA'!D277=""),"",('ENTRY DATA'!D277))</f>
        <v/>
      </c>
      <c r="E277" s="12"/>
      <c r="F277" t="str">
        <f>IF(AND('ENTRY DATA'!F277=""),"",('ENTRY DATA'!F277))</f>
        <v/>
      </c>
      <c r="G277" t="str">
        <f>IF(AND('ENTRY DATA'!G277=""),"",('ENTRY DATA'!G277))</f>
        <v/>
      </c>
      <c r="H277" s="12"/>
      <c r="I277" s="12"/>
      <c r="J277" s="66" t="str">
        <f>IF(AND('ENTRY DATA'!J277=""),"",('ENTRY DATA'!J277))</f>
        <v/>
      </c>
      <c r="K277" s="89" t="str">
        <f>IF(AND('ENTRY DATA'!K277=""),"",('ENTRY DATA'!K277))</f>
        <v/>
      </c>
      <c r="L277" s="89" t="str">
        <f>IF(AND('ENTRY DATA'!L277=""),"",('ENTRY DATA'!L277))</f>
        <v/>
      </c>
      <c r="M277" s="89" t="str">
        <f>IF(AND('ENTRY DATA'!M277=""),"",('ENTRY DATA'!M277))</f>
        <v/>
      </c>
      <c r="N277" s="67" t="str">
        <f>IF(AND('ENTRY DATA'!N277=""),"",('ENTRY DATA'!N277))</f>
        <v/>
      </c>
      <c r="O277" s="12"/>
      <c r="P277" s="66">
        <f>'SET 1 PLAYERS'!O277</f>
        <v>0</v>
      </c>
      <c r="Q277" s="67" t="str">
        <f>'SET 1 PLAYERS'!P277</f>
        <v/>
      </c>
      <c r="R277" s="14"/>
      <c r="S277" s="111" t="e">
        <f t="shared" si="8"/>
        <v>#VALUE!</v>
      </c>
      <c r="T277" s="112" t="e">
        <f t="shared" si="9"/>
        <v>#VALUE!</v>
      </c>
      <c r="U277" s="12"/>
      <c r="V277" s="95" t="str">
        <f>'SET 1 PLAYERS'!Q277</f>
        <v/>
      </c>
      <c r="W277" s="12"/>
    </row>
    <row r="278" spans="2:23" x14ac:dyDescent="0.25">
      <c r="B278" s="88" t="str">
        <f>'SET 1 PLAYERS'!G278</f>
        <v>CLASS 1</v>
      </c>
      <c r="C278" t="str">
        <f>IF(AND('ENTRY DATA'!C278=""),"",('ENTRY DATA'!C278))</f>
        <v/>
      </c>
      <c r="D278" t="str">
        <f>IF(AND('ENTRY DATA'!D278=""),"",('ENTRY DATA'!D278))</f>
        <v/>
      </c>
      <c r="E278" s="12"/>
      <c r="F278" t="str">
        <f>IF(AND('ENTRY DATA'!F278=""),"",('ENTRY DATA'!F278))</f>
        <v/>
      </c>
      <c r="G278" t="str">
        <f>IF(AND('ENTRY DATA'!G278=""),"",('ENTRY DATA'!G278))</f>
        <v/>
      </c>
      <c r="H278" s="12"/>
      <c r="I278" s="12"/>
      <c r="J278" s="66" t="str">
        <f>IF(AND('ENTRY DATA'!J278=""),"",('ENTRY DATA'!J278))</f>
        <v/>
      </c>
      <c r="K278" s="89" t="str">
        <f>IF(AND('ENTRY DATA'!K278=""),"",('ENTRY DATA'!K278))</f>
        <v/>
      </c>
      <c r="L278" s="89" t="str">
        <f>IF(AND('ENTRY DATA'!L278=""),"",('ENTRY DATA'!L278))</f>
        <v/>
      </c>
      <c r="M278" s="89" t="str">
        <f>IF(AND('ENTRY DATA'!M278=""),"",('ENTRY DATA'!M278))</f>
        <v/>
      </c>
      <c r="N278" s="67" t="str">
        <f>IF(AND('ENTRY DATA'!N278=""),"",('ENTRY DATA'!N278))</f>
        <v/>
      </c>
      <c r="O278" s="12"/>
      <c r="P278" s="66">
        <f>'SET 1 PLAYERS'!O278</f>
        <v>0</v>
      </c>
      <c r="Q278" s="67" t="str">
        <f>'SET 1 PLAYERS'!P278</f>
        <v/>
      </c>
      <c r="R278" s="14"/>
      <c r="S278" s="111" t="e">
        <f t="shared" si="8"/>
        <v>#VALUE!</v>
      </c>
      <c r="T278" s="112" t="e">
        <f t="shared" si="9"/>
        <v>#VALUE!</v>
      </c>
      <c r="U278" s="12"/>
      <c r="V278" s="95" t="str">
        <f>'SET 1 PLAYERS'!Q278</f>
        <v/>
      </c>
      <c r="W278" s="12"/>
    </row>
    <row r="279" spans="2:23" x14ac:dyDescent="0.25">
      <c r="B279" s="88" t="str">
        <f>'SET 1 PLAYERS'!G279</f>
        <v>CLASS 1</v>
      </c>
      <c r="C279" t="str">
        <f>IF(AND('ENTRY DATA'!C279=""),"",('ENTRY DATA'!C279))</f>
        <v/>
      </c>
      <c r="D279" t="str">
        <f>IF(AND('ENTRY DATA'!D279=""),"",('ENTRY DATA'!D279))</f>
        <v/>
      </c>
      <c r="E279" s="12"/>
      <c r="F279" t="str">
        <f>IF(AND('ENTRY DATA'!F279=""),"",('ENTRY DATA'!F279))</f>
        <v/>
      </c>
      <c r="G279" t="str">
        <f>IF(AND('ENTRY DATA'!G279=""),"",('ENTRY DATA'!G279))</f>
        <v/>
      </c>
      <c r="H279" s="12"/>
      <c r="I279" s="12"/>
      <c r="J279" s="66" t="str">
        <f>IF(AND('ENTRY DATA'!J279=""),"",('ENTRY DATA'!J279))</f>
        <v/>
      </c>
      <c r="K279" s="89" t="str">
        <f>IF(AND('ENTRY DATA'!K279=""),"",('ENTRY DATA'!K279))</f>
        <v/>
      </c>
      <c r="L279" s="89" t="str">
        <f>IF(AND('ENTRY DATA'!L279=""),"",('ENTRY DATA'!L279))</f>
        <v/>
      </c>
      <c r="M279" s="89" t="str">
        <f>IF(AND('ENTRY DATA'!M279=""),"",('ENTRY DATA'!M279))</f>
        <v/>
      </c>
      <c r="N279" s="67" t="str">
        <f>IF(AND('ENTRY DATA'!N279=""),"",('ENTRY DATA'!N279))</f>
        <v/>
      </c>
      <c r="O279" s="12"/>
      <c r="P279" s="66">
        <f>'SET 1 PLAYERS'!O279</f>
        <v>0</v>
      </c>
      <c r="Q279" s="67" t="str">
        <f>'SET 1 PLAYERS'!P279</f>
        <v/>
      </c>
      <c r="R279" s="14"/>
      <c r="S279" s="111" t="e">
        <f t="shared" si="8"/>
        <v>#VALUE!</v>
      </c>
      <c r="T279" s="112" t="e">
        <f t="shared" si="9"/>
        <v>#VALUE!</v>
      </c>
      <c r="U279" s="12"/>
      <c r="V279" s="95" t="str">
        <f>'SET 1 PLAYERS'!Q279</f>
        <v/>
      </c>
      <c r="W279" s="12"/>
    </row>
    <row r="280" spans="2:23" x14ac:dyDescent="0.25">
      <c r="B280" s="88" t="str">
        <f>'SET 1 PLAYERS'!G280</f>
        <v>CLASS 1</v>
      </c>
      <c r="C280" t="str">
        <f>IF(AND('ENTRY DATA'!C280=""),"",('ENTRY DATA'!C280))</f>
        <v/>
      </c>
      <c r="D280" t="str">
        <f>IF(AND('ENTRY DATA'!D280=""),"",('ENTRY DATA'!D280))</f>
        <v/>
      </c>
      <c r="E280" s="12"/>
      <c r="F280" t="str">
        <f>IF(AND('ENTRY DATA'!F280=""),"",('ENTRY DATA'!F280))</f>
        <v/>
      </c>
      <c r="G280" t="str">
        <f>IF(AND('ENTRY DATA'!G280=""),"",('ENTRY DATA'!G280))</f>
        <v/>
      </c>
      <c r="H280" s="12"/>
      <c r="I280" s="12"/>
      <c r="J280" s="66" t="str">
        <f>IF(AND('ENTRY DATA'!J280=""),"",('ENTRY DATA'!J280))</f>
        <v/>
      </c>
      <c r="K280" s="89" t="str">
        <f>IF(AND('ENTRY DATA'!K280=""),"",('ENTRY DATA'!K280))</f>
        <v/>
      </c>
      <c r="L280" s="89" t="str">
        <f>IF(AND('ENTRY DATA'!L280=""),"",('ENTRY DATA'!L280))</f>
        <v/>
      </c>
      <c r="M280" s="89" t="str">
        <f>IF(AND('ENTRY DATA'!M280=""),"",('ENTRY DATA'!M280))</f>
        <v/>
      </c>
      <c r="N280" s="67" t="str">
        <f>IF(AND('ENTRY DATA'!N280=""),"",('ENTRY DATA'!N280))</f>
        <v/>
      </c>
      <c r="O280" s="12"/>
      <c r="P280" s="66">
        <f>'SET 1 PLAYERS'!O280</f>
        <v>0</v>
      </c>
      <c r="Q280" s="67" t="str">
        <f>'SET 1 PLAYERS'!P280</f>
        <v/>
      </c>
      <c r="R280" s="14"/>
      <c r="S280" s="111" t="e">
        <f t="shared" si="8"/>
        <v>#VALUE!</v>
      </c>
      <c r="T280" s="112" t="e">
        <f t="shared" si="9"/>
        <v>#VALUE!</v>
      </c>
      <c r="U280" s="12"/>
      <c r="V280" s="95" t="str">
        <f>'SET 1 PLAYERS'!Q280</f>
        <v/>
      </c>
      <c r="W280" s="12"/>
    </row>
    <row r="281" spans="2:23" x14ac:dyDescent="0.25">
      <c r="B281" s="88" t="str">
        <f>'SET 1 PLAYERS'!G281</f>
        <v>CLASS 1</v>
      </c>
      <c r="C281" t="str">
        <f>IF(AND('ENTRY DATA'!C281=""),"",('ENTRY DATA'!C281))</f>
        <v/>
      </c>
      <c r="D281" t="str">
        <f>IF(AND('ENTRY DATA'!D281=""),"",('ENTRY DATA'!D281))</f>
        <v/>
      </c>
      <c r="E281" s="12"/>
      <c r="F281" t="str">
        <f>IF(AND('ENTRY DATA'!F281=""),"",('ENTRY DATA'!F281))</f>
        <v/>
      </c>
      <c r="G281" t="str">
        <f>IF(AND('ENTRY DATA'!G281=""),"",('ENTRY DATA'!G281))</f>
        <v/>
      </c>
      <c r="H281" s="12"/>
      <c r="I281" s="12"/>
      <c r="J281" s="66" t="str">
        <f>IF(AND('ENTRY DATA'!J281=""),"",('ENTRY DATA'!J281))</f>
        <v/>
      </c>
      <c r="K281" s="89" t="str">
        <f>IF(AND('ENTRY DATA'!K281=""),"",('ENTRY DATA'!K281))</f>
        <v/>
      </c>
      <c r="L281" s="89" t="str">
        <f>IF(AND('ENTRY DATA'!L281=""),"",('ENTRY DATA'!L281))</f>
        <v/>
      </c>
      <c r="M281" s="89" t="str">
        <f>IF(AND('ENTRY DATA'!M281=""),"",('ENTRY DATA'!M281))</f>
        <v/>
      </c>
      <c r="N281" s="67" t="str">
        <f>IF(AND('ENTRY DATA'!N281=""),"",('ENTRY DATA'!N281))</f>
        <v/>
      </c>
      <c r="O281" s="12"/>
      <c r="P281" s="66">
        <f>'SET 1 PLAYERS'!O281</f>
        <v>0</v>
      </c>
      <c r="Q281" s="67" t="str">
        <f>'SET 1 PLAYERS'!P281</f>
        <v/>
      </c>
      <c r="R281" s="14"/>
      <c r="S281" s="111" t="e">
        <f t="shared" si="8"/>
        <v>#VALUE!</v>
      </c>
      <c r="T281" s="112" t="e">
        <f t="shared" si="9"/>
        <v>#VALUE!</v>
      </c>
      <c r="U281" s="12"/>
      <c r="V281" s="95" t="str">
        <f>'SET 1 PLAYERS'!Q281</f>
        <v/>
      </c>
      <c r="W281" s="12"/>
    </row>
    <row r="282" spans="2:23" x14ac:dyDescent="0.25">
      <c r="B282" s="88" t="str">
        <f>'SET 1 PLAYERS'!G282</f>
        <v>CLASS 1</v>
      </c>
      <c r="C282" t="str">
        <f>IF(AND('ENTRY DATA'!C282=""),"",('ENTRY DATA'!C282))</f>
        <v/>
      </c>
      <c r="D282" t="str">
        <f>IF(AND('ENTRY DATA'!D282=""),"",('ENTRY DATA'!D282))</f>
        <v/>
      </c>
      <c r="E282" s="12"/>
      <c r="F282" t="str">
        <f>IF(AND('ENTRY DATA'!F282=""),"",('ENTRY DATA'!F282))</f>
        <v/>
      </c>
      <c r="G282" t="str">
        <f>IF(AND('ENTRY DATA'!G282=""),"",('ENTRY DATA'!G282))</f>
        <v/>
      </c>
      <c r="H282" s="12"/>
      <c r="I282" s="12"/>
      <c r="J282" s="66" t="str">
        <f>IF(AND('ENTRY DATA'!J282=""),"",('ENTRY DATA'!J282))</f>
        <v/>
      </c>
      <c r="K282" s="89" t="str">
        <f>IF(AND('ENTRY DATA'!K282=""),"",('ENTRY DATA'!K282))</f>
        <v/>
      </c>
      <c r="L282" s="89" t="str">
        <f>IF(AND('ENTRY DATA'!L282=""),"",('ENTRY DATA'!L282))</f>
        <v/>
      </c>
      <c r="M282" s="89" t="str">
        <f>IF(AND('ENTRY DATA'!M282=""),"",('ENTRY DATA'!M282))</f>
        <v/>
      </c>
      <c r="N282" s="67" t="str">
        <f>IF(AND('ENTRY DATA'!N282=""),"",('ENTRY DATA'!N282))</f>
        <v/>
      </c>
      <c r="O282" s="12"/>
      <c r="P282" s="66">
        <f>'SET 1 PLAYERS'!O282</f>
        <v>0</v>
      </c>
      <c r="Q282" s="67" t="str">
        <f>'SET 1 PLAYERS'!P282</f>
        <v/>
      </c>
      <c r="R282" s="14"/>
      <c r="S282" s="111" t="e">
        <f t="shared" si="8"/>
        <v>#VALUE!</v>
      </c>
      <c r="T282" s="112" t="e">
        <f t="shared" si="9"/>
        <v>#VALUE!</v>
      </c>
      <c r="U282" s="12"/>
      <c r="V282" s="95" t="str">
        <f>'SET 1 PLAYERS'!Q282</f>
        <v/>
      </c>
      <c r="W282" s="12"/>
    </row>
    <row r="283" spans="2:23" x14ac:dyDescent="0.25">
      <c r="B283" s="88" t="str">
        <f>'SET 1 PLAYERS'!G283</f>
        <v>CLASS 1</v>
      </c>
      <c r="C283" t="str">
        <f>IF(AND('ENTRY DATA'!C283=""),"",('ENTRY DATA'!C283))</f>
        <v/>
      </c>
      <c r="D283" t="str">
        <f>IF(AND('ENTRY DATA'!D283=""),"",('ENTRY DATA'!D283))</f>
        <v/>
      </c>
      <c r="E283" s="12"/>
      <c r="F283" t="str">
        <f>IF(AND('ENTRY DATA'!F283=""),"",('ENTRY DATA'!F283))</f>
        <v/>
      </c>
      <c r="G283" t="str">
        <f>IF(AND('ENTRY DATA'!G283=""),"",('ENTRY DATA'!G283))</f>
        <v/>
      </c>
      <c r="H283" s="12"/>
      <c r="I283" s="12"/>
      <c r="J283" s="66" t="str">
        <f>IF(AND('ENTRY DATA'!J283=""),"",('ENTRY DATA'!J283))</f>
        <v/>
      </c>
      <c r="K283" s="89" t="str">
        <f>IF(AND('ENTRY DATA'!K283=""),"",('ENTRY DATA'!K283))</f>
        <v/>
      </c>
      <c r="L283" s="89" t="str">
        <f>IF(AND('ENTRY DATA'!L283=""),"",('ENTRY DATA'!L283))</f>
        <v/>
      </c>
      <c r="M283" s="89" t="str">
        <f>IF(AND('ENTRY DATA'!M283=""),"",('ENTRY DATA'!M283))</f>
        <v/>
      </c>
      <c r="N283" s="67" t="str">
        <f>IF(AND('ENTRY DATA'!N283=""),"",('ENTRY DATA'!N283))</f>
        <v/>
      </c>
      <c r="O283" s="12"/>
      <c r="P283" s="66">
        <f>'SET 1 PLAYERS'!O283</f>
        <v>0</v>
      </c>
      <c r="Q283" s="67" t="str">
        <f>'SET 1 PLAYERS'!P283</f>
        <v/>
      </c>
      <c r="R283" s="14"/>
      <c r="S283" s="111" t="e">
        <f t="shared" si="8"/>
        <v>#VALUE!</v>
      </c>
      <c r="T283" s="112" t="e">
        <f t="shared" si="9"/>
        <v>#VALUE!</v>
      </c>
      <c r="U283" s="12"/>
      <c r="V283" s="95" t="str">
        <f>'SET 1 PLAYERS'!Q283</f>
        <v/>
      </c>
      <c r="W283" s="12"/>
    </row>
    <row r="284" spans="2:23" x14ac:dyDescent="0.25">
      <c r="B284" s="88" t="str">
        <f>'SET 1 PLAYERS'!G284</f>
        <v>CLASS 1</v>
      </c>
      <c r="C284" t="str">
        <f>IF(AND('ENTRY DATA'!C284=""),"",('ENTRY DATA'!C284))</f>
        <v/>
      </c>
      <c r="D284" t="str">
        <f>IF(AND('ENTRY DATA'!D284=""),"",('ENTRY DATA'!D284))</f>
        <v/>
      </c>
      <c r="E284" s="12"/>
      <c r="F284" t="str">
        <f>IF(AND('ENTRY DATA'!F284=""),"",('ENTRY DATA'!F284))</f>
        <v/>
      </c>
      <c r="G284" t="str">
        <f>IF(AND('ENTRY DATA'!G284=""),"",('ENTRY DATA'!G284))</f>
        <v/>
      </c>
      <c r="H284" s="12"/>
      <c r="I284" s="12"/>
      <c r="J284" s="66" t="str">
        <f>IF(AND('ENTRY DATA'!J284=""),"",('ENTRY DATA'!J284))</f>
        <v/>
      </c>
      <c r="K284" s="89" t="str">
        <f>IF(AND('ENTRY DATA'!K284=""),"",('ENTRY DATA'!K284))</f>
        <v/>
      </c>
      <c r="L284" s="89" t="str">
        <f>IF(AND('ENTRY DATA'!L284=""),"",('ENTRY DATA'!L284))</f>
        <v/>
      </c>
      <c r="M284" s="89" t="str">
        <f>IF(AND('ENTRY DATA'!M284=""),"",('ENTRY DATA'!M284))</f>
        <v/>
      </c>
      <c r="N284" s="67" t="str">
        <f>IF(AND('ENTRY DATA'!N284=""),"",('ENTRY DATA'!N284))</f>
        <v/>
      </c>
      <c r="O284" s="12"/>
      <c r="P284" s="66">
        <f>'SET 1 PLAYERS'!O284</f>
        <v>0</v>
      </c>
      <c r="Q284" s="67" t="str">
        <f>'SET 1 PLAYERS'!P284</f>
        <v/>
      </c>
      <c r="R284" s="14"/>
      <c r="S284" s="111" t="e">
        <f t="shared" si="8"/>
        <v>#VALUE!</v>
      </c>
      <c r="T284" s="112" t="e">
        <f t="shared" si="9"/>
        <v>#VALUE!</v>
      </c>
      <c r="U284" s="12"/>
      <c r="V284" s="95" t="str">
        <f>'SET 1 PLAYERS'!Q284</f>
        <v/>
      </c>
      <c r="W284" s="12"/>
    </row>
    <row r="285" spans="2:23" x14ac:dyDescent="0.25">
      <c r="B285" s="88" t="str">
        <f>'SET 1 PLAYERS'!G285</f>
        <v>CLASS 1</v>
      </c>
      <c r="C285" t="str">
        <f>IF(AND('ENTRY DATA'!C285=""),"",('ENTRY DATA'!C285))</f>
        <v/>
      </c>
      <c r="D285" t="str">
        <f>IF(AND('ENTRY DATA'!D285=""),"",('ENTRY DATA'!D285))</f>
        <v/>
      </c>
      <c r="E285" s="12"/>
      <c r="F285" t="str">
        <f>IF(AND('ENTRY DATA'!F285=""),"",('ENTRY DATA'!F285))</f>
        <v/>
      </c>
      <c r="G285" t="str">
        <f>IF(AND('ENTRY DATA'!G285=""),"",('ENTRY DATA'!G285))</f>
        <v/>
      </c>
      <c r="H285" s="12"/>
      <c r="I285" s="12"/>
      <c r="J285" s="66" t="str">
        <f>IF(AND('ENTRY DATA'!J285=""),"",('ENTRY DATA'!J285))</f>
        <v/>
      </c>
      <c r="K285" s="89" t="str">
        <f>IF(AND('ENTRY DATA'!K285=""),"",('ENTRY DATA'!K285))</f>
        <v/>
      </c>
      <c r="L285" s="89" t="str">
        <f>IF(AND('ENTRY DATA'!L285=""),"",('ENTRY DATA'!L285))</f>
        <v/>
      </c>
      <c r="M285" s="89" t="str">
        <f>IF(AND('ENTRY DATA'!M285=""),"",('ENTRY DATA'!M285))</f>
        <v/>
      </c>
      <c r="N285" s="67" t="str">
        <f>IF(AND('ENTRY DATA'!N285=""),"",('ENTRY DATA'!N285))</f>
        <v/>
      </c>
      <c r="O285" s="12"/>
      <c r="P285" s="66">
        <f>'SET 1 PLAYERS'!O285</f>
        <v>0</v>
      </c>
      <c r="Q285" s="67" t="str">
        <f>'SET 1 PLAYERS'!P285</f>
        <v/>
      </c>
      <c r="R285" s="14"/>
      <c r="S285" s="111" t="e">
        <f t="shared" si="8"/>
        <v>#VALUE!</v>
      </c>
      <c r="T285" s="112" t="e">
        <f t="shared" si="9"/>
        <v>#VALUE!</v>
      </c>
      <c r="U285" s="12"/>
      <c r="V285" s="95" t="str">
        <f>'SET 1 PLAYERS'!Q285</f>
        <v/>
      </c>
      <c r="W285" s="12"/>
    </row>
    <row r="286" spans="2:23" x14ac:dyDescent="0.25">
      <c r="B286" s="88" t="str">
        <f>'SET 1 PLAYERS'!G286</f>
        <v>CLASS 1</v>
      </c>
      <c r="C286" t="str">
        <f>IF(AND('ENTRY DATA'!C286=""),"",('ENTRY DATA'!C286))</f>
        <v/>
      </c>
      <c r="D286" t="str">
        <f>IF(AND('ENTRY DATA'!D286=""),"",('ENTRY DATA'!D286))</f>
        <v/>
      </c>
      <c r="E286" s="12"/>
      <c r="F286" t="str">
        <f>IF(AND('ENTRY DATA'!F286=""),"",('ENTRY DATA'!F286))</f>
        <v/>
      </c>
      <c r="G286" t="str">
        <f>IF(AND('ENTRY DATA'!G286=""),"",('ENTRY DATA'!G286))</f>
        <v/>
      </c>
      <c r="H286" s="12"/>
      <c r="I286" s="12"/>
      <c r="J286" s="66" t="str">
        <f>IF(AND('ENTRY DATA'!J286=""),"",('ENTRY DATA'!J286))</f>
        <v/>
      </c>
      <c r="K286" s="89" t="str">
        <f>IF(AND('ENTRY DATA'!K286=""),"",('ENTRY DATA'!K286))</f>
        <v/>
      </c>
      <c r="L286" s="89" t="str">
        <f>IF(AND('ENTRY DATA'!L286=""),"",('ENTRY DATA'!L286))</f>
        <v/>
      </c>
      <c r="M286" s="89" t="str">
        <f>IF(AND('ENTRY DATA'!M286=""),"",('ENTRY DATA'!M286))</f>
        <v/>
      </c>
      <c r="N286" s="67" t="str">
        <f>IF(AND('ENTRY DATA'!N286=""),"",('ENTRY DATA'!N286))</f>
        <v/>
      </c>
      <c r="O286" s="12"/>
      <c r="P286" s="66">
        <f>'SET 1 PLAYERS'!O286</f>
        <v>0</v>
      </c>
      <c r="Q286" s="67" t="str">
        <f>'SET 1 PLAYERS'!P286</f>
        <v/>
      </c>
      <c r="R286" s="14"/>
      <c r="S286" s="111" t="e">
        <f t="shared" si="8"/>
        <v>#VALUE!</v>
      </c>
      <c r="T286" s="112" t="e">
        <f t="shared" si="9"/>
        <v>#VALUE!</v>
      </c>
      <c r="U286" s="12"/>
      <c r="V286" s="95" t="str">
        <f>'SET 1 PLAYERS'!Q286</f>
        <v/>
      </c>
      <c r="W286" s="12"/>
    </row>
    <row r="287" spans="2:23" x14ac:dyDescent="0.25">
      <c r="B287" s="88" t="str">
        <f>'SET 1 PLAYERS'!G287</f>
        <v>CLASS 1</v>
      </c>
      <c r="C287" t="str">
        <f>IF(AND('ENTRY DATA'!C287=""),"",('ENTRY DATA'!C287))</f>
        <v/>
      </c>
      <c r="D287" t="str">
        <f>IF(AND('ENTRY DATA'!D287=""),"",('ENTRY DATA'!D287))</f>
        <v/>
      </c>
      <c r="E287" s="12"/>
      <c r="F287" t="str">
        <f>IF(AND('ENTRY DATA'!F287=""),"",('ENTRY DATA'!F287))</f>
        <v/>
      </c>
      <c r="G287" t="str">
        <f>IF(AND('ENTRY DATA'!G287=""),"",('ENTRY DATA'!G287))</f>
        <v/>
      </c>
      <c r="H287" s="12"/>
      <c r="I287" s="12"/>
      <c r="J287" s="66" t="str">
        <f>IF(AND('ENTRY DATA'!J287=""),"",('ENTRY DATA'!J287))</f>
        <v/>
      </c>
      <c r="K287" s="89" t="str">
        <f>IF(AND('ENTRY DATA'!K287=""),"",('ENTRY DATA'!K287))</f>
        <v/>
      </c>
      <c r="L287" s="89" t="str">
        <f>IF(AND('ENTRY DATA'!L287=""),"",('ENTRY DATA'!L287))</f>
        <v/>
      </c>
      <c r="M287" s="89" t="str">
        <f>IF(AND('ENTRY DATA'!M287=""),"",('ENTRY DATA'!M287))</f>
        <v/>
      </c>
      <c r="N287" s="67" t="str">
        <f>IF(AND('ENTRY DATA'!N287=""),"",('ENTRY DATA'!N287))</f>
        <v/>
      </c>
      <c r="O287" s="12"/>
      <c r="P287" s="66">
        <f>'SET 1 PLAYERS'!O287</f>
        <v>0</v>
      </c>
      <c r="Q287" s="67" t="str">
        <f>'SET 1 PLAYERS'!P287</f>
        <v/>
      </c>
      <c r="R287" s="14"/>
      <c r="S287" s="111" t="e">
        <f t="shared" si="8"/>
        <v>#VALUE!</v>
      </c>
      <c r="T287" s="112" t="e">
        <f t="shared" si="9"/>
        <v>#VALUE!</v>
      </c>
      <c r="U287" s="12"/>
      <c r="V287" s="95" t="str">
        <f>'SET 1 PLAYERS'!Q287</f>
        <v/>
      </c>
      <c r="W287" s="12"/>
    </row>
    <row r="288" spans="2:23" x14ac:dyDescent="0.25">
      <c r="B288" s="88" t="str">
        <f>'SET 1 PLAYERS'!G288</f>
        <v>CLASS 1</v>
      </c>
      <c r="C288" t="str">
        <f>IF(AND('ENTRY DATA'!C288=""),"",('ENTRY DATA'!C288))</f>
        <v/>
      </c>
      <c r="D288" t="str">
        <f>IF(AND('ENTRY DATA'!D288=""),"",('ENTRY DATA'!D288))</f>
        <v/>
      </c>
      <c r="E288" s="12"/>
      <c r="F288" t="str">
        <f>IF(AND('ENTRY DATA'!F288=""),"",('ENTRY DATA'!F288))</f>
        <v/>
      </c>
      <c r="G288" t="str">
        <f>IF(AND('ENTRY DATA'!G288=""),"",('ENTRY DATA'!G288))</f>
        <v/>
      </c>
      <c r="H288" s="12"/>
      <c r="I288" s="12"/>
      <c r="J288" s="66" t="str">
        <f>IF(AND('ENTRY DATA'!J288=""),"",('ENTRY DATA'!J288))</f>
        <v/>
      </c>
      <c r="K288" s="89" t="str">
        <f>IF(AND('ENTRY DATA'!K288=""),"",('ENTRY DATA'!K288))</f>
        <v/>
      </c>
      <c r="L288" s="89" t="str">
        <f>IF(AND('ENTRY DATA'!L288=""),"",('ENTRY DATA'!L288))</f>
        <v/>
      </c>
      <c r="M288" s="89" t="str">
        <f>IF(AND('ENTRY DATA'!M288=""),"",('ENTRY DATA'!M288))</f>
        <v/>
      </c>
      <c r="N288" s="67" t="str">
        <f>IF(AND('ENTRY DATA'!N288=""),"",('ENTRY DATA'!N288))</f>
        <v/>
      </c>
      <c r="O288" s="12"/>
      <c r="P288" s="66">
        <f>'SET 1 PLAYERS'!O288</f>
        <v>0</v>
      </c>
      <c r="Q288" s="67" t="str">
        <f>'SET 1 PLAYERS'!P288</f>
        <v/>
      </c>
      <c r="R288" s="14"/>
      <c r="S288" s="111" t="e">
        <f t="shared" si="8"/>
        <v>#VALUE!</v>
      </c>
      <c r="T288" s="112" t="e">
        <f t="shared" si="9"/>
        <v>#VALUE!</v>
      </c>
      <c r="U288" s="12"/>
      <c r="V288" s="95" t="str">
        <f>'SET 1 PLAYERS'!Q288</f>
        <v/>
      </c>
      <c r="W288" s="12"/>
    </row>
    <row r="289" spans="2:23" x14ac:dyDescent="0.25">
      <c r="B289" s="88" t="str">
        <f>'SET 1 PLAYERS'!G289</f>
        <v>CLASS 1</v>
      </c>
      <c r="C289" t="str">
        <f>IF(AND('ENTRY DATA'!C289=""),"",('ENTRY DATA'!C289))</f>
        <v/>
      </c>
      <c r="D289" t="str">
        <f>IF(AND('ENTRY DATA'!D289=""),"",('ENTRY DATA'!D289))</f>
        <v/>
      </c>
      <c r="E289" s="12"/>
      <c r="F289" t="str">
        <f>IF(AND('ENTRY DATA'!F289=""),"",('ENTRY DATA'!F289))</f>
        <v/>
      </c>
      <c r="G289" t="str">
        <f>IF(AND('ENTRY DATA'!G289=""),"",('ENTRY DATA'!G289))</f>
        <v/>
      </c>
      <c r="H289" s="12"/>
      <c r="I289" s="12"/>
      <c r="J289" s="66" t="str">
        <f>IF(AND('ENTRY DATA'!J289=""),"",('ENTRY DATA'!J289))</f>
        <v/>
      </c>
      <c r="K289" s="89" t="str">
        <f>IF(AND('ENTRY DATA'!K289=""),"",('ENTRY DATA'!K289))</f>
        <v/>
      </c>
      <c r="L289" s="89" t="str">
        <f>IF(AND('ENTRY DATA'!L289=""),"",('ENTRY DATA'!L289))</f>
        <v/>
      </c>
      <c r="M289" s="89" t="str">
        <f>IF(AND('ENTRY DATA'!M289=""),"",('ENTRY DATA'!M289))</f>
        <v/>
      </c>
      <c r="N289" s="67" t="str">
        <f>IF(AND('ENTRY DATA'!N289=""),"",('ENTRY DATA'!N289))</f>
        <v/>
      </c>
      <c r="O289" s="12"/>
      <c r="P289" s="66">
        <f>'SET 1 PLAYERS'!O289</f>
        <v>0</v>
      </c>
      <c r="Q289" s="67" t="str">
        <f>'SET 1 PLAYERS'!P289</f>
        <v/>
      </c>
      <c r="R289" s="14"/>
      <c r="S289" s="111" t="e">
        <f t="shared" si="8"/>
        <v>#VALUE!</v>
      </c>
      <c r="T289" s="112" t="e">
        <f t="shared" si="9"/>
        <v>#VALUE!</v>
      </c>
      <c r="U289" s="12"/>
      <c r="V289" s="95" t="str">
        <f>'SET 1 PLAYERS'!Q289</f>
        <v/>
      </c>
      <c r="W289" s="12"/>
    </row>
    <row r="290" spans="2:23" x14ac:dyDescent="0.25">
      <c r="B290" s="88" t="str">
        <f>'SET 1 PLAYERS'!G290</f>
        <v>CLASS 1</v>
      </c>
      <c r="C290" t="str">
        <f>IF(AND('ENTRY DATA'!C290=""),"",('ENTRY DATA'!C290))</f>
        <v/>
      </c>
      <c r="D290" t="str">
        <f>IF(AND('ENTRY DATA'!D290=""),"",('ENTRY DATA'!D290))</f>
        <v/>
      </c>
      <c r="E290" s="12"/>
      <c r="F290" t="str">
        <f>IF(AND('ENTRY DATA'!F290=""),"",('ENTRY DATA'!F290))</f>
        <v/>
      </c>
      <c r="G290" t="str">
        <f>IF(AND('ENTRY DATA'!G290=""),"",('ENTRY DATA'!G290))</f>
        <v/>
      </c>
      <c r="H290" s="12"/>
      <c r="I290" s="12"/>
      <c r="J290" s="66" t="str">
        <f>IF(AND('ENTRY DATA'!J290=""),"",('ENTRY DATA'!J290))</f>
        <v/>
      </c>
      <c r="K290" s="89" t="str">
        <f>IF(AND('ENTRY DATA'!K290=""),"",('ENTRY DATA'!K290))</f>
        <v/>
      </c>
      <c r="L290" s="89" t="str">
        <f>IF(AND('ENTRY DATA'!L290=""),"",('ENTRY DATA'!L290))</f>
        <v/>
      </c>
      <c r="M290" s="89" t="str">
        <f>IF(AND('ENTRY DATA'!M290=""),"",('ENTRY DATA'!M290))</f>
        <v/>
      </c>
      <c r="N290" s="67" t="str">
        <f>IF(AND('ENTRY DATA'!N290=""),"",('ENTRY DATA'!N290))</f>
        <v/>
      </c>
      <c r="O290" s="12"/>
      <c r="P290" s="66">
        <f>'SET 1 PLAYERS'!O290</f>
        <v>0</v>
      </c>
      <c r="Q290" s="67" t="str">
        <f>'SET 1 PLAYERS'!P290</f>
        <v/>
      </c>
      <c r="R290" s="14"/>
      <c r="S290" s="111" t="e">
        <f t="shared" si="8"/>
        <v>#VALUE!</v>
      </c>
      <c r="T290" s="112" t="e">
        <f t="shared" si="9"/>
        <v>#VALUE!</v>
      </c>
      <c r="U290" s="12"/>
      <c r="V290" s="95" t="str">
        <f>'SET 1 PLAYERS'!Q290</f>
        <v/>
      </c>
      <c r="W290" s="12"/>
    </row>
    <row r="291" spans="2:23" x14ac:dyDescent="0.25">
      <c r="B291" s="88" t="str">
        <f>'SET 1 PLAYERS'!G291</f>
        <v>CLASS 1</v>
      </c>
      <c r="C291" t="str">
        <f>IF(AND('ENTRY DATA'!C291=""),"",('ENTRY DATA'!C291))</f>
        <v/>
      </c>
      <c r="D291" t="str">
        <f>IF(AND('ENTRY DATA'!D291=""),"",('ENTRY DATA'!D291))</f>
        <v/>
      </c>
      <c r="E291" s="12"/>
      <c r="F291" t="str">
        <f>IF(AND('ENTRY DATA'!F291=""),"",('ENTRY DATA'!F291))</f>
        <v/>
      </c>
      <c r="G291" t="str">
        <f>IF(AND('ENTRY DATA'!G291=""),"",('ENTRY DATA'!G291))</f>
        <v/>
      </c>
      <c r="H291" s="12"/>
      <c r="I291" s="12"/>
      <c r="J291" s="66" t="str">
        <f>IF(AND('ENTRY DATA'!J291=""),"",('ENTRY DATA'!J291))</f>
        <v/>
      </c>
      <c r="K291" s="89" t="str">
        <f>IF(AND('ENTRY DATA'!K291=""),"",('ENTRY DATA'!K291))</f>
        <v/>
      </c>
      <c r="L291" s="89" t="str">
        <f>IF(AND('ENTRY DATA'!L291=""),"",('ENTRY DATA'!L291))</f>
        <v/>
      </c>
      <c r="M291" s="89" t="str">
        <f>IF(AND('ENTRY DATA'!M291=""),"",('ENTRY DATA'!M291))</f>
        <v/>
      </c>
      <c r="N291" s="67" t="str">
        <f>IF(AND('ENTRY DATA'!N291=""),"",('ENTRY DATA'!N291))</f>
        <v/>
      </c>
      <c r="O291" s="12"/>
      <c r="P291" s="66">
        <f>'SET 1 PLAYERS'!O291</f>
        <v>0</v>
      </c>
      <c r="Q291" s="67" t="str">
        <f>'SET 1 PLAYERS'!P291</f>
        <v/>
      </c>
      <c r="R291" s="14"/>
      <c r="S291" s="111" t="e">
        <f t="shared" si="8"/>
        <v>#VALUE!</v>
      </c>
      <c r="T291" s="112" t="e">
        <f t="shared" si="9"/>
        <v>#VALUE!</v>
      </c>
      <c r="U291" s="12"/>
      <c r="V291" s="95" t="str">
        <f>'SET 1 PLAYERS'!Q291</f>
        <v/>
      </c>
      <c r="W291" s="12"/>
    </row>
    <row r="292" spans="2:23" x14ac:dyDescent="0.25">
      <c r="B292" s="88" t="str">
        <f>'SET 1 PLAYERS'!G292</f>
        <v>CLASS 1</v>
      </c>
      <c r="C292" t="str">
        <f>IF(AND('ENTRY DATA'!C292=""),"",('ENTRY DATA'!C292))</f>
        <v/>
      </c>
      <c r="D292" t="str">
        <f>IF(AND('ENTRY DATA'!D292=""),"",('ENTRY DATA'!D292))</f>
        <v/>
      </c>
      <c r="E292" s="12"/>
      <c r="F292" t="str">
        <f>IF(AND('ENTRY DATA'!F292=""),"",('ENTRY DATA'!F292))</f>
        <v/>
      </c>
      <c r="G292" t="str">
        <f>IF(AND('ENTRY DATA'!G292=""),"",('ENTRY DATA'!G292))</f>
        <v/>
      </c>
      <c r="H292" s="12"/>
      <c r="I292" s="12"/>
      <c r="J292" s="66" t="str">
        <f>IF(AND('ENTRY DATA'!J292=""),"",('ENTRY DATA'!J292))</f>
        <v/>
      </c>
      <c r="K292" s="89" t="str">
        <f>IF(AND('ENTRY DATA'!K292=""),"",('ENTRY DATA'!K292))</f>
        <v/>
      </c>
      <c r="L292" s="89" t="str">
        <f>IF(AND('ENTRY DATA'!L292=""),"",('ENTRY DATA'!L292))</f>
        <v/>
      </c>
      <c r="M292" s="89" t="str">
        <f>IF(AND('ENTRY DATA'!M292=""),"",('ENTRY DATA'!M292))</f>
        <v/>
      </c>
      <c r="N292" s="67" t="str">
        <f>IF(AND('ENTRY DATA'!N292=""),"",('ENTRY DATA'!N292))</f>
        <v/>
      </c>
      <c r="O292" s="12"/>
      <c r="P292" s="66">
        <f>'SET 1 PLAYERS'!O292</f>
        <v>0</v>
      </c>
      <c r="Q292" s="67" t="str">
        <f>'SET 1 PLAYERS'!P292</f>
        <v/>
      </c>
      <c r="R292" s="14"/>
      <c r="S292" s="111" t="e">
        <f t="shared" si="8"/>
        <v>#VALUE!</v>
      </c>
      <c r="T292" s="112" t="e">
        <f t="shared" si="9"/>
        <v>#VALUE!</v>
      </c>
      <c r="U292" s="12"/>
      <c r="V292" s="95" t="str">
        <f>'SET 1 PLAYERS'!Q292</f>
        <v/>
      </c>
      <c r="W292" s="12"/>
    </row>
    <row r="293" spans="2:23" x14ac:dyDescent="0.25">
      <c r="B293" s="88" t="str">
        <f>'SET 1 PLAYERS'!G293</f>
        <v>CLASS 1</v>
      </c>
      <c r="C293" t="str">
        <f>IF(AND('ENTRY DATA'!C293=""),"",('ENTRY DATA'!C293))</f>
        <v/>
      </c>
      <c r="D293" t="str">
        <f>IF(AND('ENTRY DATA'!D293=""),"",('ENTRY DATA'!D293))</f>
        <v/>
      </c>
      <c r="E293" s="12"/>
      <c r="F293" t="str">
        <f>IF(AND('ENTRY DATA'!F293=""),"",('ENTRY DATA'!F293))</f>
        <v/>
      </c>
      <c r="G293" t="str">
        <f>IF(AND('ENTRY DATA'!G293=""),"",('ENTRY DATA'!G293))</f>
        <v/>
      </c>
      <c r="H293" s="12"/>
      <c r="I293" s="12"/>
      <c r="J293" s="66" t="str">
        <f>IF(AND('ENTRY DATA'!J293=""),"",('ENTRY DATA'!J293))</f>
        <v/>
      </c>
      <c r="K293" s="89" t="str">
        <f>IF(AND('ENTRY DATA'!K293=""),"",('ENTRY DATA'!K293))</f>
        <v/>
      </c>
      <c r="L293" s="89" t="str">
        <f>IF(AND('ENTRY DATA'!L293=""),"",('ENTRY DATA'!L293))</f>
        <v/>
      </c>
      <c r="M293" s="89" t="str">
        <f>IF(AND('ENTRY DATA'!M293=""),"",('ENTRY DATA'!M293))</f>
        <v/>
      </c>
      <c r="N293" s="67" t="str">
        <f>IF(AND('ENTRY DATA'!N293=""),"",('ENTRY DATA'!N293))</f>
        <v/>
      </c>
      <c r="O293" s="12"/>
      <c r="P293" s="66">
        <f>'SET 1 PLAYERS'!O293</f>
        <v>0</v>
      </c>
      <c r="Q293" s="67" t="str">
        <f>'SET 1 PLAYERS'!P293</f>
        <v/>
      </c>
      <c r="R293" s="14"/>
      <c r="S293" s="111" t="e">
        <f t="shared" si="8"/>
        <v>#VALUE!</v>
      </c>
      <c r="T293" s="112" t="e">
        <f t="shared" si="9"/>
        <v>#VALUE!</v>
      </c>
      <c r="U293" s="12"/>
      <c r="V293" s="95" t="str">
        <f>'SET 1 PLAYERS'!Q293</f>
        <v/>
      </c>
      <c r="W293" s="12"/>
    </row>
    <row r="294" spans="2:23" x14ac:dyDescent="0.25">
      <c r="B294" s="88" t="str">
        <f>'SET 1 PLAYERS'!G294</f>
        <v>CLASS 1</v>
      </c>
      <c r="C294" t="str">
        <f>IF(AND('ENTRY DATA'!C294=""),"",('ENTRY DATA'!C294))</f>
        <v/>
      </c>
      <c r="D294" t="str">
        <f>IF(AND('ENTRY DATA'!D294=""),"",('ENTRY DATA'!D294))</f>
        <v/>
      </c>
      <c r="E294" s="12"/>
      <c r="F294" t="str">
        <f>IF(AND('ENTRY DATA'!F294=""),"",('ENTRY DATA'!F294))</f>
        <v/>
      </c>
      <c r="G294" t="str">
        <f>IF(AND('ENTRY DATA'!G294=""),"",('ENTRY DATA'!G294))</f>
        <v/>
      </c>
      <c r="H294" s="12"/>
      <c r="I294" s="12"/>
      <c r="J294" s="66" t="str">
        <f>IF(AND('ENTRY DATA'!J294=""),"",('ENTRY DATA'!J294))</f>
        <v/>
      </c>
      <c r="K294" s="89" t="str">
        <f>IF(AND('ENTRY DATA'!K294=""),"",('ENTRY DATA'!K294))</f>
        <v/>
      </c>
      <c r="L294" s="89" t="str">
        <f>IF(AND('ENTRY DATA'!L294=""),"",('ENTRY DATA'!L294))</f>
        <v/>
      </c>
      <c r="M294" s="89" t="str">
        <f>IF(AND('ENTRY DATA'!M294=""),"",('ENTRY DATA'!M294))</f>
        <v/>
      </c>
      <c r="N294" s="67" t="str">
        <f>IF(AND('ENTRY DATA'!N294=""),"",('ENTRY DATA'!N294))</f>
        <v/>
      </c>
      <c r="O294" s="12"/>
      <c r="P294" s="66">
        <f>'SET 1 PLAYERS'!O294</f>
        <v>0</v>
      </c>
      <c r="Q294" s="67" t="str">
        <f>'SET 1 PLAYERS'!P294</f>
        <v/>
      </c>
      <c r="R294" s="14"/>
      <c r="S294" s="111" t="e">
        <f t="shared" si="8"/>
        <v>#VALUE!</v>
      </c>
      <c r="T294" s="112" t="e">
        <f t="shared" si="9"/>
        <v>#VALUE!</v>
      </c>
      <c r="U294" s="12"/>
      <c r="V294" s="95" t="str">
        <f>'SET 1 PLAYERS'!Q294</f>
        <v/>
      </c>
      <c r="W294" s="12"/>
    </row>
    <row r="295" spans="2:23" x14ac:dyDescent="0.25">
      <c r="B295" s="88" t="str">
        <f>'SET 1 PLAYERS'!G295</f>
        <v>CLASS 1</v>
      </c>
      <c r="C295" t="str">
        <f>IF(AND('ENTRY DATA'!C295=""),"",('ENTRY DATA'!C295))</f>
        <v/>
      </c>
      <c r="D295" t="str">
        <f>IF(AND('ENTRY DATA'!D295=""),"",('ENTRY DATA'!D295))</f>
        <v/>
      </c>
      <c r="E295" s="12"/>
      <c r="F295" t="str">
        <f>IF(AND('ENTRY DATA'!F295=""),"",('ENTRY DATA'!F295))</f>
        <v/>
      </c>
      <c r="G295" t="str">
        <f>IF(AND('ENTRY DATA'!G295=""),"",('ENTRY DATA'!G295))</f>
        <v/>
      </c>
      <c r="H295" s="12"/>
      <c r="I295" s="12"/>
      <c r="J295" s="66" t="str">
        <f>IF(AND('ENTRY DATA'!J295=""),"",('ENTRY DATA'!J295))</f>
        <v/>
      </c>
      <c r="K295" s="89" t="str">
        <f>IF(AND('ENTRY DATA'!K295=""),"",('ENTRY DATA'!K295))</f>
        <v/>
      </c>
      <c r="L295" s="89" t="str">
        <f>IF(AND('ENTRY DATA'!L295=""),"",('ENTRY DATA'!L295))</f>
        <v/>
      </c>
      <c r="M295" s="89" t="str">
        <f>IF(AND('ENTRY DATA'!M295=""),"",('ENTRY DATA'!M295))</f>
        <v/>
      </c>
      <c r="N295" s="67" t="str">
        <f>IF(AND('ENTRY DATA'!N295=""),"",('ENTRY DATA'!N295))</f>
        <v/>
      </c>
      <c r="O295" s="12"/>
      <c r="P295" s="66">
        <f>'SET 1 PLAYERS'!O295</f>
        <v>0</v>
      </c>
      <c r="Q295" s="67" t="str">
        <f>'SET 1 PLAYERS'!P295</f>
        <v/>
      </c>
      <c r="R295" s="14"/>
      <c r="S295" s="111" t="e">
        <f t="shared" si="8"/>
        <v>#VALUE!</v>
      </c>
      <c r="T295" s="112" t="e">
        <f t="shared" si="9"/>
        <v>#VALUE!</v>
      </c>
      <c r="U295" s="12"/>
      <c r="V295" s="95" t="str">
        <f>'SET 1 PLAYERS'!Q295</f>
        <v/>
      </c>
      <c r="W295" s="12"/>
    </row>
    <row r="296" spans="2:23" x14ac:dyDescent="0.25">
      <c r="B296" s="88" t="str">
        <f>'SET 1 PLAYERS'!G296</f>
        <v>CLASS 1</v>
      </c>
      <c r="C296" t="str">
        <f>IF(AND('ENTRY DATA'!C296=""),"",('ENTRY DATA'!C296))</f>
        <v/>
      </c>
      <c r="D296" t="str">
        <f>IF(AND('ENTRY DATA'!D296=""),"",('ENTRY DATA'!D296))</f>
        <v/>
      </c>
      <c r="E296" s="12"/>
      <c r="F296" t="str">
        <f>IF(AND('ENTRY DATA'!F296=""),"",('ENTRY DATA'!F296))</f>
        <v/>
      </c>
      <c r="G296" t="str">
        <f>IF(AND('ENTRY DATA'!G296=""),"",('ENTRY DATA'!G296))</f>
        <v/>
      </c>
      <c r="H296" s="12"/>
      <c r="I296" s="12"/>
      <c r="J296" s="66" t="str">
        <f>IF(AND('ENTRY DATA'!J296=""),"",('ENTRY DATA'!J296))</f>
        <v/>
      </c>
      <c r="K296" s="89" t="str">
        <f>IF(AND('ENTRY DATA'!K296=""),"",('ENTRY DATA'!K296))</f>
        <v/>
      </c>
      <c r="L296" s="89" t="str">
        <f>IF(AND('ENTRY DATA'!L296=""),"",('ENTRY DATA'!L296))</f>
        <v/>
      </c>
      <c r="M296" s="89" t="str">
        <f>IF(AND('ENTRY DATA'!M296=""),"",('ENTRY DATA'!M296))</f>
        <v/>
      </c>
      <c r="N296" s="67" t="str">
        <f>IF(AND('ENTRY DATA'!N296=""),"",('ENTRY DATA'!N296))</f>
        <v/>
      </c>
      <c r="O296" s="12"/>
      <c r="P296" s="66">
        <f>'SET 1 PLAYERS'!O296</f>
        <v>0</v>
      </c>
      <c r="Q296" s="67" t="str">
        <f>'SET 1 PLAYERS'!P296</f>
        <v/>
      </c>
      <c r="R296" s="14"/>
      <c r="S296" s="111" t="e">
        <f t="shared" si="8"/>
        <v>#VALUE!</v>
      </c>
      <c r="T296" s="112" t="e">
        <f t="shared" si="9"/>
        <v>#VALUE!</v>
      </c>
      <c r="U296" s="12"/>
      <c r="V296" s="95" t="str">
        <f>'SET 1 PLAYERS'!Q296</f>
        <v/>
      </c>
      <c r="W296" s="12"/>
    </row>
    <row r="297" spans="2:23" x14ac:dyDescent="0.25">
      <c r="B297" s="88" t="str">
        <f>'SET 1 PLAYERS'!G297</f>
        <v>CLASS 1</v>
      </c>
      <c r="C297" t="str">
        <f>IF(AND('ENTRY DATA'!C297=""),"",('ENTRY DATA'!C297))</f>
        <v/>
      </c>
      <c r="D297" t="str">
        <f>IF(AND('ENTRY DATA'!D297=""),"",('ENTRY DATA'!D297))</f>
        <v/>
      </c>
      <c r="E297" s="12"/>
      <c r="F297" t="str">
        <f>IF(AND('ENTRY DATA'!F297=""),"",('ENTRY DATA'!F297))</f>
        <v/>
      </c>
      <c r="G297" t="str">
        <f>IF(AND('ENTRY DATA'!G297=""),"",('ENTRY DATA'!G297))</f>
        <v/>
      </c>
      <c r="H297" s="12"/>
      <c r="I297" s="12"/>
      <c r="J297" s="66" t="str">
        <f>IF(AND('ENTRY DATA'!J297=""),"",('ENTRY DATA'!J297))</f>
        <v/>
      </c>
      <c r="K297" s="89" t="str">
        <f>IF(AND('ENTRY DATA'!K297=""),"",('ENTRY DATA'!K297))</f>
        <v/>
      </c>
      <c r="L297" s="89" t="str">
        <f>IF(AND('ENTRY DATA'!L297=""),"",('ENTRY DATA'!L297))</f>
        <v/>
      </c>
      <c r="M297" s="89" t="str">
        <f>IF(AND('ENTRY DATA'!M297=""),"",('ENTRY DATA'!M297))</f>
        <v/>
      </c>
      <c r="N297" s="67" t="str">
        <f>IF(AND('ENTRY DATA'!N297=""),"",('ENTRY DATA'!N297))</f>
        <v/>
      </c>
      <c r="O297" s="12"/>
      <c r="P297" s="66">
        <f>'SET 1 PLAYERS'!O297</f>
        <v>0</v>
      </c>
      <c r="Q297" s="67" t="str">
        <f>'SET 1 PLAYERS'!P297</f>
        <v/>
      </c>
      <c r="R297" s="14"/>
      <c r="S297" s="111" t="e">
        <f t="shared" si="8"/>
        <v>#VALUE!</v>
      </c>
      <c r="T297" s="112" t="e">
        <f t="shared" si="9"/>
        <v>#VALUE!</v>
      </c>
      <c r="U297" s="12"/>
      <c r="V297" s="95" t="str">
        <f>'SET 1 PLAYERS'!Q297</f>
        <v/>
      </c>
      <c r="W297" s="12"/>
    </row>
    <row r="298" spans="2:23" x14ac:dyDescent="0.25">
      <c r="B298" s="88" t="str">
        <f>'SET 1 PLAYERS'!G298</f>
        <v>CLASS 1</v>
      </c>
      <c r="C298" t="str">
        <f>IF(AND('ENTRY DATA'!C298=""),"",('ENTRY DATA'!C298))</f>
        <v/>
      </c>
      <c r="D298" t="str">
        <f>IF(AND('ENTRY DATA'!D298=""),"",('ENTRY DATA'!D298))</f>
        <v/>
      </c>
      <c r="E298" s="12"/>
      <c r="F298" t="str">
        <f>IF(AND('ENTRY DATA'!F298=""),"",('ENTRY DATA'!F298))</f>
        <v/>
      </c>
      <c r="G298" t="str">
        <f>IF(AND('ENTRY DATA'!G298=""),"",('ENTRY DATA'!G298))</f>
        <v/>
      </c>
      <c r="H298" s="12"/>
      <c r="I298" s="12"/>
      <c r="J298" s="66" t="str">
        <f>IF(AND('ENTRY DATA'!J298=""),"",('ENTRY DATA'!J298))</f>
        <v/>
      </c>
      <c r="K298" s="89" t="str">
        <f>IF(AND('ENTRY DATA'!K298=""),"",('ENTRY DATA'!K298))</f>
        <v/>
      </c>
      <c r="L298" s="89" t="str">
        <f>IF(AND('ENTRY DATA'!L298=""),"",('ENTRY DATA'!L298))</f>
        <v/>
      </c>
      <c r="M298" s="89" t="str">
        <f>IF(AND('ENTRY DATA'!M298=""),"",('ENTRY DATA'!M298))</f>
        <v/>
      </c>
      <c r="N298" s="67" t="str">
        <f>IF(AND('ENTRY DATA'!N298=""),"",('ENTRY DATA'!N298))</f>
        <v/>
      </c>
      <c r="O298" s="12"/>
      <c r="P298" s="66">
        <f>'SET 1 PLAYERS'!O298</f>
        <v>0</v>
      </c>
      <c r="Q298" s="67" t="str">
        <f>'SET 1 PLAYERS'!P298</f>
        <v/>
      </c>
      <c r="R298" s="14"/>
      <c r="S298" s="111" t="e">
        <f t="shared" si="8"/>
        <v>#VALUE!</v>
      </c>
      <c r="T298" s="112" t="e">
        <f t="shared" si="9"/>
        <v>#VALUE!</v>
      </c>
      <c r="U298" s="12"/>
      <c r="V298" s="95" t="str">
        <f>'SET 1 PLAYERS'!Q298</f>
        <v/>
      </c>
      <c r="W298" s="12"/>
    </row>
    <row r="299" spans="2:23" x14ac:dyDescent="0.25">
      <c r="B299" s="88" t="str">
        <f>'SET 1 PLAYERS'!G299</f>
        <v>CLASS 1</v>
      </c>
      <c r="C299" t="str">
        <f>IF(AND('ENTRY DATA'!C299=""),"",('ENTRY DATA'!C299))</f>
        <v/>
      </c>
      <c r="D299" t="str">
        <f>IF(AND('ENTRY DATA'!D299=""),"",('ENTRY DATA'!D299))</f>
        <v/>
      </c>
      <c r="E299" s="12"/>
      <c r="F299" t="str">
        <f>IF(AND('ENTRY DATA'!F299=""),"",('ENTRY DATA'!F299))</f>
        <v/>
      </c>
      <c r="G299" t="str">
        <f>IF(AND('ENTRY DATA'!G299=""),"",('ENTRY DATA'!G299))</f>
        <v/>
      </c>
      <c r="H299" s="12"/>
      <c r="I299" s="12"/>
      <c r="J299" s="66" t="str">
        <f>IF(AND('ENTRY DATA'!J299=""),"",('ENTRY DATA'!J299))</f>
        <v/>
      </c>
      <c r="K299" s="89" t="str">
        <f>IF(AND('ENTRY DATA'!K299=""),"",('ENTRY DATA'!K299))</f>
        <v/>
      </c>
      <c r="L299" s="89" t="str">
        <f>IF(AND('ENTRY DATA'!L299=""),"",('ENTRY DATA'!L299))</f>
        <v/>
      </c>
      <c r="M299" s="89" t="str">
        <f>IF(AND('ENTRY DATA'!M299=""),"",('ENTRY DATA'!M299))</f>
        <v/>
      </c>
      <c r="N299" s="67" t="str">
        <f>IF(AND('ENTRY DATA'!N299=""),"",('ENTRY DATA'!N299))</f>
        <v/>
      </c>
      <c r="O299" s="12"/>
      <c r="P299" s="66">
        <f>'SET 1 PLAYERS'!O299</f>
        <v>0</v>
      </c>
      <c r="Q299" s="67" t="str">
        <f>'SET 1 PLAYERS'!P299</f>
        <v/>
      </c>
      <c r="R299" s="14"/>
      <c r="S299" s="111" t="e">
        <f t="shared" si="8"/>
        <v>#VALUE!</v>
      </c>
      <c r="T299" s="112" t="e">
        <f t="shared" si="9"/>
        <v>#VALUE!</v>
      </c>
      <c r="U299" s="12"/>
      <c r="V299" s="95" t="str">
        <f>'SET 1 PLAYERS'!Q299</f>
        <v/>
      </c>
      <c r="W299" s="12"/>
    </row>
    <row r="300" spans="2:23" ht="15.75" thickBot="1" x14ac:dyDescent="0.3">
      <c r="B300" s="88" t="str">
        <f>'SET 1 PLAYERS'!G300</f>
        <v>CLASS 1</v>
      </c>
      <c r="C300" t="str">
        <f>IF(AND('ENTRY DATA'!C300=""),"",('ENTRY DATA'!C300))</f>
        <v/>
      </c>
      <c r="D300" t="str">
        <f>IF(AND('ENTRY DATA'!D300=""),"",('ENTRY DATA'!D300))</f>
        <v/>
      </c>
      <c r="E300" s="12"/>
      <c r="F300" t="str">
        <f>IF(AND('ENTRY DATA'!F300=""),"",('ENTRY DATA'!F300))</f>
        <v/>
      </c>
      <c r="G300" t="str">
        <f>IF(AND('ENTRY DATA'!G300=""),"",('ENTRY DATA'!G300))</f>
        <v/>
      </c>
      <c r="H300" s="12"/>
      <c r="I300" s="12"/>
      <c r="J300" s="68" t="str">
        <f>IF(AND('ENTRY DATA'!J300=""),"",('ENTRY DATA'!J300))</f>
        <v/>
      </c>
      <c r="K300" s="98" t="str">
        <f>IF(AND('ENTRY DATA'!K300=""),"",('ENTRY DATA'!K300))</f>
        <v/>
      </c>
      <c r="L300" s="98" t="str">
        <f>IF(AND('ENTRY DATA'!L300=""),"",('ENTRY DATA'!L300))</f>
        <v/>
      </c>
      <c r="M300" s="98" t="str">
        <f>IF(AND('ENTRY DATA'!M300=""),"",('ENTRY DATA'!M300))</f>
        <v/>
      </c>
      <c r="N300" s="69" t="str">
        <f>IF(AND('ENTRY DATA'!N300=""),"",('ENTRY DATA'!N300))</f>
        <v/>
      </c>
      <c r="O300" s="12"/>
      <c r="P300" s="68">
        <f>'SET 1 PLAYERS'!O300</f>
        <v>0</v>
      </c>
      <c r="Q300" s="69" t="str">
        <f>'SET 1 PLAYERS'!P300</f>
        <v/>
      </c>
      <c r="R300" s="14"/>
      <c r="S300" s="113" t="e">
        <f t="shared" si="8"/>
        <v>#VALUE!</v>
      </c>
      <c r="T300" s="114" t="e">
        <f t="shared" si="9"/>
        <v>#VALUE!</v>
      </c>
      <c r="U300" s="12"/>
      <c r="V300" s="96" t="str">
        <f>'SET 1 PLAYERS'!Q300</f>
        <v/>
      </c>
      <c r="W300" s="12"/>
    </row>
    <row r="301" spans="2:23" x14ac:dyDescent="0.25">
      <c r="B301" s="99" t="str">
        <f>'SET 2 PLAYERS'!G5</f>
        <v>CLASS 2</v>
      </c>
      <c r="C301" s="100" t="str">
        <f>IF(AND('ROSTER UPDATE'!B5=""),"",('ROSTER UPDATE'!B5))</f>
        <v/>
      </c>
      <c r="D301" s="101" t="str">
        <f>IF(AND('ROSTER UPDATE'!E5=""),"",('ROSTER UPDATE'!E5))</f>
        <v/>
      </c>
      <c r="E301" s="12"/>
      <c r="F301" s="100" t="str">
        <f>IF(AND('ROSTER UPDATE'!F5=""),"",('ROSTER UPDATE'!F5))</f>
        <v/>
      </c>
      <c r="G301" s="101" t="str">
        <f>IF(AND('ROSTER UPDATE'!C5=""),"",('ROSTER UPDATE'!C5))</f>
        <v/>
      </c>
      <c r="H301" s="12"/>
      <c r="I301" s="12"/>
      <c r="O301" s="12"/>
      <c r="P301" s="100">
        <f>'SET 2 PLAYERS'!O5</f>
        <v>3</v>
      </c>
      <c r="Q301" s="101">
        <f>'SET 2 PLAYERS'!P5</f>
        <v>1</v>
      </c>
      <c r="R301" s="14"/>
      <c r="S301" s="115">
        <f>V301/P301</f>
        <v>6.333333333333333</v>
      </c>
      <c r="T301" s="116">
        <f>V301/Q301</f>
        <v>19</v>
      </c>
      <c r="U301" s="12"/>
      <c r="V301" s="106">
        <f>'SET 2 PLAYERS'!Q5</f>
        <v>19</v>
      </c>
      <c r="W301" s="12"/>
    </row>
    <row r="302" spans="2:23" x14ac:dyDescent="0.25">
      <c r="B302" s="99" t="str">
        <f>'SET 2 PLAYERS'!G6</f>
        <v>CLASS 2</v>
      </c>
      <c r="C302" s="102" t="str">
        <f>IF(AND('ROSTER UPDATE'!B6=""),"",('ROSTER UPDATE'!B6))</f>
        <v/>
      </c>
      <c r="D302" s="103" t="str">
        <f>IF(AND('ROSTER UPDATE'!E6=""),"",('ROSTER UPDATE'!E6))</f>
        <v/>
      </c>
      <c r="E302" s="12"/>
      <c r="F302" s="102" t="str">
        <f>IF(AND('ROSTER UPDATE'!F6=""),"",('ROSTER UPDATE'!F6))</f>
        <v/>
      </c>
      <c r="G302" s="103" t="str">
        <f>IF(AND('ROSTER UPDATE'!C6=""),"",('ROSTER UPDATE'!C6))</f>
        <v/>
      </c>
      <c r="H302" s="12"/>
      <c r="I302" s="12"/>
      <c r="O302" s="12"/>
      <c r="P302" s="102">
        <f>'SET 2 PLAYERS'!O6</f>
        <v>0</v>
      </c>
      <c r="Q302" s="103">
        <f>'SET 2 PLAYERS'!P6</f>
        <v>0</v>
      </c>
      <c r="R302" s="14"/>
      <c r="S302" s="115" t="e">
        <f t="shared" ref="S302:S365" si="10">V302/P302</f>
        <v>#VALUE!</v>
      </c>
      <c r="T302" s="116" t="e">
        <f t="shared" ref="T302:T365" si="11">V302/Q302</f>
        <v>#VALUE!</v>
      </c>
      <c r="U302" s="12"/>
      <c r="V302" s="107" t="str">
        <f>'SET 2 PLAYERS'!Q6</f>
        <v/>
      </c>
      <c r="W302" s="12"/>
    </row>
    <row r="303" spans="2:23" x14ac:dyDescent="0.25">
      <c r="B303" s="99" t="str">
        <f>'SET 2 PLAYERS'!G7</f>
        <v>CLASS 2</v>
      </c>
      <c r="C303" s="102" t="str">
        <f>IF(AND('ROSTER UPDATE'!B7=""),"",('ROSTER UPDATE'!B7))</f>
        <v/>
      </c>
      <c r="D303" s="103" t="str">
        <f>IF(AND('ROSTER UPDATE'!E7=""),"",('ROSTER UPDATE'!E7))</f>
        <v/>
      </c>
      <c r="E303" s="12"/>
      <c r="F303" s="102" t="str">
        <f>IF(AND('ROSTER UPDATE'!F7=""),"",('ROSTER UPDATE'!F7))</f>
        <v/>
      </c>
      <c r="G303" s="103" t="str">
        <f>IF(AND('ROSTER UPDATE'!C7=""),"",('ROSTER UPDATE'!C7))</f>
        <v/>
      </c>
      <c r="H303" s="12"/>
      <c r="I303" s="12"/>
      <c r="O303" s="12"/>
      <c r="P303" s="102">
        <f>'SET 2 PLAYERS'!O7</f>
        <v>0</v>
      </c>
      <c r="Q303" s="103">
        <f>'SET 2 PLAYERS'!P7</f>
        <v>0</v>
      </c>
      <c r="R303" s="14"/>
      <c r="S303" s="115" t="e">
        <f t="shared" si="10"/>
        <v>#VALUE!</v>
      </c>
      <c r="T303" s="116" t="e">
        <f t="shared" si="11"/>
        <v>#VALUE!</v>
      </c>
      <c r="U303" s="12"/>
      <c r="V303" s="107" t="str">
        <f>'SET 2 PLAYERS'!Q7</f>
        <v/>
      </c>
      <c r="W303" s="12"/>
    </row>
    <row r="304" spans="2:23" x14ac:dyDescent="0.25">
      <c r="B304" s="99" t="str">
        <f>'SET 2 PLAYERS'!G8</f>
        <v>CLASS 2</v>
      </c>
      <c r="C304" s="102" t="str">
        <f>IF(AND('ROSTER UPDATE'!B8=""),"",('ROSTER UPDATE'!B8))</f>
        <v/>
      </c>
      <c r="D304" s="103" t="str">
        <f>IF(AND('ROSTER UPDATE'!E8=""),"",('ROSTER UPDATE'!E8))</f>
        <v/>
      </c>
      <c r="E304" s="12"/>
      <c r="F304" s="102" t="str">
        <f>IF(AND('ROSTER UPDATE'!F8=""),"",('ROSTER UPDATE'!F8))</f>
        <v/>
      </c>
      <c r="G304" s="103" t="str">
        <f>IF(AND('ROSTER UPDATE'!C8=""),"",('ROSTER UPDATE'!C8))</f>
        <v/>
      </c>
      <c r="H304" s="12"/>
      <c r="I304" s="12"/>
      <c r="O304" s="12"/>
      <c r="P304" s="102">
        <f>'SET 2 PLAYERS'!O8</f>
        <v>0</v>
      </c>
      <c r="Q304" s="103">
        <f>'SET 2 PLAYERS'!P8</f>
        <v>0</v>
      </c>
      <c r="R304" s="14"/>
      <c r="S304" s="115" t="e">
        <f t="shared" si="10"/>
        <v>#VALUE!</v>
      </c>
      <c r="T304" s="116" t="e">
        <f t="shared" si="11"/>
        <v>#VALUE!</v>
      </c>
      <c r="U304" s="12"/>
      <c r="V304" s="107" t="str">
        <f>'SET 2 PLAYERS'!Q8</f>
        <v/>
      </c>
      <c r="W304" s="12"/>
    </row>
    <row r="305" spans="2:23" x14ac:dyDescent="0.25">
      <c r="B305" s="99" t="str">
        <f>'SET 2 PLAYERS'!G9</f>
        <v>CLASS 2</v>
      </c>
      <c r="C305" s="102" t="str">
        <f>IF(AND('ROSTER UPDATE'!B9=""),"",('ROSTER UPDATE'!B9))</f>
        <v/>
      </c>
      <c r="D305" s="103" t="str">
        <f>IF(AND('ROSTER UPDATE'!E9=""),"",('ROSTER UPDATE'!E9))</f>
        <v/>
      </c>
      <c r="E305" s="12"/>
      <c r="F305" s="102" t="str">
        <f>IF(AND('ROSTER UPDATE'!F9=""),"",('ROSTER UPDATE'!F9))</f>
        <v/>
      </c>
      <c r="G305" s="103" t="str">
        <f>IF(AND('ROSTER UPDATE'!C9=""),"",('ROSTER UPDATE'!C9))</f>
        <v/>
      </c>
      <c r="H305" s="12"/>
      <c r="I305" s="12"/>
      <c r="O305" s="12"/>
      <c r="P305" s="102">
        <f>'SET 2 PLAYERS'!O9</f>
        <v>0</v>
      </c>
      <c r="Q305" s="103">
        <f>'SET 2 PLAYERS'!P9</f>
        <v>0</v>
      </c>
      <c r="R305" s="14"/>
      <c r="S305" s="115" t="e">
        <f t="shared" si="10"/>
        <v>#VALUE!</v>
      </c>
      <c r="T305" s="116" t="e">
        <f t="shared" si="11"/>
        <v>#VALUE!</v>
      </c>
      <c r="U305" s="12"/>
      <c r="V305" s="107" t="str">
        <f>'SET 2 PLAYERS'!Q9</f>
        <v/>
      </c>
      <c r="W305" s="12"/>
    </row>
    <row r="306" spans="2:23" x14ac:dyDescent="0.25">
      <c r="B306" s="99" t="str">
        <f>'SET 2 PLAYERS'!G10</f>
        <v>CLASS 2</v>
      </c>
      <c r="C306" s="102" t="str">
        <f>IF(AND('ROSTER UPDATE'!B10=""),"",('ROSTER UPDATE'!B10))</f>
        <v/>
      </c>
      <c r="D306" s="103" t="str">
        <f>IF(AND('ROSTER UPDATE'!E10=""),"",('ROSTER UPDATE'!E10))</f>
        <v/>
      </c>
      <c r="E306" s="12"/>
      <c r="F306" s="102" t="str">
        <f>IF(AND('ROSTER UPDATE'!F10=""),"",('ROSTER UPDATE'!F10))</f>
        <v/>
      </c>
      <c r="G306" s="103" t="str">
        <f>IF(AND('ROSTER UPDATE'!C10=""),"",('ROSTER UPDATE'!C10))</f>
        <v/>
      </c>
      <c r="H306" s="12"/>
      <c r="I306" s="12"/>
      <c r="O306" s="12"/>
      <c r="P306" s="102">
        <f>'SET 2 PLAYERS'!O10</f>
        <v>0</v>
      </c>
      <c r="Q306" s="103">
        <f>'SET 2 PLAYERS'!P10</f>
        <v>0</v>
      </c>
      <c r="R306" s="14"/>
      <c r="S306" s="115" t="e">
        <f t="shared" si="10"/>
        <v>#VALUE!</v>
      </c>
      <c r="T306" s="116" t="e">
        <f t="shared" si="11"/>
        <v>#VALUE!</v>
      </c>
      <c r="U306" s="12"/>
      <c r="V306" s="107" t="str">
        <f>'SET 2 PLAYERS'!Q10</f>
        <v/>
      </c>
      <c r="W306" s="12"/>
    </row>
    <row r="307" spans="2:23" x14ac:dyDescent="0.25">
      <c r="B307" s="99" t="str">
        <f>'SET 2 PLAYERS'!G11</f>
        <v>CLASS 2</v>
      </c>
      <c r="C307" s="102" t="str">
        <f>IF(AND('ROSTER UPDATE'!B11=""),"",('ROSTER UPDATE'!B11))</f>
        <v/>
      </c>
      <c r="D307" s="103" t="str">
        <f>IF(AND('ROSTER UPDATE'!E11=""),"",('ROSTER UPDATE'!E11))</f>
        <v/>
      </c>
      <c r="E307" s="12"/>
      <c r="F307" s="102" t="str">
        <f>IF(AND('ROSTER UPDATE'!F11=""),"",('ROSTER UPDATE'!F11))</f>
        <v/>
      </c>
      <c r="G307" s="103" t="str">
        <f>IF(AND('ROSTER UPDATE'!C11=""),"",('ROSTER UPDATE'!C11))</f>
        <v/>
      </c>
      <c r="H307" s="12"/>
      <c r="I307" s="12"/>
      <c r="O307" s="12"/>
      <c r="P307" s="102">
        <f>'SET 2 PLAYERS'!O11</f>
        <v>0</v>
      </c>
      <c r="Q307" s="103">
        <f>'SET 2 PLAYERS'!P11</f>
        <v>0</v>
      </c>
      <c r="R307" s="14"/>
      <c r="S307" s="115" t="e">
        <f t="shared" si="10"/>
        <v>#VALUE!</v>
      </c>
      <c r="T307" s="116" t="e">
        <f t="shared" si="11"/>
        <v>#VALUE!</v>
      </c>
      <c r="U307" s="12"/>
      <c r="V307" s="107" t="str">
        <f>'SET 2 PLAYERS'!Q11</f>
        <v/>
      </c>
      <c r="W307" s="12"/>
    </row>
    <row r="308" spans="2:23" x14ac:dyDescent="0.25">
      <c r="B308" s="99" t="str">
        <f>'SET 2 PLAYERS'!G12</f>
        <v>CLASS 2</v>
      </c>
      <c r="C308" s="102" t="str">
        <f>IF(AND('ROSTER UPDATE'!B12=""),"",('ROSTER UPDATE'!B12))</f>
        <v/>
      </c>
      <c r="D308" s="103" t="str">
        <f>IF(AND('ROSTER UPDATE'!E12=""),"",('ROSTER UPDATE'!E12))</f>
        <v/>
      </c>
      <c r="E308" s="12"/>
      <c r="F308" s="102" t="str">
        <f>IF(AND('ROSTER UPDATE'!F12=""),"",('ROSTER UPDATE'!F12))</f>
        <v/>
      </c>
      <c r="G308" s="103" t="str">
        <f>IF(AND('ROSTER UPDATE'!C12=""),"",('ROSTER UPDATE'!C12))</f>
        <v/>
      </c>
      <c r="H308" s="12"/>
      <c r="I308" s="12"/>
      <c r="O308" s="12"/>
      <c r="P308" s="102">
        <f>'SET 2 PLAYERS'!O12</f>
        <v>0</v>
      </c>
      <c r="Q308" s="103">
        <f>'SET 2 PLAYERS'!P12</f>
        <v>0</v>
      </c>
      <c r="R308" s="14"/>
      <c r="S308" s="115" t="e">
        <f t="shared" si="10"/>
        <v>#VALUE!</v>
      </c>
      <c r="T308" s="116" t="e">
        <f t="shared" si="11"/>
        <v>#VALUE!</v>
      </c>
      <c r="U308" s="12"/>
      <c r="V308" s="107" t="str">
        <f>'SET 2 PLAYERS'!Q12</f>
        <v/>
      </c>
      <c r="W308" s="12"/>
    </row>
    <row r="309" spans="2:23" x14ac:dyDescent="0.25">
      <c r="B309" s="99" t="str">
        <f>'SET 2 PLAYERS'!G13</f>
        <v>CLASS 2</v>
      </c>
      <c r="C309" s="102" t="str">
        <f>IF(AND('ROSTER UPDATE'!B13=""),"",('ROSTER UPDATE'!B13))</f>
        <v/>
      </c>
      <c r="D309" s="103" t="str">
        <f>IF(AND('ROSTER UPDATE'!E13=""),"",('ROSTER UPDATE'!E13))</f>
        <v/>
      </c>
      <c r="E309" s="12"/>
      <c r="F309" s="102" t="str">
        <f>IF(AND('ROSTER UPDATE'!F13=""),"",('ROSTER UPDATE'!F13))</f>
        <v/>
      </c>
      <c r="G309" s="103" t="str">
        <f>IF(AND('ROSTER UPDATE'!C13=""),"",('ROSTER UPDATE'!C13))</f>
        <v/>
      </c>
      <c r="H309" s="12"/>
      <c r="I309" s="12"/>
      <c r="O309" s="12"/>
      <c r="P309" s="102">
        <f>'SET 2 PLAYERS'!O13</f>
        <v>0</v>
      </c>
      <c r="Q309" s="103">
        <f>'SET 2 PLAYERS'!P13</f>
        <v>0</v>
      </c>
      <c r="R309" s="14"/>
      <c r="S309" s="115" t="e">
        <f t="shared" si="10"/>
        <v>#VALUE!</v>
      </c>
      <c r="T309" s="116" t="e">
        <f t="shared" si="11"/>
        <v>#VALUE!</v>
      </c>
      <c r="U309" s="12"/>
      <c r="V309" s="107" t="str">
        <f>'SET 2 PLAYERS'!Q13</f>
        <v/>
      </c>
      <c r="W309" s="12"/>
    </row>
    <row r="310" spans="2:23" x14ac:dyDescent="0.25">
      <c r="B310" s="99" t="str">
        <f>'SET 2 PLAYERS'!G14</f>
        <v>CLASS 2</v>
      </c>
      <c r="C310" s="102" t="str">
        <f>IF(AND('ROSTER UPDATE'!B14=""),"",('ROSTER UPDATE'!B14))</f>
        <v/>
      </c>
      <c r="D310" s="103" t="str">
        <f>IF(AND('ROSTER UPDATE'!E14=""),"",('ROSTER UPDATE'!E14))</f>
        <v/>
      </c>
      <c r="E310" s="12"/>
      <c r="F310" s="102" t="str">
        <f>IF(AND('ROSTER UPDATE'!F14=""),"",('ROSTER UPDATE'!F14))</f>
        <v/>
      </c>
      <c r="G310" s="103" t="str">
        <f>IF(AND('ROSTER UPDATE'!C14=""),"",('ROSTER UPDATE'!C14))</f>
        <v/>
      </c>
      <c r="H310" s="12"/>
      <c r="I310" s="12"/>
      <c r="O310" s="12"/>
      <c r="P310" s="102">
        <f>'SET 2 PLAYERS'!O14</f>
        <v>0</v>
      </c>
      <c r="Q310" s="103">
        <f>'SET 2 PLAYERS'!P14</f>
        <v>0</v>
      </c>
      <c r="R310" s="14"/>
      <c r="S310" s="115" t="e">
        <f t="shared" si="10"/>
        <v>#VALUE!</v>
      </c>
      <c r="T310" s="116" t="e">
        <f t="shared" si="11"/>
        <v>#VALUE!</v>
      </c>
      <c r="U310" s="12"/>
      <c r="V310" s="107" t="str">
        <f>'SET 2 PLAYERS'!Q14</f>
        <v/>
      </c>
      <c r="W310" s="12"/>
    </row>
    <row r="311" spans="2:23" x14ac:dyDescent="0.25">
      <c r="B311" s="99" t="str">
        <f>'SET 2 PLAYERS'!G15</f>
        <v>CLASS 2</v>
      </c>
      <c r="C311" s="102" t="str">
        <f>IF(AND('ROSTER UPDATE'!B15=""),"",('ROSTER UPDATE'!B15))</f>
        <v/>
      </c>
      <c r="D311" s="103" t="str">
        <f>IF(AND('ROSTER UPDATE'!E15=""),"",('ROSTER UPDATE'!E15))</f>
        <v/>
      </c>
      <c r="E311" s="12"/>
      <c r="F311" s="102" t="str">
        <f>IF(AND('ROSTER UPDATE'!F15=""),"",('ROSTER UPDATE'!F15))</f>
        <v/>
      </c>
      <c r="G311" s="103" t="str">
        <f>IF(AND('ROSTER UPDATE'!C15=""),"",('ROSTER UPDATE'!C15))</f>
        <v/>
      </c>
      <c r="H311" s="12"/>
      <c r="I311" s="12"/>
      <c r="O311" s="12"/>
      <c r="P311" s="102">
        <f>'SET 2 PLAYERS'!O15</f>
        <v>0</v>
      </c>
      <c r="Q311" s="103">
        <f>'SET 2 PLAYERS'!P15</f>
        <v>0</v>
      </c>
      <c r="R311" s="14"/>
      <c r="S311" s="115" t="e">
        <f t="shared" si="10"/>
        <v>#VALUE!</v>
      </c>
      <c r="T311" s="116" t="e">
        <f t="shared" si="11"/>
        <v>#VALUE!</v>
      </c>
      <c r="U311" s="12"/>
      <c r="V311" s="107" t="str">
        <f>'SET 2 PLAYERS'!Q15</f>
        <v/>
      </c>
      <c r="W311" s="12"/>
    </row>
    <row r="312" spans="2:23" x14ac:dyDescent="0.25">
      <c r="B312" s="99" t="str">
        <f>'SET 2 PLAYERS'!G16</f>
        <v>CLASS 2</v>
      </c>
      <c r="C312" s="102" t="str">
        <f>IF(AND('ROSTER UPDATE'!B16=""),"",('ROSTER UPDATE'!B16))</f>
        <v/>
      </c>
      <c r="D312" s="103" t="str">
        <f>IF(AND('ROSTER UPDATE'!E16=""),"",('ROSTER UPDATE'!E16))</f>
        <v/>
      </c>
      <c r="E312" s="12"/>
      <c r="F312" s="102" t="str">
        <f>IF(AND('ROSTER UPDATE'!F16=""),"",('ROSTER UPDATE'!F16))</f>
        <v/>
      </c>
      <c r="G312" s="103" t="str">
        <f>IF(AND('ROSTER UPDATE'!C16=""),"",('ROSTER UPDATE'!C16))</f>
        <v/>
      </c>
      <c r="H312" s="12"/>
      <c r="I312" s="12"/>
      <c r="O312" s="12"/>
      <c r="P312" s="102">
        <f>'SET 2 PLAYERS'!O16</f>
        <v>0</v>
      </c>
      <c r="Q312" s="103">
        <f>'SET 2 PLAYERS'!P16</f>
        <v>0</v>
      </c>
      <c r="R312" s="14"/>
      <c r="S312" s="115" t="e">
        <f t="shared" si="10"/>
        <v>#VALUE!</v>
      </c>
      <c r="T312" s="116" t="e">
        <f t="shared" si="11"/>
        <v>#VALUE!</v>
      </c>
      <c r="U312" s="12"/>
      <c r="V312" s="107" t="str">
        <f>'SET 2 PLAYERS'!Q16</f>
        <v/>
      </c>
      <c r="W312" s="12"/>
    </row>
    <row r="313" spans="2:23" x14ac:dyDescent="0.25">
      <c r="B313" s="99" t="str">
        <f>'SET 2 PLAYERS'!G17</f>
        <v>CLASS 2</v>
      </c>
      <c r="C313" s="102" t="str">
        <f>IF(AND('ROSTER UPDATE'!B17=""),"",('ROSTER UPDATE'!B17))</f>
        <v/>
      </c>
      <c r="D313" s="103" t="str">
        <f>IF(AND('ROSTER UPDATE'!E17=""),"",('ROSTER UPDATE'!E17))</f>
        <v/>
      </c>
      <c r="E313" s="12"/>
      <c r="F313" s="102" t="str">
        <f>IF(AND('ROSTER UPDATE'!F17=""),"",('ROSTER UPDATE'!F17))</f>
        <v/>
      </c>
      <c r="G313" s="103" t="str">
        <f>IF(AND('ROSTER UPDATE'!C17=""),"",('ROSTER UPDATE'!C17))</f>
        <v/>
      </c>
      <c r="H313" s="12"/>
      <c r="I313" s="12"/>
      <c r="O313" s="12"/>
      <c r="P313" s="102">
        <f>'SET 2 PLAYERS'!O17</f>
        <v>0</v>
      </c>
      <c r="Q313" s="103">
        <f>'SET 2 PLAYERS'!P17</f>
        <v>0</v>
      </c>
      <c r="R313" s="14"/>
      <c r="S313" s="115" t="e">
        <f t="shared" si="10"/>
        <v>#VALUE!</v>
      </c>
      <c r="T313" s="116" t="e">
        <f t="shared" si="11"/>
        <v>#VALUE!</v>
      </c>
      <c r="U313" s="12"/>
      <c r="V313" s="107" t="str">
        <f>'SET 2 PLAYERS'!Q17</f>
        <v/>
      </c>
      <c r="W313" s="12"/>
    </row>
    <row r="314" spans="2:23" x14ac:dyDescent="0.25">
      <c r="B314" s="99" t="str">
        <f>'SET 2 PLAYERS'!G18</f>
        <v>CLASS 2</v>
      </c>
      <c r="C314" s="102" t="str">
        <f>IF(AND('ROSTER UPDATE'!B18=""),"",('ROSTER UPDATE'!B18))</f>
        <v/>
      </c>
      <c r="D314" s="103" t="str">
        <f>IF(AND('ROSTER UPDATE'!E18=""),"",('ROSTER UPDATE'!E18))</f>
        <v/>
      </c>
      <c r="E314" s="12"/>
      <c r="F314" s="102" t="str">
        <f>IF(AND('ROSTER UPDATE'!F18=""),"",('ROSTER UPDATE'!F18))</f>
        <v/>
      </c>
      <c r="G314" s="103" t="str">
        <f>IF(AND('ROSTER UPDATE'!C18=""),"",('ROSTER UPDATE'!C18))</f>
        <v/>
      </c>
      <c r="H314" s="12"/>
      <c r="I314" s="12"/>
      <c r="O314" s="12"/>
      <c r="P314" s="102">
        <f>'SET 2 PLAYERS'!O18</f>
        <v>0</v>
      </c>
      <c r="Q314" s="103">
        <f>'SET 2 PLAYERS'!P18</f>
        <v>0</v>
      </c>
      <c r="R314" s="14"/>
      <c r="S314" s="115" t="e">
        <f t="shared" si="10"/>
        <v>#VALUE!</v>
      </c>
      <c r="T314" s="116" t="e">
        <f t="shared" si="11"/>
        <v>#VALUE!</v>
      </c>
      <c r="U314" s="12"/>
      <c r="V314" s="107" t="str">
        <f>'SET 2 PLAYERS'!Q18</f>
        <v/>
      </c>
      <c r="W314" s="12"/>
    </row>
    <row r="315" spans="2:23" x14ac:dyDescent="0.25">
      <c r="B315" s="99" t="str">
        <f>'SET 2 PLAYERS'!G19</f>
        <v>CLASS 2</v>
      </c>
      <c r="C315" s="102" t="str">
        <f>IF(AND('ROSTER UPDATE'!B19=""),"",('ROSTER UPDATE'!B19))</f>
        <v/>
      </c>
      <c r="D315" s="103" t="str">
        <f>IF(AND('ROSTER UPDATE'!E19=""),"",('ROSTER UPDATE'!E19))</f>
        <v/>
      </c>
      <c r="E315" s="12"/>
      <c r="F315" s="102" t="str">
        <f>IF(AND('ROSTER UPDATE'!F19=""),"",('ROSTER UPDATE'!F19))</f>
        <v/>
      </c>
      <c r="G315" s="103" t="str">
        <f>IF(AND('ROSTER UPDATE'!C19=""),"",('ROSTER UPDATE'!C19))</f>
        <v/>
      </c>
      <c r="H315" s="12"/>
      <c r="I315" s="12"/>
      <c r="O315" s="12"/>
      <c r="P315" s="102">
        <f>'SET 2 PLAYERS'!O19</f>
        <v>0</v>
      </c>
      <c r="Q315" s="103">
        <f>'SET 2 PLAYERS'!P19</f>
        <v>0</v>
      </c>
      <c r="R315" s="14"/>
      <c r="S315" s="115" t="e">
        <f t="shared" si="10"/>
        <v>#VALUE!</v>
      </c>
      <c r="T315" s="116" t="e">
        <f t="shared" si="11"/>
        <v>#VALUE!</v>
      </c>
      <c r="U315" s="12"/>
      <c r="V315" s="107" t="str">
        <f>'SET 2 PLAYERS'!Q19</f>
        <v/>
      </c>
      <c r="W315" s="12"/>
    </row>
    <row r="316" spans="2:23" x14ac:dyDescent="0.25">
      <c r="B316" s="99" t="str">
        <f>'SET 2 PLAYERS'!G20</f>
        <v>CLASS 2</v>
      </c>
      <c r="C316" s="102" t="str">
        <f>IF(AND('ROSTER UPDATE'!B20=""),"",('ROSTER UPDATE'!B20))</f>
        <v/>
      </c>
      <c r="D316" s="103" t="str">
        <f>IF(AND('ROSTER UPDATE'!E20=""),"",('ROSTER UPDATE'!E20))</f>
        <v/>
      </c>
      <c r="E316" s="12"/>
      <c r="F316" s="102" t="str">
        <f>IF(AND('ROSTER UPDATE'!F20=""),"",('ROSTER UPDATE'!F20))</f>
        <v/>
      </c>
      <c r="G316" s="103" t="str">
        <f>IF(AND('ROSTER UPDATE'!C20=""),"",('ROSTER UPDATE'!C20))</f>
        <v/>
      </c>
      <c r="H316" s="12"/>
      <c r="I316" s="12"/>
      <c r="O316" s="12"/>
      <c r="P316" s="102">
        <f>'SET 2 PLAYERS'!O20</f>
        <v>0</v>
      </c>
      <c r="Q316" s="103">
        <f>'SET 2 PLAYERS'!P20</f>
        <v>0</v>
      </c>
      <c r="R316" s="14"/>
      <c r="S316" s="115" t="e">
        <f t="shared" si="10"/>
        <v>#VALUE!</v>
      </c>
      <c r="T316" s="116" t="e">
        <f t="shared" si="11"/>
        <v>#VALUE!</v>
      </c>
      <c r="U316" s="12"/>
      <c r="V316" s="107" t="str">
        <f>'SET 2 PLAYERS'!Q20</f>
        <v/>
      </c>
      <c r="W316" s="12"/>
    </row>
    <row r="317" spans="2:23" x14ac:dyDescent="0.25">
      <c r="B317" s="99" t="str">
        <f>'SET 2 PLAYERS'!G21</f>
        <v>CLASS 2</v>
      </c>
      <c r="C317" s="102" t="str">
        <f>IF(AND('ROSTER UPDATE'!B21=""),"",('ROSTER UPDATE'!B21))</f>
        <v/>
      </c>
      <c r="D317" s="103" t="str">
        <f>IF(AND('ROSTER UPDATE'!E21=""),"",('ROSTER UPDATE'!E21))</f>
        <v/>
      </c>
      <c r="E317" s="12"/>
      <c r="F317" s="102" t="str">
        <f>IF(AND('ROSTER UPDATE'!F21=""),"",('ROSTER UPDATE'!F21))</f>
        <v/>
      </c>
      <c r="G317" s="103" t="str">
        <f>IF(AND('ROSTER UPDATE'!C21=""),"",('ROSTER UPDATE'!C21))</f>
        <v/>
      </c>
      <c r="H317" s="12"/>
      <c r="I317" s="12"/>
      <c r="O317" s="12"/>
      <c r="P317" s="102">
        <f>'SET 2 PLAYERS'!O21</f>
        <v>0</v>
      </c>
      <c r="Q317" s="103">
        <f>'SET 2 PLAYERS'!P21</f>
        <v>0</v>
      </c>
      <c r="R317" s="14"/>
      <c r="S317" s="115" t="e">
        <f t="shared" si="10"/>
        <v>#VALUE!</v>
      </c>
      <c r="T317" s="116" t="e">
        <f t="shared" si="11"/>
        <v>#VALUE!</v>
      </c>
      <c r="U317" s="12"/>
      <c r="V317" s="107" t="str">
        <f>'SET 2 PLAYERS'!Q21</f>
        <v/>
      </c>
      <c r="W317" s="12"/>
    </row>
    <row r="318" spans="2:23" x14ac:dyDescent="0.25">
      <c r="B318" s="99" t="str">
        <f>'SET 2 PLAYERS'!G22</f>
        <v>CLASS 2</v>
      </c>
      <c r="C318" s="102" t="str">
        <f>IF(AND('ROSTER UPDATE'!B22=""),"",('ROSTER UPDATE'!B22))</f>
        <v/>
      </c>
      <c r="D318" s="103" t="str">
        <f>IF(AND('ROSTER UPDATE'!E22=""),"",('ROSTER UPDATE'!E22))</f>
        <v/>
      </c>
      <c r="E318" s="12"/>
      <c r="F318" s="102" t="str">
        <f>IF(AND('ROSTER UPDATE'!F22=""),"",('ROSTER UPDATE'!F22))</f>
        <v/>
      </c>
      <c r="G318" s="103" t="str">
        <f>IF(AND('ROSTER UPDATE'!C22=""),"",('ROSTER UPDATE'!C22))</f>
        <v/>
      </c>
      <c r="H318" s="12"/>
      <c r="I318" s="12"/>
      <c r="O318" s="12"/>
      <c r="P318" s="102">
        <f>'SET 2 PLAYERS'!O22</f>
        <v>0</v>
      </c>
      <c r="Q318" s="103">
        <f>'SET 2 PLAYERS'!P22</f>
        <v>0</v>
      </c>
      <c r="R318" s="14"/>
      <c r="S318" s="115" t="e">
        <f t="shared" si="10"/>
        <v>#VALUE!</v>
      </c>
      <c r="T318" s="116" t="e">
        <f t="shared" si="11"/>
        <v>#VALUE!</v>
      </c>
      <c r="U318" s="12"/>
      <c r="V318" s="107" t="str">
        <f>'SET 2 PLAYERS'!Q22</f>
        <v/>
      </c>
      <c r="W318" s="12"/>
    </row>
    <row r="319" spans="2:23" x14ac:dyDescent="0.25">
      <c r="B319" s="99" t="str">
        <f>'SET 2 PLAYERS'!G23</f>
        <v>CLASS 2</v>
      </c>
      <c r="C319" s="102" t="str">
        <f>IF(AND('ROSTER UPDATE'!B23=""),"",('ROSTER UPDATE'!B23))</f>
        <v/>
      </c>
      <c r="D319" s="103" t="str">
        <f>IF(AND('ROSTER UPDATE'!E23=""),"",('ROSTER UPDATE'!E23))</f>
        <v/>
      </c>
      <c r="E319" s="12"/>
      <c r="F319" s="102" t="str">
        <f>IF(AND('ROSTER UPDATE'!F23=""),"",('ROSTER UPDATE'!F23))</f>
        <v/>
      </c>
      <c r="G319" s="103" t="str">
        <f>IF(AND('ROSTER UPDATE'!C23=""),"",('ROSTER UPDATE'!C23))</f>
        <v/>
      </c>
      <c r="H319" s="12"/>
      <c r="I319" s="12"/>
      <c r="O319" s="12"/>
      <c r="P319" s="102">
        <f>'SET 2 PLAYERS'!O23</f>
        <v>0</v>
      </c>
      <c r="Q319" s="103">
        <f>'SET 2 PLAYERS'!P23</f>
        <v>0</v>
      </c>
      <c r="R319" s="14"/>
      <c r="S319" s="115" t="e">
        <f t="shared" si="10"/>
        <v>#VALUE!</v>
      </c>
      <c r="T319" s="116" t="e">
        <f t="shared" si="11"/>
        <v>#VALUE!</v>
      </c>
      <c r="U319" s="12"/>
      <c r="V319" s="107" t="str">
        <f>'SET 2 PLAYERS'!Q23</f>
        <v/>
      </c>
      <c r="W319" s="12"/>
    </row>
    <row r="320" spans="2:23" x14ac:dyDescent="0.25">
      <c r="B320" s="99" t="str">
        <f>'SET 2 PLAYERS'!G24</f>
        <v>CLASS 2</v>
      </c>
      <c r="C320" s="102" t="str">
        <f>IF(AND('ROSTER UPDATE'!B24=""),"",('ROSTER UPDATE'!B24))</f>
        <v/>
      </c>
      <c r="D320" s="103" t="str">
        <f>IF(AND('ROSTER UPDATE'!E24=""),"",('ROSTER UPDATE'!E24))</f>
        <v/>
      </c>
      <c r="E320" s="12"/>
      <c r="F320" s="102" t="str">
        <f>IF(AND('ROSTER UPDATE'!F24=""),"",('ROSTER UPDATE'!F24))</f>
        <v/>
      </c>
      <c r="G320" s="103" t="str">
        <f>IF(AND('ROSTER UPDATE'!C24=""),"",('ROSTER UPDATE'!C24))</f>
        <v/>
      </c>
      <c r="H320" s="12"/>
      <c r="I320" s="12"/>
      <c r="O320" s="12"/>
      <c r="P320" s="102">
        <f>'SET 2 PLAYERS'!O24</f>
        <v>0</v>
      </c>
      <c r="Q320" s="103">
        <f>'SET 2 PLAYERS'!P24</f>
        <v>0</v>
      </c>
      <c r="R320" s="14"/>
      <c r="S320" s="115" t="e">
        <f t="shared" si="10"/>
        <v>#VALUE!</v>
      </c>
      <c r="T320" s="116" t="e">
        <f t="shared" si="11"/>
        <v>#VALUE!</v>
      </c>
      <c r="U320" s="12"/>
      <c r="V320" s="107" t="str">
        <f>'SET 2 PLAYERS'!Q24</f>
        <v/>
      </c>
      <c r="W320" s="12"/>
    </row>
    <row r="321" spans="2:23" x14ac:dyDescent="0.25">
      <c r="B321" s="99" t="str">
        <f>'SET 2 PLAYERS'!G25</f>
        <v>CLASS 2</v>
      </c>
      <c r="C321" s="102" t="str">
        <f>IF(AND('ROSTER UPDATE'!B25=""),"",('ROSTER UPDATE'!B25))</f>
        <v/>
      </c>
      <c r="D321" s="103" t="str">
        <f>IF(AND('ROSTER UPDATE'!E25=""),"",('ROSTER UPDATE'!E25))</f>
        <v/>
      </c>
      <c r="E321" s="12"/>
      <c r="F321" s="102" t="str">
        <f>IF(AND('ROSTER UPDATE'!F25=""),"",('ROSTER UPDATE'!F25))</f>
        <v/>
      </c>
      <c r="G321" s="103" t="str">
        <f>IF(AND('ROSTER UPDATE'!C25=""),"",('ROSTER UPDATE'!C25))</f>
        <v/>
      </c>
      <c r="H321" s="12"/>
      <c r="I321" s="12"/>
      <c r="O321" s="12"/>
      <c r="P321" s="102">
        <f>'SET 2 PLAYERS'!O25</f>
        <v>0</v>
      </c>
      <c r="Q321" s="103">
        <f>'SET 2 PLAYERS'!P25</f>
        <v>0</v>
      </c>
      <c r="R321" s="14"/>
      <c r="S321" s="115" t="e">
        <f t="shared" si="10"/>
        <v>#VALUE!</v>
      </c>
      <c r="T321" s="116" t="e">
        <f t="shared" si="11"/>
        <v>#VALUE!</v>
      </c>
      <c r="U321" s="12"/>
      <c r="V321" s="107" t="str">
        <f>'SET 2 PLAYERS'!Q25</f>
        <v/>
      </c>
      <c r="W321" s="12"/>
    </row>
    <row r="322" spans="2:23" x14ac:dyDescent="0.25">
      <c r="B322" s="99" t="str">
        <f>'SET 2 PLAYERS'!G26</f>
        <v>CLASS 2</v>
      </c>
      <c r="C322" s="102" t="str">
        <f>IF(AND('ROSTER UPDATE'!B26=""),"",('ROSTER UPDATE'!B26))</f>
        <v/>
      </c>
      <c r="D322" s="103" t="str">
        <f>IF(AND('ROSTER UPDATE'!E26=""),"",('ROSTER UPDATE'!E26))</f>
        <v/>
      </c>
      <c r="E322" s="12"/>
      <c r="F322" s="102" t="str">
        <f>IF(AND('ROSTER UPDATE'!F26=""),"",('ROSTER UPDATE'!F26))</f>
        <v/>
      </c>
      <c r="G322" s="103" t="str">
        <f>IF(AND('ROSTER UPDATE'!C26=""),"",('ROSTER UPDATE'!C26))</f>
        <v/>
      </c>
      <c r="H322" s="12"/>
      <c r="I322" s="12"/>
      <c r="O322" s="12"/>
      <c r="P322" s="102">
        <f>'SET 2 PLAYERS'!O26</f>
        <v>0</v>
      </c>
      <c r="Q322" s="103">
        <f>'SET 2 PLAYERS'!P26</f>
        <v>0</v>
      </c>
      <c r="R322" s="14"/>
      <c r="S322" s="115" t="e">
        <f t="shared" si="10"/>
        <v>#VALUE!</v>
      </c>
      <c r="T322" s="116" t="e">
        <f t="shared" si="11"/>
        <v>#VALUE!</v>
      </c>
      <c r="U322" s="12"/>
      <c r="V322" s="107" t="str">
        <f>'SET 2 PLAYERS'!Q26</f>
        <v/>
      </c>
      <c r="W322" s="12"/>
    </row>
    <row r="323" spans="2:23" x14ac:dyDescent="0.25">
      <c r="B323" s="99" t="str">
        <f>'SET 2 PLAYERS'!G27</f>
        <v>CLASS 2</v>
      </c>
      <c r="C323" s="102" t="str">
        <f>IF(AND('ROSTER UPDATE'!B27=""),"",('ROSTER UPDATE'!B27))</f>
        <v/>
      </c>
      <c r="D323" s="103" t="str">
        <f>IF(AND('ROSTER UPDATE'!E27=""),"",('ROSTER UPDATE'!E27))</f>
        <v/>
      </c>
      <c r="E323" s="12"/>
      <c r="F323" s="102" t="str">
        <f>IF(AND('ROSTER UPDATE'!F27=""),"",('ROSTER UPDATE'!F27))</f>
        <v/>
      </c>
      <c r="G323" s="103" t="str">
        <f>IF(AND('ROSTER UPDATE'!C27=""),"",('ROSTER UPDATE'!C27))</f>
        <v/>
      </c>
      <c r="H323" s="12"/>
      <c r="I323" s="12"/>
      <c r="O323" s="12"/>
      <c r="P323" s="102">
        <f>'SET 2 PLAYERS'!O27</f>
        <v>0</v>
      </c>
      <c r="Q323" s="103">
        <f>'SET 2 PLAYERS'!P27</f>
        <v>0</v>
      </c>
      <c r="R323" s="14"/>
      <c r="S323" s="115" t="e">
        <f t="shared" si="10"/>
        <v>#VALUE!</v>
      </c>
      <c r="T323" s="116" t="e">
        <f t="shared" si="11"/>
        <v>#VALUE!</v>
      </c>
      <c r="U323" s="12"/>
      <c r="V323" s="107" t="str">
        <f>'SET 2 PLAYERS'!Q27</f>
        <v/>
      </c>
      <c r="W323" s="12"/>
    </row>
    <row r="324" spans="2:23" x14ac:dyDescent="0.25">
      <c r="B324" s="99" t="str">
        <f>'SET 2 PLAYERS'!G28</f>
        <v>CLASS 2</v>
      </c>
      <c r="C324" s="102" t="str">
        <f>IF(AND('ROSTER UPDATE'!B28=""),"",('ROSTER UPDATE'!B28))</f>
        <v/>
      </c>
      <c r="D324" s="103" t="str">
        <f>IF(AND('ROSTER UPDATE'!E28=""),"",('ROSTER UPDATE'!E28))</f>
        <v/>
      </c>
      <c r="E324" s="12"/>
      <c r="F324" s="102" t="str">
        <f>IF(AND('ROSTER UPDATE'!F28=""),"",('ROSTER UPDATE'!F28))</f>
        <v/>
      </c>
      <c r="G324" s="103" t="str">
        <f>IF(AND('ROSTER UPDATE'!C28=""),"",('ROSTER UPDATE'!C28))</f>
        <v/>
      </c>
      <c r="H324" s="12"/>
      <c r="I324" s="12"/>
      <c r="O324" s="12"/>
      <c r="P324" s="102">
        <f>'SET 2 PLAYERS'!O28</f>
        <v>0</v>
      </c>
      <c r="Q324" s="103">
        <f>'SET 2 PLAYERS'!P28</f>
        <v>0</v>
      </c>
      <c r="R324" s="14"/>
      <c r="S324" s="115" t="e">
        <f t="shared" si="10"/>
        <v>#VALUE!</v>
      </c>
      <c r="T324" s="116" t="e">
        <f t="shared" si="11"/>
        <v>#VALUE!</v>
      </c>
      <c r="U324" s="12"/>
      <c r="V324" s="107" t="str">
        <f>'SET 2 PLAYERS'!Q28</f>
        <v/>
      </c>
      <c r="W324" s="12"/>
    </row>
    <row r="325" spans="2:23" x14ac:dyDescent="0.25">
      <c r="B325" s="99" t="str">
        <f>'SET 2 PLAYERS'!G29</f>
        <v>CLASS 2</v>
      </c>
      <c r="C325" s="102" t="str">
        <f>IF(AND('ROSTER UPDATE'!B29=""),"",('ROSTER UPDATE'!B29))</f>
        <v/>
      </c>
      <c r="D325" s="103" t="str">
        <f>IF(AND('ROSTER UPDATE'!E29=""),"",('ROSTER UPDATE'!E29))</f>
        <v/>
      </c>
      <c r="E325" s="12"/>
      <c r="F325" s="102" t="str">
        <f>IF(AND('ROSTER UPDATE'!F29=""),"",('ROSTER UPDATE'!F29))</f>
        <v/>
      </c>
      <c r="G325" s="103" t="str">
        <f>IF(AND('ROSTER UPDATE'!C29=""),"",('ROSTER UPDATE'!C29))</f>
        <v/>
      </c>
      <c r="H325" s="12"/>
      <c r="I325" s="12"/>
      <c r="O325" s="12"/>
      <c r="P325" s="102">
        <f>'SET 2 PLAYERS'!O29</f>
        <v>0</v>
      </c>
      <c r="Q325" s="103">
        <f>'SET 2 PLAYERS'!P29</f>
        <v>0</v>
      </c>
      <c r="R325" s="14"/>
      <c r="S325" s="115" t="e">
        <f t="shared" si="10"/>
        <v>#VALUE!</v>
      </c>
      <c r="T325" s="116" t="e">
        <f t="shared" si="11"/>
        <v>#VALUE!</v>
      </c>
      <c r="U325" s="12"/>
      <c r="V325" s="107" t="str">
        <f>'SET 2 PLAYERS'!Q29</f>
        <v/>
      </c>
      <c r="W325" s="12"/>
    </row>
    <row r="326" spans="2:23" x14ac:dyDescent="0.25">
      <c r="B326" s="99" t="str">
        <f>'SET 2 PLAYERS'!G30</f>
        <v>CLASS 2</v>
      </c>
      <c r="C326" s="102" t="str">
        <f>IF(AND('ROSTER UPDATE'!B30=""),"",('ROSTER UPDATE'!B30))</f>
        <v/>
      </c>
      <c r="D326" s="103" t="str">
        <f>IF(AND('ROSTER UPDATE'!E30=""),"",('ROSTER UPDATE'!E30))</f>
        <v/>
      </c>
      <c r="E326" s="12"/>
      <c r="F326" s="102" t="str">
        <f>IF(AND('ROSTER UPDATE'!F30=""),"",('ROSTER UPDATE'!F30))</f>
        <v/>
      </c>
      <c r="G326" s="103" t="str">
        <f>IF(AND('ROSTER UPDATE'!C30=""),"",('ROSTER UPDATE'!C30))</f>
        <v/>
      </c>
      <c r="H326" s="12"/>
      <c r="I326" s="12"/>
      <c r="O326" s="12"/>
      <c r="P326" s="102">
        <f>'SET 2 PLAYERS'!O30</f>
        <v>0</v>
      </c>
      <c r="Q326" s="103">
        <f>'SET 2 PLAYERS'!P30</f>
        <v>0</v>
      </c>
      <c r="R326" s="14"/>
      <c r="S326" s="115" t="e">
        <f t="shared" si="10"/>
        <v>#VALUE!</v>
      </c>
      <c r="T326" s="116" t="e">
        <f t="shared" si="11"/>
        <v>#VALUE!</v>
      </c>
      <c r="U326" s="12"/>
      <c r="V326" s="107" t="str">
        <f>'SET 2 PLAYERS'!Q30</f>
        <v/>
      </c>
      <c r="W326" s="12"/>
    </row>
    <row r="327" spans="2:23" x14ac:dyDescent="0.25">
      <c r="B327" s="99" t="str">
        <f>'SET 2 PLAYERS'!G31</f>
        <v>CLASS 2</v>
      </c>
      <c r="C327" s="102" t="str">
        <f>IF(AND('ROSTER UPDATE'!B31=""),"",('ROSTER UPDATE'!B31))</f>
        <v/>
      </c>
      <c r="D327" s="103" t="str">
        <f>IF(AND('ROSTER UPDATE'!E31=""),"",('ROSTER UPDATE'!E31))</f>
        <v/>
      </c>
      <c r="E327" s="12"/>
      <c r="F327" s="102" t="str">
        <f>IF(AND('ROSTER UPDATE'!F31=""),"",('ROSTER UPDATE'!F31))</f>
        <v/>
      </c>
      <c r="G327" s="103" t="str">
        <f>IF(AND('ROSTER UPDATE'!C31=""),"",('ROSTER UPDATE'!C31))</f>
        <v/>
      </c>
      <c r="H327" s="12"/>
      <c r="I327" s="12"/>
      <c r="O327" s="12"/>
      <c r="P327" s="102">
        <f>'SET 2 PLAYERS'!O31</f>
        <v>0</v>
      </c>
      <c r="Q327" s="103">
        <f>'SET 2 PLAYERS'!P31</f>
        <v>0</v>
      </c>
      <c r="R327" s="14"/>
      <c r="S327" s="115" t="e">
        <f t="shared" si="10"/>
        <v>#VALUE!</v>
      </c>
      <c r="T327" s="116" t="e">
        <f t="shared" si="11"/>
        <v>#VALUE!</v>
      </c>
      <c r="U327" s="12"/>
      <c r="V327" s="107" t="str">
        <f>'SET 2 PLAYERS'!Q31</f>
        <v/>
      </c>
      <c r="W327" s="12"/>
    </row>
    <row r="328" spans="2:23" x14ac:dyDescent="0.25">
      <c r="B328" s="99" t="str">
        <f>'SET 2 PLAYERS'!G32</f>
        <v>CLASS 2</v>
      </c>
      <c r="C328" s="102" t="str">
        <f>IF(AND('ROSTER UPDATE'!B32=""),"",('ROSTER UPDATE'!B32))</f>
        <v/>
      </c>
      <c r="D328" s="103" t="str">
        <f>IF(AND('ROSTER UPDATE'!E32=""),"",('ROSTER UPDATE'!E32))</f>
        <v/>
      </c>
      <c r="E328" s="12"/>
      <c r="F328" s="102" t="str">
        <f>IF(AND('ROSTER UPDATE'!F32=""),"",('ROSTER UPDATE'!F32))</f>
        <v/>
      </c>
      <c r="G328" s="103" t="str">
        <f>IF(AND('ROSTER UPDATE'!C32=""),"",('ROSTER UPDATE'!C32))</f>
        <v/>
      </c>
      <c r="H328" s="12"/>
      <c r="I328" s="12"/>
      <c r="O328" s="12"/>
      <c r="P328" s="102">
        <f>'SET 2 PLAYERS'!O32</f>
        <v>0</v>
      </c>
      <c r="Q328" s="103">
        <f>'SET 2 PLAYERS'!P32</f>
        <v>0</v>
      </c>
      <c r="R328" s="14"/>
      <c r="S328" s="115" t="e">
        <f t="shared" si="10"/>
        <v>#VALUE!</v>
      </c>
      <c r="T328" s="116" t="e">
        <f t="shared" si="11"/>
        <v>#VALUE!</v>
      </c>
      <c r="U328" s="12"/>
      <c r="V328" s="107" t="str">
        <f>'SET 2 PLAYERS'!Q32</f>
        <v/>
      </c>
      <c r="W328" s="12"/>
    </row>
    <row r="329" spans="2:23" x14ac:dyDescent="0.25">
      <c r="B329" s="99" t="str">
        <f>'SET 2 PLAYERS'!G33</f>
        <v>CLASS 2</v>
      </c>
      <c r="C329" s="102" t="str">
        <f>IF(AND('ROSTER UPDATE'!B33=""),"",('ROSTER UPDATE'!B33))</f>
        <v/>
      </c>
      <c r="D329" s="103" t="str">
        <f>IF(AND('ROSTER UPDATE'!E33=""),"",('ROSTER UPDATE'!E33))</f>
        <v/>
      </c>
      <c r="E329" s="12"/>
      <c r="F329" s="102" t="str">
        <f>IF(AND('ROSTER UPDATE'!F33=""),"",('ROSTER UPDATE'!F33))</f>
        <v/>
      </c>
      <c r="G329" s="103" t="str">
        <f>IF(AND('ROSTER UPDATE'!C33=""),"",('ROSTER UPDATE'!C33))</f>
        <v/>
      </c>
      <c r="H329" s="12"/>
      <c r="I329" s="12"/>
      <c r="O329" s="12"/>
      <c r="P329" s="102">
        <f>'SET 2 PLAYERS'!O33</f>
        <v>0</v>
      </c>
      <c r="Q329" s="103">
        <f>'SET 2 PLAYERS'!P33</f>
        <v>0</v>
      </c>
      <c r="R329" s="14"/>
      <c r="S329" s="115" t="e">
        <f t="shared" si="10"/>
        <v>#VALUE!</v>
      </c>
      <c r="T329" s="116" t="e">
        <f t="shared" si="11"/>
        <v>#VALUE!</v>
      </c>
      <c r="U329" s="12"/>
      <c r="V329" s="107" t="str">
        <f>'SET 2 PLAYERS'!Q33</f>
        <v/>
      </c>
      <c r="W329" s="12"/>
    </row>
    <row r="330" spans="2:23" x14ac:dyDescent="0.25">
      <c r="B330" s="99" t="str">
        <f>'SET 2 PLAYERS'!G34</f>
        <v>CLASS 2</v>
      </c>
      <c r="C330" s="102" t="str">
        <f>IF(AND('ROSTER UPDATE'!B34=""),"",('ROSTER UPDATE'!B34))</f>
        <v/>
      </c>
      <c r="D330" s="103" t="str">
        <f>IF(AND('ROSTER UPDATE'!E34=""),"",('ROSTER UPDATE'!E34))</f>
        <v/>
      </c>
      <c r="E330" s="12"/>
      <c r="F330" s="102" t="str">
        <f>IF(AND('ROSTER UPDATE'!F34=""),"",('ROSTER UPDATE'!F34))</f>
        <v/>
      </c>
      <c r="G330" s="103" t="str">
        <f>IF(AND('ROSTER UPDATE'!C34=""),"",('ROSTER UPDATE'!C34))</f>
        <v/>
      </c>
      <c r="H330" s="12"/>
      <c r="I330" s="12"/>
      <c r="O330" s="12"/>
      <c r="P330" s="102">
        <f>'SET 2 PLAYERS'!O34</f>
        <v>0</v>
      </c>
      <c r="Q330" s="103">
        <f>'SET 2 PLAYERS'!P34</f>
        <v>0</v>
      </c>
      <c r="R330" s="14"/>
      <c r="S330" s="115" t="e">
        <f t="shared" si="10"/>
        <v>#VALUE!</v>
      </c>
      <c r="T330" s="116" t="e">
        <f t="shared" si="11"/>
        <v>#VALUE!</v>
      </c>
      <c r="U330" s="12"/>
      <c r="V330" s="107" t="str">
        <f>'SET 2 PLAYERS'!Q34</f>
        <v/>
      </c>
      <c r="W330" s="12"/>
    </row>
    <row r="331" spans="2:23" x14ac:dyDescent="0.25">
      <c r="B331" s="99" t="str">
        <f>'SET 2 PLAYERS'!G35</f>
        <v>CLASS 2</v>
      </c>
      <c r="C331" s="102" t="str">
        <f>IF(AND('ROSTER UPDATE'!B35=""),"",('ROSTER UPDATE'!B35))</f>
        <v/>
      </c>
      <c r="D331" s="103" t="str">
        <f>IF(AND('ROSTER UPDATE'!E35=""),"",('ROSTER UPDATE'!E35))</f>
        <v/>
      </c>
      <c r="E331" s="12"/>
      <c r="F331" s="102" t="str">
        <f>IF(AND('ROSTER UPDATE'!F35=""),"",('ROSTER UPDATE'!F35))</f>
        <v/>
      </c>
      <c r="G331" s="103" t="str">
        <f>IF(AND('ROSTER UPDATE'!C35=""),"",('ROSTER UPDATE'!C35))</f>
        <v/>
      </c>
      <c r="H331" s="12"/>
      <c r="I331" s="12"/>
      <c r="O331" s="12"/>
      <c r="P331" s="102">
        <f>'SET 2 PLAYERS'!O35</f>
        <v>0</v>
      </c>
      <c r="Q331" s="103">
        <f>'SET 2 PLAYERS'!P35</f>
        <v>0</v>
      </c>
      <c r="R331" s="14"/>
      <c r="S331" s="115" t="e">
        <f t="shared" si="10"/>
        <v>#VALUE!</v>
      </c>
      <c r="T331" s="116" t="e">
        <f t="shared" si="11"/>
        <v>#VALUE!</v>
      </c>
      <c r="U331" s="12"/>
      <c r="V331" s="107" t="str">
        <f>'SET 2 PLAYERS'!Q35</f>
        <v/>
      </c>
      <c r="W331" s="12"/>
    </row>
    <row r="332" spans="2:23" x14ac:dyDescent="0.25">
      <c r="B332" s="99" t="str">
        <f>'SET 2 PLAYERS'!G36</f>
        <v>CLASS 2</v>
      </c>
      <c r="C332" s="102" t="str">
        <f>IF(AND('ROSTER UPDATE'!B36=""),"",('ROSTER UPDATE'!B36))</f>
        <v/>
      </c>
      <c r="D332" s="103" t="str">
        <f>IF(AND('ROSTER UPDATE'!E36=""),"",('ROSTER UPDATE'!E36))</f>
        <v/>
      </c>
      <c r="E332" s="12"/>
      <c r="F332" s="102" t="str">
        <f>IF(AND('ROSTER UPDATE'!F36=""),"",('ROSTER UPDATE'!F36))</f>
        <v/>
      </c>
      <c r="G332" s="103" t="str">
        <f>IF(AND('ROSTER UPDATE'!C36=""),"",('ROSTER UPDATE'!C36))</f>
        <v/>
      </c>
      <c r="H332" s="12"/>
      <c r="I332" s="12"/>
      <c r="O332" s="12"/>
      <c r="P332" s="102">
        <f>'SET 2 PLAYERS'!O36</f>
        <v>0</v>
      </c>
      <c r="Q332" s="103">
        <f>'SET 2 PLAYERS'!P36</f>
        <v>0</v>
      </c>
      <c r="R332" s="14"/>
      <c r="S332" s="115" t="e">
        <f t="shared" si="10"/>
        <v>#VALUE!</v>
      </c>
      <c r="T332" s="116" t="e">
        <f t="shared" si="11"/>
        <v>#VALUE!</v>
      </c>
      <c r="U332" s="12"/>
      <c r="V332" s="107" t="str">
        <f>'SET 2 PLAYERS'!Q36</f>
        <v/>
      </c>
      <c r="W332" s="12"/>
    </row>
    <row r="333" spans="2:23" x14ac:dyDescent="0.25">
      <c r="B333" s="99" t="str">
        <f>'SET 2 PLAYERS'!G37</f>
        <v>CLASS 2</v>
      </c>
      <c r="C333" s="102" t="str">
        <f>IF(AND('ROSTER UPDATE'!B37=""),"",('ROSTER UPDATE'!B37))</f>
        <v/>
      </c>
      <c r="D333" s="103" t="str">
        <f>IF(AND('ROSTER UPDATE'!E37=""),"",('ROSTER UPDATE'!E37))</f>
        <v/>
      </c>
      <c r="E333" s="12"/>
      <c r="F333" s="102" t="str">
        <f>IF(AND('ROSTER UPDATE'!F37=""),"",('ROSTER UPDATE'!F37))</f>
        <v/>
      </c>
      <c r="G333" s="103" t="str">
        <f>IF(AND('ROSTER UPDATE'!C37=""),"",('ROSTER UPDATE'!C37))</f>
        <v/>
      </c>
      <c r="H333" s="12"/>
      <c r="I333" s="12"/>
      <c r="O333" s="12"/>
      <c r="P333" s="102">
        <f>'SET 2 PLAYERS'!O37</f>
        <v>0</v>
      </c>
      <c r="Q333" s="103">
        <f>'SET 2 PLAYERS'!P37</f>
        <v>0</v>
      </c>
      <c r="R333" s="14"/>
      <c r="S333" s="115" t="e">
        <f t="shared" si="10"/>
        <v>#VALUE!</v>
      </c>
      <c r="T333" s="116" t="e">
        <f t="shared" si="11"/>
        <v>#VALUE!</v>
      </c>
      <c r="U333" s="12"/>
      <c r="V333" s="107" t="str">
        <f>'SET 2 PLAYERS'!Q37</f>
        <v/>
      </c>
      <c r="W333" s="12"/>
    </row>
    <row r="334" spans="2:23" x14ac:dyDescent="0.25">
      <c r="B334" s="99" t="str">
        <f>'SET 2 PLAYERS'!G38</f>
        <v>CLASS 2</v>
      </c>
      <c r="C334" s="102" t="str">
        <f>IF(AND('ROSTER UPDATE'!B38=""),"",('ROSTER UPDATE'!B38))</f>
        <v/>
      </c>
      <c r="D334" s="103" t="str">
        <f>IF(AND('ROSTER UPDATE'!E38=""),"",('ROSTER UPDATE'!E38))</f>
        <v/>
      </c>
      <c r="E334" s="12"/>
      <c r="F334" s="102" t="str">
        <f>IF(AND('ROSTER UPDATE'!F38=""),"",('ROSTER UPDATE'!F38))</f>
        <v/>
      </c>
      <c r="G334" s="103" t="str">
        <f>IF(AND('ROSTER UPDATE'!C38=""),"",('ROSTER UPDATE'!C38))</f>
        <v/>
      </c>
      <c r="H334" s="12"/>
      <c r="I334" s="12"/>
      <c r="O334" s="12"/>
      <c r="P334" s="102">
        <f>'SET 2 PLAYERS'!O38</f>
        <v>0</v>
      </c>
      <c r="Q334" s="103">
        <f>'SET 2 PLAYERS'!P38</f>
        <v>0</v>
      </c>
      <c r="R334" s="14"/>
      <c r="S334" s="115" t="e">
        <f t="shared" si="10"/>
        <v>#VALUE!</v>
      </c>
      <c r="T334" s="116" t="e">
        <f t="shared" si="11"/>
        <v>#VALUE!</v>
      </c>
      <c r="U334" s="12"/>
      <c r="V334" s="107" t="str">
        <f>'SET 2 PLAYERS'!Q38</f>
        <v/>
      </c>
      <c r="W334" s="12"/>
    </row>
    <row r="335" spans="2:23" x14ac:dyDescent="0.25">
      <c r="B335" s="99" t="str">
        <f>'SET 2 PLAYERS'!G39</f>
        <v>CLASS 2</v>
      </c>
      <c r="C335" s="102" t="str">
        <f>IF(AND('ROSTER UPDATE'!B39=""),"",('ROSTER UPDATE'!B39))</f>
        <v/>
      </c>
      <c r="D335" s="103" t="str">
        <f>IF(AND('ROSTER UPDATE'!E39=""),"",('ROSTER UPDATE'!E39))</f>
        <v/>
      </c>
      <c r="E335" s="12"/>
      <c r="F335" s="102" t="str">
        <f>IF(AND('ROSTER UPDATE'!F39=""),"",('ROSTER UPDATE'!F39))</f>
        <v/>
      </c>
      <c r="G335" s="103" t="str">
        <f>IF(AND('ROSTER UPDATE'!C39=""),"",('ROSTER UPDATE'!C39))</f>
        <v/>
      </c>
      <c r="H335" s="12"/>
      <c r="I335" s="12"/>
      <c r="O335" s="12"/>
      <c r="P335" s="102">
        <f>'SET 2 PLAYERS'!O39</f>
        <v>0</v>
      </c>
      <c r="Q335" s="103">
        <f>'SET 2 PLAYERS'!P39</f>
        <v>0</v>
      </c>
      <c r="R335" s="14"/>
      <c r="S335" s="115" t="e">
        <f t="shared" si="10"/>
        <v>#VALUE!</v>
      </c>
      <c r="T335" s="116" t="e">
        <f t="shared" si="11"/>
        <v>#VALUE!</v>
      </c>
      <c r="U335" s="12"/>
      <c r="V335" s="107" t="str">
        <f>'SET 2 PLAYERS'!Q39</f>
        <v/>
      </c>
      <c r="W335" s="12"/>
    </row>
    <row r="336" spans="2:23" x14ac:dyDescent="0.25">
      <c r="B336" s="99" t="str">
        <f>'SET 2 PLAYERS'!G40</f>
        <v>CLASS 2</v>
      </c>
      <c r="C336" s="102" t="str">
        <f>IF(AND('ROSTER UPDATE'!B40=""),"",('ROSTER UPDATE'!B40))</f>
        <v/>
      </c>
      <c r="D336" s="103" t="str">
        <f>IF(AND('ROSTER UPDATE'!E40=""),"",('ROSTER UPDATE'!E40))</f>
        <v/>
      </c>
      <c r="E336" s="12"/>
      <c r="F336" s="102" t="str">
        <f>IF(AND('ROSTER UPDATE'!F40=""),"",('ROSTER UPDATE'!F40))</f>
        <v/>
      </c>
      <c r="G336" s="103" t="str">
        <f>IF(AND('ROSTER UPDATE'!C40=""),"",('ROSTER UPDATE'!C40))</f>
        <v/>
      </c>
      <c r="H336" s="12"/>
      <c r="I336" s="12"/>
      <c r="O336" s="12"/>
      <c r="P336" s="102">
        <f>'SET 2 PLAYERS'!O40</f>
        <v>0</v>
      </c>
      <c r="Q336" s="103">
        <f>'SET 2 PLAYERS'!P40</f>
        <v>0</v>
      </c>
      <c r="R336" s="14"/>
      <c r="S336" s="115" t="e">
        <f t="shared" si="10"/>
        <v>#VALUE!</v>
      </c>
      <c r="T336" s="116" t="e">
        <f t="shared" si="11"/>
        <v>#VALUE!</v>
      </c>
      <c r="U336" s="12"/>
      <c r="V336" s="107" t="str">
        <f>'SET 2 PLAYERS'!Q40</f>
        <v/>
      </c>
      <c r="W336" s="12"/>
    </row>
    <row r="337" spans="2:23" x14ac:dyDescent="0.25">
      <c r="B337" s="99" t="str">
        <f>'SET 2 PLAYERS'!G41</f>
        <v>CLASS 2</v>
      </c>
      <c r="C337" s="102" t="str">
        <f>IF(AND('ROSTER UPDATE'!B41=""),"",('ROSTER UPDATE'!B41))</f>
        <v/>
      </c>
      <c r="D337" s="103" t="str">
        <f>IF(AND('ROSTER UPDATE'!E41=""),"",('ROSTER UPDATE'!E41))</f>
        <v/>
      </c>
      <c r="E337" s="12"/>
      <c r="F337" s="102" t="str">
        <f>IF(AND('ROSTER UPDATE'!F41=""),"",('ROSTER UPDATE'!F41))</f>
        <v/>
      </c>
      <c r="G337" s="103" t="str">
        <f>IF(AND('ROSTER UPDATE'!C41=""),"",('ROSTER UPDATE'!C41))</f>
        <v/>
      </c>
      <c r="H337" s="12"/>
      <c r="I337" s="12"/>
      <c r="O337" s="12"/>
      <c r="P337" s="102">
        <f>'SET 2 PLAYERS'!O41</f>
        <v>0</v>
      </c>
      <c r="Q337" s="103">
        <f>'SET 2 PLAYERS'!P41</f>
        <v>0</v>
      </c>
      <c r="R337" s="14"/>
      <c r="S337" s="115" t="e">
        <f t="shared" si="10"/>
        <v>#VALUE!</v>
      </c>
      <c r="T337" s="116" t="e">
        <f t="shared" si="11"/>
        <v>#VALUE!</v>
      </c>
      <c r="U337" s="12"/>
      <c r="V337" s="107" t="str">
        <f>'SET 2 PLAYERS'!Q41</f>
        <v/>
      </c>
      <c r="W337" s="12"/>
    </row>
    <row r="338" spans="2:23" x14ac:dyDescent="0.25">
      <c r="B338" s="99" t="str">
        <f>'SET 2 PLAYERS'!G42</f>
        <v>CLASS 2</v>
      </c>
      <c r="C338" s="102" t="str">
        <f>IF(AND('ROSTER UPDATE'!B42=""),"",('ROSTER UPDATE'!B42))</f>
        <v/>
      </c>
      <c r="D338" s="103" t="str">
        <f>IF(AND('ROSTER UPDATE'!E42=""),"",('ROSTER UPDATE'!E42))</f>
        <v/>
      </c>
      <c r="E338" s="12"/>
      <c r="F338" s="102" t="str">
        <f>IF(AND('ROSTER UPDATE'!F42=""),"",('ROSTER UPDATE'!F42))</f>
        <v/>
      </c>
      <c r="G338" s="103" t="str">
        <f>IF(AND('ROSTER UPDATE'!C42=""),"",('ROSTER UPDATE'!C42))</f>
        <v/>
      </c>
      <c r="H338" s="12"/>
      <c r="I338" s="12"/>
      <c r="O338" s="12"/>
      <c r="P338" s="102">
        <f>'SET 2 PLAYERS'!O42</f>
        <v>0</v>
      </c>
      <c r="Q338" s="103">
        <f>'SET 2 PLAYERS'!P42</f>
        <v>0</v>
      </c>
      <c r="R338" s="14"/>
      <c r="S338" s="115" t="e">
        <f t="shared" si="10"/>
        <v>#VALUE!</v>
      </c>
      <c r="T338" s="116" t="e">
        <f t="shared" si="11"/>
        <v>#VALUE!</v>
      </c>
      <c r="U338" s="12"/>
      <c r="V338" s="107" t="str">
        <f>'SET 2 PLAYERS'!Q42</f>
        <v/>
      </c>
      <c r="W338" s="12"/>
    </row>
    <row r="339" spans="2:23" x14ac:dyDescent="0.25">
      <c r="B339" s="99" t="str">
        <f>'SET 2 PLAYERS'!G43</f>
        <v>CLASS 2</v>
      </c>
      <c r="C339" s="102" t="str">
        <f>IF(AND('ROSTER UPDATE'!B43=""),"",('ROSTER UPDATE'!B43))</f>
        <v/>
      </c>
      <c r="D339" s="103" t="str">
        <f>IF(AND('ROSTER UPDATE'!E43=""),"",('ROSTER UPDATE'!E43))</f>
        <v/>
      </c>
      <c r="E339" s="12"/>
      <c r="F339" s="102" t="str">
        <f>IF(AND('ROSTER UPDATE'!F43=""),"",('ROSTER UPDATE'!F43))</f>
        <v/>
      </c>
      <c r="G339" s="103" t="str">
        <f>IF(AND('ROSTER UPDATE'!C43=""),"",('ROSTER UPDATE'!C43))</f>
        <v/>
      </c>
      <c r="H339" s="12"/>
      <c r="I339" s="12"/>
      <c r="O339" s="12"/>
      <c r="P339" s="102">
        <f>'SET 2 PLAYERS'!O43</f>
        <v>0</v>
      </c>
      <c r="Q339" s="103">
        <f>'SET 2 PLAYERS'!P43</f>
        <v>0</v>
      </c>
      <c r="R339" s="14"/>
      <c r="S339" s="115" t="e">
        <f t="shared" si="10"/>
        <v>#VALUE!</v>
      </c>
      <c r="T339" s="116" t="e">
        <f t="shared" si="11"/>
        <v>#VALUE!</v>
      </c>
      <c r="U339" s="12"/>
      <c r="V339" s="107" t="str">
        <f>'SET 2 PLAYERS'!Q43</f>
        <v/>
      </c>
      <c r="W339" s="12"/>
    </row>
    <row r="340" spans="2:23" x14ac:dyDescent="0.25">
      <c r="B340" s="99" t="str">
        <f>'SET 2 PLAYERS'!G44</f>
        <v>CLASS 2</v>
      </c>
      <c r="C340" s="102" t="str">
        <f>IF(AND('ROSTER UPDATE'!B44=""),"",('ROSTER UPDATE'!B44))</f>
        <v/>
      </c>
      <c r="D340" s="103" t="str">
        <f>IF(AND('ROSTER UPDATE'!E44=""),"",('ROSTER UPDATE'!E44))</f>
        <v/>
      </c>
      <c r="E340" s="12"/>
      <c r="F340" s="102" t="str">
        <f>IF(AND('ROSTER UPDATE'!F44=""),"",('ROSTER UPDATE'!F44))</f>
        <v/>
      </c>
      <c r="G340" s="103" t="str">
        <f>IF(AND('ROSTER UPDATE'!C44=""),"",('ROSTER UPDATE'!C44))</f>
        <v/>
      </c>
      <c r="H340" s="12"/>
      <c r="I340" s="12"/>
      <c r="O340" s="12"/>
      <c r="P340" s="102">
        <f>'SET 2 PLAYERS'!O44</f>
        <v>0</v>
      </c>
      <c r="Q340" s="103">
        <f>'SET 2 PLAYERS'!P44</f>
        <v>0</v>
      </c>
      <c r="R340" s="14"/>
      <c r="S340" s="115" t="e">
        <f t="shared" si="10"/>
        <v>#VALUE!</v>
      </c>
      <c r="T340" s="116" t="e">
        <f t="shared" si="11"/>
        <v>#VALUE!</v>
      </c>
      <c r="U340" s="12"/>
      <c r="V340" s="107" t="str">
        <f>'SET 2 PLAYERS'!Q44</f>
        <v/>
      </c>
      <c r="W340" s="12"/>
    </row>
    <row r="341" spans="2:23" x14ac:dyDescent="0.25">
      <c r="B341" s="99" t="str">
        <f>'SET 2 PLAYERS'!G45</f>
        <v>CLASS 2</v>
      </c>
      <c r="C341" s="102" t="str">
        <f>IF(AND('ROSTER UPDATE'!B45=""),"",('ROSTER UPDATE'!B45))</f>
        <v/>
      </c>
      <c r="D341" s="103" t="str">
        <f>IF(AND('ROSTER UPDATE'!E45=""),"",('ROSTER UPDATE'!E45))</f>
        <v/>
      </c>
      <c r="E341" s="12"/>
      <c r="F341" s="102" t="str">
        <f>IF(AND('ROSTER UPDATE'!F45=""),"",('ROSTER UPDATE'!F45))</f>
        <v/>
      </c>
      <c r="G341" s="103" t="str">
        <f>IF(AND('ROSTER UPDATE'!C45=""),"",('ROSTER UPDATE'!C45))</f>
        <v/>
      </c>
      <c r="H341" s="12"/>
      <c r="I341" s="12"/>
      <c r="O341" s="12"/>
      <c r="P341" s="102">
        <f>'SET 2 PLAYERS'!O45</f>
        <v>0</v>
      </c>
      <c r="Q341" s="103">
        <f>'SET 2 PLAYERS'!P45</f>
        <v>0</v>
      </c>
      <c r="R341" s="14"/>
      <c r="S341" s="115" t="e">
        <f t="shared" si="10"/>
        <v>#VALUE!</v>
      </c>
      <c r="T341" s="116" t="e">
        <f t="shared" si="11"/>
        <v>#VALUE!</v>
      </c>
      <c r="U341" s="12"/>
      <c r="V341" s="107" t="str">
        <f>'SET 2 PLAYERS'!Q45</f>
        <v/>
      </c>
      <c r="W341" s="12"/>
    </row>
    <row r="342" spans="2:23" x14ac:dyDescent="0.25">
      <c r="B342" s="99" t="str">
        <f>'SET 2 PLAYERS'!G46</f>
        <v>CLASS 2</v>
      </c>
      <c r="C342" s="102" t="str">
        <f>IF(AND('ROSTER UPDATE'!B46=""),"",('ROSTER UPDATE'!B46))</f>
        <v/>
      </c>
      <c r="D342" s="103" t="str">
        <f>IF(AND('ROSTER UPDATE'!E46=""),"",('ROSTER UPDATE'!E46))</f>
        <v/>
      </c>
      <c r="E342" s="12"/>
      <c r="F342" s="102" t="str">
        <f>IF(AND('ROSTER UPDATE'!F46=""),"",('ROSTER UPDATE'!F46))</f>
        <v/>
      </c>
      <c r="G342" s="103" t="str">
        <f>IF(AND('ROSTER UPDATE'!C46=""),"",('ROSTER UPDATE'!C46))</f>
        <v/>
      </c>
      <c r="H342" s="12"/>
      <c r="I342" s="12"/>
      <c r="O342" s="12"/>
      <c r="P342" s="102">
        <f>'SET 2 PLAYERS'!O46</f>
        <v>0</v>
      </c>
      <c r="Q342" s="103">
        <f>'SET 2 PLAYERS'!P46</f>
        <v>0</v>
      </c>
      <c r="R342" s="14"/>
      <c r="S342" s="115" t="e">
        <f t="shared" si="10"/>
        <v>#VALUE!</v>
      </c>
      <c r="T342" s="116" t="e">
        <f t="shared" si="11"/>
        <v>#VALUE!</v>
      </c>
      <c r="U342" s="12"/>
      <c r="V342" s="107" t="str">
        <f>'SET 2 PLAYERS'!Q46</f>
        <v/>
      </c>
      <c r="W342" s="12"/>
    </row>
    <row r="343" spans="2:23" x14ac:dyDescent="0.25">
      <c r="B343" s="99" t="str">
        <f>'SET 2 PLAYERS'!G47</f>
        <v>CLASS 2</v>
      </c>
      <c r="C343" s="102" t="str">
        <f>IF(AND('ROSTER UPDATE'!B47=""),"",('ROSTER UPDATE'!B47))</f>
        <v/>
      </c>
      <c r="D343" s="103" t="str">
        <f>IF(AND('ROSTER UPDATE'!E47=""),"",('ROSTER UPDATE'!E47))</f>
        <v/>
      </c>
      <c r="E343" s="12"/>
      <c r="F343" s="102" t="str">
        <f>IF(AND('ROSTER UPDATE'!F47=""),"",('ROSTER UPDATE'!F47))</f>
        <v/>
      </c>
      <c r="G343" s="103" t="str">
        <f>IF(AND('ROSTER UPDATE'!C47=""),"",('ROSTER UPDATE'!C47))</f>
        <v/>
      </c>
      <c r="H343" s="12"/>
      <c r="I343" s="12"/>
      <c r="O343" s="12"/>
      <c r="P343" s="102">
        <f>'SET 2 PLAYERS'!O47</f>
        <v>0</v>
      </c>
      <c r="Q343" s="103">
        <f>'SET 2 PLAYERS'!P47</f>
        <v>0</v>
      </c>
      <c r="R343" s="14"/>
      <c r="S343" s="115" t="e">
        <f t="shared" si="10"/>
        <v>#VALUE!</v>
      </c>
      <c r="T343" s="116" t="e">
        <f t="shared" si="11"/>
        <v>#VALUE!</v>
      </c>
      <c r="U343" s="12"/>
      <c r="V343" s="107" t="str">
        <f>'SET 2 PLAYERS'!Q47</f>
        <v/>
      </c>
      <c r="W343" s="12"/>
    </row>
    <row r="344" spans="2:23" x14ac:dyDescent="0.25">
      <c r="B344" s="99" t="str">
        <f>'SET 2 PLAYERS'!G48</f>
        <v>CLASS 2</v>
      </c>
      <c r="C344" s="102" t="str">
        <f>IF(AND('ROSTER UPDATE'!B48=""),"",('ROSTER UPDATE'!B48))</f>
        <v/>
      </c>
      <c r="D344" s="103" t="str">
        <f>IF(AND('ROSTER UPDATE'!E48=""),"",('ROSTER UPDATE'!E48))</f>
        <v/>
      </c>
      <c r="E344" s="12"/>
      <c r="F344" s="102" t="str">
        <f>IF(AND('ROSTER UPDATE'!F48=""),"",('ROSTER UPDATE'!F48))</f>
        <v/>
      </c>
      <c r="G344" s="103" t="str">
        <f>IF(AND('ROSTER UPDATE'!C48=""),"",('ROSTER UPDATE'!C48))</f>
        <v/>
      </c>
      <c r="H344" s="12"/>
      <c r="I344" s="12"/>
      <c r="O344" s="12"/>
      <c r="P344" s="102">
        <f>'SET 2 PLAYERS'!O48</f>
        <v>0</v>
      </c>
      <c r="Q344" s="103">
        <f>'SET 2 PLAYERS'!P48</f>
        <v>0</v>
      </c>
      <c r="R344" s="14"/>
      <c r="S344" s="115" t="e">
        <f t="shared" si="10"/>
        <v>#VALUE!</v>
      </c>
      <c r="T344" s="116" t="e">
        <f t="shared" si="11"/>
        <v>#VALUE!</v>
      </c>
      <c r="U344" s="12"/>
      <c r="V344" s="107" t="str">
        <f>'SET 2 PLAYERS'!Q48</f>
        <v/>
      </c>
      <c r="W344" s="12"/>
    </row>
    <row r="345" spans="2:23" x14ac:dyDescent="0.25">
      <c r="B345" s="99" t="str">
        <f>'SET 2 PLAYERS'!G49</f>
        <v>CLASS 2</v>
      </c>
      <c r="C345" s="102" t="str">
        <f>IF(AND('ROSTER UPDATE'!B49=""),"",('ROSTER UPDATE'!B49))</f>
        <v/>
      </c>
      <c r="D345" s="103" t="str">
        <f>IF(AND('ROSTER UPDATE'!E49=""),"",('ROSTER UPDATE'!E49))</f>
        <v/>
      </c>
      <c r="E345" s="12"/>
      <c r="F345" s="102" t="str">
        <f>IF(AND('ROSTER UPDATE'!F49=""),"",('ROSTER UPDATE'!F49))</f>
        <v/>
      </c>
      <c r="G345" s="103" t="str">
        <f>IF(AND('ROSTER UPDATE'!C49=""),"",('ROSTER UPDATE'!C49))</f>
        <v/>
      </c>
      <c r="H345" s="12"/>
      <c r="I345" s="12"/>
      <c r="O345" s="12"/>
      <c r="P345" s="102">
        <f>'SET 2 PLAYERS'!O49</f>
        <v>0</v>
      </c>
      <c r="Q345" s="103">
        <f>'SET 2 PLAYERS'!P49</f>
        <v>0</v>
      </c>
      <c r="R345" s="14"/>
      <c r="S345" s="115" t="e">
        <f t="shared" si="10"/>
        <v>#VALUE!</v>
      </c>
      <c r="T345" s="116" t="e">
        <f t="shared" si="11"/>
        <v>#VALUE!</v>
      </c>
      <c r="U345" s="12"/>
      <c r="V345" s="107" t="str">
        <f>'SET 2 PLAYERS'!Q49</f>
        <v/>
      </c>
      <c r="W345" s="12"/>
    </row>
    <row r="346" spans="2:23" x14ac:dyDescent="0.25">
      <c r="B346" s="99" t="str">
        <f>'SET 2 PLAYERS'!G50</f>
        <v>CLASS 2</v>
      </c>
      <c r="C346" s="102" t="str">
        <f>IF(AND('ROSTER UPDATE'!B50=""),"",('ROSTER UPDATE'!B50))</f>
        <v/>
      </c>
      <c r="D346" s="103" t="str">
        <f>IF(AND('ROSTER UPDATE'!E50=""),"",('ROSTER UPDATE'!E50))</f>
        <v/>
      </c>
      <c r="E346" s="12"/>
      <c r="F346" s="102" t="str">
        <f>IF(AND('ROSTER UPDATE'!F50=""),"",('ROSTER UPDATE'!F50))</f>
        <v/>
      </c>
      <c r="G346" s="103" t="str">
        <f>IF(AND('ROSTER UPDATE'!C50=""),"",('ROSTER UPDATE'!C50))</f>
        <v/>
      </c>
      <c r="H346" s="12"/>
      <c r="I346" s="12"/>
      <c r="O346" s="12"/>
      <c r="P346" s="102">
        <f>'SET 2 PLAYERS'!O50</f>
        <v>0</v>
      </c>
      <c r="Q346" s="103">
        <f>'SET 2 PLAYERS'!P50</f>
        <v>0</v>
      </c>
      <c r="R346" s="14"/>
      <c r="S346" s="115" t="e">
        <f t="shared" si="10"/>
        <v>#VALUE!</v>
      </c>
      <c r="T346" s="116" t="e">
        <f t="shared" si="11"/>
        <v>#VALUE!</v>
      </c>
      <c r="U346" s="12"/>
      <c r="V346" s="107" t="str">
        <f>'SET 2 PLAYERS'!Q50</f>
        <v/>
      </c>
      <c r="W346" s="12"/>
    </row>
    <row r="347" spans="2:23" x14ac:dyDescent="0.25">
      <c r="B347" s="99" t="str">
        <f>'SET 2 PLAYERS'!G51</f>
        <v>CLASS 2</v>
      </c>
      <c r="C347" s="102" t="str">
        <f>IF(AND('ROSTER UPDATE'!B51=""),"",('ROSTER UPDATE'!B51))</f>
        <v/>
      </c>
      <c r="D347" s="103" t="str">
        <f>IF(AND('ROSTER UPDATE'!E51=""),"",('ROSTER UPDATE'!E51))</f>
        <v/>
      </c>
      <c r="E347" s="12"/>
      <c r="F347" s="102" t="str">
        <f>IF(AND('ROSTER UPDATE'!F51=""),"",('ROSTER UPDATE'!F51))</f>
        <v/>
      </c>
      <c r="G347" s="103" t="str">
        <f>IF(AND('ROSTER UPDATE'!C51=""),"",('ROSTER UPDATE'!C51))</f>
        <v/>
      </c>
      <c r="H347" s="12"/>
      <c r="I347" s="12"/>
      <c r="O347" s="12"/>
      <c r="P347" s="102">
        <f>'SET 2 PLAYERS'!O51</f>
        <v>0</v>
      </c>
      <c r="Q347" s="103">
        <f>'SET 2 PLAYERS'!P51</f>
        <v>0</v>
      </c>
      <c r="R347" s="14"/>
      <c r="S347" s="115" t="e">
        <f t="shared" si="10"/>
        <v>#VALUE!</v>
      </c>
      <c r="T347" s="116" t="e">
        <f t="shared" si="11"/>
        <v>#VALUE!</v>
      </c>
      <c r="U347" s="12"/>
      <c r="V347" s="107" t="str">
        <f>'SET 2 PLAYERS'!Q51</f>
        <v/>
      </c>
      <c r="W347" s="12"/>
    </row>
    <row r="348" spans="2:23" x14ac:dyDescent="0.25">
      <c r="B348" s="99" t="str">
        <f>'SET 2 PLAYERS'!G52</f>
        <v>CLASS 2</v>
      </c>
      <c r="C348" s="102" t="str">
        <f>IF(AND('ROSTER UPDATE'!B52=""),"",('ROSTER UPDATE'!B52))</f>
        <v/>
      </c>
      <c r="D348" s="103" t="str">
        <f>IF(AND('ROSTER UPDATE'!E52=""),"",('ROSTER UPDATE'!E52))</f>
        <v/>
      </c>
      <c r="E348" s="12"/>
      <c r="F348" s="102" t="str">
        <f>IF(AND('ROSTER UPDATE'!F52=""),"",('ROSTER UPDATE'!F52))</f>
        <v/>
      </c>
      <c r="G348" s="103" t="str">
        <f>IF(AND('ROSTER UPDATE'!C52=""),"",('ROSTER UPDATE'!C52))</f>
        <v/>
      </c>
      <c r="H348" s="12"/>
      <c r="I348" s="12"/>
      <c r="O348" s="12"/>
      <c r="P348" s="102">
        <f>'SET 2 PLAYERS'!O52</f>
        <v>0</v>
      </c>
      <c r="Q348" s="103">
        <f>'SET 2 PLAYERS'!P52</f>
        <v>0</v>
      </c>
      <c r="R348" s="14"/>
      <c r="S348" s="115" t="e">
        <f t="shared" si="10"/>
        <v>#VALUE!</v>
      </c>
      <c r="T348" s="116" t="e">
        <f t="shared" si="11"/>
        <v>#VALUE!</v>
      </c>
      <c r="U348" s="12"/>
      <c r="V348" s="107" t="str">
        <f>'SET 2 PLAYERS'!Q52</f>
        <v/>
      </c>
      <c r="W348" s="12"/>
    </row>
    <row r="349" spans="2:23" x14ac:dyDescent="0.25">
      <c r="B349" s="99" t="str">
        <f>'SET 2 PLAYERS'!G53</f>
        <v>CLASS 2</v>
      </c>
      <c r="C349" s="102" t="str">
        <f>IF(AND('ROSTER UPDATE'!B53=""),"",('ROSTER UPDATE'!B53))</f>
        <v/>
      </c>
      <c r="D349" s="103" t="str">
        <f>IF(AND('ROSTER UPDATE'!E53=""),"",('ROSTER UPDATE'!E53))</f>
        <v/>
      </c>
      <c r="E349" s="12"/>
      <c r="F349" s="102" t="str">
        <f>IF(AND('ROSTER UPDATE'!F53=""),"",('ROSTER UPDATE'!F53))</f>
        <v/>
      </c>
      <c r="G349" s="103" t="str">
        <f>IF(AND('ROSTER UPDATE'!C53=""),"",('ROSTER UPDATE'!C53))</f>
        <v/>
      </c>
      <c r="H349" s="12"/>
      <c r="I349" s="12"/>
      <c r="O349" s="12"/>
      <c r="P349" s="102">
        <f>'SET 2 PLAYERS'!O53</f>
        <v>0</v>
      </c>
      <c r="Q349" s="103">
        <f>'SET 2 PLAYERS'!P53</f>
        <v>0</v>
      </c>
      <c r="R349" s="14"/>
      <c r="S349" s="115" t="e">
        <f t="shared" si="10"/>
        <v>#VALUE!</v>
      </c>
      <c r="T349" s="116" t="e">
        <f t="shared" si="11"/>
        <v>#VALUE!</v>
      </c>
      <c r="U349" s="12"/>
      <c r="V349" s="107" t="str">
        <f>'SET 2 PLAYERS'!Q53</f>
        <v/>
      </c>
      <c r="W349" s="12"/>
    </row>
    <row r="350" spans="2:23" x14ac:dyDescent="0.25">
      <c r="B350" s="99" t="str">
        <f>'SET 2 PLAYERS'!G54</f>
        <v>CLASS 2</v>
      </c>
      <c r="C350" s="102" t="str">
        <f>IF(AND('ROSTER UPDATE'!B54=""),"",('ROSTER UPDATE'!B54))</f>
        <v/>
      </c>
      <c r="D350" s="103" t="str">
        <f>IF(AND('ROSTER UPDATE'!E54=""),"",('ROSTER UPDATE'!E54))</f>
        <v/>
      </c>
      <c r="E350" s="12"/>
      <c r="F350" s="102" t="str">
        <f>IF(AND('ROSTER UPDATE'!F54=""),"",('ROSTER UPDATE'!F54))</f>
        <v/>
      </c>
      <c r="G350" s="103" t="str">
        <f>IF(AND('ROSTER UPDATE'!C54=""),"",('ROSTER UPDATE'!C54))</f>
        <v/>
      </c>
      <c r="H350" s="12"/>
      <c r="I350" s="12"/>
      <c r="O350" s="12"/>
      <c r="P350" s="102">
        <f>'SET 2 PLAYERS'!O54</f>
        <v>0</v>
      </c>
      <c r="Q350" s="103">
        <f>'SET 2 PLAYERS'!P54</f>
        <v>0</v>
      </c>
      <c r="R350" s="14"/>
      <c r="S350" s="115" t="e">
        <f t="shared" si="10"/>
        <v>#VALUE!</v>
      </c>
      <c r="T350" s="116" t="e">
        <f t="shared" si="11"/>
        <v>#VALUE!</v>
      </c>
      <c r="U350" s="12"/>
      <c r="V350" s="107" t="str">
        <f>'SET 2 PLAYERS'!Q54</f>
        <v/>
      </c>
      <c r="W350" s="12"/>
    </row>
    <row r="351" spans="2:23" x14ac:dyDescent="0.25">
      <c r="B351" s="99" t="str">
        <f>'SET 2 PLAYERS'!G55</f>
        <v>CLASS 2</v>
      </c>
      <c r="C351" s="102" t="str">
        <f>IF(AND('ROSTER UPDATE'!B55=""),"",('ROSTER UPDATE'!B55))</f>
        <v/>
      </c>
      <c r="D351" s="103" t="str">
        <f>IF(AND('ROSTER UPDATE'!E55=""),"",('ROSTER UPDATE'!E55))</f>
        <v/>
      </c>
      <c r="E351" s="12"/>
      <c r="F351" s="102" t="str">
        <f>IF(AND('ROSTER UPDATE'!F55=""),"",('ROSTER UPDATE'!F55))</f>
        <v/>
      </c>
      <c r="G351" s="103" t="str">
        <f>IF(AND('ROSTER UPDATE'!C55=""),"",('ROSTER UPDATE'!C55))</f>
        <v/>
      </c>
      <c r="H351" s="12"/>
      <c r="I351" s="12"/>
      <c r="O351" s="12"/>
      <c r="P351" s="102">
        <f>'SET 2 PLAYERS'!O55</f>
        <v>0</v>
      </c>
      <c r="Q351" s="103">
        <f>'SET 2 PLAYERS'!P55</f>
        <v>0</v>
      </c>
      <c r="R351" s="14"/>
      <c r="S351" s="115" t="e">
        <f t="shared" si="10"/>
        <v>#VALUE!</v>
      </c>
      <c r="T351" s="116" t="e">
        <f t="shared" si="11"/>
        <v>#VALUE!</v>
      </c>
      <c r="U351" s="12"/>
      <c r="V351" s="107" t="str">
        <f>'SET 2 PLAYERS'!Q55</f>
        <v/>
      </c>
      <c r="W351" s="12"/>
    </row>
    <row r="352" spans="2:23" x14ac:dyDescent="0.25">
      <c r="B352" s="99" t="str">
        <f>'SET 2 PLAYERS'!G56</f>
        <v>CLASS 2</v>
      </c>
      <c r="C352" s="102" t="str">
        <f>IF(AND('ROSTER UPDATE'!B56=""),"",('ROSTER UPDATE'!B56))</f>
        <v/>
      </c>
      <c r="D352" s="103" t="str">
        <f>IF(AND('ROSTER UPDATE'!E56=""),"",('ROSTER UPDATE'!E56))</f>
        <v/>
      </c>
      <c r="E352" s="12"/>
      <c r="F352" s="102" t="str">
        <f>IF(AND('ROSTER UPDATE'!F56=""),"",('ROSTER UPDATE'!F56))</f>
        <v/>
      </c>
      <c r="G352" s="103" t="str">
        <f>IF(AND('ROSTER UPDATE'!C56=""),"",('ROSTER UPDATE'!C56))</f>
        <v/>
      </c>
      <c r="H352" s="12"/>
      <c r="I352" s="12"/>
      <c r="O352" s="12"/>
      <c r="P352" s="102">
        <f>'SET 2 PLAYERS'!O56</f>
        <v>0</v>
      </c>
      <c r="Q352" s="103">
        <f>'SET 2 PLAYERS'!P56</f>
        <v>0</v>
      </c>
      <c r="R352" s="14"/>
      <c r="S352" s="115" t="e">
        <f t="shared" si="10"/>
        <v>#VALUE!</v>
      </c>
      <c r="T352" s="116" t="e">
        <f t="shared" si="11"/>
        <v>#VALUE!</v>
      </c>
      <c r="U352" s="12"/>
      <c r="V352" s="107" t="str">
        <f>'SET 2 PLAYERS'!Q56</f>
        <v/>
      </c>
      <c r="W352" s="12"/>
    </row>
    <row r="353" spans="2:23" x14ac:dyDescent="0.25">
      <c r="B353" s="99" t="str">
        <f>'SET 2 PLAYERS'!G57</f>
        <v>CLASS 2</v>
      </c>
      <c r="C353" s="102" t="str">
        <f>IF(AND('ROSTER UPDATE'!B57=""),"",('ROSTER UPDATE'!B57))</f>
        <v/>
      </c>
      <c r="D353" s="103" t="str">
        <f>IF(AND('ROSTER UPDATE'!E57=""),"",('ROSTER UPDATE'!E57))</f>
        <v/>
      </c>
      <c r="E353" s="12"/>
      <c r="F353" s="102" t="str">
        <f>IF(AND('ROSTER UPDATE'!F57=""),"",('ROSTER UPDATE'!F57))</f>
        <v/>
      </c>
      <c r="G353" s="103" t="str">
        <f>IF(AND('ROSTER UPDATE'!C57=""),"",('ROSTER UPDATE'!C57))</f>
        <v/>
      </c>
      <c r="H353" s="12"/>
      <c r="I353" s="12"/>
      <c r="O353" s="12"/>
      <c r="P353" s="102">
        <f>'SET 2 PLAYERS'!O57</f>
        <v>0</v>
      </c>
      <c r="Q353" s="103">
        <f>'SET 2 PLAYERS'!P57</f>
        <v>0</v>
      </c>
      <c r="R353" s="14"/>
      <c r="S353" s="115" t="e">
        <f t="shared" si="10"/>
        <v>#VALUE!</v>
      </c>
      <c r="T353" s="116" t="e">
        <f t="shared" si="11"/>
        <v>#VALUE!</v>
      </c>
      <c r="U353" s="12"/>
      <c r="V353" s="107" t="str">
        <f>'SET 2 PLAYERS'!Q57</f>
        <v/>
      </c>
      <c r="W353" s="12"/>
    </row>
    <row r="354" spans="2:23" x14ac:dyDescent="0.25">
      <c r="B354" s="99" t="str">
        <f>'SET 2 PLAYERS'!G58</f>
        <v>CLASS 2</v>
      </c>
      <c r="C354" s="102" t="str">
        <f>IF(AND('ROSTER UPDATE'!B58=""),"",('ROSTER UPDATE'!B58))</f>
        <v/>
      </c>
      <c r="D354" s="103" t="str">
        <f>IF(AND('ROSTER UPDATE'!E58=""),"",('ROSTER UPDATE'!E58))</f>
        <v/>
      </c>
      <c r="E354" s="12"/>
      <c r="F354" s="102" t="str">
        <f>IF(AND('ROSTER UPDATE'!F58=""),"",('ROSTER UPDATE'!F58))</f>
        <v/>
      </c>
      <c r="G354" s="103" t="str">
        <f>IF(AND('ROSTER UPDATE'!C58=""),"",('ROSTER UPDATE'!C58))</f>
        <v/>
      </c>
      <c r="H354" s="12"/>
      <c r="I354" s="12"/>
      <c r="O354" s="12"/>
      <c r="P354" s="102">
        <f>'SET 2 PLAYERS'!O58</f>
        <v>0</v>
      </c>
      <c r="Q354" s="103">
        <f>'SET 2 PLAYERS'!P58</f>
        <v>0</v>
      </c>
      <c r="R354" s="14"/>
      <c r="S354" s="115" t="e">
        <f t="shared" si="10"/>
        <v>#VALUE!</v>
      </c>
      <c r="T354" s="116" t="e">
        <f t="shared" si="11"/>
        <v>#VALUE!</v>
      </c>
      <c r="U354" s="12"/>
      <c r="V354" s="107" t="str">
        <f>'SET 2 PLAYERS'!Q58</f>
        <v/>
      </c>
      <c r="W354" s="12"/>
    </row>
    <row r="355" spans="2:23" x14ac:dyDescent="0.25">
      <c r="B355" s="99" t="str">
        <f>'SET 2 PLAYERS'!G59</f>
        <v>CLASS 2</v>
      </c>
      <c r="C355" s="102" t="str">
        <f>IF(AND('ROSTER UPDATE'!B59=""),"",('ROSTER UPDATE'!B59))</f>
        <v/>
      </c>
      <c r="D355" s="103" t="str">
        <f>IF(AND('ROSTER UPDATE'!E59=""),"",('ROSTER UPDATE'!E59))</f>
        <v/>
      </c>
      <c r="E355" s="12"/>
      <c r="F355" s="102" t="str">
        <f>IF(AND('ROSTER UPDATE'!F59=""),"",('ROSTER UPDATE'!F59))</f>
        <v/>
      </c>
      <c r="G355" s="103" t="str">
        <f>IF(AND('ROSTER UPDATE'!C59=""),"",('ROSTER UPDATE'!C59))</f>
        <v/>
      </c>
      <c r="H355" s="12"/>
      <c r="I355" s="12"/>
      <c r="O355" s="12"/>
      <c r="P355" s="102">
        <f>'SET 2 PLAYERS'!O59</f>
        <v>0</v>
      </c>
      <c r="Q355" s="103">
        <f>'SET 2 PLAYERS'!P59</f>
        <v>0</v>
      </c>
      <c r="R355" s="14"/>
      <c r="S355" s="115" t="e">
        <f t="shared" si="10"/>
        <v>#VALUE!</v>
      </c>
      <c r="T355" s="116" t="e">
        <f t="shared" si="11"/>
        <v>#VALUE!</v>
      </c>
      <c r="U355" s="12"/>
      <c r="V355" s="107" t="str">
        <f>'SET 2 PLAYERS'!Q59</f>
        <v/>
      </c>
      <c r="W355" s="12"/>
    </row>
    <row r="356" spans="2:23" x14ac:dyDescent="0.25">
      <c r="B356" s="99" t="str">
        <f>'SET 2 PLAYERS'!G60</f>
        <v>CLASS 2</v>
      </c>
      <c r="C356" s="102" t="str">
        <f>IF(AND('ROSTER UPDATE'!B60=""),"",('ROSTER UPDATE'!B60))</f>
        <v/>
      </c>
      <c r="D356" s="103" t="str">
        <f>IF(AND('ROSTER UPDATE'!E60=""),"",('ROSTER UPDATE'!E60))</f>
        <v/>
      </c>
      <c r="E356" s="12"/>
      <c r="F356" s="102" t="str">
        <f>IF(AND('ROSTER UPDATE'!F60=""),"",('ROSTER UPDATE'!F60))</f>
        <v/>
      </c>
      <c r="G356" s="103" t="str">
        <f>IF(AND('ROSTER UPDATE'!C60=""),"",('ROSTER UPDATE'!C60))</f>
        <v/>
      </c>
      <c r="H356" s="12"/>
      <c r="I356" s="12"/>
      <c r="O356" s="12"/>
      <c r="P356" s="102">
        <f>'SET 2 PLAYERS'!O60</f>
        <v>0</v>
      </c>
      <c r="Q356" s="103">
        <f>'SET 2 PLAYERS'!P60</f>
        <v>0</v>
      </c>
      <c r="R356" s="14"/>
      <c r="S356" s="115" t="e">
        <f t="shared" si="10"/>
        <v>#VALUE!</v>
      </c>
      <c r="T356" s="116" t="e">
        <f t="shared" si="11"/>
        <v>#VALUE!</v>
      </c>
      <c r="U356" s="12"/>
      <c r="V356" s="107" t="str">
        <f>'SET 2 PLAYERS'!Q60</f>
        <v/>
      </c>
      <c r="W356" s="12"/>
    </row>
    <row r="357" spans="2:23" x14ac:dyDescent="0.25">
      <c r="B357" s="99" t="str">
        <f>'SET 2 PLAYERS'!G61</f>
        <v>CLASS 2</v>
      </c>
      <c r="C357" s="102" t="str">
        <f>IF(AND('ROSTER UPDATE'!B61=""),"",('ROSTER UPDATE'!B61))</f>
        <v/>
      </c>
      <c r="D357" s="103" t="str">
        <f>IF(AND('ROSTER UPDATE'!E61=""),"",('ROSTER UPDATE'!E61))</f>
        <v/>
      </c>
      <c r="E357" s="12"/>
      <c r="F357" s="102" t="str">
        <f>IF(AND('ROSTER UPDATE'!F61=""),"",('ROSTER UPDATE'!F61))</f>
        <v/>
      </c>
      <c r="G357" s="103" t="str">
        <f>IF(AND('ROSTER UPDATE'!C61=""),"",('ROSTER UPDATE'!C61))</f>
        <v/>
      </c>
      <c r="H357" s="12"/>
      <c r="I357" s="12"/>
      <c r="O357" s="12"/>
      <c r="P357" s="102">
        <f>'SET 2 PLAYERS'!O61</f>
        <v>0</v>
      </c>
      <c r="Q357" s="103">
        <f>'SET 2 PLAYERS'!P61</f>
        <v>0</v>
      </c>
      <c r="R357" s="14"/>
      <c r="S357" s="115" t="e">
        <f t="shared" si="10"/>
        <v>#VALUE!</v>
      </c>
      <c r="T357" s="116" t="e">
        <f t="shared" si="11"/>
        <v>#VALUE!</v>
      </c>
      <c r="U357" s="12"/>
      <c r="V357" s="107" t="str">
        <f>'SET 2 PLAYERS'!Q61</f>
        <v/>
      </c>
      <c r="W357" s="12"/>
    </row>
    <row r="358" spans="2:23" x14ac:dyDescent="0.25">
      <c r="B358" s="99" t="str">
        <f>'SET 2 PLAYERS'!G62</f>
        <v>CLASS 2</v>
      </c>
      <c r="C358" s="102" t="str">
        <f>IF(AND('ROSTER UPDATE'!B62=""),"",('ROSTER UPDATE'!B62))</f>
        <v/>
      </c>
      <c r="D358" s="103" t="str">
        <f>IF(AND('ROSTER UPDATE'!E62=""),"",('ROSTER UPDATE'!E62))</f>
        <v/>
      </c>
      <c r="E358" s="12"/>
      <c r="F358" s="102" t="str">
        <f>IF(AND('ROSTER UPDATE'!F62=""),"",('ROSTER UPDATE'!F62))</f>
        <v/>
      </c>
      <c r="G358" s="103" t="str">
        <f>IF(AND('ROSTER UPDATE'!C62=""),"",('ROSTER UPDATE'!C62))</f>
        <v/>
      </c>
      <c r="H358" s="12"/>
      <c r="I358" s="12"/>
      <c r="O358" s="12"/>
      <c r="P358" s="102">
        <f>'SET 2 PLAYERS'!O62</f>
        <v>0</v>
      </c>
      <c r="Q358" s="103">
        <f>'SET 2 PLAYERS'!P62</f>
        <v>0</v>
      </c>
      <c r="R358" s="14"/>
      <c r="S358" s="115" t="e">
        <f t="shared" si="10"/>
        <v>#VALUE!</v>
      </c>
      <c r="T358" s="116" t="e">
        <f t="shared" si="11"/>
        <v>#VALUE!</v>
      </c>
      <c r="U358" s="12"/>
      <c r="V358" s="107" t="str">
        <f>'SET 2 PLAYERS'!Q62</f>
        <v/>
      </c>
      <c r="W358" s="12"/>
    </row>
    <row r="359" spans="2:23" x14ac:dyDescent="0.25">
      <c r="B359" s="99" t="str">
        <f>'SET 2 PLAYERS'!G63</f>
        <v>CLASS 2</v>
      </c>
      <c r="C359" s="102" t="str">
        <f>IF(AND('ROSTER UPDATE'!B63=""),"",('ROSTER UPDATE'!B63))</f>
        <v/>
      </c>
      <c r="D359" s="103" t="str">
        <f>IF(AND('ROSTER UPDATE'!E63=""),"",('ROSTER UPDATE'!E63))</f>
        <v/>
      </c>
      <c r="E359" s="12"/>
      <c r="F359" s="102" t="str">
        <f>IF(AND('ROSTER UPDATE'!F63=""),"",('ROSTER UPDATE'!F63))</f>
        <v/>
      </c>
      <c r="G359" s="103" t="str">
        <f>IF(AND('ROSTER UPDATE'!C63=""),"",('ROSTER UPDATE'!C63))</f>
        <v/>
      </c>
      <c r="H359" s="12"/>
      <c r="I359" s="12"/>
      <c r="O359" s="12"/>
      <c r="P359" s="102">
        <f>'SET 2 PLAYERS'!O63</f>
        <v>0</v>
      </c>
      <c r="Q359" s="103">
        <f>'SET 2 PLAYERS'!P63</f>
        <v>0</v>
      </c>
      <c r="R359" s="14"/>
      <c r="S359" s="115" t="e">
        <f t="shared" si="10"/>
        <v>#VALUE!</v>
      </c>
      <c r="T359" s="116" t="e">
        <f t="shared" si="11"/>
        <v>#VALUE!</v>
      </c>
      <c r="U359" s="12"/>
      <c r="V359" s="107" t="str">
        <f>'SET 2 PLAYERS'!Q63</f>
        <v/>
      </c>
      <c r="W359" s="12"/>
    </row>
    <row r="360" spans="2:23" x14ac:dyDescent="0.25">
      <c r="B360" s="99" t="str">
        <f>'SET 2 PLAYERS'!G64</f>
        <v>CLASS 2</v>
      </c>
      <c r="C360" s="102" t="str">
        <f>IF(AND('ROSTER UPDATE'!B64=""),"",('ROSTER UPDATE'!B64))</f>
        <v/>
      </c>
      <c r="D360" s="103" t="str">
        <f>IF(AND('ROSTER UPDATE'!E64=""),"",('ROSTER UPDATE'!E64))</f>
        <v/>
      </c>
      <c r="E360" s="12"/>
      <c r="F360" s="102" t="str">
        <f>IF(AND('ROSTER UPDATE'!F64=""),"",('ROSTER UPDATE'!F64))</f>
        <v/>
      </c>
      <c r="G360" s="103" t="str">
        <f>IF(AND('ROSTER UPDATE'!C64=""),"",('ROSTER UPDATE'!C64))</f>
        <v/>
      </c>
      <c r="H360" s="12"/>
      <c r="I360" s="12"/>
      <c r="O360" s="12"/>
      <c r="P360" s="102">
        <f>'SET 2 PLAYERS'!O64</f>
        <v>0</v>
      </c>
      <c r="Q360" s="103">
        <f>'SET 2 PLAYERS'!P64</f>
        <v>0</v>
      </c>
      <c r="R360" s="14"/>
      <c r="S360" s="115" t="e">
        <f t="shared" si="10"/>
        <v>#VALUE!</v>
      </c>
      <c r="T360" s="116" t="e">
        <f t="shared" si="11"/>
        <v>#VALUE!</v>
      </c>
      <c r="U360" s="12"/>
      <c r="V360" s="107" t="str">
        <f>'SET 2 PLAYERS'!Q64</f>
        <v/>
      </c>
      <c r="W360" s="12"/>
    </row>
    <row r="361" spans="2:23" x14ac:dyDescent="0.25">
      <c r="B361" s="99" t="str">
        <f>'SET 2 PLAYERS'!G65</f>
        <v>CLASS 2</v>
      </c>
      <c r="C361" s="102" t="str">
        <f>IF(AND('ROSTER UPDATE'!B65=""),"",('ROSTER UPDATE'!B65))</f>
        <v/>
      </c>
      <c r="D361" s="103" t="str">
        <f>IF(AND('ROSTER UPDATE'!E65=""),"",('ROSTER UPDATE'!E65))</f>
        <v/>
      </c>
      <c r="E361" s="12"/>
      <c r="F361" s="102" t="str">
        <f>IF(AND('ROSTER UPDATE'!F65=""),"",('ROSTER UPDATE'!F65))</f>
        <v/>
      </c>
      <c r="G361" s="103" t="str">
        <f>IF(AND('ROSTER UPDATE'!C65=""),"",('ROSTER UPDATE'!C65))</f>
        <v/>
      </c>
      <c r="H361" s="12"/>
      <c r="I361" s="12"/>
      <c r="O361" s="12"/>
      <c r="P361" s="102">
        <f>'SET 2 PLAYERS'!O65</f>
        <v>0</v>
      </c>
      <c r="Q361" s="103">
        <f>'SET 2 PLAYERS'!P65</f>
        <v>0</v>
      </c>
      <c r="R361" s="14"/>
      <c r="S361" s="115" t="e">
        <f t="shared" si="10"/>
        <v>#VALUE!</v>
      </c>
      <c r="T361" s="116" t="e">
        <f t="shared" si="11"/>
        <v>#VALUE!</v>
      </c>
      <c r="U361" s="12"/>
      <c r="V361" s="107" t="str">
        <f>'SET 2 PLAYERS'!Q65</f>
        <v/>
      </c>
      <c r="W361" s="12"/>
    </row>
    <row r="362" spans="2:23" x14ac:dyDescent="0.25">
      <c r="B362" s="99" t="str">
        <f>'SET 2 PLAYERS'!G66</f>
        <v>CLASS 2</v>
      </c>
      <c r="C362" s="102" t="str">
        <f>IF(AND('ROSTER UPDATE'!B66=""),"",('ROSTER UPDATE'!B66))</f>
        <v/>
      </c>
      <c r="D362" s="103" t="str">
        <f>IF(AND('ROSTER UPDATE'!E66=""),"",('ROSTER UPDATE'!E66))</f>
        <v/>
      </c>
      <c r="E362" s="12"/>
      <c r="F362" s="102" t="str">
        <f>IF(AND('ROSTER UPDATE'!F66=""),"",('ROSTER UPDATE'!F66))</f>
        <v/>
      </c>
      <c r="G362" s="103" t="str">
        <f>IF(AND('ROSTER UPDATE'!C66=""),"",('ROSTER UPDATE'!C66))</f>
        <v/>
      </c>
      <c r="H362" s="12"/>
      <c r="I362" s="12"/>
      <c r="O362" s="12"/>
      <c r="P362" s="102">
        <f>'SET 2 PLAYERS'!O66</f>
        <v>0</v>
      </c>
      <c r="Q362" s="103">
        <f>'SET 2 PLAYERS'!P66</f>
        <v>0</v>
      </c>
      <c r="R362" s="14"/>
      <c r="S362" s="115" t="e">
        <f t="shared" si="10"/>
        <v>#VALUE!</v>
      </c>
      <c r="T362" s="116" t="e">
        <f t="shared" si="11"/>
        <v>#VALUE!</v>
      </c>
      <c r="U362" s="12"/>
      <c r="V362" s="107" t="str">
        <f>'SET 2 PLAYERS'!Q66</f>
        <v/>
      </c>
      <c r="W362" s="12"/>
    </row>
    <row r="363" spans="2:23" x14ac:dyDescent="0.25">
      <c r="B363" s="99" t="str">
        <f>'SET 2 PLAYERS'!G67</f>
        <v>CLASS 2</v>
      </c>
      <c r="C363" s="102" t="str">
        <f>IF(AND('ROSTER UPDATE'!B67=""),"",('ROSTER UPDATE'!B67))</f>
        <v/>
      </c>
      <c r="D363" s="103" t="str">
        <f>IF(AND('ROSTER UPDATE'!E67=""),"",('ROSTER UPDATE'!E67))</f>
        <v/>
      </c>
      <c r="E363" s="12"/>
      <c r="F363" s="102" t="str">
        <f>IF(AND('ROSTER UPDATE'!F67=""),"",('ROSTER UPDATE'!F67))</f>
        <v/>
      </c>
      <c r="G363" s="103" t="str">
        <f>IF(AND('ROSTER UPDATE'!C67=""),"",('ROSTER UPDATE'!C67))</f>
        <v/>
      </c>
      <c r="H363" s="12"/>
      <c r="I363" s="12"/>
      <c r="O363" s="12"/>
      <c r="P363" s="102">
        <f>'SET 2 PLAYERS'!O67</f>
        <v>0</v>
      </c>
      <c r="Q363" s="103">
        <f>'SET 2 PLAYERS'!P67</f>
        <v>0</v>
      </c>
      <c r="R363" s="14"/>
      <c r="S363" s="115" t="e">
        <f t="shared" si="10"/>
        <v>#VALUE!</v>
      </c>
      <c r="T363" s="116" t="e">
        <f t="shared" si="11"/>
        <v>#VALUE!</v>
      </c>
      <c r="U363" s="12"/>
      <c r="V363" s="107" t="str">
        <f>'SET 2 PLAYERS'!Q67</f>
        <v/>
      </c>
      <c r="W363" s="12"/>
    </row>
    <row r="364" spans="2:23" x14ac:dyDescent="0.25">
      <c r="B364" s="99" t="str">
        <f>'SET 2 PLAYERS'!G68</f>
        <v>CLASS 2</v>
      </c>
      <c r="C364" s="102" t="str">
        <f>IF(AND('ROSTER UPDATE'!B68=""),"",('ROSTER UPDATE'!B68))</f>
        <v/>
      </c>
      <c r="D364" s="103" t="str">
        <f>IF(AND('ROSTER UPDATE'!E68=""),"",('ROSTER UPDATE'!E68))</f>
        <v/>
      </c>
      <c r="E364" s="12"/>
      <c r="F364" s="102" t="str">
        <f>IF(AND('ROSTER UPDATE'!F68=""),"",('ROSTER UPDATE'!F68))</f>
        <v/>
      </c>
      <c r="G364" s="103" t="str">
        <f>IF(AND('ROSTER UPDATE'!C68=""),"",('ROSTER UPDATE'!C68))</f>
        <v/>
      </c>
      <c r="H364" s="12"/>
      <c r="I364" s="12"/>
      <c r="O364" s="12"/>
      <c r="P364" s="102">
        <f>'SET 2 PLAYERS'!O68</f>
        <v>0</v>
      </c>
      <c r="Q364" s="103">
        <f>'SET 2 PLAYERS'!P68</f>
        <v>0</v>
      </c>
      <c r="R364" s="14"/>
      <c r="S364" s="115" t="e">
        <f t="shared" si="10"/>
        <v>#VALUE!</v>
      </c>
      <c r="T364" s="116" t="e">
        <f t="shared" si="11"/>
        <v>#VALUE!</v>
      </c>
      <c r="U364" s="12"/>
      <c r="V364" s="107" t="str">
        <f>'SET 2 PLAYERS'!Q68</f>
        <v/>
      </c>
      <c r="W364" s="12"/>
    </row>
    <row r="365" spans="2:23" x14ac:dyDescent="0.25">
      <c r="B365" s="99" t="str">
        <f>'SET 2 PLAYERS'!G69</f>
        <v>CLASS 2</v>
      </c>
      <c r="C365" s="102" t="str">
        <f>IF(AND('ROSTER UPDATE'!B69=""),"",('ROSTER UPDATE'!B69))</f>
        <v/>
      </c>
      <c r="D365" s="103" t="str">
        <f>IF(AND('ROSTER UPDATE'!E69=""),"",('ROSTER UPDATE'!E69))</f>
        <v/>
      </c>
      <c r="E365" s="12"/>
      <c r="F365" s="102" t="str">
        <f>IF(AND('ROSTER UPDATE'!F69=""),"",('ROSTER UPDATE'!F69))</f>
        <v/>
      </c>
      <c r="G365" s="103" t="str">
        <f>IF(AND('ROSTER UPDATE'!C69=""),"",('ROSTER UPDATE'!C69))</f>
        <v/>
      </c>
      <c r="H365" s="12"/>
      <c r="I365" s="12"/>
      <c r="O365" s="12"/>
      <c r="P365" s="102">
        <f>'SET 2 PLAYERS'!O69</f>
        <v>0</v>
      </c>
      <c r="Q365" s="103">
        <f>'SET 2 PLAYERS'!P69</f>
        <v>0</v>
      </c>
      <c r="R365" s="14"/>
      <c r="S365" s="115" t="e">
        <f t="shared" si="10"/>
        <v>#VALUE!</v>
      </c>
      <c r="T365" s="116" t="e">
        <f t="shared" si="11"/>
        <v>#VALUE!</v>
      </c>
      <c r="U365" s="12"/>
      <c r="V365" s="107" t="str">
        <f>'SET 2 PLAYERS'!Q69</f>
        <v/>
      </c>
      <c r="W365" s="12"/>
    </row>
    <row r="366" spans="2:23" x14ac:dyDescent="0.25">
      <c r="B366" s="99" t="str">
        <f>'SET 2 PLAYERS'!G70</f>
        <v>CLASS 2</v>
      </c>
      <c r="C366" s="102" t="str">
        <f>IF(AND('ROSTER UPDATE'!B70=""),"",('ROSTER UPDATE'!B70))</f>
        <v/>
      </c>
      <c r="D366" s="103" t="str">
        <f>IF(AND('ROSTER UPDATE'!E70=""),"",('ROSTER UPDATE'!E70))</f>
        <v/>
      </c>
      <c r="E366" s="12"/>
      <c r="F366" s="102" t="str">
        <f>IF(AND('ROSTER UPDATE'!F70=""),"",('ROSTER UPDATE'!F70))</f>
        <v/>
      </c>
      <c r="G366" s="103" t="str">
        <f>IF(AND('ROSTER UPDATE'!C70=""),"",('ROSTER UPDATE'!C70))</f>
        <v/>
      </c>
      <c r="H366" s="12"/>
      <c r="I366" s="12"/>
      <c r="O366" s="12"/>
      <c r="P366" s="102">
        <f>'SET 2 PLAYERS'!O70</f>
        <v>0</v>
      </c>
      <c r="Q366" s="103">
        <f>'SET 2 PLAYERS'!P70</f>
        <v>0</v>
      </c>
      <c r="R366" s="14"/>
      <c r="S366" s="115" t="e">
        <f t="shared" ref="S366:S429" si="12">V366/P366</f>
        <v>#VALUE!</v>
      </c>
      <c r="T366" s="116" t="e">
        <f t="shared" ref="T366:T429" si="13">V366/Q366</f>
        <v>#VALUE!</v>
      </c>
      <c r="U366" s="12"/>
      <c r="V366" s="107" t="str">
        <f>'SET 2 PLAYERS'!Q70</f>
        <v/>
      </c>
      <c r="W366" s="12"/>
    </row>
    <row r="367" spans="2:23" x14ac:dyDescent="0.25">
      <c r="B367" s="99" t="str">
        <f>'SET 2 PLAYERS'!G71</f>
        <v>CLASS 2</v>
      </c>
      <c r="C367" s="102" t="str">
        <f>IF(AND('ROSTER UPDATE'!B71=""),"",('ROSTER UPDATE'!B71))</f>
        <v/>
      </c>
      <c r="D367" s="103" t="str">
        <f>IF(AND('ROSTER UPDATE'!E71=""),"",('ROSTER UPDATE'!E71))</f>
        <v/>
      </c>
      <c r="E367" s="12"/>
      <c r="F367" s="102" t="str">
        <f>IF(AND('ROSTER UPDATE'!F71=""),"",('ROSTER UPDATE'!F71))</f>
        <v/>
      </c>
      <c r="G367" s="103" t="str">
        <f>IF(AND('ROSTER UPDATE'!C71=""),"",('ROSTER UPDATE'!C71))</f>
        <v/>
      </c>
      <c r="H367" s="12"/>
      <c r="I367" s="12"/>
      <c r="O367" s="12"/>
      <c r="P367" s="102">
        <f>'SET 2 PLAYERS'!O71</f>
        <v>0</v>
      </c>
      <c r="Q367" s="103">
        <f>'SET 2 PLAYERS'!P71</f>
        <v>0</v>
      </c>
      <c r="R367" s="14"/>
      <c r="S367" s="115" t="e">
        <f t="shared" si="12"/>
        <v>#VALUE!</v>
      </c>
      <c r="T367" s="116" t="e">
        <f t="shared" si="13"/>
        <v>#VALUE!</v>
      </c>
      <c r="U367" s="12"/>
      <c r="V367" s="107" t="str">
        <f>'SET 2 PLAYERS'!Q71</f>
        <v/>
      </c>
      <c r="W367" s="12"/>
    </row>
    <row r="368" spans="2:23" x14ac:dyDescent="0.25">
      <c r="B368" s="99" t="str">
        <f>'SET 2 PLAYERS'!G72</f>
        <v>CLASS 2</v>
      </c>
      <c r="C368" s="102" t="str">
        <f>IF(AND('ROSTER UPDATE'!B72=""),"",('ROSTER UPDATE'!B72))</f>
        <v/>
      </c>
      <c r="D368" s="103" t="str">
        <f>IF(AND('ROSTER UPDATE'!E72=""),"",('ROSTER UPDATE'!E72))</f>
        <v/>
      </c>
      <c r="E368" s="12"/>
      <c r="F368" s="102" t="str">
        <f>IF(AND('ROSTER UPDATE'!F72=""),"",('ROSTER UPDATE'!F72))</f>
        <v/>
      </c>
      <c r="G368" s="103" t="str">
        <f>IF(AND('ROSTER UPDATE'!C72=""),"",('ROSTER UPDATE'!C72))</f>
        <v/>
      </c>
      <c r="H368" s="12"/>
      <c r="I368" s="12"/>
      <c r="O368" s="12"/>
      <c r="P368" s="102">
        <f>'SET 2 PLAYERS'!O72</f>
        <v>0</v>
      </c>
      <c r="Q368" s="103">
        <f>'SET 2 PLAYERS'!P72</f>
        <v>0</v>
      </c>
      <c r="R368" s="14"/>
      <c r="S368" s="115" t="e">
        <f t="shared" si="12"/>
        <v>#VALUE!</v>
      </c>
      <c r="T368" s="116" t="e">
        <f t="shared" si="13"/>
        <v>#VALUE!</v>
      </c>
      <c r="U368" s="12"/>
      <c r="V368" s="107" t="str">
        <f>'SET 2 PLAYERS'!Q72</f>
        <v/>
      </c>
      <c r="W368" s="12"/>
    </row>
    <row r="369" spans="2:23" x14ac:dyDescent="0.25">
      <c r="B369" s="99" t="str">
        <f>'SET 2 PLAYERS'!G73</f>
        <v>CLASS 2</v>
      </c>
      <c r="C369" s="102" t="str">
        <f>IF(AND('ROSTER UPDATE'!B73=""),"",('ROSTER UPDATE'!B73))</f>
        <v/>
      </c>
      <c r="D369" s="103" t="str">
        <f>IF(AND('ROSTER UPDATE'!E73=""),"",('ROSTER UPDATE'!E73))</f>
        <v/>
      </c>
      <c r="E369" s="12"/>
      <c r="F369" s="102" t="str">
        <f>IF(AND('ROSTER UPDATE'!F73=""),"",('ROSTER UPDATE'!F73))</f>
        <v/>
      </c>
      <c r="G369" s="103" t="str">
        <f>IF(AND('ROSTER UPDATE'!C73=""),"",('ROSTER UPDATE'!C73))</f>
        <v/>
      </c>
      <c r="H369" s="12"/>
      <c r="I369" s="12"/>
      <c r="O369" s="12"/>
      <c r="P369" s="102">
        <f>'SET 2 PLAYERS'!O73</f>
        <v>0</v>
      </c>
      <c r="Q369" s="103">
        <f>'SET 2 PLAYERS'!P73</f>
        <v>0</v>
      </c>
      <c r="R369" s="14"/>
      <c r="S369" s="115" t="e">
        <f t="shared" si="12"/>
        <v>#VALUE!</v>
      </c>
      <c r="T369" s="116" t="e">
        <f t="shared" si="13"/>
        <v>#VALUE!</v>
      </c>
      <c r="U369" s="12"/>
      <c r="V369" s="107" t="str">
        <f>'SET 2 PLAYERS'!Q73</f>
        <v/>
      </c>
      <c r="W369" s="12"/>
    </row>
    <row r="370" spans="2:23" x14ac:dyDescent="0.25">
      <c r="B370" s="99" t="str">
        <f>'SET 2 PLAYERS'!G74</f>
        <v>CLASS 2</v>
      </c>
      <c r="C370" s="102" t="str">
        <f>IF(AND('ROSTER UPDATE'!B74=""),"",('ROSTER UPDATE'!B74))</f>
        <v/>
      </c>
      <c r="D370" s="103" t="str">
        <f>IF(AND('ROSTER UPDATE'!E74=""),"",('ROSTER UPDATE'!E74))</f>
        <v/>
      </c>
      <c r="E370" s="12"/>
      <c r="F370" s="102" t="str">
        <f>IF(AND('ROSTER UPDATE'!F74=""),"",('ROSTER UPDATE'!F74))</f>
        <v/>
      </c>
      <c r="G370" s="103" t="str">
        <f>IF(AND('ROSTER UPDATE'!C74=""),"",('ROSTER UPDATE'!C74))</f>
        <v/>
      </c>
      <c r="H370" s="12"/>
      <c r="I370" s="12"/>
      <c r="O370" s="12"/>
      <c r="P370" s="102">
        <f>'SET 2 PLAYERS'!O74</f>
        <v>0</v>
      </c>
      <c r="Q370" s="103">
        <f>'SET 2 PLAYERS'!P74</f>
        <v>0</v>
      </c>
      <c r="R370" s="14"/>
      <c r="S370" s="115" t="e">
        <f t="shared" si="12"/>
        <v>#VALUE!</v>
      </c>
      <c r="T370" s="116" t="e">
        <f t="shared" si="13"/>
        <v>#VALUE!</v>
      </c>
      <c r="U370" s="12"/>
      <c r="V370" s="107" t="str">
        <f>'SET 2 PLAYERS'!Q74</f>
        <v/>
      </c>
      <c r="W370" s="12"/>
    </row>
    <row r="371" spans="2:23" x14ac:dyDescent="0.25">
      <c r="B371" s="99" t="str">
        <f>'SET 2 PLAYERS'!G75</f>
        <v>CLASS 2</v>
      </c>
      <c r="C371" s="102" t="str">
        <f>IF(AND('ROSTER UPDATE'!B75=""),"",('ROSTER UPDATE'!B75))</f>
        <v/>
      </c>
      <c r="D371" s="103" t="str">
        <f>IF(AND('ROSTER UPDATE'!E75=""),"",('ROSTER UPDATE'!E75))</f>
        <v/>
      </c>
      <c r="E371" s="12"/>
      <c r="F371" s="102" t="str">
        <f>IF(AND('ROSTER UPDATE'!F75=""),"",('ROSTER UPDATE'!F75))</f>
        <v/>
      </c>
      <c r="G371" s="103" t="str">
        <f>IF(AND('ROSTER UPDATE'!C75=""),"",('ROSTER UPDATE'!C75))</f>
        <v/>
      </c>
      <c r="H371" s="12"/>
      <c r="I371" s="12"/>
      <c r="O371" s="12"/>
      <c r="P371" s="102">
        <f>'SET 2 PLAYERS'!O75</f>
        <v>0</v>
      </c>
      <c r="Q371" s="103">
        <f>'SET 2 PLAYERS'!P75</f>
        <v>0</v>
      </c>
      <c r="R371" s="14"/>
      <c r="S371" s="115" t="e">
        <f t="shared" si="12"/>
        <v>#VALUE!</v>
      </c>
      <c r="T371" s="116" t="e">
        <f t="shared" si="13"/>
        <v>#VALUE!</v>
      </c>
      <c r="U371" s="12"/>
      <c r="V371" s="107" t="str">
        <f>'SET 2 PLAYERS'!Q75</f>
        <v/>
      </c>
      <c r="W371" s="12"/>
    </row>
    <row r="372" spans="2:23" x14ac:dyDescent="0.25">
      <c r="B372" s="99" t="str">
        <f>'SET 2 PLAYERS'!G76</f>
        <v>CLASS 2</v>
      </c>
      <c r="C372" s="102" t="str">
        <f>IF(AND('ROSTER UPDATE'!B76=""),"",('ROSTER UPDATE'!B76))</f>
        <v/>
      </c>
      <c r="D372" s="103" t="str">
        <f>IF(AND('ROSTER UPDATE'!E76=""),"",('ROSTER UPDATE'!E76))</f>
        <v/>
      </c>
      <c r="E372" s="12"/>
      <c r="F372" s="102" t="str">
        <f>IF(AND('ROSTER UPDATE'!F76=""),"",('ROSTER UPDATE'!F76))</f>
        <v/>
      </c>
      <c r="G372" s="103" t="str">
        <f>IF(AND('ROSTER UPDATE'!C76=""),"",('ROSTER UPDATE'!C76))</f>
        <v/>
      </c>
      <c r="H372" s="12"/>
      <c r="I372" s="12"/>
      <c r="O372" s="12"/>
      <c r="P372" s="102">
        <f>'SET 2 PLAYERS'!O76</f>
        <v>0</v>
      </c>
      <c r="Q372" s="103">
        <f>'SET 2 PLAYERS'!P76</f>
        <v>0</v>
      </c>
      <c r="R372" s="14"/>
      <c r="S372" s="115" t="e">
        <f t="shared" si="12"/>
        <v>#VALUE!</v>
      </c>
      <c r="T372" s="116" t="e">
        <f t="shared" si="13"/>
        <v>#VALUE!</v>
      </c>
      <c r="U372" s="12"/>
      <c r="V372" s="107" t="str">
        <f>'SET 2 PLAYERS'!Q76</f>
        <v/>
      </c>
      <c r="W372" s="12"/>
    </row>
    <row r="373" spans="2:23" x14ac:dyDescent="0.25">
      <c r="B373" s="99" t="str">
        <f>'SET 2 PLAYERS'!G77</f>
        <v>CLASS 2</v>
      </c>
      <c r="C373" s="102" t="str">
        <f>IF(AND('ROSTER UPDATE'!B77=""),"",('ROSTER UPDATE'!B77))</f>
        <v/>
      </c>
      <c r="D373" s="103" t="str">
        <f>IF(AND('ROSTER UPDATE'!E77=""),"",('ROSTER UPDATE'!E77))</f>
        <v/>
      </c>
      <c r="E373" s="12"/>
      <c r="F373" s="102" t="str">
        <f>IF(AND('ROSTER UPDATE'!F77=""),"",('ROSTER UPDATE'!F77))</f>
        <v/>
      </c>
      <c r="G373" s="103" t="str">
        <f>IF(AND('ROSTER UPDATE'!C77=""),"",('ROSTER UPDATE'!C77))</f>
        <v/>
      </c>
      <c r="H373" s="12"/>
      <c r="I373" s="12"/>
      <c r="O373" s="12"/>
      <c r="P373" s="102">
        <f>'SET 2 PLAYERS'!O77</f>
        <v>0</v>
      </c>
      <c r="Q373" s="103">
        <f>'SET 2 PLAYERS'!P77</f>
        <v>0</v>
      </c>
      <c r="R373" s="14"/>
      <c r="S373" s="115" t="e">
        <f t="shared" si="12"/>
        <v>#VALUE!</v>
      </c>
      <c r="T373" s="116" t="e">
        <f t="shared" si="13"/>
        <v>#VALUE!</v>
      </c>
      <c r="U373" s="12"/>
      <c r="V373" s="107" t="str">
        <f>'SET 2 PLAYERS'!Q77</f>
        <v/>
      </c>
      <c r="W373" s="12"/>
    </row>
    <row r="374" spans="2:23" x14ac:dyDescent="0.25">
      <c r="B374" s="99" t="str">
        <f>'SET 2 PLAYERS'!G78</f>
        <v>CLASS 2</v>
      </c>
      <c r="C374" s="102" t="str">
        <f>IF(AND('ROSTER UPDATE'!B78=""),"",('ROSTER UPDATE'!B78))</f>
        <v/>
      </c>
      <c r="D374" s="103" t="str">
        <f>IF(AND('ROSTER UPDATE'!E78=""),"",('ROSTER UPDATE'!E78))</f>
        <v/>
      </c>
      <c r="E374" s="12"/>
      <c r="F374" s="102" t="str">
        <f>IF(AND('ROSTER UPDATE'!F78=""),"",('ROSTER UPDATE'!F78))</f>
        <v/>
      </c>
      <c r="G374" s="103" t="str">
        <f>IF(AND('ROSTER UPDATE'!C78=""),"",('ROSTER UPDATE'!C78))</f>
        <v/>
      </c>
      <c r="H374" s="12"/>
      <c r="I374" s="12"/>
      <c r="O374" s="12"/>
      <c r="P374" s="102">
        <f>'SET 2 PLAYERS'!O78</f>
        <v>0</v>
      </c>
      <c r="Q374" s="103">
        <f>'SET 2 PLAYERS'!P78</f>
        <v>0</v>
      </c>
      <c r="R374" s="14"/>
      <c r="S374" s="115" t="e">
        <f t="shared" si="12"/>
        <v>#VALUE!</v>
      </c>
      <c r="T374" s="116" t="e">
        <f t="shared" si="13"/>
        <v>#VALUE!</v>
      </c>
      <c r="U374" s="12"/>
      <c r="V374" s="107" t="str">
        <f>'SET 2 PLAYERS'!Q78</f>
        <v/>
      </c>
      <c r="W374" s="12"/>
    </row>
    <row r="375" spans="2:23" x14ac:dyDescent="0.25">
      <c r="B375" s="99" t="str">
        <f>'SET 2 PLAYERS'!G79</f>
        <v>CLASS 2</v>
      </c>
      <c r="C375" s="102" t="str">
        <f>IF(AND('ROSTER UPDATE'!B79=""),"",('ROSTER UPDATE'!B79))</f>
        <v/>
      </c>
      <c r="D375" s="103" t="str">
        <f>IF(AND('ROSTER UPDATE'!E79=""),"",('ROSTER UPDATE'!E79))</f>
        <v/>
      </c>
      <c r="E375" s="12"/>
      <c r="F375" s="102" t="str">
        <f>IF(AND('ROSTER UPDATE'!F79=""),"",('ROSTER UPDATE'!F79))</f>
        <v/>
      </c>
      <c r="G375" s="103" t="str">
        <f>IF(AND('ROSTER UPDATE'!C79=""),"",('ROSTER UPDATE'!C79))</f>
        <v/>
      </c>
      <c r="H375" s="12"/>
      <c r="I375" s="12"/>
      <c r="O375" s="12"/>
      <c r="P375" s="102">
        <f>'SET 2 PLAYERS'!O79</f>
        <v>0</v>
      </c>
      <c r="Q375" s="103">
        <f>'SET 2 PLAYERS'!P79</f>
        <v>0</v>
      </c>
      <c r="R375" s="14"/>
      <c r="S375" s="115" t="e">
        <f t="shared" si="12"/>
        <v>#VALUE!</v>
      </c>
      <c r="T375" s="116" t="e">
        <f t="shared" si="13"/>
        <v>#VALUE!</v>
      </c>
      <c r="U375" s="12"/>
      <c r="V375" s="107" t="str">
        <f>'SET 2 PLAYERS'!Q79</f>
        <v/>
      </c>
      <c r="W375" s="12"/>
    </row>
    <row r="376" spans="2:23" x14ac:dyDescent="0.25">
      <c r="B376" s="99" t="str">
        <f>'SET 2 PLAYERS'!G80</f>
        <v>CLASS 2</v>
      </c>
      <c r="C376" s="102" t="str">
        <f>IF(AND('ROSTER UPDATE'!B80=""),"",('ROSTER UPDATE'!B80))</f>
        <v/>
      </c>
      <c r="D376" s="103" t="str">
        <f>IF(AND('ROSTER UPDATE'!E80=""),"",('ROSTER UPDATE'!E80))</f>
        <v/>
      </c>
      <c r="E376" s="12"/>
      <c r="F376" s="102" t="str">
        <f>IF(AND('ROSTER UPDATE'!F80=""),"",('ROSTER UPDATE'!F80))</f>
        <v/>
      </c>
      <c r="G376" s="103" t="str">
        <f>IF(AND('ROSTER UPDATE'!C80=""),"",('ROSTER UPDATE'!C80))</f>
        <v/>
      </c>
      <c r="H376" s="12"/>
      <c r="I376" s="12"/>
      <c r="O376" s="12"/>
      <c r="P376" s="102">
        <f>'SET 2 PLAYERS'!O80</f>
        <v>0</v>
      </c>
      <c r="Q376" s="103">
        <f>'SET 2 PLAYERS'!P80</f>
        <v>0</v>
      </c>
      <c r="R376" s="14"/>
      <c r="S376" s="115" t="e">
        <f t="shared" si="12"/>
        <v>#VALUE!</v>
      </c>
      <c r="T376" s="116" t="e">
        <f t="shared" si="13"/>
        <v>#VALUE!</v>
      </c>
      <c r="U376" s="12"/>
      <c r="V376" s="107" t="str">
        <f>'SET 2 PLAYERS'!Q80</f>
        <v/>
      </c>
      <c r="W376" s="12"/>
    </row>
    <row r="377" spans="2:23" x14ac:dyDescent="0.25">
      <c r="B377" s="99" t="str">
        <f>'SET 2 PLAYERS'!G81</f>
        <v>CLASS 2</v>
      </c>
      <c r="C377" s="102" t="str">
        <f>IF(AND('ROSTER UPDATE'!B81=""),"",('ROSTER UPDATE'!B81))</f>
        <v/>
      </c>
      <c r="D377" s="103" t="str">
        <f>IF(AND('ROSTER UPDATE'!E81=""),"",('ROSTER UPDATE'!E81))</f>
        <v/>
      </c>
      <c r="E377" s="12"/>
      <c r="F377" s="102" t="str">
        <f>IF(AND('ROSTER UPDATE'!F81=""),"",('ROSTER UPDATE'!F81))</f>
        <v/>
      </c>
      <c r="G377" s="103" t="str">
        <f>IF(AND('ROSTER UPDATE'!C81=""),"",('ROSTER UPDATE'!C81))</f>
        <v/>
      </c>
      <c r="H377" s="12"/>
      <c r="I377" s="12"/>
      <c r="O377" s="12"/>
      <c r="P377" s="102">
        <f>'SET 2 PLAYERS'!O81</f>
        <v>0</v>
      </c>
      <c r="Q377" s="103">
        <f>'SET 2 PLAYERS'!P81</f>
        <v>0</v>
      </c>
      <c r="R377" s="14"/>
      <c r="S377" s="115" t="e">
        <f t="shared" si="12"/>
        <v>#VALUE!</v>
      </c>
      <c r="T377" s="116" t="e">
        <f t="shared" si="13"/>
        <v>#VALUE!</v>
      </c>
      <c r="U377" s="12"/>
      <c r="V377" s="107" t="str">
        <f>'SET 2 PLAYERS'!Q81</f>
        <v/>
      </c>
      <c r="W377" s="12"/>
    </row>
    <row r="378" spans="2:23" x14ac:dyDescent="0.25">
      <c r="B378" s="99" t="str">
        <f>'SET 2 PLAYERS'!G82</f>
        <v>CLASS 2</v>
      </c>
      <c r="C378" s="102" t="str">
        <f>IF(AND('ROSTER UPDATE'!B82=""),"",('ROSTER UPDATE'!B82))</f>
        <v/>
      </c>
      <c r="D378" s="103" t="str">
        <f>IF(AND('ROSTER UPDATE'!E82=""),"",('ROSTER UPDATE'!E82))</f>
        <v/>
      </c>
      <c r="E378" s="12"/>
      <c r="F378" s="102" t="str">
        <f>IF(AND('ROSTER UPDATE'!F82=""),"",('ROSTER UPDATE'!F82))</f>
        <v/>
      </c>
      <c r="G378" s="103" t="str">
        <f>IF(AND('ROSTER UPDATE'!C82=""),"",('ROSTER UPDATE'!C82))</f>
        <v/>
      </c>
      <c r="H378" s="12"/>
      <c r="I378" s="12"/>
      <c r="O378" s="12"/>
      <c r="P378" s="102">
        <f>'SET 2 PLAYERS'!O82</f>
        <v>0</v>
      </c>
      <c r="Q378" s="103">
        <f>'SET 2 PLAYERS'!P82</f>
        <v>0</v>
      </c>
      <c r="R378" s="14"/>
      <c r="S378" s="115" t="e">
        <f t="shared" si="12"/>
        <v>#VALUE!</v>
      </c>
      <c r="T378" s="116" t="e">
        <f t="shared" si="13"/>
        <v>#VALUE!</v>
      </c>
      <c r="U378" s="12"/>
      <c r="V378" s="107" t="str">
        <f>'SET 2 PLAYERS'!Q82</f>
        <v/>
      </c>
      <c r="W378" s="12"/>
    </row>
    <row r="379" spans="2:23" x14ac:dyDescent="0.25">
      <c r="B379" s="99" t="str">
        <f>'SET 2 PLAYERS'!G83</f>
        <v>CLASS 2</v>
      </c>
      <c r="C379" s="102" t="str">
        <f>IF(AND('ROSTER UPDATE'!B83=""),"",('ROSTER UPDATE'!B83))</f>
        <v/>
      </c>
      <c r="D379" s="103" t="str">
        <f>IF(AND('ROSTER UPDATE'!E83=""),"",('ROSTER UPDATE'!E83))</f>
        <v/>
      </c>
      <c r="E379" s="12"/>
      <c r="F379" s="102" t="str">
        <f>IF(AND('ROSTER UPDATE'!F83=""),"",('ROSTER UPDATE'!F83))</f>
        <v/>
      </c>
      <c r="G379" s="103" t="str">
        <f>IF(AND('ROSTER UPDATE'!C83=""),"",('ROSTER UPDATE'!C83))</f>
        <v/>
      </c>
      <c r="H379" s="12"/>
      <c r="I379" s="12"/>
      <c r="O379" s="12"/>
      <c r="P379" s="102">
        <f>'SET 2 PLAYERS'!O83</f>
        <v>0</v>
      </c>
      <c r="Q379" s="103">
        <f>'SET 2 PLAYERS'!P83</f>
        <v>0</v>
      </c>
      <c r="R379" s="14"/>
      <c r="S379" s="115" t="e">
        <f t="shared" si="12"/>
        <v>#VALUE!</v>
      </c>
      <c r="T379" s="116" t="e">
        <f t="shared" si="13"/>
        <v>#VALUE!</v>
      </c>
      <c r="U379" s="12"/>
      <c r="V379" s="107" t="str">
        <f>'SET 2 PLAYERS'!Q83</f>
        <v/>
      </c>
      <c r="W379" s="12"/>
    </row>
    <row r="380" spans="2:23" x14ac:dyDescent="0.25">
      <c r="B380" s="99" t="str">
        <f>'SET 2 PLAYERS'!G84</f>
        <v>CLASS 2</v>
      </c>
      <c r="C380" s="102" t="str">
        <f>IF(AND('ROSTER UPDATE'!B84=""),"",('ROSTER UPDATE'!B84))</f>
        <v/>
      </c>
      <c r="D380" s="103" t="str">
        <f>IF(AND('ROSTER UPDATE'!E84=""),"",('ROSTER UPDATE'!E84))</f>
        <v/>
      </c>
      <c r="E380" s="12"/>
      <c r="F380" s="102" t="str">
        <f>IF(AND('ROSTER UPDATE'!F84=""),"",('ROSTER UPDATE'!F84))</f>
        <v/>
      </c>
      <c r="G380" s="103" t="str">
        <f>IF(AND('ROSTER UPDATE'!C84=""),"",('ROSTER UPDATE'!C84))</f>
        <v/>
      </c>
      <c r="H380" s="12"/>
      <c r="I380" s="12"/>
      <c r="O380" s="12"/>
      <c r="P380" s="102">
        <f>'SET 2 PLAYERS'!O84</f>
        <v>0</v>
      </c>
      <c r="Q380" s="103">
        <f>'SET 2 PLAYERS'!P84</f>
        <v>0</v>
      </c>
      <c r="R380" s="14"/>
      <c r="S380" s="115" t="e">
        <f t="shared" si="12"/>
        <v>#VALUE!</v>
      </c>
      <c r="T380" s="116" t="e">
        <f t="shared" si="13"/>
        <v>#VALUE!</v>
      </c>
      <c r="U380" s="12"/>
      <c r="V380" s="107" t="str">
        <f>'SET 2 PLAYERS'!Q84</f>
        <v/>
      </c>
      <c r="W380" s="12"/>
    </row>
    <row r="381" spans="2:23" x14ac:dyDescent="0.25">
      <c r="B381" s="99" t="str">
        <f>'SET 2 PLAYERS'!G85</f>
        <v>CLASS 2</v>
      </c>
      <c r="C381" s="102" t="str">
        <f>IF(AND('ROSTER UPDATE'!B85=""),"",('ROSTER UPDATE'!B85))</f>
        <v/>
      </c>
      <c r="D381" s="103" t="str">
        <f>IF(AND('ROSTER UPDATE'!E85=""),"",('ROSTER UPDATE'!E85))</f>
        <v/>
      </c>
      <c r="E381" s="12"/>
      <c r="F381" s="102" t="str">
        <f>IF(AND('ROSTER UPDATE'!F85=""),"",('ROSTER UPDATE'!F85))</f>
        <v/>
      </c>
      <c r="G381" s="103" t="str">
        <f>IF(AND('ROSTER UPDATE'!C85=""),"",('ROSTER UPDATE'!C85))</f>
        <v/>
      </c>
      <c r="H381" s="12"/>
      <c r="I381" s="12"/>
      <c r="O381" s="12"/>
      <c r="P381" s="102">
        <f>'SET 2 PLAYERS'!O85</f>
        <v>0</v>
      </c>
      <c r="Q381" s="103">
        <f>'SET 2 PLAYERS'!P85</f>
        <v>0</v>
      </c>
      <c r="R381" s="14"/>
      <c r="S381" s="115" t="e">
        <f t="shared" si="12"/>
        <v>#VALUE!</v>
      </c>
      <c r="T381" s="116" t="e">
        <f t="shared" si="13"/>
        <v>#VALUE!</v>
      </c>
      <c r="U381" s="12"/>
      <c r="V381" s="107" t="str">
        <f>'SET 2 PLAYERS'!Q85</f>
        <v/>
      </c>
      <c r="W381" s="12"/>
    </row>
    <row r="382" spans="2:23" x14ac:dyDescent="0.25">
      <c r="B382" s="99" t="str">
        <f>'SET 2 PLAYERS'!G86</f>
        <v>CLASS 2</v>
      </c>
      <c r="C382" s="102" t="str">
        <f>IF(AND('ROSTER UPDATE'!B86=""),"",('ROSTER UPDATE'!B86))</f>
        <v/>
      </c>
      <c r="D382" s="103" t="str">
        <f>IF(AND('ROSTER UPDATE'!E86=""),"",('ROSTER UPDATE'!E86))</f>
        <v/>
      </c>
      <c r="E382" s="12"/>
      <c r="F382" s="102" t="str">
        <f>IF(AND('ROSTER UPDATE'!F86=""),"",('ROSTER UPDATE'!F86))</f>
        <v/>
      </c>
      <c r="G382" s="103" t="str">
        <f>IF(AND('ROSTER UPDATE'!C86=""),"",('ROSTER UPDATE'!C86))</f>
        <v/>
      </c>
      <c r="H382" s="12"/>
      <c r="I382" s="12"/>
      <c r="O382" s="12"/>
      <c r="P382" s="102">
        <f>'SET 2 PLAYERS'!O86</f>
        <v>0</v>
      </c>
      <c r="Q382" s="103">
        <f>'SET 2 PLAYERS'!P86</f>
        <v>0</v>
      </c>
      <c r="R382" s="14"/>
      <c r="S382" s="115" t="e">
        <f t="shared" si="12"/>
        <v>#VALUE!</v>
      </c>
      <c r="T382" s="116" t="e">
        <f t="shared" si="13"/>
        <v>#VALUE!</v>
      </c>
      <c r="U382" s="12"/>
      <c r="V382" s="107" t="str">
        <f>'SET 2 PLAYERS'!Q86</f>
        <v/>
      </c>
      <c r="W382" s="12"/>
    </row>
    <row r="383" spans="2:23" x14ac:dyDescent="0.25">
      <c r="B383" s="99" t="str">
        <f>'SET 2 PLAYERS'!G87</f>
        <v>CLASS 2</v>
      </c>
      <c r="C383" s="102" t="str">
        <f>IF(AND('ROSTER UPDATE'!B87=""),"",('ROSTER UPDATE'!B87))</f>
        <v/>
      </c>
      <c r="D383" s="103" t="str">
        <f>IF(AND('ROSTER UPDATE'!E87=""),"",('ROSTER UPDATE'!E87))</f>
        <v/>
      </c>
      <c r="E383" s="12"/>
      <c r="F383" s="102" t="str">
        <f>IF(AND('ROSTER UPDATE'!F87=""),"",('ROSTER UPDATE'!F87))</f>
        <v/>
      </c>
      <c r="G383" s="103" t="str">
        <f>IF(AND('ROSTER UPDATE'!C87=""),"",('ROSTER UPDATE'!C87))</f>
        <v/>
      </c>
      <c r="H383" s="12"/>
      <c r="I383" s="12"/>
      <c r="O383" s="12"/>
      <c r="P383" s="102">
        <f>'SET 2 PLAYERS'!O87</f>
        <v>0</v>
      </c>
      <c r="Q383" s="103">
        <f>'SET 2 PLAYERS'!P87</f>
        <v>0</v>
      </c>
      <c r="R383" s="14"/>
      <c r="S383" s="115" t="e">
        <f t="shared" si="12"/>
        <v>#VALUE!</v>
      </c>
      <c r="T383" s="116" t="e">
        <f t="shared" si="13"/>
        <v>#VALUE!</v>
      </c>
      <c r="U383" s="12"/>
      <c r="V383" s="107" t="str">
        <f>'SET 2 PLAYERS'!Q87</f>
        <v/>
      </c>
      <c r="W383" s="12"/>
    </row>
    <row r="384" spans="2:23" x14ac:dyDescent="0.25">
      <c r="B384" s="99" t="str">
        <f>'SET 2 PLAYERS'!G88</f>
        <v>CLASS 2</v>
      </c>
      <c r="C384" s="102" t="str">
        <f>IF(AND('ROSTER UPDATE'!B88=""),"",('ROSTER UPDATE'!B88))</f>
        <v/>
      </c>
      <c r="D384" s="103" t="str">
        <f>IF(AND('ROSTER UPDATE'!E88=""),"",('ROSTER UPDATE'!E88))</f>
        <v/>
      </c>
      <c r="E384" s="12"/>
      <c r="F384" s="102" t="str">
        <f>IF(AND('ROSTER UPDATE'!F88=""),"",('ROSTER UPDATE'!F88))</f>
        <v/>
      </c>
      <c r="G384" s="103" t="str">
        <f>IF(AND('ROSTER UPDATE'!C88=""),"",('ROSTER UPDATE'!C88))</f>
        <v/>
      </c>
      <c r="H384" s="12"/>
      <c r="I384" s="12"/>
      <c r="O384" s="12"/>
      <c r="P384" s="102">
        <f>'SET 2 PLAYERS'!O88</f>
        <v>0</v>
      </c>
      <c r="Q384" s="103">
        <f>'SET 2 PLAYERS'!P88</f>
        <v>0</v>
      </c>
      <c r="R384" s="14"/>
      <c r="S384" s="115" t="e">
        <f t="shared" si="12"/>
        <v>#VALUE!</v>
      </c>
      <c r="T384" s="116" t="e">
        <f t="shared" si="13"/>
        <v>#VALUE!</v>
      </c>
      <c r="U384" s="12"/>
      <c r="V384" s="107" t="str">
        <f>'SET 2 PLAYERS'!Q88</f>
        <v/>
      </c>
      <c r="W384" s="12"/>
    </row>
    <row r="385" spans="2:23" x14ac:dyDescent="0.25">
      <c r="B385" s="99" t="str">
        <f>'SET 2 PLAYERS'!G89</f>
        <v>CLASS 2</v>
      </c>
      <c r="C385" s="102" t="str">
        <f>IF(AND('ROSTER UPDATE'!B89=""),"",('ROSTER UPDATE'!B89))</f>
        <v/>
      </c>
      <c r="D385" s="103" t="str">
        <f>IF(AND('ROSTER UPDATE'!E89=""),"",('ROSTER UPDATE'!E89))</f>
        <v/>
      </c>
      <c r="E385" s="12"/>
      <c r="F385" s="102" t="str">
        <f>IF(AND('ROSTER UPDATE'!F89=""),"",('ROSTER UPDATE'!F89))</f>
        <v/>
      </c>
      <c r="G385" s="103" t="str">
        <f>IF(AND('ROSTER UPDATE'!C89=""),"",('ROSTER UPDATE'!C89))</f>
        <v/>
      </c>
      <c r="H385" s="12"/>
      <c r="I385" s="12"/>
      <c r="O385" s="12"/>
      <c r="P385" s="102">
        <f>'SET 2 PLAYERS'!O89</f>
        <v>0</v>
      </c>
      <c r="Q385" s="103">
        <f>'SET 2 PLAYERS'!P89</f>
        <v>0</v>
      </c>
      <c r="R385" s="14"/>
      <c r="S385" s="115" t="e">
        <f t="shared" si="12"/>
        <v>#VALUE!</v>
      </c>
      <c r="T385" s="116" t="e">
        <f t="shared" si="13"/>
        <v>#VALUE!</v>
      </c>
      <c r="U385" s="12"/>
      <c r="V385" s="107" t="str">
        <f>'SET 2 PLAYERS'!Q89</f>
        <v/>
      </c>
      <c r="W385" s="12"/>
    </row>
    <row r="386" spans="2:23" x14ac:dyDescent="0.25">
      <c r="B386" s="99" t="str">
        <f>'SET 2 PLAYERS'!G90</f>
        <v>CLASS 2</v>
      </c>
      <c r="C386" s="102" t="str">
        <f>IF(AND('ROSTER UPDATE'!B90=""),"",('ROSTER UPDATE'!B90))</f>
        <v/>
      </c>
      <c r="D386" s="103" t="str">
        <f>IF(AND('ROSTER UPDATE'!E90=""),"",('ROSTER UPDATE'!E90))</f>
        <v/>
      </c>
      <c r="E386" s="12"/>
      <c r="F386" s="102" t="str">
        <f>IF(AND('ROSTER UPDATE'!F90=""),"",('ROSTER UPDATE'!F90))</f>
        <v/>
      </c>
      <c r="G386" s="103" t="str">
        <f>IF(AND('ROSTER UPDATE'!C90=""),"",('ROSTER UPDATE'!C90))</f>
        <v/>
      </c>
      <c r="H386" s="12"/>
      <c r="I386" s="12"/>
      <c r="O386" s="12"/>
      <c r="P386" s="102">
        <f>'SET 2 PLAYERS'!O90</f>
        <v>0</v>
      </c>
      <c r="Q386" s="103">
        <f>'SET 2 PLAYERS'!P90</f>
        <v>0</v>
      </c>
      <c r="R386" s="14"/>
      <c r="S386" s="115" t="e">
        <f t="shared" si="12"/>
        <v>#VALUE!</v>
      </c>
      <c r="T386" s="116" t="e">
        <f t="shared" si="13"/>
        <v>#VALUE!</v>
      </c>
      <c r="U386" s="12"/>
      <c r="V386" s="107" t="str">
        <f>'SET 2 PLAYERS'!Q90</f>
        <v/>
      </c>
      <c r="W386" s="12"/>
    </row>
    <row r="387" spans="2:23" x14ac:dyDescent="0.25">
      <c r="B387" s="99" t="str">
        <f>'SET 2 PLAYERS'!G91</f>
        <v>CLASS 2</v>
      </c>
      <c r="C387" s="102" t="str">
        <f>IF(AND('ROSTER UPDATE'!B91=""),"",('ROSTER UPDATE'!B91))</f>
        <v/>
      </c>
      <c r="D387" s="103" t="str">
        <f>IF(AND('ROSTER UPDATE'!E91=""),"",('ROSTER UPDATE'!E91))</f>
        <v/>
      </c>
      <c r="E387" s="12"/>
      <c r="F387" s="102" t="str">
        <f>IF(AND('ROSTER UPDATE'!F91=""),"",('ROSTER UPDATE'!F91))</f>
        <v/>
      </c>
      <c r="G387" s="103" t="str">
        <f>IF(AND('ROSTER UPDATE'!C91=""),"",('ROSTER UPDATE'!C91))</f>
        <v/>
      </c>
      <c r="H387" s="12"/>
      <c r="I387" s="12"/>
      <c r="O387" s="12"/>
      <c r="P387" s="102">
        <f>'SET 2 PLAYERS'!O91</f>
        <v>0</v>
      </c>
      <c r="Q387" s="103">
        <f>'SET 2 PLAYERS'!P91</f>
        <v>0</v>
      </c>
      <c r="R387" s="14"/>
      <c r="S387" s="115" t="e">
        <f t="shared" si="12"/>
        <v>#VALUE!</v>
      </c>
      <c r="T387" s="116" t="e">
        <f t="shared" si="13"/>
        <v>#VALUE!</v>
      </c>
      <c r="U387" s="12"/>
      <c r="V387" s="107" t="str">
        <f>'SET 2 PLAYERS'!Q91</f>
        <v/>
      </c>
      <c r="W387" s="12"/>
    </row>
    <row r="388" spans="2:23" x14ac:dyDescent="0.25">
      <c r="B388" s="99" t="str">
        <f>'SET 2 PLAYERS'!G92</f>
        <v>CLASS 2</v>
      </c>
      <c r="C388" s="102" t="str">
        <f>IF(AND('ROSTER UPDATE'!B92=""),"",('ROSTER UPDATE'!B92))</f>
        <v/>
      </c>
      <c r="D388" s="103" t="str">
        <f>IF(AND('ROSTER UPDATE'!E92=""),"",('ROSTER UPDATE'!E92))</f>
        <v/>
      </c>
      <c r="E388" s="12"/>
      <c r="F388" s="102" t="str">
        <f>IF(AND('ROSTER UPDATE'!F92=""),"",('ROSTER UPDATE'!F92))</f>
        <v/>
      </c>
      <c r="G388" s="103" t="str">
        <f>IF(AND('ROSTER UPDATE'!C92=""),"",('ROSTER UPDATE'!C92))</f>
        <v/>
      </c>
      <c r="H388" s="12"/>
      <c r="I388" s="12"/>
      <c r="O388" s="12"/>
      <c r="P388" s="102">
        <f>'SET 2 PLAYERS'!O92</f>
        <v>0</v>
      </c>
      <c r="Q388" s="103">
        <f>'SET 2 PLAYERS'!P92</f>
        <v>0</v>
      </c>
      <c r="R388" s="14"/>
      <c r="S388" s="115" t="e">
        <f t="shared" si="12"/>
        <v>#VALUE!</v>
      </c>
      <c r="T388" s="116" t="e">
        <f t="shared" si="13"/>
        <v>#VALUE!</v>
      </c>
      <c r="U388" s="12"/>
      <c r="V388" s="107" t="str">
        <f>'SET 2 PLAYERS'!Q92</f>
        <v/>
      </c>
      <c r="W388" s="12"/>
    </row>
    <row r="389" spans="2:23" x14ac:dyDescent="0.25">
      <c r="B389" s="99" t="str">
        <f>'SET 2 PLAYERS'!G93</f>
        <v>CLASS 2</v>
      </c>
      <c r="C389" s="102" t="str">
        <f>IF(AND('ROSTER UPDATE'!B93=""),"",('ROSTER UPDATE'!B93))</f>
        <v/>
      </c>
      <c r="D389" s="103" t="str">
        <f>IF(AND('ROSTER UPDATE'!E93=""),"",('ROSTER UPDATE'!E93))</f>
        <v/>
      </c>
      <c r="E389" s="12"/>
      <c r="F389" s="102" t="str">
        <f>IF(AND('ROSTER UPDATE'!F93=""),"",('ROSTER UPDATE'!F93))</f>
        <v/>
      </c>
      <c r="G389" s="103" t="str">
        <f>IF(AND('ROSTER UPDATE'!C93=""),"",('ROSTER UPDATE'!C93))</f>
        <v/>
      </c>
      <c r="H389" s="12"/>
      <c r="I389" s="12"/>
      <c r="O389" s="12"/>
      <c r="P389" s="102">
        <f>'SET 2 PLAYERS'!O93</f>
        <v>0</v>
      </c>
      <c r="Q389" s="103">
        <f>'SET 2 PLAYERS'!P93</f>
        <v>0</v>
      </c>
      <c r="R389" s="14"/>
      <c r="S389" s="115" t="e">
        <f t="shared" si="12"/>
        <v>#VALUE!</v>
      </c>
      <c r="T389" s="116" t="e">
        <f t="shared" si="13"/>
        <v>#VALUE!</v>
      </c>
      <c r="U389" s="12"/>
      <c r="V389" s="107" t="str">
        <f>'SET 2 PLAYERS'!Q93</f>
        <v/>
      </c>
      <c r="W389" s="12"/>
    </row>
    <row r="390" spans="2:23" x14ac:dyDescent="0.25">
      <c r="B390" s="99" t="str">
        <f>'SET 2 PLAYERS'!G94</f>
        <v>CLASS 2</v>
      </c>
      <c r="C390" s="102" t="str">
        <f>IF(AND('ROSTER UPDATE'!B94=""),"",('ROSTER UPDATE'!B94))</f>
        <v/>
      </c>
      <c r="D390" s="103" t="str">
        <f>IF(AND('ROSTER UPDATE'!E94=""),"",('ROSTER UPDATE'!E94))</f>
        <v/>
      </c>
      <c r="E390" s="12"/>
      <c r="F390" s="102" t="str">
        <f>IF(AND('ROSTER UPDATE'!F94=""),"",('ROSTER UPDATE'!F94))</f>
        <v/>
      </c>
      <c r="G390" s="103" t="str">
        <f>IF(AND('ROSTER UPDATE'!C94=""),"",('ROSTER UPDATE'!C94))</f>
        <v/>
      </c>
      <c r="H390" s="12"/>
      <c r="I390" s="12"/>
      <c r="O390" s="12"/>
      <c r="P390" s="102">
        <f>'SET 2 PLAYERS'!O94</f>
        <v>0</v>
      </c>
      <c r="Q390" s="103">
        <f>'SET 2 PLAYERS'!P94</f>
        <v>0</v>
      </c>
      <c r="R390" s="14"/>
      <c r="S390" s="115" t="e">
        <f t="shared" si="12"/>
        <v>#VALUE!</v>
      </c>
      <c r="T390" s="116" t="e">
        <f t="shared" si="13"/>
        <v>#VALUE!</v>
      </c>
      <c r="U390" s="12"/>
      <c r="V390" s="107" t="str">
        <f>'SET 2 PLAYERS'!Q94</f>
        <v/>
      </c>
      <c r="W390" s="12"/>
    </row>
    <row r="391" spans="2:23" x14ac:dyDescent="0.25">
      <c r="B391" s="99" t="str">
        <f>'SET 2 PLAYERS'!G95</f>
        <v>CLASS 2</v>
      </c>
      <c r="C391" s="102" t="str">
        <f>IF(AND('ROSTER UPDATE'!B95=""),"",('ROSTER UPDATE'!B95))</f>
        <v/>
      </c>
      <c r="D391" s="103" t="str">
        <f>IF(AND('ROSTER UPDATE'!E95=""),"",('ROSTER UPDATE'!E95))</f>
        <v/>
      </c>
      <c r="E391" s="12"/>
      <c r="F391" s="102" t="str">
        <f>IF(AND('ROSTER UPDATE'!F95=""),"",('ROSTER UPDATE'!F95))</f>
        <v/>
      </c>
      <c r="G391" s="103" t="str">
        <f>IF(AND('ROSTER UPDATE'!C95=""),"",('ROSTER UPDATE'!C95))</f>
        <v/>
      </c>
      <c r="H391" s="12"/>
      <c r="I391" s="12"/>
      <c r="O391" s="12"/>
      <c r="P391" s="102">
        <f>'SET 2 PLAYERS'!O95</f>
        <v>0</v>
      </c>
      <c r="Q391" s="103">
        <f>'SET 2 PLAYERS'!P95</f>
        <v>0</v>
      </c>
      <c r="R391" s="14"/>
      <c r="S391" s="115" t="e">
        <f t="shared" si="12"/>
        <v>#VALUE!</v>
      </c>
      <c r="T391" s="116" t="e">
        <f t="shared" si="13"/>
        <v>#VALUE!</v>
      </c>
      <c r="U391" s="12"/>
      <c r="V391" s="107" t="str">
        <f>'SET 2 PLAYERS'!Q95</f>
        <v/>
      </c>
      <c r="W391" s="12"/>
    </row>
    <row r="392" spans="2:23" x14ac:dyDescent="0.25">
      <c r="B392" s="99" t="str">
        <f>'SET 2 PLAYERS'!G96</f>
        <v>CLASS 2</v>
      </c>
      <c r="C392" s="102" t="str">
        <f>IF(AND('ROSTER UPDATE'!B96=""),"",('ROSTER UPDATE'!B96))</f>
        <v/>
      </c>
      <c r="D392" s="103" t="str">
        <f>IF(AND('ROSTER UPDATE'!E96=""),"",('ROSTER UPDATE'!E96))</f>
        <v/>
      </c>
      <c r="E392" s="12"/>
      <c r="F392" s="102" t="str">
        <f>IF(AND('ROSTER UPDATE'!F96=""),"",('ROSTER UPDATE'!F96))</f>
        <v/>
      </c>
      <c r="G392" s="103" t="str">
        <f>IF(AND('ROSTER UPDATE'!C96=""),"",('ROSTER UPDATE'!C96))</f>
        <v/>
      </c>
      <c r="H392" s="12"/>
      <c r="I392" s="12"/>
      <c r="O392" s="12"/>
      <c r="P392" s="102">
        <f>'SET 2 PLAYERS'!O96</f>
        <v>0</v>
      </c>
      <c r="Q392" s="103">
        <f>'SET 2 PLAYERS'!P96</f>
        <v>0</v>
      </c>
      <c r="R392" s="14"/>
      <c r="S392" s="115" t="e">
        <f t="shared" si="12"/>
        <v>#VALUE!</v>
      </c>
      <c r="T392" s="116" t="e">
        <f t="shared" si="13"/>
        <v>#VALUE!</v>
      </c>
      <c r="U392" s="12"/>
      <c r="V392" s="107" t="str">
        <f>'SET 2 PLAYERS'!Q96</f>
        <v/>
      </c>
      <c r="W392" s="12"/>
    </row>
    <row r="393" spans="2:23" x14ac:dyDescent="0.25">
      <c r="B393" s="99" t="str">
        <f>'SET 2 PLAYERS'!G97</f>
        <v>CLASS 2</v>
      </c>
      <c r="C393" s="102" t="str">
        <f>IF(AND('ROSTER UPDATE'!B97=""),"",('ROSTER UPDATE'!B97))</f>
        <v/>
      </c>
      <c r="D393" s="103" t="str">
        <f>IF(AND('ROSTER UPDATE'!E97=""),"",('ROSTER UPDATE'!E97))</f>
        <v/>
      </c>
      <c r="E393" s="12"/>
      <c r="F393" s="102" t="str">
        <f>IF(AND('ROSTER UPDATE'!F97=""),"",('ROSTER UPDATE'!F97))</f>
        <v/>
      </c>
      <c r="G393" s="103" t="str">
        <f>IF(AND('ROSTER UPDATE'!C97=""),"",('ROSTER UPDATE'!C97))</f>
        <v/>
      </c>
      <c r="H393" s="12"/>
      <c r="I393" s="12"/>
      <c r="O393" s="12"/>
      <c r="P393" s="102">
        <f>'SET 2 PLAYERS'!O97</f>
        <v>0</v>
      </c>
      <c r="Q393" s="103">
        <f>'SET 2 PLAYERS'!P97</f>
        <v>0</v>
      </c>
      <c r="R393" s="14"/>
      <c r="S393" s="115" t="e">
        <f t="shared" si="12"/>
        <v>#VALUE!</v>
      </c>
      <c r="T393" s="116" t="e">
        <f t="shared" si="13"/>
        <v>#VALUE!</v>
      </c>
      <c r="U393" s="12"/>
      <c r="V393" s="107" t="str">
        <f>'SET 2 PLAYERS'!Q97</f>
        <v/>
      </c>
      <c r="W393" s="12"/>
    </row>
    <row r="394" spans="2:23" x14ac:dyDescent="0.25">
      <c r="B394" s="99" t="str">
        <f>'SET 2 PLAYERS'!G98</f>
        <v>CLASS 2</v>
      </c>
      <c r="C394" s="102" t="str">
        <f>IF(AND('ROSTER UPDATE'!B98=""),"",('ROSTER UPDATE'!B98))</f>
        <v/>
      </c>
      <c r="D394" s="103" t="str">
        <f>IF(AND('ROSTER UPDATE'!E98=""),"",('ROSTER UPDATE'!E98))</f>
        <v/>
      </c>
      <c r="E394" s="12"/>
      <c r="F394" s="102" t="str">
        <f>IF(AND('ROSTER UPDATE'!F98=""),"",('ROSTER UPDATE'!F98))</f>
        <v/>
      </c>
      <c r="G394" s="103" t="str">
        <f>IF(AND('ROSTER UPDATE'!C98=""),"",('ROSTER UPDATE'!C98))</f>
        <v/>
      </c>
      <c r="H394" s="12"/>
      <c r="I394" s="12"/>
      <c r="O394" s="12"/>
      <c r="P394" s="102">
        <f>'SET 2 PLAYERS'!O98</f>
        <v>0</v>
      </c>
      <c r="Q394" s="103">
        <f>'SET 2 PLAYERS'!P98</f>
        <v>0</v>
      </c>
      <c r="R394" s="14"/>
      <c r="S394" s="115" t="e">
        <f t="shared" si="12"/>
        <v>#VALUE!</v>
      </c>
      <c r="T394" s="116" t="e">
        <f t="shared" si="13"/>
        <v>#VALUE!</v>
      </c>
      <c r="U394" s="12"/>
      <c r="V394" s="107" t="str">
        <f>'SET 2 PLAYERS'!Q98</f>
        <v/>
      </c>
      <c r="W394" s="12"/>
    </row>
    <row r="395" spans="2:23" x14ac:dyDescent="0.25">
      <c r="B395" s="99" t="str">
        <f>'SET 2 PLAYERS'!G99</f>
        <v>CLASS 2</v>
      </c>
      <c r="C395" s="102" t="str">
        <f>IF(AND('ROSTER UPDATE'!B99=""),"",('ROSTER UPDATE'!B99))</f>
        <v/>
      </c>
      <c r="D395" s="103" t="str">
        <f>IF(AND('ROSTER UPDATE'!E99=""),"",('ROSTER UPDATE'!E99))</f>
        <v/>
      </c>
      <c r="E395" s="12"/>
      <c r="F395" s="102" t="str">
        <f>IF(AND('ROSTER UPDATE'!F99=""),"",('ROSTER UPDATE'!F99))</f>
        <v/>
      </c>
      <c r="G395" s="103" t="str">
        <f>IF(AND('ROSTER UPDATE'!C99=""),"",('ROSTER UPDATE'!C99))</f>
        <v/>
      </c>
      <c r="H395" s="12"/>
      <c r="I395" s="12"/>
      <c r="O395" s="12"/>
      <c r="P395" s="102">
        <f>'SET 2 PLAYERS'!O99</f>
        <v>0</v>
      </c>
      <c r="Q395" s="103">
        <f>'SET 2 PLAYERS'!P99</f>
        <v>0</v>
      </c>
      <c r="R395" s="14"/>
      <c r="S395" s="115" t="e">
        <f t="shared" si="12"/>
        <v>#VALUE!</v>
      </c>
      <c r="T395" s="116" t="e">
        <f t="shared" si="13"/>
        <v>#VALUE!</v>
      </c>
      <c r="U395" s="12"/>
      <c r="V395" s="107" t="str">
        <f>'SET 2 PLAYERS'!Q99</f>
        <v/>
      </c>
      <c r="W395" s="12"/>
    </row>
    <row r="396" spans="2:23" x14ac:dyDescent="0.25">
      <c r="B396" s="99" t="str">
        <f>'SET 2 PLAYERS'!G100</f>
        <v>CLASS 2</v>
      </c>
      <c r="C396" s="102" t="str">
        <f>IF(AND('ROSTER UPDATE'!B100=""),"",('ROSTER UPDATE'!B100))</f>
        <v/>
      </c>
      <c r="D396" s="103" t="str">
        <f>IF(AND('ROSTER UPDATE'!E100=""),"",('ROSTER UPDATE'!E100))</f>
        <v/>
      </c>
      <c r="E396" s="12"/>
      <c r="F396" s="102" t="str">
        <f>IF(AND('ROSTER UPDATE'!F100=""),"",('ROSTER UPDATE'!F100))</f>
        <v/>
      </c>
      <c r="G396" s="103" t="str">
        <f>IF(AND('ROSTER UPDATE'!C100=""),"",('ROSTER UPDATE'!C100))</f>
        <v/>
      </c>
      <c r="H396" s="12"/>
      <c r="I396" s="12"/>
      <c r="O396" s="12"/>
      <c r="P396" s="102">
        <f>'SET 2 PLAYERS'!O100</f>
        <v>0</v>
      </c>
      <c r="Q396" s="103">
        <f>'SET 2 PLAYERS'!P100</f>
        <v>0</v>
      </c>
      <c r="R396" s="14"/>
      <c r="S396" s="115" t="e">
        <f t="shared" si="12"/>
        <v>#VALUE!</v>
      </c>
      <c r="T396" s="116" t="e">
        <f t="shared" si="13"/>
        <v>#VALUE!</v>
      </c>
      <c r="U396" s="12"/>
      <c r="V396" s="107" t="str">
        <f>'SET 2 PLAYERS'!Q100</f>
        <v/>
      </c>
      <c r="W396" s="12"/>
    </row>
    <row r="397" spans="2:23" x14ac:dyDescent="0.25">
      <c r="B397" s="99" t="str">
        <f>'SET 2 PLAYERS'!G101</f>
        <v>CLASS 2</v>
      </c>
      <c r="C397" s="102" t="str">
        <f>IF(AND('ROSTER UPDATE'!B101=""),"",('ROSTER UPDATE'!B101))</f>
        <v/>
      </c>
      <c r="D397" s="103" t="str">
        <f>IF(AND('ROSTER UPDATE'!E101=""),"",('ROSTER UPDATE'!E101))</f>
        <v/>
      </c>
      <c r="E397" s="12"/>
      <c r="F397" s="102" t="str">
        <f>IF(AND('ROSTER UPDATE'!F101=""),"",('ROSTER UPDATE'!F101))</f>
        <v/>
      </c>
      <c r="G397" s="103" t="str">
        <f>IF(AND('ROSTER UPDATE'!C101=""),"",('ROSTER UPDATE'!C101))</f>
        <v/>
      </c>
      <c r="H397" s="12"/>
      <c r="I397" s="12"/>
      <c r="O397" s="12"/>
      <c r="P397" s="102">
        <f>'SET 2 PLAYERS'!O101</f>
        <v>0</v>
      </c>
      <c r="Q397" s="103">
        <f>'SET 2 PLAYERS'!P101</f>
        <v>0</v>
      </c>
      <c r="R397" s="14"/>
      <c r="S397" s="115" t="e">
        <f t="shared" si="12"/>
        <v>#VALUE!</v>
      </c>
      <c r="T397" s="116" t="e">
        <f t="shared" si="13"/>
        <v>#VALUE!</v>
      </c>
      <c r="U397" s="12"/>
      <c r="V397" s="107" t="str">
        <f>'SET 2 PLAYERS'!Q101</f>
        <v/>
      </c>
      <c r="W397" s="12"/>
    </row>
    <row r="398" spans="2:23" x14ac:dyDescent="0.25">
      <c r="B398" s="99" t="str">
        <f>'SET 2 PLAYERS'!G102</f>
        <v>CLASS 2</v>
      </c>
      <c r="C398" s="102" t="str">
        <f>IF(AND('ROSTER UPDATE'!B102=""),"",('ROSTER UPDATE'!B102))</f>
        <v/>
      </c>
      <c r="D398" s="103" t="str">
        <f>IF(AND('ROSTER UPDATE'!E102=""),"",('ROSTER UPDATE'!E102))</f>
        <v/>
      </c>
      <c r="E398" s="12"/>
      <c r="F398" s="102" t="str">
        <f>IF(AND('ROSTER UPDATE'!F102=""),"",('ROSTER UPDATE'!F102))</f>
        <v/>
      </c>
      <c r="G398" s="103" t="str">
        <f>IF(AND('ROSTER UPDATE'!C102=""),"",('ROSTER UPDATE'!C102))</f>
        <v/>
      </c>
      <c r="H398" s="12"/>
      <c r="I398" s="12"/>
      <c r="O398" s="12"/>
      <c r="P398" s="102">
        <f>'SET 2 PLAYERS'!O102</f>
        <v>0</v>
      </c>
      <c r="Q398" s="103">
        <f>'SET 2 PLAYERS'!P102</f>
        <v>0</v>
      </c>
      <c r="R398" s="14"/>
      <c r="S398" s="115" t="e">
        <f t="shared" si="12"/>
        <v>#VALUE!</v>
      </c>
      <c r="T398" s="116" t="e">
        <f t="shared" si="13"/>
        <v>#VALUE!</v>
      </c>
      <c r="U398" s="12"/>
      <c r="V398" s="107" t="str">
        <f>'SET 2 PLAYERS'!Q102</f>
        <v/>
      </c>
      <c r="W398" s="12"/>
    </row>
    <row r="399" spans="2:23" x14ac:dyDescent="0.25">
      <c r="B399" s="99" t="str">
        <f>'SET 2 PLAYERS'!G103</f>
        <v>CLASS 2</v>
      </c>
      <c r="C399" s="102" t="str">
        <f>IF(AND('ROSTER UPDATE'!B103=""),"",('ROSTER UPDATE'!B103))</f>
        <v/>
      </c>
      <c r="D399" s="103" t="str">
        <f>IF(AND('ROSTER UPDATE'!E103=""),"",('ROSTER UPDATE'!E103))</f>
        <v/>
      </c>
      <c r="E399" s="12"/>
      <c r="F399" s="102" t="str">
        <f>IF(AND('ROSTER UPDATE'!F103=""),"",('ROSTER UPDATE'!F103))</f>
        <v/>
      </c>
      <c r="G399" s="103" t="str">
        <f>IF(AND('ROSTER UPDATE'!C103=""),"",('ROSTER UPDATE'!C103))</f>
        <v/>
      </c>
      <c r="H399" s="12"/>
      <c r="I399" s="12"/>
      <c r="O399" s="12"/>
      <c r="P399" s="102">
        <f>'SET 2 PLAYERS'!O103</f>
        <v>0</v>
      </c>
      <c r="Q399" s="103">
        <f>'SET 2 PLAYERS'!P103</f>
        <v>0</v>
      </c>
      <c r="R399" s="14"/>
      <c r="S399" s="115" t="e">
        <f t="shared" si="12"/>
        <v>#VALUE!</v>
      </c>
      <c r="T399" s="116" t="e">
        <f t="shared" si="13"/>
        <v>#VALUE!</v>
      </c>
      <c r="U399" s="12"/>
      <c r="V399" s="107" t="str">
        <f>'SET 2 PLAYERS'!Q103</f>
        <v/>
      </c>
      <c r="W399" s="12"/>
    </row>
    <row r="400" spans="2:23" x14ac:dyDescent="0.25">
      <c r="B400" s="99" t="str">
        <f>'SET 2 PLAYERS'!G104</f>
        <v>CLASS 2</v>
      </c>
      <c r="C400" s="102" t="str">
        <f>IF(AND('ROSTER UPDATE'!B104=""),"",('ROSTER UPDATE'!B104))</f>
        <v/>
      </c>
      <c r="D400" s="103" t="str">
        <f>IF(AND('ROSTER UPDATE'!E104=""),"",('ROSTER UPDATE'!E104))</f>
        <v/>
      </c>
      <c r="E400" s="12"/>
      <c r="F400" s="102" t="str">
        <f>IF(AND('ROSTER UPDATE'!F104=""),"",('ROSTER UPDATE'!F104))</f>
        <v/>
      </c>
      <c r="G400" s="103" t="str">
        <f>IF(AND('ROSTER UPDATE'!C104=""),"",('ROSTER UPDATE'!C104))</f>
        <v/>
      </c>
      <c r="H400" s="12"/>
      <c r="I400" s="12"/>
      <c r="O400" s="12"/>
      <c r="P400" s="102">
        <f>'SET 2 PLAYERS'!O104</f>
        <v>0</v>
      </c>
      <c r="Q400" s="103">
        <f>'SET 2 PLAYERS'!P104</f>
        <v>0</v>
      </c>
      <c r="R400" s="14"/>
      <c r="S400" s="115" t="e">
        <f t="shared" si="12"/>
        <v>#VALUE!</v>
      </c>
      <c r="T400" s="116" t="e">
        <f t="shared" si="13"/>
        <v>#VALUE!</v>
      </c>
      <c r="U400" s="12"/>
      <c r="V400" s="107" t="str">
        <f>'SET 2 PLAYERS'!Q104</f>
        <v/>
      </c>
      <c r="W400" s="12"/>
    </row>
    <row r="401" spans="2:23" x14ac:dyDescent="0.25">
      <c r="B401" s="99" t="str">
        <f>'SET 2 PLAYERS'!G105</f>
        <v>CLASS 2</v>
      </c>
      <c r="C401" s="102" t="str">
        <f>IF(AND('ROSTER UPDATE'!B105=""),"",('ROSTER UPDATE'!B105))</f>
        <v/>
      </c>
      <c r="D401" s="103" t="str">
        <f>IF(AND('ROSTER UPDATE'!E105=""),"",('ROSTER UPDATE'!E105))</f>
        <v/>
      </c>
      <c r="E401" s="12"/>
      <c r="F401" s="102" t="str">
        <f>IF(AND('ROSTER UPDATE'!F105=""),"",('ROSTER UPDATE'!F105))</f>
        <v/>
      </c>
      <c r="G401" s="103" t="str">
        <f>IF(AND('ROSTER UPDATE'!C105=""),"",('ROSTER UPDATE'!C105))</f>
        <v/>
      </c>
      <c r="H401" s="12"/>
      <c r="I401" s="12"/>
      <c r="O401" s="12"/>
      <c r="P401" s="102">
        <f>'SET 2 PLAYERS'!O105</f>
        <v>0</v>
      </c>
      <c r="Q401" s="103">
        <f>'SET 2 PLAYERS'!P105</f>
        <v>0</v>
      </c>
      <c r="R401" s="14"/>
      <c r="S401" s="115" t="e">
        <f t="shared" si="12"/>
        <v>#VALUE!</v>
      </c>
      <c r="T401" s="116" t="e">
        <f t="shared" si="13"/>
        <v>#VALUE!</v>
      </c>
      <c r="U401" s="12"/>
      <c r="V401" s="107" t="str">
        <f>'SET 2 PLAYERS'!Q105</f>
        <v/>
      </c>
      <c r="W401" s="12"/>
    </row>
    <row r="402" spans="2:23" x14ac:dyDescent="0.25">
      <c r="B402" s="99" t="str">
        <f>'SET 2 PLAYERS'!G106</f>
        <v>CLASS 2</v>
      </c>
      <c r="C402" s="102" t="str">
        <f>IF(AND('ROSTER UPDATE'!B106=""),"",('ROSTER UPDATE'!B106))</f>
        <v/>
      </c>
      <c r="D402" s="103" t="str">
        <f>IF(AND('ROSTER UPDATE'!E106=""),"",('ROSTER UPDATE'!E106))</f>
        <v/>
      </c>
      <c r="E402" s="12"/>
      <c r="F402" s="102" t="str">
        <f>IF(AND('ROSTER UPDATE'!F106=""),"",('ROSTER UPDATE'!F106))</f>
        <v/>
      </c>
      <c r="G402" s="103" t="str">
        <f>IF(AND('ROSTER UPDATE'!C106=""),"",('ROSTER UPDATE'!C106))</f>
        <v/>
      </c>
      <c r="H402" s="12"/>
      <c r="I402" s="12"/>
      <c r="O402" s="12"/>
      <c r="P402" s="102">
        <f>'SET 2 PLAYERS'!O106</f>
        <v>0</v>
      </c>
      <c r="Q402" s="103">
        <f>'SET 2 PLAYERS'!P106</f>
        <v>0</v>
      </c>
      <c r="R402" s="14"/>
      <c r="S402" s="115" t="e">
        <f t="shared" si="12"/>
        <v>#VALUE!</v>
      </c>
      <c r="T402" s="116" t="e">
        <f t="shared" si="13"/>
        <v>#VALUE!</v>
      </c>
      <c r="U402" s="12"/>
      <c r="V402" s="107" t="str">
        <f>'SET 2 PLAYERS'!Q106</f>
        <v/>
      </c>
      <c r="W402" s="12"/>
    </row>
    <row r="403" spans="2:23" x14ac:dyDescent="0.25">
      <c r="B403" s="99" t="str">
        <f>'SET 2 PLAYERS'!G107</f>
        <v>CLASS 2</v>
      </c>
      <c r="C403" s="102" t="str">
        <f>IF(AND('ROSTER UPDATE'!B107=""),"",('ROSTER UPDATE'!B107))</f>
        <v/>
      </c>
      <c r="D403" s="103" t="str">
        <f>IF(AND('ROSTER UPDATE'!E107=""),"",('ROSTER UPDATE'!E107))</f>
        <v/>
      </c>
      <c r="E403" s="12"/>
      <c r="F403" s="102" t="str">
        <f>IF(AND('ROSTER UPDATE'!F107=""),"",('ROSTER UPDATE'!F107))</f>
        <v/>
      </c>
      <c r="G403" s="103" t="str">
        <f>IF(AND('ROSTER UPDATE'!C107=""),"",('ROSTER UPDATE'!C107))</f>
        <v/>
      </c>
      <c r="H403" s="12"/>
      <c r="I403" s="12"/>
      <c r="O403" s="12"/>
      <c r="P403" s="102">
        <f>'SET 2 PLAYERS'!O107</f>
        <v>0</v>
      </c>
      <c r="Q403" s="103">
        <f>'SET 2 PLAYERS'!P107</f>
        <v>0</v>
      </c>
      <c r="R403" s="14"/>
      <c r="S403" s="115" t="e">
        <f t="shared" si="12"/>
        <v>#VALUE!</v>
      </c>
      <c r="T403" s="116" t="e">
        <f t="shared" si="13"/>
        <v>#VALUE!</v>
      </c>
      <c r="U403" s="12"/>
      <c r="V403" s="107" t="str">
        <f>'SET 2 PLAYERS'!Q107</f>
        <v/>
      </c>
      <c r="W403" s="12"/>
    </row>
    <row r="404" spans="2:23" x14ac:dyDescent="0.25">
      <c r="B404" s="99" t="str">
        <f>'SET 2 PLAYERS'!G108</f>
        <v>CLASS 2</v>
      </c>
      <c r="C404" s="102" t="str">
        <f>IF(AND('ROSTER UPDATE'!B108=""),"",('ROSTER UPDATE'!B108))</f>
        <v/>
      </c>
      <c r="D404" s="103" t="str">
        <f>IF(AND('ROSTER UPDATE'!E108=""),"",('ROSTER UPDATE'!E108))</f>
        <v/>
      </c>
      <c r="E404" s="12"/>
      <c r="F404" s="102" t="str">
        <f>IF(AND('ROSTER UPDATE'!F108=""),"",('ROSTER UPDATE'!F108))</f>
        <v/>
      </c>
      <c r="G404" s="103" t="str">
        <f>IF(AND('ROSTER UPDATE'!C108=""),"",('ROSTER UPDATE'!C108))</f>
        <v/>
      </c>
      <c r="H404" s="12"/>
      <c r="I404" s="12"/>
      <c r="O404" s="12"/>
      <c r="P404" s="102">
        <f>'SET 2 PLAYERS'!O108</f>
        <v>0</v>
      </c>
      <c r="Q404" s="103">
        <f>'SET 2 PLAYERS'!P108</f>
        <v>0</v>
      </c>
      <c r="R404" s="14"/>
      <c r="S404" s="115" t="e">
        <f t="shared" si="12"/>
        <v>#VALUE!</v>
      </c>
      <c r="T404" s="116" t="e">
        <f t="shared" si="13"/>
        <v>#VALUE!</v>
      </c>
      <c r="U404" s="12"/>
      <c r="V404" s="107" t="str">
        <f>'SET 2 PLAYERS'!Q108</f>
        <v/>
      </c>
      <c r="W404" s="12"/>
    </row>
    <row r="405" spans="2:23" x14ac:dyDescent="0.25">
      <c r="B405" s="99" t="str">
        <f>'SET 2 PLAYERS'!G109</f>
        <v>CLASS 2</v>
      </c>
      <c r="C405" s="102" t="str">
        <f>IF(AND('ROSTER UPDATE'!B109=""),"",('ROSTER UPDATE'!B109))</f>
        <v/>
      </c>
      <c r="D405" s="103" t="str">
        <f>IF(AND('ROSTER UPDATE'!E109=""),"",('ROSTER UPDATE'!E109))</f>
        <v/>
      </c>
      <c r="E405" s="12"/>
      <c r="F405" s="102" t="str">
        <f>IF(AND('ROSTER UPDATE'!F109=""),"",('ROSTER UPDATE'!F109))</f>
        <v/>
      </c>
      <c r="G405" s="103" t="str">
        <f>IF(AND('ROSTER UPDATE'!C109=""),"",('ROSTER UPDATE'!C109))</f>
        <v/>
      </c>
      <c r="H405" s="12"/>
      <c r="I405" s="12"/>
      <c r="O405" s="12"/>
      <c r="P405" s="102">
        <f>'SET 2 PLAYERS'!O109</f>
        <v>0</v>
      </c>
      <c r="Q405" s="103">
        <f>'SET 2 PLAYERS'!P109</f>
        <v>0</v>
      </c>
      <c r="R405" s="14"/>
      <c r="S405" s="115" t="e">
        <f t="shared" si="12"/>
        <v>#VALUE!</v>
      </c>
      <c r="T405" s="116" t="e">
        <f t="shared" si="13"/>
        <v>#VALUE!</v>
      </c>
      <c r="U405" s="12"/>
      <c r="V405" s="107" t="str">
        <f>'SET 2 PLAYERS'!Q109</f>
        <v/>
      </c>
      <c r="W405" s="12"/>
    </row>
    <row r="406" spans="2:23" x14ac:dyDescent="0.25">
      <c r="B406" s="99" t="str">
        <f>'SET 2 PLAYERS'!G110</f>
        <v>CLASS 2</v>
      </c>
      <c r="C406" s="102" t="str">
        <f>IF(AND('ROSTER UPDATE'!B110=""),"",('ROSTER UPDATE'!B110))</f>
        <v/>
      </c>
      <c r="D406" s="103" t="str">
        <f>IF(AND('ROSTER UPDATE'!E110=""),"",('ROSTER UPDATE'!E110))</f>
        <v/>
      </c>
      <c r="E406" s="12"/>
      <c r="F406" s="102" t="str">
        <f>IF(AND('ROSTER UPDATE'!F110=""),"",('ROSTER UPDATE'!F110))</f>
        <v/>
      </c>
      <c r="G406" s="103" t="str">
        <f>IF(AND('ROSTER UPDATE'!C110=""),"",('ROSTER UPDATE'!C110))</f>
        <v/>
      </c>
      <c r="H406" s="12"/>
      <c r="I406" s="12"/>
      <c r="O406" s="12"/>
      <c r="P406" s="102">
        <f>'SET 2 PLAYERS'!O110</f>
        <v>0</v>
      </c>
      <c r="Q406" s="103">
        <f>'SET 2 PLAYERS'!P110</f>
        <v>0</v>
      </c>
      <c r="R406" s="14"/>
      <c r="S406" s="115" t="e">
        <f t="shared" si="12"/>
        <v>#VALUE!</v>
      </c>
      <c r="T406" s="116" t="e">
        <f t="shared" si="13"/>
        <v>#VALUE!</v>
      </c>
      <c r="U406" s="12"/>
      <c r="V406" s="107" t="str">
        <f>'SET 2 PLAYERS'!Q110</f>
        <v/>
      </c>
      <c r="W406" s="12"/>
    </row>
    <row r="407" spans="2:23" x14ac:dyDescent="0.25">
      <c r="B407" s="99" t="str">
        <f>'SET 2 PLAYERS'!G111</f>
        <v>CLASS 2</v>
      </c>
      <c r="C407" s="102" t="str">
        <f>IF(AND('ROSTER UPDATE'!B111=""),"",('ROSTER UPDATE'!B111))</f>
        <v/>
      </c>
      <c r="D407" s="103" t="str">
        <f>IF(AND('ROSTER UPDATE'!E111=""),"",('ROSTER UPDATE'!E111))</f>
        <v/>
      </c>
      <c r="E407" s="12"/>
      <c r="F407" s="102" t="str">
        <f>IF(AND('ROSTER UPDATE'!F111=""),"",('ROSTER UPDATE'!F111))</f>
        <v/>
      </c>
      <c r="G407" s="103" t="str">
        <f>IF(AND('ROSTER UPDATE'!C111=""),"",('ROSTER UPDATE'!C111))</f>
        <v/>
      </c>
      <c r="H407" s="12"/>
      <c r="I407" s="12"/>
      <c r="O407" s="12"/>
      <c r="P407" s="102">
        <f>'SET 2 PLAYERS'!O111</f>
        <v>0</v>
      </c>
      <c r="Q407" s="103">
        <f>'SET 2 PLAYERS'!P111</f>
        <v>0</v>
      </c>
      <c r="R407" s="14"/>
      <c r="S407" s="115" t="e">
        <f t="shared" si="12"/>
        <v>#VALUE!</v>
      </c>
      <c r="T407" s="116" t="e">
        <f t="shared" si="13"/>
        <v>#VALUE!</v>
      </c>
      <c r="U407" s="12"/>
      <c r="V407" s="107" t="str">
        <f>'SET 2 PLAYERS'!Q111</f>
        <v/>
      </c>
      <c r="W407" s="12"/>
    </row>
    <row r="408" spans="2:23" x14ac:dyDescent="0.25">
      <c r="B408" s="99" t="str">
        <f>'SET 2 PLAYERS'!G112</f>
        <v>CLASS 2</v>
      </c>
      <c r="C408" s="102" t="str">
        <f>IF(AND('ROSTER UPDATE'!B112=""),"",('ROSTER UPDATE'!B112))</f>
        <v/>
      </c>
      <c r="D408" s="103" t="str">
        <f>IF(AND('ROSTER UPDATE'!E112=""),"",('ROSTER UPDATE'!E112))</f>
        <v/>
      </c>
      <c r="E408" s="12"/>
      <c r="F408" s="102" t="str">
        <f>IF(AND('ROSTER UPDATE'!F112=""),"",('ROSTER UPDATE'!F112))</f>
        <v/>
      </c>
      <c r="G408" s="103" t="str">
        <f>IF(AND('ROSTER UPDATE'!C112=""),"",('ROSTER UPDATE'!C112))</f>
        <v/>
      </c>
      <c r="H408" s="12"/>
      <c r="I408" s="12"/>
      <c r="O408" s="12"/>
      <c r="P408" s="102">
        <f>'SET 2 PLAYERS'!O112</f>
        <v>0</v>
      </c>
      <c r="Q408" s="103">
        <f>'SET 2 PLAYERS'!P112</f>
        <v>0</v>
      </c>
      <c r="R408" s="14"/>
      <c r="S408" s="115" t="e">
        <f t="shared" si="12"/>
        <v>#VALUE!</v>
      </c>
      <c r="T408" s="116" t="e">
        <f t="shared" si="13"/>
        <v>#VALUE!</v>
      </c>
      <c r="U408" s="12"/>
      <c r="V408" s="107" t="str">
        <f>'SET 2 PLAYERS'!Q112</f>
        <v/>
      </c>
      <c r="W408" s="12"/>
    </row>
    <row r="409" spans="2:23" x14ac:dyDescent="0.25">
      <c r="B409" s="99" t="str">
        <f>'SET 2 PLAYERS'!G113</f>
        <v>CLASS 2</v>
      </c>
      <c r="C409" s="102" t="str">
        <f>IF(AND('ROSTER UPDATE'!B113=""),"",('ROSTER UPDATE'!B113))</f>
        <v/>
      </c>
      <c r="D409" s="103" t="str">
        <f>IF(AND('ROSTER UPDATE'!E113=""),"",('ROSTER UPDATE'!E113))</f>
        <v/>
      </c>
      <c r="E409" s="12"/>
      <c r="F409" s="102" t="str">
        <f>IF(AND('ROSTER UPDATE'!F113=""),"",('ROSTER UPDATE'!F113))</f>
        <v/>
      </c>
      <c r="G409" s="103" t="str">
        <f>IF(AND('ROSTER UPDATE'!C113=""),"",('ROSTER UPDATE'!C113))</f>
        <v/>
      </c>
      <c r="H409" s="12"/>
      <c r="I409" s="12"/>
      <c r="O409" s="12"/>
      <c r="P409" s="102">
        <f>'SET 2 PLAYERS'!O113</f>
        <v>0</v>
      </c>
      <c r="Q409" s="103">
        <f>'SET 2 PLAYERS'!P113</f>
        <v>0</v>
      </c>
      <c r="R409" s="14"/>
      <c r="S409" s="115" t="e">
        <f t="shared" si="12"/>
        <v>#VALUE!</v>
      </c>
      <c r="T409" s="116" t="e">
        <f t="shared" si="13"/>
        <v>#VALUE!</v>
      </c>
      <c r="U409" s="12"/>
      <c r="V409" s="107" t="str">
        <f>'SET 2 PLAYERS'!Q113</f>
        <v/>
      </c>
      <c r="W409" s="12"/>
    </row>
    <row r="410" spans="2:23" x14ac:dyDescent="0.25">
      <c r="B410" s="99" t="str">
        <f>'SET 2 PLAYERS'!G114</f>
        <v>CLASS 2</v>
      </c>
      <c r="C410" s="102" t="str">
        <f>IF(AND('ROSTER UPDATE'!B114=""),"",('ROSTER UPDATE'!B114))</f>
        <v/>
      </c>
      <c r="D410" s="103" t="str">
        <f>IF(AND('ROSTER UPDATE'!E114=""),"",('ROSTER UPDATE'!E114))</f>
        <v/>
      </c>
      <c r="E410" s="12"/>
      <c r="F410" s="102" t="str">
        <f>IF(AND('ROSTER UPDATE'!F114=""),"",('ROSTER UPDATE'!F114))</f>
        <v/>
      </c>
      <c r="G410" s="103" t="str">
        <f>IF(AND('ROSTER UPDATE'!C114=""),"",('ROSTER UPDATE'!C114))</f>
        <v/>
      </c>
      <c r="H410" s="12"/>
      <c r="I410" s="12"/>
      <c r="O410" s="12"/>
      <c r="P410" s="102">
        <f>'SET 2 PLAYERS'!O114</f>
        <v>0</v>
      </c>
      <c r="Q410" s="103">
        <f>'SET 2 PLAYERS'!P114</f>
        <v>0</v>
      </c>
      <c r="R410" s="14"/>
      <c r="S410" s="115" t="e">
        <f t="shared" si="12"/>
        <v>#VALUE!</v>
      </c>
      <c r="T410" s="116" t="e">
        <f t="shared" si="13"/>
        <v>#VALUE!</v>
      </c>
      <c r="U410" s="12"/>
      <c r="V410" s="107" t="str">
        <f>'SET 2 PLAYERS'!Q114</f>
        <v/>
      </c>
      <c r="W410" s="12"/>
    </row>
    <row r="411" spans="2:23" x14ac:dyDescent="0.25">
      <c r="B411" s="99" t="str">
        <f>'SET 2 PLAYERS'!G115</f>
        <v>CLASS 2</v>
      </c>
      <c r="C411" s="102" t="str">
        <f>IF(AND('ROSTER UPDATE'!B115=""),"",('ROSTER UPDATE'!B115))</f>
        <v/>
      </c>
      <c r="D411" s="103" t="str">
        <f>IF(AND('ROSTER UPDATE'!E115=""),"",('ROSTER UPDATE'!E115))</f>
        <v/>
      </c>
      <c r="E411" s="12"/>
      <c r="F411" s="102" t="str">
        <f>IF(AND('ROSTER UPDATE'!F115=""),"",('ROSTER UPDATE'!F115))</f>
        <v/>
      </c>
      <c r="G411" s="103" t="str">
        <f>IF(AND('ROSTER UPDATE'!C115=""),"",('ROSTER UPDATE'!C115))</f>
        <v/>
      </c>
      <c r="H411" s="12"/>
      <c r="I411" s="12"/>
      <c r="O411" s="12"/>
      <c r="P411" s="102">
        <f>'SET 2 PLAYERS'!O115</f>
        <v>0</v>
      </c>
      <c r="Q411" s="103">
        <f>'SET 2 PLAYERS'!P115</f>
        <v>0</v>
      </c>
      <c r="R411" s="14"/>
      <c r="S411" s="115" t="e">
        <f t="shared" si="12"/>
        <v>#VALUE!</v>
      </c>
      <c r="T411" s="116" t="e">
        <f t="shared" si="13"/>
        <v>#VALUE!</v>
      </c>
      <c r="U411" s="12"/>
      <c r="V411" s="107" t="str">
        <f>'SET 2 PLAYERS'!Q115</f>
        <v/>
      </c>
      <c r="W411" s="12"/>
    </row>
    <row r="412" spans="2:23" x14ac:dyDescent="0.25">
      <c r="B412" s="99" t="str">
        <f>'SET 2 PLAYERS'!G116</f>
        <v>CLASS 2</v>
      </c>
      <c r="C412" s="102" t="str">
        <f>IF(AND('ROSTER UPDATE'!B116=""),"",('ROSTER UPDATE'!B116))</f>
        <v/>
      </c>
      <c r="D412" s="103" t="str">
        <f>IF(AND('ROSTER UPDATE'!E116=""),"",('ROSTER UPDATE'!E116))</f>
        <v/>
      </c>
      <c r="E412" s="12"/>
      <c r="F412" s="102" t="str">
        <f>IF(AND('ROSTER UPDATE'!F116=""),"",('ROSTER UPDATE'!F116))</f>
        <v/>
      </c>
      <c r="G412" s="103" t="str">
        <f>IF(AND('ROSTER UPDATE'!C116=""),"",('ROSTER UPDATE'!C116))</f>
        <v/>
      </c>
      <c r="H412" s="12"/>
      <c r="I412" s="12"/>
      <c r="O412" s="12"/>
      <c r="P412" s="102">
        <f>'SET 2 PLAYERS'!O116</f>
        <v>0</v>
      </c>
      <c r="Q412" s="103">
        <f>'SET 2 PLAYERS'!P116</f>
        <v>0</v>
      </c>
      <c r="R412" s="14"/>
      <c r="S412" s="115" t="e">
        <f t="shared" si="12"/>
        <v>#VALUE!</v>
      </c>
      <c r="T412" s="116" t="e">
        <f t="shared" si="13"/>
        <v>#VALUE!</v>
      </c>
      <c r="U412" s="12"/>
      <c r="V412" s="107" t="str">
        <f>'SET 2 PLAYERS'!Q116</f>
        <v/>
      </c>
      <c r="W412" s="12"/>
    </row>
    <row r="413" spans="2:23" x14ac:dyDescent="0.25">
      <c r="B413" s="99" t="str">
        <f>'SET 2 PLAYERS'!G117</f>
        <v>CLASS 2</v>
      </c>
      <c r="C413" s="102" t="str">
        <f>IF(AND('ROSTER UPDATE'!B117=""),"",('ROSTER UPDATE'!B117))</f>
        <v/>
      </c>
      <c r="D413" s="103" t="str">
        <f>IF(AND('ROSTER UPDATE'!E117=""),"",('ROSTER UPDATE'!E117))</f>
        <v/>
      </c>
      <c r="E413" s="12"/>
      <c r="F413" s="102" t="str">
        <f>IF(AND('ROSTER UPDATE'!F117=""),"",('ROSTER UPDATE'!F117))</f>
        <v/>
      </c>
      <c r="G413" s="103" t="str">
        <f>IF(AND('ROSTER UPDATE'!C117=""),"",('ROSTER UPDATE'!C117))</f>
        <v/>
      </c>
      <c r="H413" s="12"/>
      <c r="I413" s="12"/>
      <c r="O413" s="12"/>
      <c r="P413" s="102">
        <f>'SET 2 PLAYERS'!O117</f>
        <v>0</v>
      </c>
      <c r="Q413" s="103">
        <f>'SET 2 PLAYERS'!P117</f>
        <v>0</v>
      </c>
      <c r="R413" s="14"/>
      <c r="S413" s="115" t="e">
        <f t="shared" si="12"/>
        <v>#VALUE!</v>
      </c>
      <c r="T413" s="116" t="e">
        <f t="shared" si="13"/>
        <v>#VALUE!</v>
      </c>
      <c r="U413" s="12"/>
      <c r="V413" s="107" t="str">
        <f>'SET 2 PLAYERS'!Q117</f>
        <v/>
      </c>
      <c r="W413" s="12"/>
    </row>
    <row r="414" spans="2:23" x14ac:dyDescent="0.25">
      <c r="B414" s="99" t="str">
        <f>'SET 2 PLAYERS'!G118</f>
        <v>CLASS 2</v>
      </c>
      <c r="C414" s="102" t="str">
        <f>IF(AND('ROSTER UPDATE'!B118=""),"",('ROSTER UPDATE'!B118))</f>
        <v/>
      </c>
      <c r="D414" s="103" t="str">
        <f>IF(AND('ROSTER UPDATE'!E118=""),"",('ROSTER UPDATE'!E118))</f>
        <v/>
      </c>
      <c r="E414" s="12"/>
      <c r="F414" s="102" t="str">
        <f>IF(AND('ROSTER UPDATE'!F118=""),"",('ROSTER UPDATE'!F118))</f>
        <v/>
      </c>
      <c r="G414" s="103" t="str">
        <f>IF(AND('ROSTER UPDATE'!C118=""),"",('ROSTER UPDATE'!C118))</f>
        <v/>
      </c>
      <c r="H414" s="12"/>
      <c r="I414" s="12"/>
      <c r="O414" s="12"/>
      <c r="P414" s="102">
        <f>'SET 2 PLAYERS'!O118</f>
        <v>0</v>
      </c>
      <c r="Q414" s="103">
        <f>'SET 2 PLAYERS'!P118</f>
        <v>0</v>
      </c>
      <c r="R414" s="14"/>
      <c r="S414" s="115" t="e">
        <f t="shared" si="12"/>
        <v>#VALUE!</v>
      </c>
      <c r="T414" s="116" t="e">
        <f t="shared" si="13"/>
        <v>#VALUE!</v>
      </c>
      <c r="U414" s="12"/>
      <c r="V414" s="107" t="str">
        <f>'SET 2 PLAYERS'!Q118</f>
        <v/>
      </c>
      <c r="W414" s="12"/>
    </row>
    <row r="415" spans="2:23" x14ac:dyDescent="0.25">
      <c r="B415" s="99" t="str">
        <f>'SET 2 PLAYERS'!G119</f>
        <v>CLASS 2</v>
      </c>
      <c r="C415" s="102" t="str">
        <f>IF(AND('ROSTER UPDATE'!B119=""),"",('ROSTER UPDATE'!B119))</f>
        <v/>
      </c>
      <c r="D415" s="103" t="str">
        <f>IF(AND('ROSTER UPDATE'!E119=""),"",('ROSTER UPDATE'!E119))</f>
        <v/>
      </c>
      <c r="E415" s="12"/>
      <c r="F415" s="102" t="str">
        <f>IF(AND('ROSTER UPDATE'!F119=""),"",('ROSTER UPDATE'!F119))</f>
        <v/>
      </c>
      <c r="G415" s="103" t="str">
        <f>IF(AND('ROSTER UPDATE'!C119=""),"",('ROSTER UPDATE'!C119))</f>
        <v/>
      </c>
      <c r="H415" s="12"/>
      <c r="I415" s="12"/>
      <c r="O415" s="12"/>
      <c r="P415" s="102">
        <f>'SET 2 PLAYERS'!O119</f>
        <v>0</v>
      </c>
      <c r="Q415" s="103">
        <f>'SET 2 PLAYERS'!P119</f>
        <v>0</v>
      </c>
      <c r="R415" s="14"/>
      <c r="S415" s="115" t="e">
        <f t="shared" si="12"/>
        <v>#VALUE!</v>
      </c>
      <c r="T415" s="116" t="e">
        <f t="shared" si="13"/>
        <v>#VALUE!</v>
      </c>
      <c r="U415" s="12"/>
      <c r="V415" s="107" t="str">
        <f>'SET 2 PLAYERS'!Q119</f>
        <v/>
      </c>
      <c r="W415" s="12"/>
    </row>
    <row r="416" spans="2:23" x14ac:dyDescent="0.25">
      <c r="B416" s="99" t="str">
        <f>'SET 2 PLAYERS'!G120</f>
        <v>CLASS 2</v>
      </c>
      <c r="C416" s="102" t="str">
        <f>IF(AND('ROSTER UPDATE'!B120=""),"",('ROSTER UPDATE'!B120))</f>
        <v/>
      </c>
      <c r="D416" s="103" t="str">
        <f>IF(AND('ROSTER UPDATE'!E120=""),"",('ROSTER UPDATE'!E120))</f>
        <v/>
      </c>
      <c r="E416" s="12"/>
      <c r="F416" s="102" t="str">
        <f>IF(AND('ROSTER UPDATE'!F120=""),"",('ROSTER UPDATE'!F120))</f>
        <v/>
      </c>
      <c r="G416" s="103" t="str">
        <f>IF(AND('ROSTER UPDATE'!C120=""),"",('ROSTER UPDATE'!C120))</f>
        <v/>
      </c>
      <c r="H416" s="12"/>
      <c r="I416" s="12"/>
      <c r="O416" s="12"/>
      <c r="P416" s="102">
        <f>'SET 2 PLAYERS'!O120</f>
        <v>0</v>
      </c>
      <c r="Q416" s="103">
        <f>'SET 2 PLAYERS'!P120</f>
        <v>0</v>
      </c>
      <c r="R416" s="14"/>
      <c r="S416" s="115" t="e">
        <f t="shared" si="12"/>
        <v>#VALUE!</v>
      </c>
      <c r="T416" s="116" t="e">
        <f t="shared" si="13"/>
        <v>#VALUE!</v>
      </c>
      <c r="U416" s="12"/>
      <c r="V416" s="107" t="str">
        <f>'SET 2 PLAYERS'!Q120</f>
        <v/>
      </c>
      <c r="W416" s="12"/>
    </row>
    <row r="417" spans="2:23" x14ac:dyDescent="0.25">
      <c r="B417" s="99" t="str">
        <f>'SET 2 PLAYERS'!G121</f>
        <v>CLASS 2</v>
      </c>
      <c r="C417" s="102" t="str">
        <f>IF(AND('ROSTER UPDATE'!B121=""),"",('ROSTER UPDATE'!B121))</f>
        <v/>
      </c>
      <c r="D417" s="103" t="str">
        <f>IF(AND('ROSTER UPDATE'!E121=""),"",('ROSTER UPDATE'!E121))</f>
        <v/>
      </c>
      <c r="E417" s="12"/>
      <c r="F417" s="102" t="str">
        <f>IF(AND('ROSTER UPDATE'!F121=""),"",('ROSTER UPDATE'!F121))</f>
        <v/>
      </c>
      <c r="G417" s="103" t="str">
        <f>IF(AND('ROSTER UPDATE'!C121=""),"",('ROSTER UPDATE'!C121))</f>
        <v/>
      </c>
      <c r="H417" s="12"/>
      <c r="I417" s="12"/>
      <c r="O417" s="12"/>
      <c r="P417" s="102">
        <f>'SET 2 PLAYERS'!O121</f>
        <v>0</v>
      </c>
      <c r="Q417" s="103">
        <f>'SET 2 PLAYERS'!P121</f>
        <v>0</v>
      </c>
      <c r="R417" s="14"/>
      <c r="S417" s="115" t="e">
        <f t="shared" si="12"/>
        <v>#VALUE!</v>
      </c>
      <c r="T417" s="116" t="e">
        <f t="shared" si="13"/>
        <v>#VALUE!</v>
      </c>
      <c r="U417" s="12"/>
      <c r="V417" s="107" t="str">
        <f>'SET 2 PLAYERS'!Q121</f>
        <v/>
      </c>
      <c r="W417" s="12"/>
    </row>
    <row r="418" spans="2:23" x14ac:dyDescent="0.25">
      <c r="B418" s="99" t="str">
        <f>'SET 2 PLAYERS'!G122</f>
        <v>CLASS 2</v>
      </c>
      <c r="C418" s="102" t="str">
        <f>IF(AND('ROSTER UPDATE'!B122=""),"",('ROSTER UPDATE'!B122))</f>
        <v/>
      </c>
      <c r="D418" s="103" t="str">
        <f>IF(AND('ROSTER UPDATE'!E122=""),"",('ROSTER UPDATE'!E122))</f>
        <v/>
      </c>
      <c r="E418" s="12"/>
      <c r="F418" s="102" t="str">
        <f>IF(AND('ROSTER UPDATE'!F122=""),"",('ROSTER UPDATE'!F122))</f>
        <v/>
      </c>
      <c r="G418" s="103" t="str">
        <f>IF(AND('ROSTER UPDATE'!C122=""),"",('ROSTER UPDATE'!C122))</f>
        <v/>
      </c>
      <c r="H418" s="12"/>
      <c r="I418" s="12"/>
      <c r="O418" s="12"/>
      <c r="P418" s="102">
        <f>'SET 2 PLAYERS'!O122</f>
        <v>0</v>
      </c>
      <c r="Q418" s="103">
        <f>'SET 2 PLAYERS'!P122</f>
        <v>0</v>
      </c>
      <c r="R418" s="14"/>
      <c r="S418" s="115" t="e">
        <f t="shared" si="12"/>
        <v>#VALUE!</v>
      </c>
      <c r="T418" s="116" t="e">
        <f t="shared" si="13"/>
        <v>#VALUE!</v>
      </c>
      <c r="U418" s="12"/>
      <c r="V418" s="107" t="str">
        <f>'SET 2 PLAYERS'!Q122</f>
        <v/>
      </c>
      <c r="W418" s="12"/>
    </row>
    <row r="419" spans="2:23" x14ac:dyDescent="0.25">
      <c r="B419" s="99" t="str">
        <f>'SET 2 PLAYERS'!G123</f>
        <v>CLASS 2</v>
      </c>
      <c r="C419" s="102" t="str">
        <f>IF(AND('ROSTER UPDATE'!B123=""),"",('ROSTER UPDATE'!B123))</f>
        <v/>
      </c>
      <c r="D419" s="103" t="str">
        <f>IF(AND('ROSTER UPDATE'!E123=""),"",('ROSTER UPDATE'!E123))</f>
        <v/>
      </c>
      <c r="E419" s="12"/>
      <c r="F419" s="102" t="str">
        <f>IF(AND('ROSTER UPDATE'!F123=""),"",('ROSTER UPDATE'!F123))</f>
        <v/>
      </c>
      <c r="G419" s="103" t="str">
        <f>IF(AND('ROSTER UPDATE'!C123=""),"",('ROSTER UPDATE'!C123))</f>
        <v/>
      </c>
      <c r="H419" s="12"/>
      <c r="I419" s="12"/>
      <c r="O419" s="12"/>
      <c r="P419" s="102">
        <f>'SET 2 PLAYERS'!O123</f>
        <v>0</v>
      </c>
      <c r="Q419" s="103">
        <f>'SET 2 PLAYERS'!P123</f>
        <v>0</v>
      </c>
      <c r="R419" s="14"/>
      <c r="S419" s="115" t="e">
        <f t="shared" si="12"/>
        <v>#VALUE!</v>
      </c>
      <c r="T419" s="116" t="e">
        <f t="shared" si="13"/>
        <v>#VALUE!</v>
      </c>
      <c r="U419" s="12"/>
      <c r="V419" s="107" t="str">
        <f>'SET 2 PLAYERS'!Q123</f>
        <v/>
      </c>
      <c r="W419" s="12"/>
    </row>
    <row r="420" spans="2:23" x14ac:dyDescent="0.25">
      <c r="B420" s="99" t="str">
        <f>'SET 2 PLAYERS'!G124</f>
        <v>CLASS 2</v>
      </c>
      <c r="C420" s="102" t="str">
        <f>IF(AND('ROSTER UPDATE'!B124=""),"",('ROSTER UPDATE'!B124))</f>
        <v/>
      </c>
      <c r="D420" s="103" t="str">
        <f>IF(AND('ROSTER UPDATE'!E124=""),"",('ROSTER UPDATE'!E124))</f>
        <v/>
      </c>
      <c r="E420" s="12"/>
      <c r="F420" s="102" t="str">
        <f>IF(AND('ROSTER UPDATE'!F124=""),"",('ROSTER UPDATE'!F124))</f>
        <v/>
      </c>
      <c r="G420" s="103" t="str">
        <f>IF(AND('ROSTER UPDATE'!C124=""),"",('ROSTER UPDATE'!C124))</f>
        <v/>
      </c>
      <c r="H420" s="12"/>
      <c r="I420" s="12"/>
      <c r="O420" s="12"/>
      <c r="P420" s="102">
        <f>'SET 2 PLAYERS'!O124</f>
        <v>0</v>
      </c>
      <c r="Q420" s="103">
        <f>'SET 2 PLAYERS'!P124</f>
        <v>0</v>
      </c>
      <c r="R420" s="14"/>
      <c r="S420" s="115" t="e">
        <f t="shared" si="12"/>
        <v>#VALUE!</v>
      </c>
      <c r="T420" s="116" t="e">
        <f t="shared" si="13"/>
        <v>#VALUE!</v>
      </c>
      <c r="U420" s="12"/>
      <c r="V420" s="107" t="str">
        <f>'SET 2 PLAYERS'!Q124</f>
        <v/>
      </c>
      <c r="W420" s="12"/>
    </row>
    <row r="421" spans="2:23" x14ac:dyDescent="0.25">
      <c r="B421" s="99" t="str">
        <f>'SET 2 PLAYERS'!G125</f>
        <v>CLASS 2</v>
      </c>
      <c r="C421" s="102" t="str">
        <f>IF(AND('ROSTER UPDATE'!B125=""),"",('ROSTER UPDATE'!B125))</f>
        <v/>
      </c>
      <c r="D421" s="103" t="str">
        <f>IF(AND('ROSTER UPDATE'!E125=""),"",('ROSTER UPDATE'!E125))</f>
        <v/>
      </c>
      <c r="E421" s="12"/>
      <c r="F421" s="102" t="str">
        <f>IF(AND('ROSTER UPDATE'!F125=""),"",('ROSTER UPDATE'!F125))</f>
        <v/>
      </c>
      <c r="G421" s="103" t="str">
        <f>IF(AND('ROSTER UPDATE'!C125=""),"",('ROSTER UPDATE'!C125))</f>
        <v/>
      </c>
      <c r="H421" s="12"/>
      <c r="I421" s="12"/>
      <c r="O421" s="12"/>
      <c r="P421" s="102">
        <f>'SET 2 PLAYERS'!O125</f>
        <v>0</v>
      </c>
      <c r="Q421" s="103">
        <f>'SET 2 PLAYERS'!P125</f>
        <v>0</v>
      </c>
      <c r="R421" s="14"/>
      <c r="S421" s="115" t="e">
        <f t="shared" si="12"/>
        <v>#VALUE!</v>
      </c>
      <c r="T421" s="116" t="e">
        <f t="shared" si="13"/>
        <v>#VALUE!</v>
      </c>
      <c r="U421" s="12"/>
      <c r="V421" s="107" t="str">
        <f>'SET 2 PLAYERS'!Q125</f>
        <v/>
      </c>
      <c r="W421" s="12"/>
    </row>
    <row r="422" spans="2:23" x14ac:dyDescent="0.25">
      <c r="B422" s="99" t="str">
        <f>'SET 2 PLAYERS'!G126</f>
        <v>CLASS 2</v>
      </c>
      <c r="C422" s="102" t="str">
        <f>IF(AND('ROSTER UPDATE'!B126=""),"",('ROSTER UPDATE'!B126))</f>
        <v/>
      </c>
      <c r="D422" s="103" t="str">
        <f>IF(AND('ROSTER UPDATE'!E126=""),"",('ROSTER UPDATE'!E126))</f>
        <v/>
      </c>
      <c r="E422" s="12"/>
      <c r="F422" s="102" t="str">
        <f>IF(AND('ROSTER UPDATE'!F126=""),"",('ROSTER UPDATE'!F126))</f>
        <v/>
      </c>
      <c r="G422" s="103" t="str">
        <f>IF(AND('ROSTER UPDATE'!C126=""),"",('ROSTER UPDATE'!C126))</f>
        <v/>
      </c>
      <c r="H422" s="12"/>
      <c r="I422" s="12"/>
      <c r="O422" s="12"/>
      <c r="P422" s="102">
        <f>'SET 2 PLAYERS'!O126</f>
        <v>0</v>
      </c>
      <c r="Q422" s="103">
        <f>'SET 2 PLAYERS'!P126</f>
        <v>0</v>
      </c>
      <c r="R422" s="14"/>
      <c r="S422" s="115" t="e">
        <f t="shared" si="12"/>
        <v>#VALUE!</v>
      </c>
      <c r="T422" s="116" t="e">
        <f t="shared" si="13"/>
        <v>#VALUE!</v>
      </c>
      <c r="U422" s="12"/>
      <c r="V422" s="107" t="str">
        <f>'SET 2 PLAYERS'!Q126</f>
        <v/>
      </c>
      <c r="W422" s="12"/>
    </row>
    <row r="423" spans="2:23" x14ac:dyDescent="0.25">
      <c r="B423" s="99" t="str">
        <f>'SET 2 PLAYERS'!G127</f>
        <v>CLASS 2</v>
      </c>
      <c r="C423" s="102" t="str">
        <f>IF(AND('ROSTER UPDATE'!B127=""),"",('ROSTER UPDATE'!B127))</f>
        <v/>
      </c>
      <c r="D423" s="103" t="str">
        <f>IF(AND('ROSTER UPDATE'!E127=""),"",('ROSTER UPDATE'!E127))</f>
        <v/>
      </c>
      <c r="E423" s="12"/>
      <c r="F423" s="102" t="str">
        <f>IF(AND('ROSTER UPDATE'!F127=""),"",('ROSTER UPDATE'!F127))</f>
        <v/>
      </c>
      <c r="G423" s="103" t="str">
        <f>IF(AND('ROSTER UPDATE'!C127=""),"",('ROSTER UPDATE'!C127))</f>
        <v/>
      </c>
      <c r="H423" s="12"/>
      <c r="I423" s="12"/>
      <c r="O423" s="12"/>
      <c r="P423" s="102">
        <f>'SET 2 PLAYERS'!O127</f>
        <v>0</v>
      </c>
      <c r="Q423" s="103">
        <f>'SET 2 PLAYERS'!P127</f>
        <v>0</v>
      </c>
      <c r="R423" s="14"/>
      <c r="S423" s="115" t="e">
        <f t="shared" si="12"/>
        <v>#VALUE!</v>
      </c>
      <c r="T423" s="116" t="e">
        <f t="shared" si="13"/>
        <v>#VALUE!</v>
      </c>
      <c r="U423" s="12"/>
      <c r="V423" s="107" t="str">
        <f>'SET 2 PLAYERS'!Q127</f>
        <v/>
      </c>
      <c r="W423" s="12"/>
    </row>
    <row r="424" spans="2:23" x14ac:dyDescent="0.25">
      <c r="B424" s="99" t="str">
        <f>'SET 2 PLAYERS'!G128</f>
        <v>CLASS 2</v>
      </c>
      <c r="C424" s="102" t="str">
        <f>IF(AND('ROSTER UPDATE'!B128=""),"",('ROSTER UPDATE'!B128))</f>
        <v/>
      </c>
      <c r="D424" s="103" t="str">
        <f>IF(AND('ROSTER UPDATE'!E128=""),"",('ROSTER UPDATE'!E128))</f>
        <v/>
      </c>
      <c r="E424" s="12"/>
      <c r="F424" s="102" t="str">
        <f>IF(AND('ROSTER UPDATE'!F128=""),"",('ROSTER UPDATE'!F128))</f>
        <v/>
      </c>
      <c r="G424" s="103" t="str">
        <f>IF(AND('ROSTER UPDATE'!C128=""),"",('ROSTER UPDATE'!C128))</f>
        <v/>
      </c>
      <c r="H424" s="12"/>
      <c r="I424" s="12"/>
      <c r="O424" s="12"/>
      <c r="P424" s="102">
        <f>'SET 2 PLAYERS'!O128</f>
        <v>0</v>
      </c>
      <c r="Q424" s="103">
        <f>'SET 2 PLAYERS'!P128</f>
        <v>0</v>
      </c>
      <c r="R424" s="14"/>
      <c r="S424" s="115" t="e">
        <f t="shared" si="12"/>
        <v>#VALUE!</v>
      </c>
      <c r="T424" s="116" t="e">
        <f t="shared" si="13"/>
        <v>#VALUE!</v>
      </c>
      <c r="U424" s="12"/>
      <c r="V424" s="107" t="str">
        <f>'SET 2 PLAYERS'!Q128</f>
        <v/>
      </c>
      <c r="W424" s="12"/>
    </row>
    <row r="425" spans="2:23" x14ac:dyDescent="0.25">
      <c r="B425" s="99" t="str">
        <f>'SET 2 PLAYERS'!G129</f>
        <v>CLASS 2</v>
      </c>
      <c r="C425" s="102" t="str">
        <f>IF(AND('ROSTER UPDATE'!B129=""),"",('ROSTER UPDATE'!B129))</f>
        <v/>
      </c>
      <c r="D425" s="103" t="str">
        <f>IF(AND('ROSTER UPDATE'!E129=""),"",('ROSTER UPDATE'!E129))</f>
        <v/>
      </c>
      <c r="E425" s="12"/>
      <c r="F425" s="102" t="str">
        <f>IF(AND('ROSTER UPDATE'!F129=""),"",('ROSTER UPDATE'!F129))</f>
        <v/>
      </c>
      <c r="G425" s="103" t="str">
        <f>IF(AND('ROSTER UPDATE'!C129=""),"",('ROSTER UPDATE'!C129))</f>
        <v/>
      </c>
      <c r="H425" s="12"/>
      <c r="I425" s="12"/>
      <c r="O425" s="12"/>
      <c r="P425" s="102">
        <f>'SET 2 PLAYERS'!O129</f>
        <v>0</v>
      </c>
      <c r="Q425" s="103">
        <f>'SET 2 PLAYERS'!P129</f>
        <v>0</v>
      </c>
      <c r="R425" s="14"/>
      <c r="S425" s="115" t="e">
        <f t="shared" si="12"/>
        <v>#VALUE!</v>
      </c>
      <c r="T425" s="116" t="e">
        <f t="shared" si="13"/>
        <v>#VALUE!</v>
      </c>
      <c r="U425" s="12"/>
      <c r="V425" s="107" t="str">
        <f>'SET 2 PLAYERS'!Q129</f>
        <v/>
      </c>
      <c r="W425" s="12"/>
    </row>
    <row r="426" spans="2:23" x14ac:dyDescent="0.25">
      <c r="B426" s="99" t="str">
        <f>'SET 2 PLAYERS'!G130</f>
        <v>CLASS 2</v>
      </c>
      <c r="C426" s="102" t="str">
        <f>IF(AND('ROSTER UPDATE'!B130=""),"",('ROSTER UPDATE'!B130))</f>
        <v/>
      </c>
      <c r="D426" s="103" t="str">
        <f>IF(AND('ROSTER UPDATE'!E130=""),"",('ROSTER UPDATE'!E130))</f>
        <v/>
      </c>
      <c r="E426" s="12"/>
      <c r="F426" s="102" t="str">
        <f>IF(AND('ROSTER UPDATE'!F130=""),"",('ROSTER UPDATE'!F130))</f>
        <v/>
      </c>
      <c r="G426" s="103" t="str">
        <f>IF(AND('ROSTER UPDATE'!C130=""),"",('ROSTER UPDATE'!C130))</f>
        <v/>
      </c>
      <c r="H426" s="12"/>
      <c r="I426" s="12"/>
      <c r="O426" s="12"/>
      <c r="P426" s="102">
        <f>'SET 2 PLAYERS'!O130</f>
        <v>0</v>
      </c>
      <c r="Q426" s="103">
        <f>'SET 2 PLAYERS'!P130</f>
        <v>0</v>
      </c>
      <c r="R426" s="14"/>
      <c r="S426" s="115" t="e">
        <f t="shared" si="12"/>
        <v>#VALUE!</v>
      </c>
      <c r="T426" s="116" t="e">
        <f t="shared" si="13"/>
        <v>#VALUE!</v>
      </c>
      <c r="U426" s="12"/>
      <c r="V426" s="107" t="str">
        <f>'SET 2 PLAYERS'!Q130</f>
        <v/>
      </c>
      <c r="W426" s="12"/>
    </row>
    <row r="427" spans="2:23" x14ac:dyDescent="0.25">
      <c r="B427" s="99" t="str">
        <f>'SET 2 PLAYERS'!G131</f>
        <v>CLASS 2</v>
      </c>
      <c r="C427" s="102" t="str">
        <f>IF(AND('ROSTER UPDATE'!B131=""),"",('ROSTER UPDATE'!B131))</f>
        <v/>
      </c>
      <c r="D427" s="103" t="str">
        <f>IF(AND('ROSTER UPDATE'!E131=""),"",('ROSTER UPDATE'!E131))</f>
        <v/>
      </c>
      <c r="E427" s="12"/>
      <c r="F427" s="102" t="str">
        <f>IF(AND('ROSTER UPDATE'!F131=""),"",('ROSTER UPDATE'!F131))</f>
        <v/>
      </c>
      <c r="G427" s="103" t="str">
        <f>IF(AND('ROSTER UPDATE'!C131=""),"",('ROSTER UPDATE'!C131))</f>
        <v/>
      </c>
      <c r="H427" s="12"/>
      <c r="I427" s="12"/>
      <c r="O427" s="12"/>
      <c r="P427" s="102">
        <f>'SET 2 PLAYERS'!O131</f>
        <v>0</v>
      </c>
      <c r="Q427" s="103">
        <f>'SET 2 PLAYERS'!P131</f>
        <v>0</v>
      </c>
      <c r="R427" s="14"/>
      <c r="S427" s="115" t="e">
        <f t="shared" si="12"/>
        <v>#VALUE!</v>
      </c>
      <c r="T427" s="116" t="e">
        <f t="shared" si="13"/>
        <v>#VALUE!</v>
      </c>
      <c r="U427" s="12"/>
      <c r="V427" s="107" t="str">
        <f>'SET 2 PLAYERS'!Q131</f>
        <v/>
      </c>
      <c r="W427" s="12"/>
    </row>
    <row r="428" spans="2:23" x14ac:dyDescent="0.25">
      <c r="B428" s="99" t="str">
        <f>'SET 2 PLAYERS'!G132</f>
        <v>CLASS 2</v>
      </c>
      <c r="C428" s="102" t="str">
        <f>IF(AND('ROSTER UPDATE'!B132=""),"",('ROSTER UPDATE'!B132))</f>
        <v/>
      </c>
      <c r="D428" s="103" t="str">
        <f>IF(AND('ROSTER UPDATE'!E132=""),"",('ROSTER UPDATE'!E132))</f>
        <v/>
      </c>
      <c r="E428" s="12"/>
      <c r="F428" s="102" t="str">
        <f>IF(AND('ROSTER UPDATE'!F132=""),"",('ROSTER UPDATE'!F132))</f>
        <v/>
      </c>
      <c r="G428" s="103" t="str">
        <f>IF(AND('ROSTER UPDATE'!C132=""),"",('ROSTER UPDATE'!C132))</f>
        <v/>
      </c>
      <c r="H428" s="12"/>
      <c r="I428" s="12"/>
      <c r="O428" s="12"/>
      <c r="P428" s="102">
        <f>'SET 2 PLAYERS'!O132</f>
        <v>0</v>
      </c>
      <c r="Q428" s="103">
        <f>'SET 2 PLAYERS'!P132</f>
        <v>0</v>
      </c>
      <c r="R428" s="14"/>
      <c r="S428" s="115" t="e">
        <f t="shared" si="12"/>
        <v>#VALUE!</v>
      </c>
      <c r="T428" s="116" t="e">
        <f t="shared" si="13"/>
        <v>#VALUE!</v>
      </c>
      <c r="U428" s="12"/>
      <c r="V428" s="107" t="str">
        <f>'SET 2 PLAYERS'!Q132</f>
        <v/>
      </c>
      <c r="W428" s="12"/>
    </row>
    <row r="429" spans="2:23" x14ac:dyDescent="0.25">
      <c r="B429" s="99" t="str">
        <f>'SET 2 PLAYERS'!G133</f>
        <v>CLASS 2</v>
      </c>
      <c r="C429" s="102" t="str">
        <f>IF(AND('ROSTER UPDATE'!B133=""),"",('ROSTER UPDATE'!B133))</f>
        <v/>
      </c>
      <c r="D429" s="103" t="str">
        <f>IF(AND('ROSTER UPDATE'!E133=""),"",('ROSTER UPDATE'!E133))</f>
        <v/>
      </c>
      <c r="E429" s="12"/>
      <c r="F429" s="102" t="str">
        <f>IF(AND('ROSTER UPDATE'!F133=""),"",('ROSTER UPDATE'!F133))</f>
        <v/>
      </c>
      <c r="G429" s="103" t="str">
        <f>IF(AND('ROSTER UPDATE'!C133=""),"",('ROSTER UPDATE'!C133))</f>
        <v/>
      </c>
      <c r="H429" s="12"/>
      <c r="I429" s="12"/>
      <c r="O429" s="12"/>
      <c r="P429" s="102">
        <f>'SET 2 PLAYERS'!O133</f>
        <v>0</v>
      </c>
      <c r="Q429" s="103">
        <f>'SET 2 PLAYERS'!P133</f>
        <v>0</v>
      </c>
      <c r="R429" s="14"/>
      <c r="S429" s="115" t="e">
        <f t="shared" si="12"/>
        <v>#VALUE!</v>
      </c>
      <c r="T429" s="116" t="e">
        <f t="shared" si="13"/>
        <v>#VALUE!</v>
      </c>
      <c r="U429" s="12"/>
      <c r="V429" s="107" t="str">
        <f>'SET 2 PLAYERS'!Q133</f>
        <v/>
      </c>
      <c r="W429" s="12"/>
    </row>
    <row r="430" spans="2:23" x14ac:dyDescent="0.25">
      <c r="B430" s="99" t="str">
        <f>'SET 2 PLAYERS'!G134</f>
        <v>CLASS 2</v>
      </c>
      <c r="C430" s="102" t="str">
        <f>IF(AND('ROSTER UPDATE'!B134=""),"",('ROSTER UPDATE'!B134))</f>
        <v/>
      </c>
      <c r="D430" s="103" t="str">
        <f>IF(AND('ROSTER UPDATE'!E134=""),"",('ROSTER UPDATE'!E134))</f>
        <v/>
      </c>
      <c r="E430" s="12"/>
      <c r="F430" s="102" t="str">
        <f>IF(AND('ROSTER UPDATE'!F134=""),"",('ROSTER UPDATE'!F134))</f>
        <v/>
      </c>
      <c r="G430" s="103" t="str">
        <f>IF(AND('ROSTER UPDATE'!C134=""),"",('ROSTER UPDATE'!C134))</f>
        <v/>
      </c>
      <c r="H430" s="12"/>
      <c r="I430" s="12"/>
      <c r="O430" s="12"/>
      <c r="P430" s="102">
        <f>'SET 2 PLAYERS'!O134</f>
        <v>0</v>
      </c>
      <c r="Q430" s="103">
        <f>'SET 2 PLAYERS'!P134</f>
        <v>0</v>
      </c>
      <c r="R430" s="14"/>
      <c r="S430" s="115" t="e">
        <f t="shared" ref="S430:S493" si="14">V430/P430</f>
        <v>#VALUE!</v>
      </c>
      <c r="T430" s="116" t="e">
        <f t="shared" ref="T430:T493" si="15">V430/Q430</f>
        <v>#VALUE!</v>
      </c>
      <c r="U430" s="12"/>
      <c r="V430" s="107" t="str">
        <f>'SET 2 PLAYERS'!Q134</f>
        <v/>
      </c>
      <c r="W430" s="12"/>
    </row>
    <row r="431" spans="2:23" x14ac:dyDescent="0.25">
      <c r="B431" s="99" t="str">
        <f>'SET 2 PLAYERS'!G135</f>
        <v>CLASS 2</v>
      </c>
      <c r="C431" s="102" t="str">
        <f>IF(AND('ROSTER UPDATE'!B135=""),"",('ROSTER UPDATE'!B135))</f>
        <v/>
      </c>
      <c r="D431" s="103" t="str">
        <f>IF(AND('ROSTER UPDATE'!E135=""),"",('ROSTER UPDATE'!E135))</f>
        <v/>
      </c>
      <c r="E431" s="12"/>
      <c r="F431" s="102" t="str">
        <f>IF(AND('ROSTER UPDATE'!F135=""),"",('ROSTER UPDATE'!F135))</f>
        <v/>
      </c>
      <c r="G431" s="103" t="str">
        <f>IF(AND('ROSTER UPDATE'!C135=""),"",('ROSTER UPDATE'!C135))</f>
        <v/>
      </c>
      <c r="H431" s="12"/>
      <c r="I431" s="12"/>
      <c r="O431" s="12"/>
      <c r="P431" s="102">
        <f>'SET 2 PLAYERS'!O135</f>
        <v>0</v>
      </c>
      <c r="Q431" s="103">
        <f>'SET 2 PLAYERS'!P135</f>
        <v>0</v>
      </c>
      <c r="R431" s="14"/>
      <c r="S431" s="115" t="e">
        <f t="shared" si="14"/>
        <v>#VALUE!</v>
      </c>
      <c r="T431" s="116" t="e">
        <f t="shared" si="15"/>
        <v>#VALUE!</v>
      </c>
      <c r="U431" s="12"/>
      <c r="V431" s="107" t="str">
        <f>'SET 2 PLAYERS'!Q135</f>
        <v/>
      </c>
      <c r="W431" s="12"/>
    </row>
    <row r="432" spans="2:23" x14ac:dyDescent="0.25">
      <c r="B432" s="99" t="str">
        <f>'SET 2 PLAYERS'!G136</f>
        <v>CLASS 2</v>
      </c>
      <c r="C432" s="102" t="str">
        <f>IF(AND('ROSTER UPDATE'!B136=""),"",('ROSTER UPDATE'!B136))</f>
        <v/>
      </c>
      <c r="D432" s="103" t="str">
        <f>IF(AND('ROSTER UPDATE'!E136=""),"",('ROSTER UPDATE'!E136))</f>
        <v/>
      </c>
      <c r="E432" s="12"/>
      <c r="F432" s="102" t="str">
        <f>IF(AND('ROSTER UPDATE'!F136=""),"",('ROSTER UPDATE'!F136))</f>
        <v/>
      </c>
      <c r="G432" s="103" t="str">
        <f>IF(AND('ROSTER UPDATE'!C136=""),"",('ROSTER UPDATE'!C136))</f>
        <v/>
      </c>
      <c r="H432" s="12"/>
      <c r="I432" s="12"/>
      <c r="O432" s="12"/>
      <c r="P432" s="102">
        <f>'SET 2 PLAYERS'!O136</f>
        <v>0</v>
      </c>
      <c r="Q432" s="103">
        <f>'SET 2 PLAYERS'!P136</f>
        <v>0</v>
      </c>
      <c r="R432" s="14"/>
      <c r="S432" s="115" t="e">
        <f t="shared" si="14"/>
        <v>#VALUE!</v>
      </c>
      <c r="T432" s="116" t="e">
        <f t="shared" si="15"/>
        <v>#VALUE!</v>
      </c>
      <c r="U432" s="12"/>
      <c r="V432" s="107" t="str">
        <f>'SET 2 PLAYERS'!Q136</f>
        <v/>
      </c>
      <c r="W432" s="12"/>
    </row>
    <row r="433" spans="2:23" x14ac:dyDescent="0.25">
      <c r="B433" s="99" t="str">
        <f>'SET 2 PLAYERS'!G137</f>
        <v>CLASS 2</v>
      </c>
      <c r="C433" s="102" t="str">
        <f>IF(AND('ROSTER UPDATE'!B137=""),"",('ROSTER UPDATE'!B137))</f>
        <v/>
      </c>
      <c r="D433" s="103" t="str">
        <f>IF(AND('ROSTER UPDATE'!E137=""),"",('ROSTER UPDATE'!E137))</f>
        <v/>
      </c>
      <c r="E433" s="12"/>
      <c r="F433" s="102" t="str">
        <f>IF(AND('ROSTER UPDATE'!F137=""),"",('ROSTER UPDATE'!F137))</f>
        <v/>
      </c>
      <c r="G433" s="103" t="str">
        <f>IF(AND('ROSTER UPDATE'!C137=""),"",('ROSTER UPDATE'!C137))</f>
        <v/>
      </c>
      <c r="H433" s="12"/>
      <c r="I433" s="12"/>
      <c r="O433" s="12"/>
      <c r="P433" s="102">
        <f>'SET 2 PLAYERS'!O137</f>
        <v>0</v>
      </c>
      <c r="Q433" s="103">
        <f>'SET 2 PLAYERS'!P137</f>
        <v>0</v>
      </c>
      <c r="R433" s="14"/>
      <c r="S433" s="115" t="e">
        <f t="shared" si="14"/>
        <v>#VALUE!</v>
      </c>
      <c r="T433" s="116" t="e">
        <f t="shared" si="15"/>
        <v>#VALUE!</v>
      </c>
      <c r="U433" s="12"/>
      <c r="V433" s="107" t="str">
        <f>'SET 2 PLAYERS'!Q137</f>
        <v/>
      </c>
      <c r="W433" s="12"/>
    </row>
    <row r="434" spans="2:23" x14ac:dyDescent="0.25">
      <c r="B434" s="99" t="str">
        <f>'SET 2 PLAYERS'!G138</f>
        <v>CLASS 2</v>
      </c>
      <c r="C434" s="102" t="str">
        <f>IF(AND('ROSTER UPDATE'!B138=""),"",('ROSTER UPDATE'!B138))</f>
        <v/>
      </c>
      <c r="D434" s="103" t="str">
        <f>IF(AND('ROSTER UPDATE'!E138=""),"",('ROSTER UPDATE'!E138))</f>
        <v/>
      </c>
      <c r="E434" s="12"/>
      <c r="F434" s="102" t="str">
        <f>IF(AND('ROSTER UPDATE'!F138=""),"",('ROSTER UPDATE'!F138))</f>
        <v/>
      </c>
      <c r="G434" s="103" t="str">
        <f>IF(AND('ROSTER UPDATE'!C138=""),"",('ROSTER UPDATE'!C138))</f>
        <v/>
      </c>
      <c r="H434" s="12"/>
      <c r="I434" s="12"/>
      <c r="O434" s="12"/>
      <c r="P434" s="102">
        <f>'SET 2 PLAYERS'!O138</f>
        <v>0</v>
      </c>
      <c r="Q434" s="103">
        <f>'SET 2 PLAYERS'!P138</f>
        <v>0</v>
      </c>
      <c r="R434" s="14"/>
      <c r="S434" s="115" t="e">
        <f t="shared" si="14"/>
        <v>#VALUE!</v>
      </c>
      <c r="T434" s="116" t="e">
        <f t="shared" si="15"/>
        <v>#VALUE!</v>
      </c>
      <c r="U434" s="12"/>
      <c r="V434" s="107" t="str">
        <f>'SET 2 PLAYERS'!Q138</f>
        <v/>
      </c>
      <c r="W434" s="12"/>
    </row>
    <row r="435" spans="2:23" x14ac:dyDescent="0.25">
      <c r="B435" s="99" t="str">
        <f>'SET 2 PLAYERS'!G139</f>
        <v>CLASS 2</v>
      </c>
      <c r="C435" s="102" t="str">
        <f>IF(AND('ROSTER UPDATE'!B139=""),"",('ROSTER UPDATE'!B139))</f>
        <v/>
      </c>
      <c r="D435" s="103" t="str">
        <f>IF(AND('ROSTER UPDATE'!E139=""),"",('ROSTER UPDATE'!E139))</f>
        <v/>
      </c>
      <c r="E435" s="12"/>
      <c r="F435" s="102" t="str">
        <f>IF(AND('ROSTER UPDATE'!F139=""),"",('ROSTER UPDATE'!F139))</f>
        <v/>
      </c>
      <c r="G435" s="103" t="str">
        <f>IF(AND('ROSTER UPDATE'!C139=""),"",('ROSTER UPDATE'!C139))</f>
        <v/>
      </c>
      <c r="H435" s="12"/>
      <c r="I435" s="12"/>
      <c r="O435" s="12"/>
      <c r="P435" s="102">
        <f>'SET 2 PLAYERS'!O139</f>
        <v>0</v>
      </c>
      <c r="Q435" s="103">
        <f>'SET 2 PLAYERS'!P139</f>
        <v>0</v>
      </c>
      <c r="R435" s="14"/>
      <c r="S435" s="115" t="e">
        <f t="shared" si="14"/>
        <v>#VALUE!</v>
      </c>
      <c r="T435" s="116" t="e">
        <f t="shared" si="15"/>
        <v>#VALUE!</v>
      </c>
      <c r="U435" s="12"/>
      <c r="V435" s="107" t="str">
        <f>'SET 2 PLAYERS'!Q139</f>
        <v/>
      </c>
      <c r="W435" s="12"/>
    </row>
    <row r="436" spans="2:23" x14ac:dyDescent="0.25">
      <c r="B436" s="99" t="str">
        <f>'SET 2 PLAYERS'!G140</f>
        <v>CLASS 2</v>
      </c>
      <c r="C436" s="102" t="str">
        <f>IF(AND('ROSTER UPDATE'!B140=""),"",('ROSTER UPDATE'!B140))</f>
        <v/>
      </c>
      <c r="D436" s="103" t="str">
        <f>IF(AND('ROSTER UPDATE'!E140=""),"",('ROSTER UPDATE'!E140))</f>
        <v/>
      </c>
      <c r="E436" s="12"/>
      <c r="F436" s="102" t="str">
        <f>IF(AND('ROSTER UPDATE'!F140=""),"",('ROSTER UPDATE'!F140))</f>
        <v/>
      </c>
      <c r="G436" s="103" t="str">
        <f>IF(AND('ROSTER UPDATE'!C140=""),"",('ROSTER UPDATE'!C140))</f>
        <v/>
      </c>
      <c r="H436" s="12"/>
      <c r="I436" s="12"/>
      <c r="O436" s="12"/>
      <c r="P436" s="102">
        <f>'SET 2 PLAYERS'!O140</f>
        <v>0</v>
      </c>
      <c r="Q436" s="103">
        <f>'SET 2 PLAYERS'!P140</f>
        <v>0</v>
      </c>
      <c r="R436" s="14"/>
      <c r="S436" s="115" t="e">
        <f t="shared" si="14"/>
        <v>#VALUE!</v>
      </c>
      <c r="T436" s="116" t="e">
        <f t="shared" si="15"/>
        <v>#VALUE!</v>
      </c>
      <c r="U436" s="12"/>
      <c r="V436" s="107" t="str">
        <f>'SET 2 PLAYERS'!Q140</f>
        <v/>
      </c>
      <c r="W436" s="12"/>
    </row>
    <row r="437" spans="2:23" x14ac:dyDescent="0.25">
      <c r="B437" s="99" t="str">
        <f>'SET 2 PLAYERS'!G141</f>
        <v>CLASS 2</v>
      </c>
      <c r="C437" s="102" t="str">
        <f>IF(AND('ROSTER UPDATE'!B141=""),"",('ROSTER UPDATE'!B141))</f>
        <v/>
      </c>
      <c r="D437" s="103" t="str">
        <f>IF(AND('ROSTER UPDATE'!E141=""),"",('ROSTER UPDATE'!E141))</f>
        <v/>
      </c>
      <c r="E437" s="12"/>
      <c r="F437" s="102" t="str">
        <f>IF(AND('ROSTER UPDATE'!F141=""),"",('ROSTER UPDATE'!F141))</f>
        <v/>
      </c>
      <c r="G437" s="103" t="str">
        <f>IF(AND('ROSTER UPDATE'!C141=""),"",('ROSTER UPDATE'!C141))</f>
        <v/>
      </c>
      <c r="H437" s="12"/>
      <c r="I437" s="12"/>
      <c r="O437" s="12"/>
      <c r="P437" s="102">
        <f>'SET 2 PLAYERS'!O141</f>
        <v>0</v>
      </c>
      <c r="Q437" s="103">
        <f>'SET 2 PLAYERS'!P141</f>
        <v>0</v>
      </c>
      <c r="R437" s="14"/>
      <c r="S437" s="115" t="e">
        <f t="shared" si="14"/>
        <v>#VALUE!</v>
      </c>
      <c r="T437" s="116" t="e">
        <f t="shared" si="15"/>
        <v>#VALUE!</v>
      </c>
      <c r="U437" s="12"/>
      <c r="V437" s="107" t="str">
        <f>'SET 2 PLAYERS'!Q141</f>
        <v/>
      </c>
      <c r="W437" s="12"/>
    </row>
    <row r="438" spans="2:23" x14ac:dyDescent="0.25">
      <c r="B438" s="99" t="str">
        <f>'SET 2 PLAYERS'!G142</f>
        <v>CLASS 2</v>
      </c>
      <c r="C438" s="102" t="str">
        <f>IF(AND('ROSTER UPDATE'!B142=""),"",('ROSTER UPDATE'!B142))</f>
        <v/>
      </c>
      <c r="D438" s="103" t="str">
        <f>IF(AND('ROSTER UPDATE'!E142=""),"",('ROSTER UPDATE'!E142))</f>
        <v/>
      </c>
      <c r="E438" s="12"/>
      <c r="F438" s="102" t="str">
        <f>IF(AND('ROSTER UPDATE'!F142=""),"",('ROSTER UPDATE'!F142))</f>
        <v/>
      </c>
      <c r="G438" s="103" t="str">
        <f>IF(AND('ROSTER UPDATE'!C142=""),"",('ROSTER UPDATE'!C142))</f>
        <v/>
      </c>
      <c r="H438" s="12"/>
      <c r="I438" s="12"/>
      <c r="O438" s="12"/>
      <c r="P438" s="102">
        <f>'SET 2 PLAYERS'!O142</f>
        <v>0</v>
      </c>
      <c r="Q438" s="103">
        <f>'SET 2 PLAYERS'!P142</f>
        <v>0</v>
      </c>
      <c r="R438" s="14"/>
      <c r="S438" s="115" t="e">
        <f t="shared" si="14"/>
        <v>#VALUE!</v>
      </c>
      <c r="T438" s="116" t="e">
        <f t="shared" si="15"/>
        <v>#VALUE!</v>
      </c>
      <c r="U438" s="12"/>
      <c r="V438" s="107" t="str">
        <f>'SET 2 PLAYERS'!Q142</f>
        <v/>
      </c>
      <c r="W438" s="12"/>
    </row>
    <row r="439" spans="2:23" x14ac:dyDescent="0.25">
      <c r="B439" s="99" t="str">
        <f>'SET 2 PLAYERS'!G143</f>
        <v>CLASS 2</v>
      </c>
      <c r="C439" s="102" t="str">
        <f>IF(AND('ROSTER UPDATE'!B143=""),"",('ROSTER UPDATE'!B143))</f>
        <v/>
      </c>
      <c r="D439" s="103" t="str">
        <f>IF(AND('ROSTER UPDATE'!E143=""),"",('ROSTER UPDATE'!E143))</f>
        <v/>
      </c>
      <c r="E439" s="12"/>
      <c r="F439" s="102" t="str">
        <f>IF(AND('ROSTER UPDATE'!F143=""),"",('ROSTER UPDATE'!F143))</f>
        <v/>
      </c>
      <c r="G439" s="103" t="str">
        <f>IF(AND('ROSTER UPDATE'!C143=""),"",('ROSTER UPDATE'!C143))</f>
        <v/>
      </c>
      <c r="H439" s="12"/>
      <c r="I439" s="12"/>
      <c r="O439" s="12"/>
      <c r="P439" s="102">
        <f>'SET 2 PLAYERS'!O143</f>
        <v>0</v>
      </c>
      <c r="Q439" s="103">
        <f>'SET 2 PLAYERS'!P143</f>
        <v>0</v>
      </c>
      <c r="R439" s="14"/>
      <c r="S439" s="115" t="e">
        <f t="shared" si="14"/>
        <v>#VALUE!</v>
      </c>
      <c r="T439" s="116" t="e">
        <f t="shared" si="15"/>
        <v>#VALUE!</v>
      </c>
      <c r="U439" s="12"/>
      <c r="V439" s="107" t="str">
        <f>'SET 2 PLAYERS'!Q143</f>
        <v/>
      </c>
      <c r="W439" s="12"/>
    </row>
    <row r="440" spans="2:23" x14ac:dyDescent="0.25">
      <c r="B440" s="99" t="str">
        <f>'SET 2 PLAYERS'!G144</f>
        <v>CLASS 2</v>
      </c>
      <c r="C440" s="102" t="str">
        <f>IF(AND('ROSTER UPDATE'!B144=""),"",('ROSTER UPDATE'!B144))</f>
        <v/>
      </c>
      <c r="D440" s="103" t="str">
        <f>IF(AND('ROSTER UPDATE'!E144=""),"",('ROSTER UPDATE'!E144))</f>
        <v/>
      </c>
      <c r="E440" s="12"/>
      <c r="F440" s="102" t="str">
        <f>IF(AND('ROSTER UPDATE'!F144=""),"",('ROSTER UPDATE'!F144))</f>
        <v/>
      </c>
      <c r="G440" s="103" t="str">
        <f>IF(AND('ROSTER UPDATE'!C144=""),"",('ROSTER UPDATE'!C144))</f>
        <v/>
      </c>
      <c r="H440" s="12"/>
      <c r="I440" s="12"/>
      <c r="O440" s="12"/>
      <c r="P440" s="102">
        <f>'SET 2 PLAYERS'!O144</f>
        <v>0</v>
      </c>
      <c r="Q440" s="103">
        <f>'SET 2 PLAYERS'!P144</f>
        <v>0</v>
      </c>
      <c r="R440" s="14"/>
      <c r="S440" s="115" t="e">
        <f t="shared" si="14"/>
        <v>#VALUE!</v>
      </c>
      <c r="T440" s="116" t="e">
        <f t="shared" si="15"/>
        <v>#VALUE!</v>
      </c>
      <c r="U440" s="12"/>
      <c r="V440" s="107" t="str">
        <f>'SET 2 PLAYERS'!Q144</f>
        <v/>
      </c>
      <c r="W440" s="12"/>
    </row>
    <row r="441" spans="2:23" x14ac:dyDescent="0.25">
      <c r="B441" s="99" t="str">
        <f>'SET 2 PLAYERS'!G145</f>
        <v>CLASS 2</v>
      </c>
      <c r="C441" s="102" t="str">
        <f>IF(AND('ROSTER UPDATE'!B145=""),"",('ROSTER UPDATE'!B145))</f>
        <v/>
      </c>
      <c r="D441" s="103" t="str">
        <f>IF(AND('ROSTER UPDATE'!E145=""),"",('ROSTER UPDATE'!E145))</f>
        <v/>
      </c>
      <c r="E441" s="12"/>
      <c r="F441" s="102" t="str">
        <f>IF(AND('ROSTER UPDATE'!F145=""),"",('ROSTER UPDATE'!F145))</f>
        <v/>
      </c>
      <c r="G441" s="103" t="str">
        <f>IF(AND('ROSTER UPDATE'!C145=""),"",('ROSTER UPDATE'!C145))</f>
        <v/>
      </c>
      <c r="H441" s="12"/>
      <c r="I441" s="12"/>
      <c r="O441" s="12"/>
      <c r="P441" s="102">
        <f>'SET 2 PLAYERS'!O145</f>
        <v>0</v>
      </c>
      <c r="Q441" s="103">
        <f>'SET 2 PLAYERS'!P145</f>
        <v>0</v>
      </c>
      <c r="R441" s="14"/>
      <c r="S441" s="115" t="e">
        <f t="shared" si="14"/>
        <v>#VALUE!</v>
      </c>
      <c r="T441" s="116" t="e">
        <f t="shared" si="15"/>
        <v>#VALUE!</v>
      </c>
      <c r="U441" s="12"/>
      <c r="V441" s="107" t="str">
        <f>'SET 2 PLAYERS'!Q145</f>
        <v/>
      </c>
      <c r="W441" s="12"/>
    </row>
    <row r="442" spans="2:23" x14ac:dyDescent="0.25">
      <c r="B442" s="99" t="str">
        <f>'SET 2 PLAYERS'!G146</f>
        <v>CLASS 2</v>
      </c>
      <c r="C442" s="102" t="str">
        <f>IF(AND('ROSTER UPDATE'!B146=""),"",('ROSTER UPDATE'!B146))</f>
        <v/>
      </c>
      <c r="D442" s="103" t="str">
        <f>IF(AND('ROSTER UPDATE'!E146=""),"",('ROSTER UPDATE'!E146))</f>
        <v/>
      </c>
      <c r="E442" s="12"/>
      <c r="F442" s="102" t="str">
        <f>IF(AND('ROSTER UPDATE'!F146=""),"",('ROSTER UPDATE'!F146))</f>
        <v/>
      </c>
      <c r="G442" s="103" t="str">
        <f>IF(AND('ROSTER UPDATE'!C146=""),"",('ROSTER UPDATE'!C146))</f>
        <v/>
      </c>
      <c r="H442" s="12"/>
      <c r="I442" s="12"/>
      <c r="O442" s="12"/>
      <c r="P442" s="102">
        <f>'SET 2 PLAYERS'!O146</f>
        <v>0</v>
      </c>
      <c r="Q442" s="103">
        <f>'SET 2 PLAYERS'!P146</f>
        <v>0</v>
      </c>
      <c r="R442" s="14"/>
      <c r="S442" s="115" t="e">
        <f t="shared" si="14"/>
        <v>#VALUE!</v>
      </c>
      <c r="T442" s="116" t="e">
        <f t="shared" si="15"/>
        <v>#VALUE!</v>
      </c>
      <c r="U442" s="12"/>
      <c r="V442" s="107" t="str">
        <f>'SET 2 PLAYERS'!Q146</f>
        <v/>
      </c>
      <c r="W442" s="12"/>
    </row>
    <row r="443" spans="2:23" x14ac:dyDescent="0.25">
      <c r="B443" s="99" t="str">
        <f>'SET 2 PLAYERS'!G147</f>
        <v>CLASS 2</v>
      </c>
      <c r="C443" s="102" t="str">
        <f>IF(AND('ROSTER UPDATE'!B147=""),"",('ROSTER UPDATE'!B147))</f>
        <v/>
      </c>
      <c r="D443" s="103" t="str">
        <f>IF(AND('ROSTER UPDATE'!E147=""),"",('ROSTER UPDATE'!E147))</f>
        <v/>
      </c>
      <c r="E443" s="12"/>
      <c r="F443" s="102" t="str">
        <f>IF(AND('ROSTER UPDATE'!F147=""),"",('ROSTER UPDATE'!F147))</f>
        <v/>
      </c>
      <c r="G443" s="103" t="str">
        <f>IF(AND('ROSTER UPDATE'!C147=""),"",('ROSTER UPDATE'!C147))</f>
        <v/>
      </c>
      <c r="H443" s="12"/>
      <c r="I443" s="12"/>
      <c r="O443" s="12"/>
      <c r="P443" s="102">
        <f>'SET 2 PLAYERS'!O147</f>
        <v>0</v>
      </c>
      <c r="Q443" s="103">
        <f>'SET 2 PLAYERS'!P147</f>
        <v>0</v>
      </c>
      <c r="R443" s="14"/>
      <c r="S443" s="115" t="e">
        <f t="shared" si="14"/>
        <v>#VALUE!</v>
      </c>
      <c r="T443" s="116" t="e">
        <f t="shared" si="15"/>
        <v>#VALUE!</v>
      </c>
      <c r="U443" s="12"/>
      <c r="V443" s="107" t="str">
        <f>'SET 2 PLAYERS'!Q147</f>
        <v/>
      </c>
      <c r="W443" s="12"/>
    </row>
    <row r="444" spans="2:23" x14ac:dyDescent="0.25">
      <c r="B444" s="99" t="str">
        <f>'SET 2 PLAYERS'!G148</f>
        <v>CLASS 2</v>
      </c>
      <c r="C444" s="102" t="str">
        <f>IF(AND('ROSTER UPDATE'!B148=""),"",('ROSTER UPDATE'!B148))</f>
        <v/>
      </c>
      <c r="D444" s="103" t="str">
        <f>IF(AND('ROSTER UPDATE'!E148=""),"",('ROSTER UPDATE'!E148))</f>
        <v/>
      </c>
      <c r="E444" s="12"/>
      <c r="F444" s="102" t="str">
        <f>IF(AND('ROSTER UPDATE'!F148=""),"",('ROSTER UPDATE'!F148))</f>
        <v/>
      </c>
      <c r="G444" s="103" t="str">
        <f>IF(AND('ROSTER UPDATE'!C148=""),"",('ROSTER UPDATE'!C148))</f>
        <v/>
      </c>
      <c r="H444" s="12"/>
      <c r="I444" s="12"/>
      <c r="O444" s="12"/>
      <c r="P444" s="102">
        <f>'SET 2 PLAYERS'!O148</f>
        <v>0</v>
      </c>
      <c r="Q444" s="103">
        <f>'SET 2 PLAYERS'!P148</f>
        <v>0</v>
      </c>
      <c r="R444" s="14"/>
      <c r="S444" s="115" t="e">
        <f t="shared" si="14"/>
        <v>#VALUE!</v>
      </c>
      <c r="T444" s="116" t="e">
        <f t="shared" si="15"/>
        <v>#VALUE!</v>
      </c>
      <c r="U444" s="12"/>
      <c r="V444" s="107" t="str">
        <f>'SET 2 PLAYERS'!Q148</f>
        <v/>
      </c>
      <c r="W444" s="12"/>
    </row>
    <row r="445" spans="2:23" x14ac:dyDescent="0.25">
      <c r="B445" s="99" t="str">
        <f>'SET 2 PLAYERS'!G149</f>
        <v>CLASS 2</v>
      </c>
      <c r="C445" s="102" t="str">
        <f>IF(AND('ROSTER UPDATE'!B149=""),"",('ROSTER UPDATE'!B149))</f>
        <v/>
      </c>
      <c r="D445" s="103" t="str">
        <f>IF(AND('ROSTER UPDATE'!E149=""),"",('ROSTER UPDATE'!E149))</f>
        <v/>
      </c>
      <c r="E445" s="12"/>
      <c r="F445" s="102" t="str">
        <f>IF(AND('ROSTER UPDATE'!F149=""),"",('ROSTER UPDATE'!F149))</f>
        <v/>
      </c>
      <c r="G445" s="103" t="str">
        <f>IF(AND('ROSTER UPDATE'!C149=""),"",('ROSTER UPDATE'!C149))</f>
        <v/>
      </c>
      <c r="H445" s="12"/>
      <c r="I445" s="12"/>
      <c r="O445" s="12"/>
      <c r="P445" s="102">
        <f>'SET 2 PLAYERS'!O149</f>
        <v>0</v>
      </c>
      <c r="Q445" s="103">
        <f>'SET 2 PLAYERS'!P149</f>
        <v>0</v>
      </c>
      <c r="R445" s="14"/>
      <c r="S445" s="115" t="e">
        <f t="shared" si="14"/>
        <v>#VALUE!</v>
      </c>
      <c r="T445" s="116" t="e">
        <f t="shared" si="15"/>
        <v>#VALUE!</v>
      </c>
      <c r="U445" s="12"/>
      <c r="V445" s="107" t="str">
        <f>'SET 2 PLAYERS'!Q149</f>
        <v/>
      </c>
      <c r="W445" s="12"/>
    </row>
    <row r="446" spans="2:23" x14ac:dyDescent="0.25">
      <c r="B446" s="99" t="str">
        <f>'SET 2 PLAYERS'!G150</f>
        <v>CLASS 2</v>
      </c>
      <c r="C446" s="102" t="str">
        <f>IF(AND('ROSTER UPDATE'!B150=""),"",('ROSTER UPDATE'!B150))</f>
        <v/>
      </c>
      <c r="D446" s="103" t="str">
        <f>IF(AND('ROSTER UPDATE'!E150=""),"",('ROSTER UPDATE'!E150))</f>
        <v/>
      </c>
      <c r="E446" s="12"/>
      <c r="F446" s="102" t="str">
        <f>IF(AND('ROSTER UPDATE'!F150=""),"",('ROSTER UPDATE'!F150))</f>
        <v/>
      </c>
      <c r="G446" s="103" t="str">
        <f>IF(AND('ROSTER UPDATE'!C150=""),"",('ROSTER UPDATE'!C150))</f>
        <v/>
      </c>
      <c r="H446" s="12"/>
      <c r="I446" s="12"/>
      <c r="O446" s="12"/>
      <c r="P446" s="102">
        <f>'SET 2 PLAYERS'!O150</f>
        <v>0</v>
      </c>
      <c r="Q446" s="103">
        <f>'SET 2 PLAYERS'!P150</f>
        <v>0</v>
      </c>
      <c r="R446" s="14"/>
      <c r="S446" s="115" t="e">
        <f t="shared" si="14"/>
        <v>#VALUE!</v>
      </c>
      <c r="T446" s="116" t="e">
        <f t="shared" si="15"/>
        <v>#VALUE!</v>
      </c>
      <c r="U446" s="12"/>
      <c r="V446" s="107" t="str">
        <f>'SET 2 PLAYERS'!Q150</f>
        <v/>
      </c>
      <c r="W446" s="12"/>
    </row>
    <row r="447" spans="2:23" x14ac:dyDescent="0.25">
      <c r="B447" s="99" t="str">
        <f>'SET 2 PLAYERS'!G151</f>
        <v>CLASS 2</v>
      </c>
      <c r="C447" s="102" t="str">
        <f>IF(AND('ROSTER UPDATE'!B151=""),"",('ROSTER UPDATE'!B151))</f>
        <v/>
      </c>
      <c r="D447" s="103" t="str">
        <f>IF(AND('ROSTER UPDATE'!E151=""),"",('ROSTER UPDATE'!E151))</f>
        <v/>
      </c>
      <c r="E447" s="12"/>
      <c r="F447" s="102" t="str">
        <f>IF(AND('ROSTER UPDATE'!F151=""),"",('ROSTER UPDATE'!F151))</f>
        <v/>
      </c>
      <c r="G447" s="103" t="str">
        <f>IF(AND('ROSTER UPDATE'!C151=""),"",('ROSTER UPDATE'!C151))</f>
        <v/>
      </c>
      <c r="H447" s="12"/>
      <c r="I447" s="12"/>
      <c r="O447" s="12"/>
      <c r="P447" s="102" t="str">
        <f>'SET 2 PLAYERS'!O151</f>
        <v/>
      </c>
      <c r="Q447" s="103" t="str">
        <f>'SET 2 PLAYERS'!P151</f>
        <v/>
      </c>
      <c r="R447" s="14"/>
      <c r="S447" s="115" t="e">
        <f t="shared" si="14"/>
        <v>#VALUE!</v>
      </c>
      <c r="T447" s="116" t="e">
        <f t="shared" si="15"/>
        <v>#VALUE!</v>
      </c>
      <c r="U447" s="12"/>
      <c r="V447" s="107" t="str">
        <f>'SET 2 PLAYERS'!Q151</f>
        <v/>
      </c>
      <c r="W447" s="12"/>
    </row>
    <row r="448" spans="2:23" x14ac:dyDescent="0.25">
      <c r="B448" s="99" t="str">
        <f>'SET 2 PLAYERS'!G152</f>
        <v>CLASS 2</v>
      </c>
      <c r="C448" s="102" t="str">
        <f>IF(AND('ROSTER UPDATE'!B152=""),"",('ROSTER UPDATE'!B152))</f>
        <v/>
      </c>
      <c r="D448" s="103" t="str">
        <f>IF(AND('ROSTER UPDATE'!E152=""),"",('ROSTER UPDATE'!E152))</f>
        <v/>
      </c>
      <c r="E448" s="12"/>
      <c r="F448" s="102" t="str">
        <f>IF(AND('ROSTER UPDATE'!F152=""),"",('ROSTER UPDATE'!F152))</f>
        <v/>
      </c>
      <c r="G448" s="103" t="str">
        <f>IF(AND('ROSTER UPDATE'!C152=""),"",('ROSTER UPDATE'!C152))</f>
        <v/>
      </c>
      <c r="H448" s="12"/>
      <c r="I448" s="12"/>
      <c r="O448" s="12"/>
      <c r="P448" s="102" t="str">
        <f>'SET 2 PLAYERS'!O152</f>
        <v/>
      </c>
      <c r="Q448" s="103" t="str">
        <f>'SET 2 PLAYERS'!P152</f>
        <v/>
      </c>
      <c r="R448" s="14"/>
      <c r="S448" s="115" t="e">
        <f t="shared" si="14"/>
        <v>#VALUE!</v>
      </c>
      <c r="T448" s="116" t="e">
        <f t="shared" si="15"/>
        <v>#VALUE!</v>
      </c>
      <c r="U448" s="12"/>
      <c r="V448" s="107" t="str">
        <f>'SET 2 PLAYERS'!Q152</f>
        <v/>
      </c>
      <c r="W448" s="12"/>
    </row>
    <row r="449" spans="2:23" x14ac:dyDescent="0.25">
      <c r="B449" s="99" t="str">
        <f>'SET 2 PLAYERS'!G153</f>
        <v>CLASS 2</v>
      </c>
      <c r="C449" s="102" t="str">
        <f>IF(AND('ROSTER UPDATE'!B153=""),"",('ROSTER UPDATE'!B153))</f>
        <v/>
      </c>
      <c r="D449" s="103" t="str">
        <f>IF(AND('ROSTER UPDATE'!E153=""),"",('ROSTER UPDATE'!E153))</f>
        <v/>
      </c>
      <c r="E449" s="12"/>
      <c r="F449" s="102" t="str">
        <f>IF(AND('ROSTER UPDATE'!F153=""),"",('ROSTER UPDATE'!F153))</f>
        <v/>
      </c>
      <c r="G449" s="103" t="str">
        <f>IF(AND('ROSTER UPDATE'!C153=""),"",('ROSTER UPDATE'!C153))</f>
        <v/>
      </c>
      <c r="H449" s="12"/>
      <c r="I449" s="12"/>
      <c r="O449" s="12"/>
      <c r="P449" s="102" t="str">
        <f>'SET 2 PLAYERS'!O153</f>
        <v/>
      </c>
      <c r="Q449" s="103" t="str">
        <f>'SET 2 PLAYERS'!P153</f>
        <v/>
      </c>
      <c r="R449" s="14"/>
      <c r="S449" s="115" t="e">
        <f t="shared" si="14"/>
        <v>#VALUE!</v>
      </c>
      <c r="T449" s="116" t="e">
        <f t="shared" si="15"/>
        <v>#VALUE!</v>
      </c>
      <c r="U449" s="12"/>
      <c r="V449" s="107" t="str">
        <f>'SET 2 PLAYERS'!Q153</f>
        <v/>
      </c>
      <c r="W449" s="12"/>
    </row>
    <row r="450" spans="2:23" x14ac:dyDescent="0.25">
      <c r="B450" s="99" t="str">
        <f>'SET 2 PLAYERS'!G154</f>
        <v>CLASS 2</v>
      </c>
      <c r="C450" s="102" t="str">
        <f>IF(AND('ROSTER UPDATE'!B154=""),"",('ROSTER UPDATE'!B154))</f>
        <v/>
      </c>
      <c r="D450" s="103" t="str">
        <f>IF(AND('ROSTER UPDATE'!E154=""),"",('ROSTER UPDATE'!E154))</f>
        <v/>
      </c>
      <c r="E450" s="12"/>
      <c r="F450" s="102" t="str">
        <f>IF(AND('ROSTER UPDATE'!F154=""),"",('ROSTER UPDATE'!F154))</f>
        <v/>
      </c>
      <c r="G450" s="103" t="str">
        <f>IF(AND('ROSTER UPDATE'!C154=""),"",('ROSTER UPDATE'!C154))</f>
        <v/>
      </c>
      <c r="H450" s="12"/>
      <c r="I450" s="12"/>
      <c r="O450" s="12"/>
      <c r="P450" s="102" t="str">
        <f>'SET 2 PLAYERS'!O154</f>
        <v/>
      </c>
      <c r="Q450" s="103" t="str">
        <f>'SET 2 PLAYERS'!P154</f>
        <v/>
      </c>
      <c r="R450" s="14"/>
      <c r="S450" s="115" t="e">
        <f t="shared" si="14"/>
        <v>#VALUE!</v>
      </c>
      <c r="T450" s="116" t="e">
        <f t="shared" si="15"/>
        <v>#VALUE!</v>
      </c>
      <c r="U450" s="12"/>
      <c r="V450" s="107" t="str">
        <f>'SET 2 PLAYERS'!Q154</f>
        <v/>
      </c>
      <c r="W450" s="12"/>
    </row>
    <row r="451" spans="2:23" x14ac:dyDescent="0.25">
      <c r="B451" s="99" t="str">
        <f>'SET 2 PLAYERS'!G155</f>
        <v>CLASS 2</v>
      </c>
      <c r="C451" s="102" t="str">
        <f>IF(AND('ROSTER UPDATE'!B155=""),"",('ROSTER UPDATE'!B155))</f>
        <v/>
      </c>
      <c r="D451" s="103" t="str">
        <f>IF(AND('ROSTER UPDATE'!E155=""),"",('ROSTER UPDATE'!E155))</f>
        <v/>
      </c>
      <c r="E451" s="12"/>
      <c r="F451" s="102" t="str">
        <f>IF(AND('ROSTER UPDATE'!F155=""),"",('ROSTER UPDATE'!F155))</f>
        <v/>
      </c>
      <c r="G451" s="103" t="str">
        <f>IF(AND('ROSTER UPDATE'!C155=""),"",('ROSTER UPDATE'!C155))</f>
        <v/>
      </c>
      <c r="H451" s="12"/>
      <c r="I451" s="12"/>
      <c r="O451" s="12"/>
      <c r="P451" s="102" t="str">
        <f>'SET 2 PLAYERS'!O155</f>
        <v/>
      </c>
      <c r="Q451" s="103" t="str">
        <f>'SET 2 PLAYERS'!P155</f>
        <v/>
      </c>
      <c r="R451" s="14"/>
      <c r="S451" s="115" t="e">
        <f t="shared" si="14"/>
        <v>#VALUE!</v>
      </c>
      <c r="T451" s="116" t="e">
        <f t="shared" si="15"/>
        <v>#VALUE!</v>
      </c>
      <c r="U451" s="12"/>
      <c r="V451" s="107" t="str">
        <f>'SET 2 PLAYERS'!Q155</f>
        <v/>
      </c>
      <c r="W451" s="12"/>
    </row>
    <row r="452" spans="2:23" x14ac:dyDescent="0.25">
      <c r="B452" s="99" t="str">
        <f>'SET 2 PLAYERS'!G156</f>
        <v>CLASS 2</v>
      </c>
      <c r="C452" s="102" t="str">
        <f>IF(AND('ROSTER UPDATE'!B156=""),"",('ROSTER UPDATE'!B156))</f>
        <v/>
      </c>
      <c r="D452" s="103" t="str">
        <f>IF(AND('ROSTER UPDATE'!E156=""),"",('ROSTER UPDATE'!E156))</f>
        <v/>
      </c>
      <c r="E452" s="12"/>
      <c r="F452" s="102" t="str">
        <f>IF(AND('ROSTER UPDATE'!F156=""),"",('ROSTER UPDATE'!F156))</f>
        <v/>
      </c>
      <c r="G452" s="103" t="str">
        <f>IF(AND('ROSTER UPDATE'!C156=""),"",('ROSTER UPDATE'!C156))</f>
        <v/>
      </c>
      <c r="H452" s="12"/>
      <c r="I452" s="12"/>
      <c r="O452" s="12"/>
      <c r="P452" s="102" t="str">
        <f>'SET 2 PLAYERS'!O156</f>
        <v/>
      </c>
      <c r="Q452" s="103" t="str">
        <f>'SET 2 PLAYERS'!P156</f>
        <v/>
      </c>
      <c r="R452" s="14"/>
      <c r="S452" s="115" t="e">
        <f t="shared" si="14"/>
        <v>#VALUE!</v>
      </c>
      <c r="T452" s="116" t="e">
        <f t="shared" si="15"/>
        <v>#VALUE!</v>
      </c>
      <c r="U452" s="12"/>
      <c r="V452" s="107" t="str">
        <f>'SET 2 PLAYERS'!Q156</f>
        <v/>
      </c>
      <c r="W452" s="12"/>
    </row>
    <row r="453" spans="2:23" x14ac:dyDescent="0.25">
      <c r="B453" s="99" t="str">
        <f>'SET 2 PLAYERS'!G157</f>
        <v>CLASS 2</v>
      </c>
      <c r="C453" s="102" t="str">
        <f>IF(AND('ROSTER UPDATE'!B157=""),"",('ROSTER UPDATE'!B157))</f>
        <v/>
      </c>
      <c r="D453" s="103" t="str">
        <f>IF(AND('ROSTER UPDATE'!E157=""),"",('ROSTER UPDATE'!E157))</f>
        <v/>
      </c>
      <c r="E453" s="12"/>
      <c r="F453" s="102" t="str">
        <f>IF(AND('ROSTER UPDATE'!F157=""),"",('ROSTER UPDATE'!F157))</f>
        <v/>
      </c>
      <c r="G453" s="103" t="str">
        <f>IF(AND('ROSTER UPDATE'!C157=""),"",('ROSTER UPDATE'!C157))</f>
        <v/>
      </c>
      <c r="H453" s="12"/>
      <c r="I453" s="12"/>
      <c r="O453" s="12"/>
      <c r="P453" s="102" t="str">
        <f>'SET 2 PLAYERS'!O157</f>
        <v/>
      </c>
      <c r="Q453" s="103" t="str">
        <f>'SET 2 PLAYERS'!P157</f>
        <v/>
      </c>
      <c r="R453" s="14"/>
      <c r="S453" s="115" t="e">
        <f t="shared" si="14"/>
        <v>#VALUE!</v>
      </c>
      <c r="T453" s="116" t="e">
        <f t="shared" si="15"/>
        <v>#VALUE!</v>
      </c>
      <c r="U453" s="12"/>
      <c r="V453" s="107" t="str">
        <f>'SET 2 PLAYERS'!Q157</f>
        <v/>
      </c>
      <c r="W453" s="12"/>
    </row>
    <row r="454" spans="2:23" x14ac:dyDescent="0.25">
      <c r="B454" s="99" t="str">
        <f>'SET 2 PLAYERS'!G158</f>
        <v>CLASS 2</v>
      </c>
      <c r="C454" s="102" t="str">
        <f>IF(AND('ROSTER UPDATE'!B158=""),"",('ROSTER UPDATE'!B158))</f>
        <v/>
      </c>
      <c r="D454" s="103" t="str">
        <f>IF(AND('ROSTER UPDATE'!E158=""),"",('ROSTER UPDATE'!E158))</f>
        <v/>
      </c>
      <c r="E454" s="12"/>
      <c r="F454" s="102" t="str">
        <f>IF(AND('ROSTER UPDATE'!F158=""),"",('ROSTER UPDATE'!F158))</f>
        <v/>
      </c>
      <c r="G454" s="103" t="str">
        <f>IF(AND('ROSTER UPDATE'!C158=""),"",('ROSTER UPDATE'!C158))</f>
        <v/>
      </c>
      <c r="H454" s="12"/>
      <c r="I454" s="12"/>
      <c r="O454" s="12"/>
      <c r="P454" s="102" t="str">
        <f>'SET 2 PLAYERS'!O158</f>
        <v/>
      </c>
      <c r="Q454" s="103" t="str">
        <f>'SET 2 PLAYERS'!P158</f>
        <v/>
      </c>
      <c r="R454" s="14"/>
      <c r="S454" s="115" t="e">
        <f t="shared" si="14"/>
        <v>#VALUE!</v>
      </c>
      <c r="T454" s="116" t="e">
        <f t="shared" si="15"/>
        <v>#VALUE!</v>
      </c>
      <c r="U454" s="12"/>
      <c r="V454" s="107" t="str">
        <f>'SET 2 PLAYERS'!Q158</f>
        <v/>
      </c>
      <c r="W454" s="12"/>
    </row>
    <row r="455" spans="2:23" x14ac:dyDescent="0.25">
      <c r="B455" s="99" t="str">
        <f>'SET 2 PLAYERS'!G159</f>
        <v>CLASS 2</v>
      </c>
      <c r="C455" s="102" t="str">
        <f>IF(AND('ROSTER UPDATE'!B159=""),"",('ROSTER UPDATE'!B159))</f>
        <v/>
      </c>
      <c r="D455" s="103" t="str">
        <f>IF(AND('ROSTER UPDATE'!E159=""),"",('ROSTER UPDATE'!E159))</f>
        <v/>
      </c>
      <c r="E455" s="12"/>
      <c r="F455" s="102" t="str">
        <f>IF(AND('ROSTER UPDATE'!F159=""),"",('ROSTER UPDATE'!F159))</f>
        <v/>
      </c>
      <c r="G455" s="103" t="str">
        <f>IF(AND('ROSTER UPDATE'!C159=""),"",('ROSTER UPDATE'!C159))</f>
        <v/>
      </c>
      <c r="H455" s="12"/>
      <c r="I455" s="12"/>
      <c r="O455" s="12"/>
      <c r="P455" s="102" t="str">
        <f>'SET 2 PLAYERS'!O159</f>
        <v/>
      </c>
      <c r="Q455" s="103" t="str">
        <f>'SET 2 PLAYERS'!P159</f>
        <v/>
      </c>
      <c r="R455" s="14"/>
      <c r="S455" s="115" t="e">
        <f t="shared" si="14"/>
        <v>#VALUE!</v>
      </c>
      <c r="T455" s="116" t="e">
        <f t="shared" si="15"/>
        <v>#VALUE!</v>
      </c>
      <c r="U455" s="12"/>
      <c r="V455" s="107" t="str">
        <f>'SET 2 PLAYERS'!Q159</f>
        <v/>
      </c>
      <c r="W455" s="12"/>
    </row>
    <row r="456" spans="2:23" x14ac:dyDescent="0.25">
      <c r="B456" s="99" t="str">
        <f>'SET 2 PLAYERS'!G160</f>
        <v>CLASS 2</v>
      </c>
      <c r="C456" s="102" t="str">
        <f>IF(AND('ROSTER UPDATE'!B160=""),"",('ROSTER UPDATE'!B160))</f>
        <v/>
      </c>
      <c r="D456" s="103" t="str">
        <f>IF(AND('ROSTER UPDATE'!E160=""),"",('ROSTER UPDATE'!E160))</f>
        <v/>
      </c>
      <c r="E456" s="12"/>
      <c r="F456" s="102" t="str">
        <f>IF(AND('ROSTER UPDATE'!F160=""),"",('ROSTER UPDATE'!F160))</f>
        <v/>
      </c>
      <c r="G456" s="103" t="str">
        <f>IF(AND('ROSTER UPDATE'!C160=""),"",('ROSTER UPDATE'!C160))</f>
        <v/>
      </c>
      <c r="H456" s="12"/>
      <c r="I456" s="12"/>
      <c r="O456" s="12"/>
      <c r="P456" s="102" t="str">
        <f>'SET 2 PLAYERS'!O160</f>
        <v/>
      </c>
      <c r="Q456" s="103" t="str">
        <f>'SET 2 PLAYERS'!P160</f>
        <v/>
      </c>
      <c r="R456" s="14"/>
      <c r="S456" s="115" t="e">
        <f t="shared" si="14"/>
        <v>#VALUE!</v>
      </c>
      <c r="T456" s="116" t="e">
        <f t="shared" si="15"/>
        <v>#VALUE!</v>
      </c>
      <c r="U456" s="12"/>
      <c r="V456" s="107" t="str">
        <f>'SET 2 PLAYERS'!Q160</f>
        <v/>
      </c>
      <c r="W456" s="12"/>
    </row>
    <row r="457" spans="2:23" x14ac:dyDescent="0.25">
      <c r="B457" s="99" t="str">
        <f>'SET 2 PLAYERS'!G161</f>
        <v>CLASS 2</v>
      </c>
      <c r="C457" s="102" t="str">
        <f>IF(AND('ROSTER UPDATE'!B161=""),"",('ROSTER UPDATE'!B161))</f>
        <v/>
      </c>
      <c r="D457" s="103" t="str">
        <f>IF(AND('ROSTER UPDATE'!E161=""),"",('ROSTER UPDATE'!E161))</f>
        <v/>
      </c>
      <c r="E457" s="12"/>
      <c r="F457" s="102" t="str">
        <f>IF(AND('ROSTER UPDATE'!F161=""),"",('ROSTER UPDATE'!F161))</f>
        <v/>
      </c>
      <c r="G457" s="103" t="str">
        <f>IF(AND('ROSTER UPDATE'!C161=""),"",('ROSTER UPDATE'!C161))</f>
        <v/>
      </c>
      <c r="H457" s="12"/>
      <c r="I457" s="12"/>
      <c r="O457" s="12"/>
      <c r="P457" s="102" t="str">
        <f>'SET 2 PLAYERS'!O161</f>
        <v/>
      </c>
      <c r="Q457" s="103" t="str">
        <f>'SET 2 PLAYERS'!P161</f>
        <v/>
      </c>
      <c r="R457" s="14"/>
      <c r="S457" s="115" t="e">
        <f t="shared" si="14"/>
        <v>#VALUE!</v>
      </c>
      <c r="T457" s="116" t="e">
        <f t="shared" si="15"/>
        <v>#VALUE!</v>
      </c>
      <c r="U457" s="12"/>
      <c r="V457" s="107" t="str">
        <f>'SET 2 PLAYERS'!Q161</f>
        <v/>
      </c>
      <c r="W457" s="12"/>
    </row>
    <row r="458" spans="2:23" x14ac:dyDescent="0.25">
      <c r="B458" s="99" t="str">
        <f>'SET 2 PLAYERS'!G162</f>
        <v>CLASS 2</v>
      </c>
      <c r="C458" s="102" t="str">
        <f>IF(AND('ROSTER UPDATE'!B162=""),"",('ROSTER UPDATE'!B162))</f>
        <v/>
      </c>
      <c r="D458" s="103" t="str">
        <f>IF(AND('ROSTER UPDATE'!E162=""),"",('ROSTER UPDATE'!E162))</f>
        <v/>
      </c>
      <c r="E458" s="12"/>
      <c r="F458" s="102" t="str">
        <f>IF(AND('ROSTER UPDATE'!F162=""),"",('ROSTER UPDATE'!F162))</f>
        <v/>
      </c>
      <c r="G458" s="103" t="str">
        <f>IF(AND('ROSTER UPDATE'!C162=""),"",('ROSTER UPDATE'!C162))</f>
        <v/>
      </c>
      <c r="H458" s="12"/>
      <c r="I458" s="12"/>
      <c r="O458" s="12"/>
      <c r="P458" s="102" t="str">
        <f>'SET 2 PLAYERS'!O162</f>
        <v/>
      </c>
      <c r="Q458" s="103" t="str">
        <f>'SET 2 PLAYERS'!P162</f>
        <v/>
      </c>
      <c r="R458" s="14"/>
      <c r="S458" s="115" t="e">
        <f t="shared" si="14"/>
        <v>#VALUE!</v>
      </c>
      <c r="T458" s="116" t="e">
        <f t="shared" si="15"/>
        <v>#VALUE!</v>
      </c>
      <c r="U458" s="12"/>
      <c r="V458" s="107" t="str">
        <f>'SET 2 PLAYERS'!Q162</f>
        <v/>
      </c>
      <c r="W458" s="12"/>
    </row>
    <row r="459" spans="2:23" x14ac:dyDescent="0.25">
      <c r="B459" s="99" t="str">
        <f>'SET 2 PLAYERS'!G163</f>
        <v>CLASS 2</v>
      </c>
      <c r="C459" s="102" t="str">
        <f>IF(AND('ROSTER UPDATE'!B163=""),"",('ROSTER UPDATE'!B163))</f>
        <v/>
      </c>
      <c r="D459" s="103" t="str">
        <f>IF(AND('ROSTER UPDATE'!E163=""),"",('ROSTER UPDATE'!E163))</f>
        <v/>
      </c>
      <c r="E459" s="12"/>
      <c r="F459" s="102" t="str">
        <f>IF(AND('ROSTER UPDATE'!F163=""),"",('ROSTER UPDATE'!F163))</f>
        <v/>
      </c>
      <c r="G459" s="103" t="str">
        <f>IF(AND('ROSTER UPDATE'!C163=""),"",('ROSTER UPDATE'!C163))</f>
        <v/>
      </c>
      <c r="H459" s="12"/>
      <c r="I459" s="12"/>
      <c r="O459" s="12"/>
      <c r="P459" s="102" t="str">
        <f>'SET 2 PLAYERS'!O163</f>
        <v/>
      </c>
      <c r="Q459" s="103" t="str">
        <f>'SET 2 PLAYERS'!P163</f>
        <v/>
      </c>
      <c r="R459" s="14"/>
      <c r="S459" s="115" t="e">
        <f t="shared" si="14"/>
        <v>#VALUE!</v>
      </c>
      <c r="T459" s="116" t="e">
        <f t="shared" si="15"/>
        <v>#VALUE!</v>
      </c>
      <c r="U459" s="12"/>
      <c r="V459" s="107" t="str">
        <f>'SET 2 PLAYERS'!Q163</f>
        <v/>
      </c>
      <c r="W459" s="12"/>
    </row>
    <row r="460" spans="2:23" x14ac:dyDescent="0.25">
      <c r="B460" s="99" t="str">
        <f>'SET 2 PLAYERS'!G164</f>
        <v>CLASS 2</v>
      </c>
      <c r="C460" s="102" t="str">
        <f>IF(AND('ROSTER UPDATE'!B164=""),"",('ROSTER UPDATE'!B164))</f>
        <v/>
      </c>
      <c r="D460" s="103" t="str">
        <f>IF(AND('ROSTER UPDATE'!E164=""),"",('ROSTER UPDATE'!E164))</f>
        <v/>
      </c>
      <c r="E460" s="12"/>
      <c r="F460" s="102" t="str">
        <f>IF(AND('ROSTER UPDATE'!F164=""),"",('ROSTER UPDATE'!F164))</f>
        <v/>
      </c>
      <c r="G460" s="103" t="str">
        <f>IF(AND('ROSTER UPDATE'!C164=""),"",('ROSTER UPDATE'!C164))</f>
        <v/>
      </c>
      <c r="H460" s="12"/>
      <c r="I460" s="12"/>
      <c r="O460" s="12"/>
      <c r="P460" s="102" t="str">
        <f>'SET 2 PLAYERS'!O164</f>
        <v/>
      </c>
      <c r="Q460" s="103" t="str">
        <f>'SET 2 PLAYERS'!P164</f>
        <v/>
      </c>
      <c r="R460" s="14"/>
      <c r="S460" s="115" t="e">
        <f t="shared" si="14"/>
        <v>#VALUE!</v>
      </c>
      <c r="T460" s="116" t="e">
        <f t="shared" si="15"/>
        <v>#VALUE!</v>
      </c>
      <c r="U460" s="12"/>
      <c r="V460" s="107" t="str">
        <f>'SET 2 PLAYERS'!Q164</f>
        <v/>
      </c>
      <c r="W460" s="12"/>
    </row>
    <row r="461" spans="2:23" x14ac:dyDescent="0.25">
      <c r="B461" s="99" t="str">
        <f>'SET 2 PLAYERS'!G165</f>
        <v>CLASS 2</v>
      </c>
      <c r="C461" s="102" t="str">
        <f>IF(AND('ROSTER UPDATE'!B165=""),"",('ROSTER UPDATE'!B165))</f>
        <v/>
      </c>
      <c r="D461" s="103" t="str">
        <f>IF(AND('ROSTER UPDATE'!E165=""),"",('ROSTER UPDATE'!E165))</f>
        <v/>
      </c>
      <c r="E461" s="12"/>
      <c r="F461" s="102" t="str">
        <f>IF(AND('ROSTER UPDATE'!F165=""),"",('ROSTER UPDATE'!F165))</f>
        <v/>
      </c>
      <c r="G461" s="103" t="str">
        <f>IF(AND('ROSTER UPDATE'!C165=""),"",('ROSTER UPDATE'!C165))</f>
        <v/>
      </c>
      <c r="H461" s="12"/>
      <c r="I461" s="12"/>
      <c r="O461" s="12"/>
      <c r="P461" s="102" t="str">
        <f>'SET 2 PLAYERS'!O165</f>
        <v/>
      </c>
      <c r="Q461" s="103" t="str">
        <f>'SET 2 PLAYERS'!P165</f>
        <v/>
      </c>
      <c r="R461" s="14"/>
      <c r="S461" s="115" t="e">
        <f t="shared" si="14"/>
        <v>#VALUE!</v>
      </c>
      <c r="T461" s="116" t="e">
        <f t="shared" si="15"/>
        <v>#VALUE!</v>
      </c>
      <c r="U461" s="12"/>
      <c r="V461" s="107" t="str">
        <f>'SET 2 PLAYERS'!Q165</f>
        <v/>
      </c>
      <c r="W461" s="12"/>
    </row>
    <row r="462" spans="2:23" x14ac:dyDescent="0.25">
      <c r="B462" s="99" t="str">
        <f>'SET 2 PLAYERS'!G166</f>
        <v>CLASS 2</v>
      </c>
      <c r="C462" s="102" t="str">
        <f>IF(AND('ROSTER UPDATE'!B166=""),"",('ROSTER UPDATE'!B166))</f>
        <v/>
      </c>
      <c r="D462" s="103" t="str">
        <f>IF(AND('ROSTER UPDATE'!E166=""),"",('ROSTER UPDATE'!E166))</f>
        <v/>
      </c>
      <c r="E462" s="12"/>
      <c r="F462" s="102" t="str">
        <f>IF(AND('ROSTER UPDATE'!F166=""),"",('ROSTER UPDATE'!F166))</f>
        <v/>
      </c>
      <c r="G462" s="103" t="str">
        <f>IF(AND('ROSTER UPDATE'!C166=""),"",('ROSTER UPDATE'!C166))</f>
        <v/>
      </c>
      <c r="H462" s="12"/>
      <c r="I462" s="12"/>
      <c r="O462" s="12"/>
      <c r="P462" s="102" t="str">
        <f>'SET 2 PLAYERS'!O166</f>
        <v/>
      </c>
      <c r="Q462" s="103" t="str">
        <f>'SET 2 PLAYERS'!P166</f>
        <v/>
      </c>
      <c r="R462" s="14"/>
      <c r="S462" s="115" t="e">
        <f t="shared" si="14"/>
        <v>#VALUE!</v>
      </c>
      <c r="T462" s="116" t="e">
        <f t="shared" si="15"/>
        <v>#VALUE!</v>
      </c>
      <c r="U462" s="12"/>
      <c r="V462" s="107" t="str">
        <f>'SET 2 PLAYERS'!Q166</f>
        <v/>
      </c>
      <c r="W462" s="12"/>
    </row>
    <row r="463" spans="2:23" x14ac:dyDescent="0.25">
      <c r="B463" s="99" t="str">
        <f>'SET 2 PLAYERS'!G167</f>
        <v>CLASS 2</v>
      </c>
      <c r="C463" s="102" t="str">
        <f>IF(AND('ROSTER UPDATE'!B167=""),"",('ROSTER UPDATE'!B167))</f>
        <v/>
      </c>
      <c r="D463" s="103" t="str">
        <f>IF(AND('ROSTER UPDATE'!E167=""),"",('ROSTER UPDATE'!E167))</f>
        <v/>
      </c>
      <c r="E463" s="12"/>
      <c r="F463" s="102" t="str">
        <f>IF(AND('ROSTER UPDATE'!F167=""),"",('ROSTER UPDATE'!F167))</f>
        <v/>
      </c>
      <c r="G463" s="103" t="str">
        <f>IF(AND('ROSTER UPDATE'!C167=""),"",('ROSTER UPDATE'!C167))</f>
        <v/>
      </c>
      <c r="H463" s="12"/>
      <c r="I463" s="12"/>
      <c r="O463" s="12"/>
      <c r="P463" s="102" t="str">
        <f>'SET 2 PLAYERS'!O167</f>
        <v/>
      </c>
      <c r="Q463" s="103" t="str">
        <f>'SET 2 PLAYERS'!P167</f>
        <v/>
      </c>
      <c r="R463" s="14"/>
      <c r="S463" s="115" t="e">
        <f t="shared" si="14"/>
        <v>#VALUE!</v>
      </c>
      <c r="T463" s="116" t="e">
        <f t="shared" si="15"/>
        <v>#VALUE!</v>
      </c>
      <c r="U463" s="12"/>
      <c r="V463" s="107" t="str">
        <f>'SET 2 PLAYERS'!Q167</f>
        <v/>
      </c>
      <c r="W463" s="12"/>
    </row>
    <row r="464" spans="2:23" x14ac:dyDescent="0.25">
      <c r="B464" s="99" t="str">
        <f>'SET 2 PLAYERS'!G168</f>
        <v>CLASS 2</v>
      </c>
      <c r="C464" s="102" t="str">
        <f>IF(AND('ROSTER UPDATE'!B168=""),"",('ROSTER UPDATE'!B168))</f>
        <v/>
      </c>
      <c r="D464" s="103" t="str">
        <f>IF(AND('ROSTER UPDATE'!E168=""),"",('ROSTER UPDATE'!E168))</f>
        <v/>
      </c>
      <c r="E464" s="12"/>
      <c r="F464" s="102" t="str">
        <f>IF(AND('ROSTER UPDATE'!F168=""),"",('ROSTER UPDATE'!F168))</f>
        <v/>
      </c>
      <c r="G464" s="103" t="str">
        <f>IF(AND('ROSTER UPDATE'!C168=""),"",('ROSTER UPDATE'!C168))</f>
        <v/>
      </c>
      <c r="H464" s="12"/>
      <c r="I464" s="12"/>
      <c r="O464" s="12"/>
      <c r="P464" s="102" t="str">
        <f>'SET 2 PLAYERS'!O168</f>
        <v/>
      </c>
      <c r="Q464" s="103" t="str">
        <f>'SET 2 PLAYERS'!P168</f>
        <v/>
      </c>
      <c r="R464" s="14"/>
      <c r="S464" s="115" t="e">
        <f t="shared" si="14"/>
        <v>#VALUE!</v>
      </c>
      <c r="T464" s="116" t="e">
        <f t="shared" si="15"/>
        <v>#VALUE!</v>
      </c>
      <c r="U464" s="12"/>
      <c r="V464" s="107" t="str">
        <f>'SET 2 PLAYERS'!Q168</f>
        <v/>
      </c>
      <c r="W464" s="12"/>
    </row>
    <row r="465" spans="2:23" x14ac:dyDescent="0.25">
      <c r="B465" s="99" t="str">
        <f>'SET 2 PLAYERS'!G169</f>
        <v>CLASS 2</v>
      </c>
      <c r="C465" s="102" t="str">
        <f>IF(AND('ROSTER UPDATE'!B169=""),"",('ROSTER UPDATE'!B169))</f>
        <v/>
      </c>
      <c r="D465" s="103" t="str">
        <f>IF(AND('ROSTER UPDATE'!E169=""),"",('ROSTER UPDATE'!E169))</f>
        <v/>
      </c>
      <c r="E465" s="12"/>
      <c r="F465" s="102" t="str">
        <f>IF(AND('ROSTER UPDATE'!F169=""),"",('ROSTER UPDATE'!F169))</f>
        <v/>
      </c>
      <c r="G465" s="103" t="str">
        <f>IF(AND('ROSTER UPDATE'!C169=""),"",('ROSTER UPDATE'!C169))</f>
        <v/>
      </c>
      <c r="H465" s="12"/>
      <c r="I465" s="12"/>
      <c r="O465" s="12"/>
      <c r="P465" s="102" t="str">
        <f>'SET 2 PLAYERS'!O169</f>
        <v/>
      </c>
      <c r="Q465" s="103" t="str">
        <f>'SET 2 PLAYERS'!P169</f>
        <v/>
      </c>
      <c r="R465" s="14"/>
      <c r="S465" s="115" t="e">
        <f t="shared" si="14"/>
        <v>#VALUE!</v>
      </c>
      <c r="T465" s="116" t="e">
        <f t="shared" si="15"/>
        <v>#VALUE!</v>
      </c>
      <c r="U465" s="12"/>
      <c r="V465" s="107" t="str">
        <f>'SET 2 PLAYERS'!Q169</f>
        <v/>
      </c>
      <c r="W465" s="12"/>
    </row>
    <row r="466" spans="2:23" x14ac:dyDescent="0.25">
      <c r="B466" s="99" t="str">
        <f>'SET 2 PLAYERS'!G170</f>
        <v>CLASS 2</v>
      </c>
      <c r="C466" s="102" t="str">
        <f>IF(AND('ROSTER UPDATE'!B170=""),"",('ROSTER UPDATE'!B170))</f>
        <v/>
      </c>
      <c r="D466" s="103" t="str">
        <f>IF(AND('ROSTER UPDATE'!E170=""),"",('ROSTER UPDATE'!E170))</f>
        <v/>
      </c>
      <c r="E466" s="12"/>
      <c r="F466" s="102" t="str">
        <f>IF(AND('ROSTER UPDATE'!F170=""),"",('ROSTER UPDATE'!F170))</f>
        <v/>
      </c>
      <c r="G466" s="103" t="str">
        <f>IF(AND('ROSTER UPDATE'!C170=""),"",('ROSTER UPDATE'!C170))</f>
        <v/>
      </c>
      <c r="H466" s="12"/>
      <c r="I466" s="12"/>
      <c r="O466" s="12"/>
      <c r="P466" s="102" t="str">
        <f>'SET 2 PLAYERS'!O170</f>
        <v/>
      </c>
      <c r="Q466" s="103" t="str">
        <f>'SET 2 PLAYERS'!P170</f>
        <v/>
      </c>
      <c r="R466" s="14"/>
      <c r="S466" s="115" t="e">
        <f t="shared" si="14"/>
        <v>#VALUE!</v>
      </c>
      <c r="T466" s="116" t="e">
        <f t="shared" si="15"/>
        <v>#VALUE!</v>
      </c>
      <c r="U466" s="12"/>
      <c r="V466" s="107" t="str">
        <f>'SET 2 PLAYERS'!Q170</f>
        <v/>
      </c>
      <c r="W466" s="12"/>
    </row>
    <row r="467" spans="2:23" x14ac:dyDescent="0.25">
      <c r="B467" s="99" t="str">
        <f>'SET 2 PLAYERS'!G171</f>
        <v>CLASS 2</v>
      </c>
      <c r="C467" s="102" t="str">
        <f>IF(AND('ROSTER UPDATE'!B171=""),"",('ROSTER UPDATE'!B171))</f>
        <v/>
      </c>
      <c r="D467" s="103" t="str">
        <f>IF(AND('ROSTER UPDATE'!E171=""),"",('ROSTER UPDATE'!E171))</f>
        <v/>
      </c>
      <c r="E467" s="12"/>
      <c r="F467" s="102" t="str">
        <f>IF(AND('ROSTER UPDATE'!F171=""),"",('ROSTER UPDATE'!F171))</f>
        <v/>
      </c>
      <c r="G467" s="103" t="str">
        <f>IF(AND('ROSTER UPDATE'!C171=""),"",('ROSTER UPDATE'!C171))</f>
        <v/>
      </c>
      <c r="H467" s="12"/>
      <c r="I467" s="12"/>
      <c r="O467" s="12"/>
      <c r="P467" s="102" t="str">
        <f>'SET 2 PLAYERS'!O171</f>
        <v/>
      </c>
      <c r="Q467" s="103" t="str">
        <f>'SET 2 PLAYERS'!P171</f>
        <v/>
      </c>
      <c r="R467" s="14"/>
      <c r="S467" s="115" t="e">
        <f t="shared" si="14"/>
        <v>#VALUE!</v>
      </c>
      <c r="T467" s="116" t="e">
        <f t="shared" si="15"/>
        <v>#VALUE!</v>
      </c>
      <c r="U467" s="12"/>
      <c r="V467" s="107" t="str">
        <f>'SET 2 PLAYERS'!Q171</f>
        <v/>
      </c>
      <c r="W467" s="12"/>
    </row>
    <row r="468" spans="2:23" x14ac:dyDescent="0.25">
      <c r="B468" s="99" t="str">
        <f>'SET 2 PLAYERS'!G172</f>
        <v>CLASS 2</v>
      </c>
      <c r="C468" s="102" t="str">
        <f>IF(AND('ROSTER UPDATE'!B172=""),"",('ROSTER UPDATE'!B172))</f>
        <v/>
      </c>
      <c r="D468" s="103" t="str">
        <f>IF(AND('ROSTER UPDATE'!E172=""),"",('ROSTER UPDATE'!E172))</f>
        <v/>
      </c>
      <c r="E468" s="12"/>
      <c r="F468" s="102" t="str">
        <f>IF(AND('ROSTER UPDATE'!F172=""),"",('ROSTER UPDATE'!F172))</f>
        <v/>
      </c>
      <c r="G468" s="103" t="str">
        <f>IF(AND('ROSTER UPDATE'!C172=""),"",('ROSTER UPDATE'!C172))</f>
        <v/>
      </c>
      <c r="H468" s="12"/>
      <c r="I468" s="12"/>
      <c r="O468" s="12"/>
      <c r="P468" s="102" t="str">
        <f>'SET 2 PLAYERS'!O172</f>
        <v/>
      </c>
      <c r="Q468" s="103" t="str">
        <f>'SET 2 PLAYERS'!P172</f>
        <v/>
      </c>
      <c r="R468" s="14"/>
      <c r="S468" s="115" t="e">
        <f t="shared" si="14"/>
        <v>#VALUE!</v>
      </c>
      <c r="T468" s="116" t="e">
        <f t="shared" si="15"/>
        <v>#VALUE!</v>
      </c>
      <c r="U468" s="12"/>
      <c r="V468" s="107" t="str">
        <f>'SET 2 PLAYERS'!Q172</f>
        <v/>
      </c>
      <c r="W468" s="12"/>
    </row>
    <row r="469" spans="2:23" x14ac:dyDescent="0.25">
      <c r="B469" s="99" t="str">
        <f>'SET 2 PLAYERS'!G173</f>
        <v>CLASS 2</v>
      </c>
      <c r="C469" s="102" t="str">
        <f>IF(AND('ROSTER UPDATE'!B173=""),"",('ROSTER UPDATE'!B173))</f>
        <v/>
      </c>
      <c r="D469" s="103" t="str">
        <f>IF(AND('ROSTER UPDATE'!E173=""),"",('ROSTER UPDATE'!E173))</f>
        <v/>
      </c>
      <c r="E469" s="12"/>
      <c r="F469" s="102" t="str">
        <f>IF(AND('ROSTER UPDATE'!F173=""),"",('ROSTER UPDATE'!F173))</f>
        <v/>
      </c>
      <c r="G469" s="103" t="str">
        <f>IF(AND('ROSTER UPDATE'!C173=""),"",('ROSTER UPDATE'!C173))</f>
        <v/>
      </c>
      <c r="H469" s="12"/>
      <c r="I469" s="12"/>
      <c r="O469" s="12"/>
      <c r="P469" s="102" t="str">
        <f>'SET 2 PLAYERS'!O173</f>
        <v/>
      </c>
      <c r="Q469" s="103" t="str">
        <f>'SET 2 PLAYERS'!P173</f>
        <v/>
      </c>
      <c r="R469" s="14"/>
      <c r="S469" s="115" t="e">
        <f t="shared" si="14"/>
        <v>#VALUE!</v>
      </c>
      <c r="T469" s="116" t="e">
        <f t="shared" si="15"/>
        <v>#VALUE!</v>
      </c>
      <c r="U469" s="12"/>
      <c r="V469" s="107" t="str">
        <f>'SET 2 PLAYERS'!Q173</f>
        <v/>
      </c>
      <c r="W469" s="12"/>
    </row>
    <row r="470" spans="2:23" x14ac:dyDescent="0.25">
      <c r="B470" s="99" t="str">
        <f>'SET 2 PLAYERS'!G174</f>
        <v>CLASS 2</v>
      </c>
      <c r="C470" s="102" t="str">
        <f>IF(AND('ROSTER UPDATE'!B174=""),"",('ROSTER UPDATE'!B174))</f>
        <v/>
      </c>
      <c r="D470" s="103" t="str">
        <f>IF(AND('ROSTER UPDATE'!E174=""),"",('ROSTER UPDATE'!E174))</f>
        <v/>
      </c>
      <c r="E470" s="12"/>
      <c r="F470" s="102" t="str">
        <f>IF(AND('ROSTER UPDATE'!F174=""),"",('ROSTER UPDATE'!F174))</f>
        <v/>
      </c>
      <c r="G470" s="103" t="str">
        <f>IF(AND('ROSTER UPDATE'!C174=""),"",('ROSTER UPDATE'!C174))</f>
        <v/>
      </c>
      <c r="H470" s="12"/>
      <c r="I470" s="12"/>
      <c r="O470" s="12"/>
      <c r="P470" s="102" t="str">
        <f>'SET 2 PLAYERS'!O174</f>
        <v/>
      </c>
      <c r="Q470" s="103" t="str">
        <f>'SET 2 PLAYERS'!P174</f>
        <v/>
      </c>
      <c r="R470" s="14"/>
      <c r="S470" s="115" t="e">
        <f t="shared" si="14"/>
        <v>#VALUE!</v>
      </c>
      <c r="T470" s="116" t="e">
        <f t="shared" si="15"/>
        <v>#VALUE!</v>
      </c>
      <c r="U470" s="12"/>
      <c r="V470" s="107" t="str">
        <f>'SET 2 PLAYERS'!Q174</f>
        <v/>
      </c>
      <c r="W470" s="12"/>
    </row>
    <row r="471" spans="2:23" x14ac:dyDescent="0.25">
      <c r="B471" s="99" t="str">
        <f>'SET 2 PLAYERS'!G175</f>
        <v>CLASS 2</v>
      </c>
      <c r="C471" s="102" t="str">
        <f>IF(AND('ROSTER UPDATE'!B175=""),"",('ROSTER UPDATE'!B175))</f>
        <v/>
      </c>
      <c r="D471" s="103" t="str">
        <f>IF(AND('ROSTER UPDATE'!E175=""),"",('ROSTER UPDATE'!E175))</f>
        <v/>
      </c>
      <c r="E471" s="12"/>
      <c r="F471" s="102" t="str">
        <f>IF(AND('ROSTER UPDATE'!F175=""),"",('ROSTER UPDATE'!F175))</f>
        <v/>
      </c>
      <c r="G471" s="103" t="str">
        <f>IF(AND('ROSTER UPDATE'!C175=""),"",('ROSTER UPDATE'!C175))</f>
        <v/>
      </c>
      <c r="H471" s="12"/>
      <c r="I471" s="12"/>
      <c r="O471" s="12"/>
      <c r="P471" s="102" t="str">
        <f>'SET 2 PLAYERS'!O175</f>
        <v/>
      </c>
      <c r="Q471" s="103" t="str">
        <f>'SET 2 PLAYERS'!P175</f>
        <v/>
      </c>
      <c r="R471" s="14"/>
      <c r="S471" s="115" t="e">
        <f t="shared" si="14"/>
        <v>#VALUE!</v>
      </c>
      <c r="T471" s="116" t="e">
        <f t="shared" si="15"/>
        <v>#VALUE!</v>
      </c>
      <c r="U471" s="12"/>
      <c r="V471" s="107" t="str">
        <f>'SET 2 PLAYERS'!Q175</f>
        <v/>
      </c>
      <c r="W471" s="12"/>
    </row>
    <row r="472" spans="2:23" x14ac:dyDescent="0.25">
      <c r="B472" s="99" t="str">
        <f>'SET 2 PLAYERS'!G176</f>
        <v>CLASS 2</v>
      </c>
      <c r="C472" s="102" t="str">
        <f>IF(AND('ROSTER UPDATE'!B176=""),"",('ROSTER UPDATE'!B176))</f>
        <v/>
      </c>
      <c r="D472" s="103" t="str">
        <f>IF(AND('ROSTER UPDATE'!E176=""),"",('ROSTER UPDATE'!E176))</f>
        <v/>
      </c>
      <c r="E472" s="12"/>
      <c r="F472" s="102" t="str">
        <f>IF(AND('ROSTER UPDATE'!F176=""),"",('ROSTER UPDATE'!F176))</f>
        <v/>
      </c>
      <c r="G472" s="103" t="str">
        <f>IF(AND('ROSTER UPDATE'!C176=""),"",('ROSTER UPDATE'!C176))</f>
        <v/>
      </c>
      <c r="H472" s="12"/>
      <c r="I472" s="12"/>
      <c r="O472" s="12"/>
      <c r="P472" s="102" t="str">
        <f>'SET 2 PLAYERS'!O176</f>
        <v/>
      </c>
      <c r="Q472" s="103" t="str">
        <f>'SET 2 PLAYERS'!P176</f>
        <v/>
      </c>
      <c r="R472" s="14"/>
      <c r="S472" s="115" t="e">
        <f t="shared" si="14"/>
        <v>#VALUE!</v>
      </c>
      <c r="T472" s="116" t="e">
        <f t="shared" si="15"/>
        <v>#VALUE!</v>
      </c>
      <c r="U472" s="12"/>
      <c r="V472" s="107" t="str">
        <f>'SET 2 PLAYERS'!Q176</f>
        <v/>
      </c>
      <c r="W472" s="12"/>
    </row>
    <row r="473" spans="2:23" x14ac:dyDescent="0.25">
      <c r="B473" s="99" t="str">
        <f>'SET 2 PLAYERS'!G177</f>
        <v>CLASS 2</v>
      </c>
      <c r="C473" s="102" t="str">
        <f>IF(AND('ROSTER UPDATE'!B177=""),"",('ROSTER UPDATE'!B177))</f>
        <v/>
      </c>
      <c r="D473" s="103" t="str">
        <f>IF(AND('ROSTER UPDATE'!E177=""),"",('ROSTER UPDATE'!E177))</f>
        <v/>
      </c>
      <c r="E473" s="12"/>
      <c r="F473" s="102" t="str">
        <f>IF(AND('ROSTER UPDATE'!F177=""),"",('ROSTER UPDATE'!F177))</f>
        <v/>
      </c>
      <c r="G473" s="103" t="str">
        <f>IF(AND('ROSTER UPDATE'!C177=""),"",('ROSTER UPDATE'!C177))</f>
        <v/>
      </c>
      <c r="H473" s="12"/>
      <c r="I473" s="12"/>
      <c r="O473" s="12"/>
      <c r="P473" s="102" t="str">
        <f>'SET 2 PLAYERS'!O177</f>
        <v/>
      </c>
      <c r="Q473" s="103" t="str">
        <f>'SET 2 PLAYERS'!P177</f>
        <v/>
      </c>
      <c r="R473" s="14"/>
      <c r="S473" s="115" t="e">
        <f t="shared" si="14"/>
        <v>#VALUE!</v>
      </c>
      <c r="T473" s="116" t="e">
        <f t="shared" si="15"/>
        <v>#VALUE!</v>
      </c>
      <c r="U473" s="12"/>
      <c r="V473" s="107" t="str">
        <f>'SET 2 PLAYERS'!Q177</f>
        <v/>
      </c>
      <c r="W473" s="12"/>
    </row>
    <row r="474" spans="2:23" x14ac:dyDescent="0.25">
      <c r="B474" s="99" t="str">
        <f>'SET 2 PLAYERS'!G178</f>
        <v>CLASS 2</v>
      </c>
      <c r="C474" s="102" t="str">
        <f>IF(AND('ROSTER UPDATE'!B178=""),"",('ROSTER UPDATE'!B178))</f>
        <v/>
      </c>
      <c r="D474" s="103" t="str">
        <f>IF(AND('ROSTER UPDATE'!E178=""),"",('ROSTER UPDATE'!E178))</f>
        <v/>
      </c>
      <c r="E474" s="12"/>
      <c r="F474" s="102" t="str">
        <f>IF(AND('ROSTER UPDATE'!F178=""),"",('ROSTER UPDATE'!F178))</f>
        <v/>
      </c>
      <c r="G474" s="103" t="str">
        <f>IF(AND('ROSTER UPDATE'!C178=""),"",('ROSTER UPDATE'!C178))</f>
        <v/>
      </c>
      <c r="H474" s="12"/>
      <c r="I474" s="12"/>
      <c r="O474" s="12"/>
      <c r="P474" s="102" t="str">
        <f>'SET 2 PLAYERS'!O178</f>
        <v/>
      </c>
      <c r="Q474" s="103" t="str">
        <f>'SET 2 PLAYERS'!P178</f>
        <v/>
      </c>
      <c r="R474" s="14"/>
      <c r="S474" s="115" t="e">
        <f t="shared" si="14"/>
        <v>#VALUE!</v>
      </c>
      <c r="T474" s="116" t="e">
        <f t="shared" si="15"/>
        <v>#VALUE!</v>
      </c>
      <c r="U474" s="12"/>
      <c r="V474" s="107" t="str">
        <f>'SET 2 PLAYERS'!Q178</f>
        <v/>
      </c>
      <c r="W474" s="12"/>
    </row>
    <row r="475" spans="2:23" x14ac:dyDescent="0.25">
      <c r="B475" s="99" t="str">
        <f>'SET 2 PLAYERS'!G179</f>
        <v>CLASS 2</v>
      </c>
      <c r="C475" s="102" t="str">
        <f>IF(AND('ROSTER UPDATE'!B179=""),"",('ROSTER UPDATE'!B179))</f>
        <v/>
      </c>
      <c r="D475" s="103" t="str">
        <f>IF(AND('ROSTER UPDATE'!E179=""),"",('ROSTER UPDATE'!E179))</f>
        <v/>
      </c>
      <c r="E475" s="12"/>
      <c r="F475" s="102" t="str">
        <f>IF(AND('ROSTER UPDATE'!F179=""),"",('ROSTER UPDATE'!F179))</f>
        <v/>
      </c>
      <c r="G475" s="103" t="str">
        <f>IF(AND('ROSTER UPDATE'!C179=""),"",('ROSTER UPDATE'!C179))</f>
        <v/>
      </c>
      <c r="H475" s="12"/>
      <c r="I475" s="12"/>
      <c r="O475" s="12"/>
      <c r="P475" s="102" t="str">
        <f>'SET 2 PLAYERS'!O179</f>
        <v/>
      </c>
      <c r="Q475" s="103" t="str">
        <f>'SET 2 PLAYERS'!P179</f>
        <v/>
      </c>
      <c r="R475" s="14"/>
      <c r="S475" s="115" t="e">
        <f t="shared" si="14"/>
        <v>#VALUE!</v>
      </c>
      <c r="T475" s="116" t="e">
        <f t="shared" si="15"/>
        <v>#VALUE!</v>
      </c>
      <c r="U475" s="12"/>
      <c r="V475" s="107" t="str">
        <f>'SET 2 PLAYERS'!Q179</f>
        <v/>
      </c>
      <c r="W475" s="12"/>
    </row>
    <row r="476" spans="2:23" x14ac:dyDescent="0.25">
      <c r="B476" s="99" t="str">
        <f>'SET 2 PLAYERS'!G180</f>
        <v>CLASS 2</v>
      </c>
      <c r="C476" s="102" t="str">
        <f>IF(AND('ROSTER UPDATE'!B180=""),"",('ROSTER UPDATE'!B180))</f>
        <v/>
      </c>
      <c r="D476" s="103" t="str">
        <f>IF(AND('ROSTER UPDATE'!E180=""),"",('ROSTER UPDATE'!E180))</f>
        <v/>
      </c>
      <c r="E476" s="12"/>
      <c r="F476" s="102" t="str">
        <f>IF(AND('ROSTER UPDATE'!F180=""),"",('ROSTER UPDATE'!F180))</f>
        <v/>
      </c>
      <c r="G476" s="103" t="str">
        <f>IF(AND('ROSTER UPDATE'!C180=""),"",('ROSTER UPDATE'!C180))</f>
        <v/>
      </c>
      <c r="H476" s="12"/>
      <c r="I476" s="12"/>
      <c r="O476" s="12"/>
      <c r="P476" s="102" t="str">
        <f>'SET 2 PLAYERS'!O180</f>
        <v/>
      </c>
      <c r="Q476" s="103" t="str">
        <f>'SET 2 PLAYERS'!P180</f>
        <v/>
      </c>
      <c r="R476" s="14"/>
      <c r="S476" s="115" t="e">
        <f t="shared" si="14"/>
        <v>#VALUE!</v>
      </c>
      <c r="T476" s="116" t="e">
        <f t="shared" si="15"/>
        <v>#VALUE!</v>
      </c>
      <c r="U476" s="12"/>
      <c r="V476" s="107" t="str">
        <f>'SET 2 PLAYERS'!Q180</f>
        <v/>
      </c>
      <c r="W476" s="12"/>
    </row>
    <row r="477" spans="2:23" x14ac:dyDescent="0.25">
      <c r="B477" s="99" t="str">
        <f>'SET 2 PLAYERS'!G181</f>
        <v>CLASS 2</v>
      </c>
      <c r="C477" s="102" t="str">
        <f>IF(AND('ROSTER UPDATE'!B181=""),"",('ROSTER UPDATE'!B181))</f>
        <v/>
      </c>
      <c r="D477" s="103" t="str">
        <f>IF(AND('ROSTER UPDATE'!E181=""),"",('ROSTER UPDATE'!E181))</f>
        <v/>
      </c>
      <c r="E477" s="12"/>
      <c r="F477" s="102" t="str">
        <f>IF(AND('ROSTER UPDATE'!F181=""),"",('ROSTER UPDATE'!F181))</f>
        <v/>
      </c>
      <c r="G477" s="103" t="str">
        <f>IF(AND('ROSTER UPDATE'!C181=""),"",('ROSTER UPDATE'!C181))</f>
        <v/>
      </c>
      <c r="H477" s="12"/>
      <c r="I477" s="12"/>
      <c r="O477" s="12"/>
      <c r="P477" s="102" t="str">
        <f>'SET 2 PLAYERS'!O181</f>
        <v/>
      </c>
      <c r="Q477" s="103" t="str">
        <f>'SET 2 PLAYERS'!P181</f>
        <v/>
      </c>
      <c r="R477" s="14"/>
      <c r="S477" s="115" t="e">
        <f t="shared" si="14"/>
        <v>#VALUE!</v>
      </c>
      <c r="T477" s="116" t="e">
        <f t="shared" si="15"/>
        <v>#VALUE!</v>
      </c>
      <c r="U477" s="12"/>
      <c r="V477" s="107" t="str">
        <f>'SET 2 PLAYERS'!Q181</f>
        <v/>
      </c>
      <c r="W477" s="12"/>
    </row>
    <row r="478" spans="2:23" x14ac:dyDescent="0.25">
      <c r="B478" s="99" t="str">
        <f>'SET 2 PLAYERS'!G182</f>
        <v>CLASS 2</v>
      </c>
      <c r="C478" s="102" t="str">
        <f>IF(AND('ROSTER UPDATE'!B182=""),"",('ROSTER UPDATE'!B182))</f>
        <v/>
      </c>
      <c r="D478" s="103" t="str">
        <f>IF(AND('ROSTER UPDATE'!E182=""),"",('ROSTER UPDATE'!E182))</f>
        <v/>
      </c>
      <c r="E478" s="12"/>
      <c r="F478" s="102" t="str">
        <f>IF(AND('ROSTER UPDATE'!F182=""),"",('ROSTER UPDATE'!F182))</f>
        <v/>
      </c>
      <c r="G478" s="103" t="str">
        <f>IF(AND('ROSTER UPDATE'!C182=""),"",('ROSTER UPDATE'!C182))</f>
        <v/>
      </c>
      <c r="H478" s="12"/>
      <c r="I478" s="12"/>
      <c r="O478" s="12"/>
      <c r="P478" s="102" t="str">
        <f>'SET 2 PLAYERS'!O182</f>
        <v/>
      </c>
      <c r="Q478" s="103" t="str">
        <f>'SET 2 PLAYERS'!P182</f>
        <v/>
      </c>
      <c r="R478" s="14"/>
      <c r="S478" s="115" t="e">
        <f t="shared" si="14"/>
        <v>#VALUE!</v>
      </c>
      <c r="T478" s="116" t="e">
        <f t="shared" si="15"/>
        <v>#VALUE!</v>
      </c>
      <c r="U478" s="12"/>
      <c r="V478" s="107" t="str">
        <f>'SET 2 PLAYERS'!Q182</f>
        <v/>
      </c>
      <c r="W478" s="12"/>
    </row>
    <row r="479" spans="2:23" x14ac:dyDescent="0.25">
      <c r="B479" s="99" t="str">
        <f>'SET 2 PLAYERS'!G183</f>
        <v>CLASS 2</v>
      </c>
      <c r="C479" s="102" t="str">
        <f>IF(AND('ROSTER UPDATE'!B183=""),"",('ROSTER UPDATE'!B183))</f>
        <v/>
      </c>
      <c r="D479" s="103" t="str">
        <f>IF(AND('ROSTER UPDATE'!E183=""),"",('ROSTER UPDATE'!E183))</f>
        <v/>
      </c>
      <c r="E479" s="12"/>
      <c r="F479" s="102" t="str">
        <f>IF(AND('ROSTER UPDATE'!F183=""),"",('ROSTER UPDATE'!F183))</f>
        <v/>
      </c>
      <c r="G479" s="103" t="str">
        <f>IF(AND('ROSTER UPDATE'!C183=""),"",('ROSTER UPDATE'!C183))</f>
        <v/>
      </c>
      <c r="H479" s="12"/>
      <c r="I479" s="12"/>
      <c r="O479" s="12"/>
      <c r="P479" s="102" t="str">
        <f>'SET 2 PLAYERS'!O183</f>
        <v/>
      </c>
      <c r="Q479" s="103" t="str">
        <f>'SET 2 PLAYERS'!P183</f>
        <v/>
      </c>
      <c r="R479" s="14"/>
      <c r="S479" s="115" t="e">
        <f t="shared" si="14"/>
        <v>#VALUE!</v>
      </c>
      <c r="T479" s="116" t="e">
        <f t="shared" si="15"/>
        <v>#VALUE!</v>
      </c>
      <c r="U479" s="12"/>
      <c r="V479" s="107" t="str">
        <f>'SET 2 PLAYERS'!Q183</f>
        <v/>
      </c>
      <c r="W479" s="12"/>
    </row>
    <row r="480" spans="2:23" x14ac:dyDescent="0.25">
      <c r="B480" s="99" t="str">
        <f>'SET 2 PLAYERS'!G184</f>
        <v>CLASS 2</v>
      </c>
      <c r="C480" s="102" t="str">
        <f>IF(AND('ROSTER UPDATE'!B184=""),"",('ROSTER UPDATE'!B184))</f>
        <v/>
      </c>
      <c r="D480" s="103" t="str">
        <f>IF(AND('ROSTER UPDATE'!E184=""),"",('ROSTER UPDATE'!E184))</f>
        <v/>
      </c>
      <c r="E480" s="12"/>
      <c r="F480" s="102" t="str">
        <f>IF(AND('ROSTER UPDATE'!F184=""),"",('ROSTER UPDATE'!F184))</f>
        <v/>
      </c>
      <c r="G480" s="103" t="str">
        <f>IF(AND('ROSTER UPDATE'!C184=""),"",('ROSTER UPDATE'!C184))</f>
        <v/>
      </c>
      <c r="H480" s="12"/>
      <c r="I480" s="12"/>
      <c r="O480" s="12"/>
      <c r="P480" s="102" t="str">
        <f>'SET 2 PLAYERS'!O184</f>
        <v/>
      </c>
      <c r="Q480" s="103" t="str">
        <f>'SET 2 PLAYERS'!P184</f>
        <v/>
      </c>
      <c r="R480" s="14"/>
      <c r="S480" s="115" t="e">
        <f t="shared" si="14"/>
        <v>#VALUE!</v>
      </c>
      <c r="T480" s="116" t="e">
        <f t="shared" si="15"/>
        <v>#VALUE!</v>
      </c>
      <c r="U480" s="12"/>
      <c r="V480" s="107" t="str">
        <f>'SET 2 PLAYERS'!Q184</f>
        <v/>
      </c>
      <c r="W480" s="12"/>
    </row>
    <row r="481" spans="2:23" x14ac:dyDescent="0.25">
      <c r="B481" s="99" t="str">
        <f>'SET 2 PLAYERS'!G185</f>
        <v>CLASS 2</v>
      </c>
      <c r="C481" s="102" t="str">
        <f>IF(AND('ROSTER UPDATE'!B185=""),"",('ROSTER UPDATE'!B185))</f>
        <v/>
      </c>
      <c r="D481" s="103" t="str">
        <f>IF(AND('ROSTER UPDATE'!E185=""),"",('ROSTER UPDATE'!E185))</f>
        <v/>
      </c>
      <c r="E481" s="12"/>
      <c r="F481" s="102" t="str">
        <f>IF(AND('ROSTER UPDATE'!F185=""),"",('ROSTER UPDATE'!F185))</f>
        <v/>
      </c>
      <c r="G481" s="103" t="str">
        <f>IF(AND('ROSTER UPDATE'!C185=""),"",('ROSTER UPDATE'!C185))</f>
        <v/>
      </c>
      <c r="H481" s="12"/>
      <c r="I481" s="12"/>
      <c r="O481" s="12"/>
      <c r="P481" s="102" t="str">
        <f>'SET 2 PLAYERS'!O185</f>
        <v/>
      </c>
      <c r="Q481" s="103" t="str">
        <f>'SET 2 PLAYERS'!P185</f>
        <v/>
      </c>
      <c r="R481" s="14"/>
      <c r="S481" s="115" t="e">
        <f t="shared" si="14"/>
        <v>#VALUE!</v>
      </c>
      <c r="T481" s="116" t="e">
        <f t="shared" si="15"/>
        <v>#VALUE!</v>
      </c>
      <c r="U481" s="12"/>
      <c r="V481" s="107" t="str">
        <f>'SET 2 PLAYERS'!Q185</f>
        <v/>
      </c>
      <c r="W481" s="12"/>
    </row>
    <row r="482" spans="2:23" x14ac:dyDescent="0.25">
      <c r="B482" s="99" t="str">
        <f>'SET 2 PLAYERS'!G186</f>
        <v>CLASS 2</v>
      </c>
      <c r="C482" s="102" t="str">
        <f>IF(AND('ROSTER UPDATE'!B186=""),"",('ROSTER UPDATE'!B186))</f>
        <v/>
      </c>
      <c r="D482" s="103" t="str">
        <f>IF(AND('ROSTER UPDATE'!E186=""),"",('ROSTER UPDATE'!E186))</f>
        <v/>
      </c>
      <c r="E482" s="12"/>
      <c r="F482" s="102" t="str">
        <f>IF(AND('ROSTER UPDATE'!F186=""),"",('ROSTER UPDATE'!F186))</f>
        <v/>
      </c>
      <c r="G482" s="103" t="str">
        <f>IF(AND('ROSTER UPDATE'!C186=""),"",('ROSTER UPDATE'!C186))</f>
        <v/>
      </c>
      <c r="H482" s="12"/>
      <c r="I482" s="12"/>
      <c r="O482" s="12"/>
      <c r="P482" s="102" t="str">
        <f>'SET 2 PLAYERS'!O186</f>
        <v/>
      </c>
      <c r="Q482" s="103" t="str">
        <f>'SET 2 PLAYERS'!P186</f>
        <v/>
      </c>
      <c r="R482" s="14"/>
      <c r="S482" s="115" t="e">
        <f t="shared" si="14"/>
        <v>#VALUE!</v>
      </c>
      <c r="T482" s="116" t="e">
        <f t="shared" si="15"/>
        <v>#VALUE!</v>
      </c>
      <c r="U482" s="12"/>
      <c r="V482" s="107" t="str">
        <f>'SET 2 PLAYERS'!Q186</f>
        <v/>
      </c>
      <c r="W482" s="12"/>
    </row>
    <row r="483" spans="2:23" x14ac:dyDescent="0.25">
      <c r="B483" s="99" t="str">
        <f>'SET 2 PLAYERS'!G187</f>
        <v>CLASS 2</v>
      </c>
      <c r="C483" s="102" t="str">
        <f>IF(AND('ROSTER UPDATE'!B187=""),"",('ROSTER UPDATE'!B187))</f>
        <v/>
      </c>
      <c r="D483" s="103" t="str">
        <f>IF(AND('ROSTER UPDATE'!E187=""),"",('ROSTER UPDATE'!E187))</f>
        <v/>
      </c>
      <c r="E483" s="12"/>
      <c r="F483" s="102" t="str">
        <f>IF(AND('ROSTER UPDATE'!F187=""),"",('ROSTER UPDATE'!F187))</f>
        <v/>
      </c>
      <c r="G483" s="103" t="str">
        <f>IF(AND('ROSTER UPDATE'!C187=""),"",('ROSTER UPDATE'!C187))</f>
        <v/>
      </c>
      <c r="H483" s="12"/>
      <c r="I483" s="12"/>
      <c r="O483" s="12"/>
      <c r="P483" s="102" t="str">
        <f>'SET 2 PLAYERS'!O187</f>
        <v/>
      </c>
      <c r="Q483" s="103" t="str">
        <f>'SET 2 PLAYERS'!P187</f>
        <v/>
      </c>
      <c r="R483" s="14"/>
      <c r="S483" s="115" t="e">
        <f t="shared" si="14"/>
        <v>#VALUE!</v>
      </c>
      <c r="T483" s="116" t="e">
        <f t="shared" si="15"/>
        <v>#VALUE!</v>
      </c>
      <c r="U483" s="12"/>
      <c r="V483" s="107" t="str">
        <f>'SET 2 PLAYERS'!Q187</f>
        <v/>
      </c>
      <c r="W483" s="12"/>
    </row>
    <row r="484" spans="2:23" x14ac:dyDescent="0.25">
      <c r="B484" s="99" t="str">
        <f>'SET 2 PLAYERS'!G188</f>
        <v>CLASS 2</v>
      </c>
      <c r="C484" s="102" t="str">
        <f>IF(AND('ROSTER UPDATE'!B188=""),"",('ROSTER UPDATE'!B188))</f>
        <v/>
      </c>
      <c r="D484" s="103" t="str">
        <f>IF(AND('ROSTER UPDATE'!E188=""),"",('ROSTER UPDATE'!E188))</f>
        <v/>
      </c>
      <c r="E484" s="12"/>
      <c r="F484" s="102" t="str">
        <f>IF(AND('ROSTER UPDATE'!F188=""),"",('ROSTER UPDATE'!F188))</f>
        <v/>
      </c>
      <c r="G484" s="103" t="str">
        <f>IF(AND('ROSTER UPDATE'!C188=""),"",('ROSTER UPDATE'!C188))</f>
        <v/>
      </c>
      <c r="H484" s="12"/>
      <c r="I484" s="12"/>
      <c r="O484" s="12"/>
      <c r="P484" s="102" t="str">
        <f>'SET 2 PLAYERS'!O188</f>
        <v/>
      </c>
      <c r="Q484" s="103" t="str">
        <f>'SET 2 PLAYERS'!P188</f>
        <v/>
      </c>
      <c r="R484" s="14"/>
      <c r="S484" s="115" t="e">
        <f t="shared" si="14"/>
        <v>#VALUE!</v>
      </c>
      <c r="T484" s="116" t="e">
        <f t="shared" si="15"/>
        <v>#VALUE!</v>
      </c>
      <c r="U484" s="12"/>
      <c r="V484" s="107" t="str">
        <f>'SET 2 PLAYERS'!Q188</f>
        <v/>
      </c>
      <c r="W484" s="12"/>
    </row>
    <row r="485" spans="2:23" x14ac:dyDescent="0.25">
      <c r="B485" s="99" t="str">
        <f>'SET 2 PLAYERS'!G189</f>
        <v>CLASS 2</v>
      </c>
      <c r="C485" s="102" t="str">
        <f>IF(AND('ROSTER UPDATE'!B189=""),"",('ROSTER UPDATE'!B189))</f>
        <v/>
      </c>
      <c r="D485" s="103" t="str">
        <f>IF(AND('ROSTER UPDATE'!E189=""),"",('ROSTER UPDATE'!E189))</f>
        <v/>
      </c>
      <c r="E485" s="12"/>
      <c r="F485" s="102" t="str">
        <f>IF(AND('ROSTER UPDATE'!F189=""),"",('ROSTER UPDATE'!F189))</f>
        <v/>
      </c>
      <c r="G485" s="103" t="str">
        <f>IF(AND('ROSTER UPDATE'!C189=""),"",('ROSTER UPDATE'!C189))</f>
        <v/>
      </c>
      <c r="H485" s="12"/>
      <c r="I485" s="12"/>
      <c r="O485" s="12"/>
      <c r="P485" s="102" t="str">
        <f>'SET 2 PLAYERS'!O189</f>
        <v/>
      </c>
      <c r="Q485" s="103" t="str">
        <f>'SET 2 PLAYERS'!P189</f>
        <v/>
      </c>
      <c r="R485" s="14"/>
      <c r="S485" s="115" t="e">
        <f t="shared" si="14"/>
        <v>#VALUE!</v>
      </c>
      <c r="T485" s="116" t="e">
        <f t="shared" si="15"/>
        <v>#VALUE!</v>
      </c>
      <c r="U485" s="12"/>
      <c r="V485" s="107" t="str">
        <f>'SET 2 PLAYERS'!Q189</f>
        <v/>
      </c>
      <c r="W485" s="12"/>
    </row>
    <row r="486" spans="2:23" x14ac:dyDescent="0.25">
      <c r="B486" s="99" t="str">
        <f>'SET 2 PLAYERS'!G190</f>
        <v>CLASS 2</v>
      </c>
      <c r="C486" s="102" t="str">
        <f>IF(AND('ROSTER UPDATE'!B190=""),"",('ROSTER UPDATE'!B190))</f>
        <v/>
      </c>
      <c r="D486" s="103" t="str">
        <f>IF(AND('ROSTER UPDATE'!E190=""),"",('ROSTER UPDATE'!E190))</f>
        <v/>
      </c>
      <c r="E486" s="12"/>
      <c r="F486" s="102" t="str">
        <f>IF(AND('ROSTER UPDATE'!F190=""),"",('ROSTER UPDATE'!F190))</f>
        <v/>
      </c>
      <c r="G486" s="103" t="str">
        <f>IF(AND('ROSTER UPDATE'!C190=""),"",('ROSTER UPDATE'!C190))</f>
        <v/>
      </c>
      <c r="H486" s="12"/>
      <c r="I486" s="12"/>
      <c r="O486" s="12"/>
      <c r="P486" s="102" t="str">
        <f>'SET 2 PLAYERS'!O190</f>
        <v/>
      </c>
      <c r="Q486" s="103" t="str">
        <f>'SET 2 PLAYERS'!P190</f>
        <v/>
      </c>
      <c r="R486" s="14"/>
      <c r="S486" s="115" t="e">
        <f t="shared" si="14"/>
        <v>#VALUE!</v>
      </c>
      <c r="T486" s="116" t="e">
        <f t="shared" si="15"/>
        <v>#VALUE!</v>
      </c>
      <c r="U486" s="12"/>
      <c r="V486" s="107" t="str">
        <f>'SET 2 PLAYERS'!Q190</f>
        <v/>
      </c>
      <c r="W486" s="12"/>
    </row>
    <row r="487" spans="2:23" x14ac:dyDescent="0.25">
      <c r="B487" s="99" t="str">
        <f>'SET 2 PLAYERS'!G191</f>
        <v>CLASS 2</v>
      </c>
      <c r="C487" s="102" t="str">
        <f>IF(AND('ROSTER UPDATE'!B191=""),"",('ROSTER UPDATE'!B191))</f>
        <v/>
      </c>
      <c r="D487" s="103" t="str">
        <f>IF(AND('ROSTER UPDATE'!E191=""),"",('ROSTER UPDATE'!E191))</f>
        <v/>
      </c>
      <c r="E487" s="12"/>
      <c r="F487" s="102" t="str">
        <f>IF(AND('ROSTER UPDATE'!F191=""),"",('ROSTER UPDATE'!F191))</f>
        <v/>
      </c>
      <c r="G487" s="103" t="str">
        <f>IF(AND('ROSTER UPDATE'!C191=""),"",('ROSTER UPDATE'!C191))</f>
        <v/>
      </c>
      <c r="H487" s="12"/>
      <c r="I487" s="12"/>
      <c r="O487" s="12"/>
      <c r="P487" s="102" t="str">
        <f>'SET 2 PLAYERS'!O191</f>
        <v/>
      </c>
      <c r="Q487" s="103" t="str">
        <f>'SET 2 PLAYERS'!P191</f>
        <v/>
      </c>
      <c r="R487" s="14"/>
      <c r="S487" s="115" t="e">
        <f t="shared" si="14"/>
        <v>#VALUE!</v>
      </c>
      <c r="T487" s="116" t="e">
        <f t="shared" si="15"/>
        <v>#VALUE!</v>
      </c>
      <c r="U487" s="12"/>
      <c r="V487" s="107" t="str">
        <f>'SET 2 PLAYERS'!Q191</f>
        <v/>
      </c>
      <c r="W487" s="12"/>
    </row>
    <row r="488" spans="2:23" x14ac:dyDescent="0.25">
      <c r="B488" s="99" t="str">
        <f>'SET 2 PLAYERS'!G192</f>
        <v>CLASS 2</v>
      </c>
      <c r="C488" s="102" t="str">
        <f>IF(AND('ROSTER UPDATE'!B192=""),"",('ROSTER UPDATE'!B192))</f>
        <v/>
      </c>
      <c r="D488" s="103" t="str">
        <f>IF(AND('ROSTER UPDATE'!E192=""),"",('ROSTER UPDATE'!E192))</f>
        <v/>
      </c>
      <c r="E488" s="12"/>
      <c r="F488" s="102" t="str">
        <f>IF(AND('ROSTER UPDATE'!F192=""),"",('ROSTER UPDATE'!F192))</f>
        <v/>
      </c>
      <c r="G488" s="103" t="str">
        <f>IF(AND('ROSTER UPDATE'!C192=""),"",('ROSTER UPDATE'!C192))</f>
        <v/>
      </c>
      <c r="H488" s="12"/>
      <c r="I488" s="12"/>
      <c r="O488" s="12"/>
      <c r="P488" s="102" t="str">
        <f>'SET 2 PLAYERS'!O192</f>
        <v/>
      </c>
      <c r="Q488" s="103" t="str">
        <f>'SET 2 PLAYERS'!P192</f>
        <v/>
      </c>
      <c r="R488" s="14"/>
      <c r="S488" s="115" t="e">
        <f t="shared" si="14"/>
        <v>#VALUE!</v>
      </c>
      <c r="T488" s="116" t="e">
        <f t="shared" si="15"/>
        <v>#VALUE!</v>
      </c>
      <c r="U488" s="12"/>
      <c r="V488" s="107" t="str">
        <f>'SET 2 PLAYERS'!Q192</f>
        <v/>
      </c>
      <c r="W488" s="12"/>
    </row>
    <row r="489" spans="2:23" x14ac:dyDescent="0.25">
      <c r="B489" s="99" t="str">
        <f>'SET 2 PLAYERS'!G193</f>
        <v>CLASS 2</v>
      </c>
      <c r="C489" s="102" t="str">
        <f>IF(AND('ROSTER UPDATE'!B193=""),"",('ROSTER UPDATE'!B193))</f>
        <v/>
      </c>
      <c r="D489" s="103" t="str">
        <f>IF(AND('ROSTER UPDATE'!E193=""),"",('ROSTER UPDATE'!E193))</f>
        <v/>
      </c>
      <c r="E489" s="12"/>
      <c r="F489" s="102" t="str">
        <f>IF(AND('ROSTER UPDATE'!F193=""),"",('ROSTER UPDATE'!F193))</f>
        <v/>
      </c>
      <c r="G489" s="103" t="str">
        <f>IF(AND('ROSTER UPDATE'!C193=""),"",('ROSTER UPDATE'!C193))</f>
        <v/>
      </c>
      <c r="H489" s="12"/>
      <c r="I489" s="12"/>
      <c r="O489" s="12"/>
      <c r="P489" s="102" t="str">
        <f>'SET 2 PLAYERS'!O193</f>
        <v/>
      </c>
      <c r="Q489" s="103" t="str">
        <f>'SET 2 PLAYERS'!P193</f>
        <v/>
      </c>
      <c r="R489" s="14"/>
      <c r="S489" s="115" t="e">
        <f t="shared" si="14"/>
        <v>#VALUE!</v>
      </c>
      <c r="T489" s="116" t="e">
        <f t="shared" si="15"/>
        <v>#VALUE!</v>
      </c>
      <c r="U489" s="12"/>
      <c r="V489" s="107" t="str">
        <f>'SET 2 PLAYERS'!Q193</f>
        <v/>
      </c>
      <c r="W489" s="12"/>
    </row>
    <row r="490" spans="2:23" x14ac:dyDescent="0.25">
      <c r="B490" s="99" t="str">
        <f>'SET 2 PLAYERS'!G194</f>
        <v>CLASS 2</v>
      </c>
      <c r="C490" s="102" t="str">
        <f>IF(AND('ROSTER UPDATE'!B194=""),"",('ROSTER UPDATE'!B194))</f>
        <v/>
      </c>
      <c r="D490" s="103" t="str">
        <f>IF(AND('ROSTER UPDATE'!E194=""),"",('ROSTER UPDATE'!E194))</f>
        <v/>
      </c>
      <c r="E490" s="12"/>
      <c r="F490" s="102" t="str">
        <f>IF(AND('ROSTER UPDATE'!F194=""),"",('ROSTER UPDATE'!F194))</f>
        <v/>
      </c>
      <c r="G490" s="103" t="str">
        <f>IF(AND('ROSTER UPDATE'!C194=""),"",('ROSTER UPDATE'!C194))</f>
        <v/>
      </c>
      <c r="H490" s="12"/>
      <c r="I490" s="12"/>
      <c r="O490" s="12"/>
      <c r="P490" s="102" t="str">
        <f>'SET 2 PLAYERS'!O194</f>
        <v/>
      </c>
      <c r="Q490" s="103" t="str">
        <f>'SET 2 PLAYERS'!P194</f>
        <v/>
      </c>
      <c r="R490" s="14"/>
      <c r="S490" s="115" t="e">
        <f t="shared" si="14"/>
        <v>#VALUE!</v>
      </c>
      <c r="T490" s="116" t="e">
        <f t="shared" si="15"/>
        <v>#VALUE!</v>
      </c>
      <c r="U490" s="12"/>
      <c r="V490" s="107" t="str">
        <f>'SET 2 PLAYERS'!Q194</f>
        <v/>
      </c>
      <c r="W490" s="12"/>
    </row>
    <row r="491" spans="2:23" x14ac:dyDescent="0.25">
      <c r="B491" s="99" t="str">
        <f>'SET 2 PLAYERS'!G195</f>
        <v>CLASS 2</v>
      </c>
      <c r="C491" s="102" t="str">
        <f>IF(AND('ROSTER UPDATE'!B195=""),"",('ROSTER UPDATE'!B195))</f>
        <v/>
      </c>
      <c r="D491" s="103" t="str">
        <f>IF(AND('ROSTER UPDATE'!E195=""),"",('ROSTER UPDATE'!E195))</f>
        <v/>
      </c>
      <c r="E491" s="12"/>
      <c r="F491" s="102" t="str">
        <f>IF(AND('ROSTER UPDATE'!F195=""),"",('ROSTER UPDATE'!F195))</f>
        <v/>
      </c>
      <c r="G491" s="103" t="str">
        <f>IF(AND('ROSTER UPDATE'!C195=""),"",('ROSTER UPDATE'!C195))</f>
        <v/>
      </c>
      <c r="H491" s="12"/>
      <c r="I491" s="12"/>
      <c r="O491" s="12"/>
      <c r="P491" s="102" t="str">
        <f>'SET 2 PLAYERS'!O195</f>
        <v/>
      </c>
      <c r="Q491" s="103" t="str">
        <f>'SET 2 PLAYERS'!P195</f>
        <v/>
      </c>
      <c r="R491" s="14"/>
      <c r="S491" s="115" t="e">
        <f t="shared" si="14"/>
        <v>#VALUE!</v>
      </c>
      <c r="T491" s="116" t="e">
        <f t="shared" si="15"/>
        <v>#VALUE!</v>
      </c>
      <c r="U491" s="12"/>
      <c r="V491" s="107" t="str">
        <f>'SET 2 PLAYERS'!Q195</f>
        <v/>
      </c>
      <c r="W491" s="12"/>
    </row>
    <row r="492" spans="2:23" x14ac:dyDescent="0.25">
      <c r="B492" s="99" t="str">
        <f>'SET 2 PLAYERS'!G196</f>
        <v>CLASS 2</v>
      </c>
      <c r="C492" s="102" t="str">
        <f>IF(AND('ROSTER UPDATE'!B196=""),"",('ROSTER UPDATE'!B196))</f>
        <v/>
      </c>
      <c r="D492" s="103" t="str">
        <f>IF(AND('ROSTER UPDATE'!E196=""),"",('ROSTER UPDATE'!E196))</f>
        <v/>
      </c>
      <c r="E492" s="12"/>
      <c r="F492" s="102" t="str">
        <f>IF(AND('ROSTER UPDATE'!F196=""),"",('ROSTER UPDATE'!F196))</f>
        <v/>
      </c>
      <c r="G492" s="103" t="str">
        <f>IF(AND('ROSTER UPDATE'!C196=""),"",('ROSTER UPDATE'!C196))</f>
        <v/>
      </c>
      <c r="H492" s="12"/>
      <c r="I492" s="12"/>
      <c r="O492" s="12"/>
      <c r="P492" s="102" t="str">
        <f>'SET 2 PLAYERS'!O196</f>
        <v/>
      </c>
      <c r="Q492" s="103" t="str">
        <f>'SET 2 PLAYERS'!P196</f>
        <v/>
      </c>
      <c r="R492" s="14"/>
      <c r="S492" s="115" t="e">
        <f t="shared" si="14"/>
        <v>#VALUE!</v>
      </c>
      <c r="T492" s="116" t="e">
        <f t="shared" si="15"/>
        <v>#VALUE!</v>
      </c>
      <c r="U492" s="12"/>
      <c r="V492" s="107" t="str">
        <f>'SET 2 PLAYERS'!Q196</f>
        <v/>
      </c>
      <c r="W492" s="12"/>
    </row>
    <row r="493" spans="2:23" x14ac:dyDescent="0.25">
      <c r="B493" s="99" t="str">
        <f>'SET 2 PLAYERS'!G197</f>
        <v>CLASS 2</v>
      </c>
      <c r="C493" s="102" t="str">
        <f>IF(AND('ROSTER UPDATE'!B197=""),"",('ROSTER UPDATE'!B197))</f>
        <v/>
      </c>
      <c r="D493" s="103" t="str">
        <f>IF(AND('ROSTER UPDATE'!E197=""),"",('ROSTER UPDATE'!E197))</f>
        <v/>
      </c>
      <c r="E493" s="12"/>
      <c r="F493" s="102" t="str">
        <f>IF(AND('ROSTER UPDATE'!F197=""),"",('ROSTER UPDATE'!F197))</f>
        <v/>
      </c>
      <c r="G493" s="103" t="str">
        <f>IF(AND('ROSTER UPDATE'!C197=""),"",('ROSTER UPDATE'!C197))</f>
        <v/>
      </c>
      <c r="H493" s="12"/>
      <c r="I493" s="12"/>
      <c r="O493" s="12"/>
      <c r="P493" s="102" t="str">
        <f>'SET 2 PLAYERS'!O197</f>
        <v/>
      </c>
      <c r="Q493" s="103" t="str">
        <f>'SET 2 PLAYERS'!P197</f>
        <v/>
      </c>
      <c r="R493" s="14"/>
      <c r="S493" s="115" t="e">
        <f t="shared" si="14"/>
        <v>#VALUE!</v>
      </c>
      <c r="T493" s="116" t="e">
        <f t="shared" si="15"/>
        <v>#VALUE!</v>
      </c>
      <c r="U493" s="12"/>
      <c r="V493" s="107" t="str">
        <f>'SET 2 PLAYERS'!Q197</f>
        <v/>
      </c>
      <c r="W493" s="12"/>
    </row>
    <row r="494" spans="2:23" x14ac:dyDescent="0.25">
      <c r="B494" s="99" t="str">
        <f>'SET 2 PLAYERS'!G198</f>
        <v>CLASS 2</v>
      </c>
      <c r="C494" s="102" t="str">
        <f>IF(AND('ROSTER UPDATE'!B198=""),"",('ROSTER UPDATE'!B198))</f>
        <v/>
      </c>
      <c r="D494" s="103" t="str">
        <f>IF(AND('ROSTER UPDATE'!E198=""),"",('ROSTER UPDATE'!E198))</f>
        <v/>
      </c>
      <c r="E494" s="12"/>
      <c r="F494" s="102" t="str">
        <f>IF(AND('ROSTER UPDATE'!F198=""),"",('ROSTER UPDATE'!F198))</f>
        <v/>
      </c>
      <c r="G494" s="103" t="str">
        <f>IF(AND('ROSTER UPDATE'!C198=""),"",('ROSTER UPDATE'!C198))</f>
        <v/>
      </c>
      <c r="H494" s="12"/>
      <c r="I494" s="12"/>
      <c r="O494" s="12"/>
      <c r="P494" s="102" t="str">
        <f>'SET 2 PLAYERS'!O198</f>
        <v/>
      </c>
      <c r="Q494" s="103" t="str">
        <f>'SET 2 PLAYERS'!P198</f>
        <v/>
      </c>
      <c r="R494" s="14"/>
      <c r="S494" s="115" t="e">
        <f t="shared" ref="S494:S557" si="16">V494/P494</f>
        <v>#VALUE!</v>
      </c>
      <c r="T494" s="116" t="e">
        <f t="shared" ref="T494:T557" si="17">V494/Q494</f>
        <v>#VALUE!</v>
      </c>
      <c r="U494" s="12"/>
      <c r="V494" s="107" t="str">
        <f>'SET 2 PLAYERS'!Q198</f>
        <v/>
      </c>
      <c r="W494" s="12"/>
    </row>
    <row r="495" spans="2:23" x14ac:dyDescent="0.25">
      <c r="B495" s="99" t="str">
        <f>'SET 2 PLAYERS'!G199</f>
        <v>CLASS 2</v>
      </c>
      <c r="C495" s="102" t="str">
        <f>IF(AND('ROSTER UPDATE'!B199=""),"",('ROSTER UPDATE'!B199))</f>
        <v/>
      </c>
      <c r="D495" s="103" t="str">
        <f>IF(AND('ROSTER UPDATE'!E199=""),"",('ROSTER UPDATE'!E199))</f>
        <v/>
      </c>
      <c r="E495" s="12"/>
      <c r="F495" s="102" t="str">
        <f>IF(AND('ROSTER UPDATE'!F199=""),"",('ROSTER UPDATE'!F199))</f>
        <v/>
      </c>
      <c r="G495" s="103" t="str">
        <f>IF(AND('ROSTER UPDATE'!C199=""),"",('ROSTER UPDATE'!C199))</f>
        <v/>
      </c>
      <c r="H495" s="12"/>
      <c r="I495" s="12"/>
      <c r="O495" s="12"/>
      <c r="P495" s="102" t="str">
        <f>'SET 2 PLAYERS'!O199</f>
        <v/>
      </c>
      <c r="Q495" s="103" t="str">
        <f>'SET 2 PLAYERS'!P199</f>
        <v/>
      </c>
      <c r="R495" s="14"/>
      <c r="S495" s="115" t="e">
        <f t="shared" si="16"/>
        <v>#VALUE!</v>
      </c>
      <c r="T495" s="116" t="e">
        <f t="shared" si="17"/>
        <v>#VALUE!</v>
      </c>
      <c r="U495" s="12"/>
      <c r="V495" s="107" t="str">
        <f>'SET 2 PLAYERS'!Q199</f>
        <v/>
      </c>
      <c r="W495" s="12"/>
    </row>
    <row r="496" spans="2:23" x14ac:dyDescent="0.25">
      <c r="B496" s="99" t="str">
        <f>'SET 2 PLAYERS'!G200</f>
        <v>CLASS 2</v>
      </c>
      <c r="C496" s="102" t="str">
        <f>IF(AND('ROSTER UPDATE'!B200=""),"",('ROSTER UPDATE'!B200))</f>
        <v/>
      </c>
      <c r="D496" s="103" t="str">
        <f>IF(AND('ROSTER UPDATE'!E200=""),"",('ROSTER UPDATE'!E200))</f>
        <v/>
      </c>
      <c r="E496" s="12"/>
      <c r="F496" s="102" t="str">
        <f>IF(AND('ROSTER UPDATE'!F200=""),"",('ROSTER UPDATE'!F200))</f>
        <v/>
      </c>
      <c r="G496" s="103" t="str">
        <f>IF(AND('ROSTER UPDATE'!C200=""),"",('ROSTER UPDATE'!C200))</f>
        <v/>
      </c>
      <c r="H496" s="12"/>
      <c r="I496" s="12"/>
      <c r="O496" s="12"/>
      <c r="P496" s="102" t="str">
        <f>'SET 2 PLAYERS'!O200</f>
        <v/>
      </c>
      <c r="Q496" s="103" t="str">
        <f>'SET 2 PLAYERS'!P200</f>
        <v/>
      </c>
      <c r="R496" s="14"/>
      <c r="S496" s="115" t="e">
        <f t="shared" si="16"/>
        <v>#VALUE!</v>
      </c>
      <c r="T496" s="116" t="e">
        <f t="shared" si="17"/>
        <v>#VALUE!</v>
      </c>
      <c r="U496" s="12"/>
      <c r="V496" s="107" t="str">
        <f>'SET 2 PLAYERS'!Q200</f>
        <v/>
      </c>
      <c r="W496" s="12"/>
    </row>
    <row r="497" spans="2:23" x14ac:dyDescent="0.25">
      <c r="B497" s="99" t="str">
        <f>'SET 2 PLAYERS'!G201</f>
        <v>CLASS 2</v>
      </c>
      <c r="C497" s="102" t="str">
        <f>IF(AND('ROSTER UPDATE'!B201=""),"",('ROSTER UPDATE'!B201))</f>
        <v/>
      </c>
      <c r="D497" s="103" t="str">
        <f>IF(AND('ROSTER UPDATE'!E201=""),"",('ROSTER UPDATE'!E201))</f>
        <v/>
      </c>
      <c r="E497" s="12"/>
      <c r="F497" s="102" t="str">
        <f>IF(AND('ROSTER UPDATE'!F201=""),"",('ROSTER UPDATE'!F201))</f>
        <v/>
      </c>
      <c r="G497" s="103" t="str">
        <f>IF(AND('ROSTER UPDATE'!C201=""),"",('ROSTER UPDATE'!C201))</f>
        <v/>
      </c>
      <c r="H497" s="12"/>
      <c r="I497" s="12"/>
      <c r="O497" s="12"/>
      <c r="P497" s="102" t="str">
        <f>'SET 2 PLAYERS'!O201</f>
        <v/>
      </c>
      <c r="Q497" s="103" t="str">
        <f>'SET 2 PLAYERS'!P201</f>
        <v/>
      </c>
      <c r="R497" s="14"/>
      <c r="S497" s="115" t="e">
        <f t="shared" si="16"/>
        <v>#VALUE!</v>
      </c>
      <c r="T497" s="116" t="e">
        <f t="shared" si="17"/>
        <v>#VALUE!</v>
      </c>
      <c r="U497" s="12"/>
      <c r="V497" s="107" t="str">
        <f>'SET 2 PLAYERS'!Q201</f>
        <v/>
      </c>
      <c r="W497" s="12"/>
    </row>
    <row r="498" spans="2:23" x14ac:dyDescent="0.25">
      <c r="B498" s="99" t="str">
        <f>'SET 2 PLAYERS'!G202</f>
        <v>CLASS 2</v>
      </c>
      <c r="C498" s="102" t="str">
        <f>IF(AND('ROSTER UPDATE'!B202=""),"",('ROSTER UPDATE'!B202))</f>
        <v/>
      </c>
      <c r="D498" s="103" t="str">
        <f>IF(AND('ROSTER UPDATE'!E202=""),"",('ROSTER UPDATE'!E202))</f>
        <v/>
      </c>
      <c r="E498" s="12"/>
      <c r="F498" s="102" t="str">
        <f>IF(AND('ROSTER UPDATE'!F202=""),"",('ROSTER UPDATE'!F202))</f>
        <v/>
      </c>
      <c r="G498" s="103" t="str">
        <f>IF(AND('ROSTER UPDATE'!C202=""),"",('ROSTER UPDATE'!C202))</f>
        <v/>
      </c>
      <c r="H498" s="12"/>
      <c r="I498" s="12"/>
      <c r="O498" s="12"/>
      <c r="P498" s="102" t="str">
        <f>'SET 2 PLAYERS'!O202</f>
        <v/>
      </c>
      <c r="Q498" s="103" t="str">
        <f>'SET 2 PLAYERS'!P202</f>
        <v/>
      </c>
      <c r="R498" s="14"/>
      <c r="S498" s="115" t="e">
        <f t="shared" si="16"/>
        <v>#VALUE!</v>
      </c>
      <c r="T498" s="116" t="e">
        <f t="shared" si="17"/>
        <v>#VALUE!</v>
      </c>
      <c r="U498" s="12"/>
      <c r="V498" s="107" t="str">
        <f>'SET 2 PLAYERS'!Q202</f>
        <v/>
      </c>
      <c r="W498" s="12"/>
    </row>
    <row r="499" spans="2:23" x14ac:dyDescent="0.25">
      <c r="B499" s="99" t="str">
        <f>'SET 2 PLAYERS'!G203</f>
        <v>CLASS 2</v>
      </c>
      <c r="C499" s="102" t="str">
        <f>IF(AND('ROSTER UPDATE'!B203=""),"",('ROSTER UPDATE'!B203))</f>
        <v/>
      </c>
      <c r="D499" s="103" t="str">
        <f>IF(AND('ROSTER UPDATE'!E203=""),"",('ROSTER UPDATE'!E203))</f>
        <v/>
      </c>
      <c r="E499" s="12"/>
      <c r="F499" s="102" t="str">
        <f>IF(AND('ROSTER UPDATE'!F203=""),"",('ROSTER UPDATE'!F203))</f>
        <v/>
      </c>
      <c r="G499" s="103" t="str">
        <f>IF(AND('ROSTER UPDATE'!C203=""),"",('ROSTER UPDATE'!C203))</f>
        <v/>
      </c>
      <c r="H499" s="12"/>
      <c r="I499" s="12"/>
      <c r="O499" s="12"/>
      <c r="P499" s="102" t="str">
        <f>'SET 2 PLAYERS'!O203</f>
        <v/>
      </c>
      <c r="Q499" s="103" t="str">
        <f>'SET 2 PLAYERS'!P203</f>
        <v/>
      </c>
      <c r="R499" s="14"/>
      <c r="S499" s="115" t="e">
        <f t="shared" si="16"/>
        <v>#VALUE!</v>
      </c>
      <c r="T499" s="116" t="e">
        <f t="shared" si="17"/>
        <v>#VALUE!</v>
      </c>
      <c r="U499" s="12"/>
      <c r="V499" s="107" t="str">
        <f>'SET 2 PLAYERS'!Q203</f>
        <v/>
      </c>
      <c r="W499" s="12"/>
    </row>
    <row r="500" spans="2:23" x14ac:dyDescent="0.25">
      <c r="B500" s="99" t="str">
        <f>'SET 2 PLAYERS'!G204</f>
        <v>CLASS 2</v>
      </c>
      <c r="C500" s="102" t="str">
        <f>IF(AND('ROSTER UPDATE'!B204=""),"",('ROSTER UPDATE'!B204))</f>
        <v/>
      </c>
      <c r="D500" s="103" t="str">
        <f>IF(AND('ROSTER UPDATE'!E204=""),"",('ROSTER UPDATE'!E204))</f>
        <v/>
      </c>
      <c r="E500" s="12"/>
      <c r="F500" s="102" t="str">
        <f>IF(AND('ROSTER UPDATE'!F204=""),"",('ROSTER UPDATE'!F204))</f>
        <v/>
      </c>
      <c r="G500" s="103" t="str">
        <f>IF(AND('ROSTER UPDATE'!C204=""),"",('ROSTER UPDATE'!C204))</f>
        <v/>
      </c>
      <c r="H500" s="12"/>
      <c r="I500" s="12"/>
      <c r="O500" s="12"/>
      <c r="P500" s="102" t="str">
        <f>'SET 2 PLAYERS'!O204</f>
        <v/>
      </c>
      <c r="Q500" s="103" t="str">
        <f>'SET 2 PLAYERS'!P204</f>
        <v/>
      </c>
      <c r="R500" s="14"/>
      <c r="S500" s="115" t="e">
        <f t="shared" si="16"/>
        <v>#VALUE!</v>
      </c>
      <c r="T500" s="116" t="e">
        <f t="shared" si="17"/>
        <v>#VALUE!</v>
      </c>
      <c r="U500" s="12"/>
      <c r="V500" s="107" t="str">
        <f>'SET 2 PLAYERS'!Q204</f>
        <v/>
      </c>
      <c r="W500" s="12"/>
    </row>
    <row r="501" spans="2:23" x14ac:dyDescent="0.25">
      <c r="B501" s="99" t="str">
        <f>'SET 2 PLAYERS'!G205</f>
        <v>CLASS 2</v>
      </c>
      <c r="C501" s="102" t="str">
        <f>IF(AND('ROSTER UPDATE'!B205=""),"",('ROSTER UPDATE'!B205))</f>
        <v/>
      </c>
      <c r="D501" s="103" t="str">
        <f>IF(AND('ROSTER UPDATE'!E205=""),"",('ROSTER UPDATE'!E205))</f>
        <v/>
      </c>
      <c r="E501" s="12"/>
      <c r="F501" s="102" t="str">
        <f>IF(AND('ROSTER UPDATE'!F205=""),"",('ROSTER UPDATE'!F205))</f>
        <v/>
      </c>
      <c r="G501" s="103" t="str">
        <f>IF(AND('ROSTER UPDATE'!C205=""),"",('ROSTER UPDATE'!C205))</f>
        <v/>
      </c>
      <c r="H501" s="12"/>
      <c r="I501" s="12"/>
      <c r="O501" s="12"/>
      <c r="P501" s="102" t="str">
        <f>'SET 2 PLAYERS'!O205</f>
        <v/>
      </c>
      <c r="Q501" s="103" t="str">
        <f>'SET 2 PLAYERS'!P205</f>
        <v/>
      </c>
      <c r="R501" s="14"/>
      <c r="S501" s="115" t="e">
        <f t="shared" si="16"/>
        <v>#VALUE!</v>
      </c>
      <c r="T501" s="116" t="e">
        <f t="shared" si="17"/>
        <v>#VALUE!</v>
      </c>
      <c r="U501" s="12"/>
      <c r="V501" s="107" t="str">
        <f>'SET 2 PLAYERS'!Q205</f>
        <v/>
      </c>
      <c r="W501" s="12"/>
    </row>
    <row r="502" spans="2:23" x14ac:dyDescent="0.25">
      <c r="B502" s="99" t="str">
        <f>'SET 2 PLAYERS'!G206</f>
        <v>CLASS 2</v>
      </c>
      <c r="C502" s="102" t="str">
        <f>IF(AND('ROSTER UPDATE'!B206=""),"",('ROSTER UPDATE'!B206))</f>
        <v/>
      </c>
      <c r="D502" s="103" t="str">
        <f>IF(AND('ROSTER UPDATE'!E206=""),"",('ROSTER UPDATE'!E206))</f>
        <v/>
      </c>
      <c r="E502" s="12"/>
      <c r="F502" s="102" t="str">
        <f>IF(AND('ROSTER UPDATE'!F206=""),"",('ROSTER UPDATE'!F206))</f>
        <v/>
      </c>
      <c r="G502" s="103" t="str">
        <f>IF(AND('ROSTER UPDATE'!C206=""),"",('ROSTER UPDATE'!C206))</f>
        <v/>
      </c>
      <c r="H502" s="12"/>
      <c r="I502" s="12"/>
      <c r="O502" s="12"/>
      <c r="P502" s="102" t="str">
        <f>'SET 2 PLAYERS'!O206</f>
        <v/>
      </c>
      <c r="Q502" s="103" t="str">
        <f>'SET 2 PLAYERS'!P206</f>
        <v/>
      </c>
      <c r="R502" s="14"/>
      <c r="S502" s="115" t="e">
        <f t="shared" si="16"/>
        <v>#VALUE!</v>
      </c>
      <c r="T502" s="116" t="e">
        <f t="shared" si="17"/>
        <v>#VALUE!</v>
      </c>
      <c r="U502" s="12"/>
      <c r="V502" s="107" t="str">
        <f>'SET 2 PLAYERS'!Q206</f>
        <v/>
      </c>
      <c r="W502" s="12"/>
    </row>
    <row r="503" spans="2:23" x14ac:dyDescent="0.25">
      <c r="B503" s="99" t="str">
        <f>'SET 2 PLAYERS'!G207</f>
        <v>CLASS 2</v>
      </c>
      <c r="C503" s="102" t="str">
        <f>IF(AND('ROSTER UPDATE'!B207=""),"",('ROSTER UPDATE'!B207))</f>
        <v/>
      </c>
      <c r="D503" s="103" t="str">
        <f>IF(AND('ROSTER UPDATE'!E207=""),"",('ROSTER UPDATE'!E207))</f>
        <v/>
      </c>
      <c r="E503" s="12"/>
      <c r="F503" s="102" t="str">
        <f>IF(AND('ROSTER UPDATE'!F207=""),"",('ROSTER UPDATE'!F207))</f>
        <v/>
      </c>
      <c r="G503" s="103" t="str">
        <f>IF(AND('ROSTER UPDATE'!C207=""),"",('ROSTER UPDATE'!C207))</f>
        <v/>
      </c>
      <c r="H503" s="12"/>
      <c r="I503" s="12"/>
      <c r="O503" s="12"/>
      <c r="P503" s="102" t="str">
        <f>'SET 2 PLAYERS'!O207</f>
        <v/>
      </c>
      <c r="Q503" s="103" t="str">
        <f>'SET 2 PLAYERS'!P207</f>
        <v/>
      </c>
      <c r="R503" s="14"/>
      <c r="S503" s="115" t="e">
        <f t="shared" si="16"/>
        <v>#VALUE!</v>
      </c>
      <c r="T503" s="116" t="e">
        <f t="shared" si="17"/>
        <v>#VALUE!</v>
      </c>
      <c r="U503" s="12"/>
      <c r="V503" s="107" t="str">
        <f>'SET 2 PLAYERS'!Q207</f>
        <v/>
      </c>
      <c r="W503" s="12"/>
    </row>
    <row r="504" spans="2:23" x14ac:dyDescent="0.25">
      <c r="B504" s="99" t="str">
        <f>'SET 2 PLAYERS'!G208</f>
        <v>CLASS 2</v>
      </c>
      <c r="C504" s="102" t="str">
        <f>IF(AND('ROSTER UPDATE'!B208=""),"",('ROSTER UPDATE'!B208))</f>
        <v/>
      </c>
      <c r="D504" s="103" t="str">
        <f>IF(AND('ROSTER UPDATE'!E208=""),"",('ROSTER UPDATE'!E208))</f>
        <v/>
      </c>
      <c r="E504" s="12"/>
      <c r="F504" s="102" t="str">
        <f>IF(AND('ROSTER UPDATE'!F208=""),"",('ROSTER UPDATE'!F208))</f>
        <v/>
      </c>
      <c r="G504" s="103" t="str">
        <f>IF(AND('ROSTER UPDATE'!C208=""),"",('ROSTER UPDATE'!C208))</f>
        <v/>
      </c>
      <c r="H504" s="12"/>
      <c r="I504" s="12"/>
      <c r="O504" s="12"/>
      <c r="P504" s="102" t="str">
        <f>'SET 2 PLAYERS'!O208</f>
        <v/>
      </c>
      <c r="Q504" s="103" t="str">
        <f>'SET 2 PLAYERS'!P208</f>
        <v/>
      </c>
      <c r="R504" s="14"/>
      <c r="S504" s="115" t="e">
        <f t="shared" si="16"/>
        <v>#VALUE!</v>
      </c>
      <c r="T504" s="116" t="e">
        <f t="shared" si="17"/>
        <v>#VALUE!</v>
      </c>
      <c r="U504" s="12"/>
      <c r="V504" s="107" t="str">
        <f>'SET 2 PLAYERS'!Q208</f>
        <v/>
      </c>
      <c r="W504" s="12"/>
    </row>
    <row r="505" spans="2:23" x14ac:dyDescent="0.25">
      <c r="B505" s="99" t="str">
        <f>'SET 2 PLAYERS'!G209</f>
        <v>CLASS 2</v>
      </c>
      <c r="C505" s="102" t="str">
        <f>IF(AND('ROSTER UPDATE'!B209=""),"",('ROSTER UPDATE'!B209))</f>
        <v/>
      </c>
      <c r="D505" s="103" t="str">
        <f>IF(AND('ROSTER UPDATE'!E209=""),"",('ROSTER UPDATE'!E209))</f>
        <v/>
      </c>
      <c r="E505" s="12"/>
      <c r="F505" s="102" t="str">
        <f>IF(AND('ROSTER UPDATE'!F209=""),"",('ROSTER UPDATE'!F209))</f>
        <v/>
      </c>
      <c r="G505" s="103" t="str">
        <f>IF(AND('ROSTER UPDATE'!C209=""),"",('ROSTER UPDATE'!C209))</f>
        <v/>
      </c>
      <c r="H505" s="12"/>
      <c r="I505" s="12"/>
      <c r="O505" s="12"/>
      <c r="P505" s="102" t="str">
        <f>'SET 2 PLAYERS'!O209</f>
        <v/>
      </c>
      <c r="Q505" s="103" t="str">
        <f>'SET 2 PLAYERS'!P209</f>
        <v/>
      </c>
      <c r="R505" s="14"/>
      <c r="S505" s="115" t="e">
        <f t="shared" si="16"/>
        <v>#VALUE!</v>
      </c>
      <c r="T505" s="116" t="e">
        <f t="shared" si="17"/>
        <v>#VALUE!</v>
      </c>
      <c r="U505" s="12"/>
      <c r="V505" s="107" t="str">
        <f>'SET 2 PLAYERS'!Q209</f>
        <v/>
      </c>
      <c r="W505" s="12"/>
    </row>
    <row r="506" spans="2:23" x14ac:dyDescent="0.25">
      <c r="B506" s="99" t="str">
        <f>'SET 2 PLAYERS'!G210</f>
        <v>CLASS 2</v>
      </c>
      <c r="C506" s="102" t="str">
        <f>IF(AND('ROSTER UPDATE'!B210=""),"",('ROSTER UPDATE'!B210))</f>
        <v/>
      </c>
      <c r="D506" s="103" t="str">
        <f>IF(AND('ROSTER UPDATE'!E210=""),"",('ROSTER UPDATE'!E210))</f>
        <v/>
      </c>
      <c r="E506" s="12"/>
      <c r="F506" s="102" t="str">
        <f>IF(AND('ROSTER UPDATE'!F210=""),"",('ROSTER UPDATE'!F210))</f>
        <v/>
      </c>
      <c r="G506" s="103" t="str">
        <f>IF(AND('ROSTER UPDATE'!C210=""),"",('ROSTER UPDATE'!C210))</f>
        <v/>
      </c>
      <c r="H506" s="12"/>
      <c r="I506" s="12"/>
      <c r="O506" s="12"/>
      <c r="P506" s="102" t="str">
        <f>'SET 2 PLAYERS'!O210</f>
        <v/>
      </c>
      <c r="Q506" s="103" t="str">
        <f>'SET 2 PLAYERS'!P210</f>
        <v/>
      </c>
      <c r="R506" s="14"/>
      <c r="S506" s="115" t="e">
        <f t="shared" si="16"/>
        <v>#VALUE!</v>
      </c>
      <c r="T506" s="116" t="e">
        <f t="shared" si="17"/>
        <v>#VALUE!</v>
      </c>
      <c r="U506" s="12"/>
      <c r="V506" s="107" t="str">
        <f>'SET 2 PLAYERS'!Q210</f>
        <v/>
      </c>
      <c r="W506" s="12"/>
    </row>
    <row r="507" spans="2:23" x14ac:dyDescent="0.25">
      <c r="B507" s="99" t="str">
        <f>'SET 2 PLAYERS'!G211</f>
        <v>CLASS 2</v>
      </c>
      <c r="C507" s="102" t="str">
        <f>IF(AND('ROSTER UPDATE'!B211=""),"",('ROSTER UPDATE'!B211))</f>
        <v/>
      </c>
      <c r="D507" s="103" t="str">
        <f>IF(AND('ROSTER UPDATE'!E211=""),"",('ROSTER UPDATE'!E211))</f>
        <v/>
      </c>
      <c r="E507" s="12"/>
      <c r="F507" s="102" t="str">
        <f>IF(AND('ROSTER UPDATE'!F211=""),"",('ROSTER UPDATE'!F211))</f>
        <v/>
      </c>
      <c r="G507" s="103" t="str">
        <f>IF(AND('ROSTER UPDATE'!C211=""),"",('ROSTER UPDATE'!C211))</f>
        <v/>
      </c>
      <c r="H507" s="12"/>
      <c r="I507" s="12"/>
      <c r="O507" s="12"/>
      <c r="P507" s="102" t="str">
        <f>'SET 2 PLAYERS'!O211</f>
        <v/>
      </c>
      <c r="Q507" s="103" t="str">
        <f>'SET 2 PLAYERS'!P211</f>
        <v/>
      </c>
      <c r="R507" s="14"/>
      <c r="S507" s="115" t="e">
        <f t="shared" si="16"/>
        <v>#VALUE!</v>
      </c>
      <c r="T507" s="116" t="e">
        <f t="shared" si="17"/>
        <v>#VALUE!</v>
      </c>
      <c r="U507" s="12"/>
      <c r="V507" s="107" t="str">
        <f>'SET 2 PLAYERS'!Q211</f>
        <v/>
      </c>
      <c r="W507" s="12"/>
    </row>
    <row r="508" spans="2:23" x14ac:dyDescent="0.25">
      <c r="B508" s="99" t="str">
        <f>'SET 2 PLAYERS'!G212</f>
        <v>CLASS 2</v>
      </c>
      <c r="C508" s="102" t="str">
        <f>IF(AND('ROSTER UPDATE'!B212=""),"",('ROSTER UPDATE'!B212))</f>
        <v/>
      </c>
      <c r="D508" s="103" t="str">
        <f>IF(AND('ROSTER UPDATE'!E212=""),"",('ROSTER UPDATE'!E212))</f>
        <v/>
      </c>
      <c r="E508" s="12"/>
      <c r="F508" s="102" t="str">
        <f>IF(AND('ROSTER UPDATE'!F212=""),"",('ROSTER UPDATE'!F212))</f>
        <v/>
      </c>
      <c r="G508" s="103" t="str">
        <f>IF(AND('ROSTER UPDATE'!C212=""),"",('ROSTER UPDATE'!C212))</f>
        <v/>
      </c>
      <c r="H508" s="12"/>
      <c r="I508" s="12"/>
      <c r="O508" s="12"/>
      <c r="P508" s="102" t="str">
        <f>'SET 2 PLAYERS'!O212</f>
        <v/>
      </c>
      <c r="Q508" s="103" t="str">
        <f>'SET 2 PLAYERS'!P212</f>
        <v/>
      </c>
      <c r="R508" s="14"/>
      <c r="S508" s="115" t="e">
        <f t="shared" si="16"/>
        <v>#VALUE!</v>
      </c>
      <c r="T508" s="116" t="e">
        <f t="shared" si="17"/>
        <v>#VALUE!</v>
      </c>
      <c r="U508" s="12"/>
      <c r="V508" s="107" t="str">
        <f>'SET 2 PLAYERS'!Q212</f>
        <v/>
      </c>
      <c r="W508" s="12"/>
    </row>
    <row r="509" spans="2:23" x14ac:dyDescent="0.25">
      <c r="B509" s="99" t="str">
        <f>'SET 2 PLAYERS'!G213</f>
        <v>CLASS 2</v>
      </c>
      <c r="C509" s="102" t="str">
        <f>IF(AND('ROSTER UPDATE'!B213=""),"",('ROSTER UPDATE'!B213))</f>
        <v/>
      </c>
      <c r="D509" s="103" t="str">
        <f>IF(AND('ROSTER UPDATE'!E213=""),"",('ROSTER UPDATE'!E213))</f>
        <v/>
      </c>
      <c r="E509" s="12"/>
      <c r="F509" s="102" t="str">
        <f>IF(AND('ROSTER UPDATE'!F213=""),"",('ROSTER UPDATE'!F213))</f>
        <v/>
      </c>
      <c r="G509" s="103" t="str">
        <f>IF(AND('ROSTER UPDATE'!C213=""),"",('ROSTER UPDATE'!C213))</f>
        <v/>
      </c>
      <c r="H509" s="12"/>
      <c r="I509" s="12"/>
      <c r="O509" s="12"/>
      <c r="P509" s="102" t="str">
        <f>'SET 2 PLAYERS'!O213</f>
        <v/>
      </c>
      <c r="Q509" s="103" t="str">
        <f>'SET 2 PLAYERS'!P213</f>
        <v/>
      </c>
      <c r="R509" s="14"/>
      <c r="S509" s="115" t="e">
        <f t="shared" si="16"/>
        <v>#VALUE!</v>
      </c>
      <c r="T509" s="116" t="e">
        <f t="shared" si="17"/>
        <v>#VALUE!</v>
      </c>
      <c r="U509" s="12"/>
      <c r="V509" s="107" t="str">
        <f>'SET 2 PLAYERS'!Q213</f>
        <v/>
      </c>
      <c r="W509" s="12"/>
    </row>
    <row r="510" spans="2:23" x14ac:dyDescent="0.25">
      <c r="B510" s="99" t="str">
        <f>'SET 2 PLAYERS'!G214</f>
        <v>CLASS 2</v>
      </c>
      <c r="C510" s="102" t="str">
        <f>IF(AND('ROSTER UPDATE'!B214=""),"",('ROSTER UPDATE'!B214))</f>
        <v/>
      </c>
      <c r="D510" s="103" t="str">
        <f>IF(AND('ROSTER UPDATE'!E214=""),"",('ROSTER UPDATE'!E214))</f>
        <v/>
      </c>
      <c r="E510" s="12"/>
      <c r="F510" s="102" t="str">
        <f>IF(AND('ROSTER UPDATE'!F214=""),"",('ROSTER UPDATE'!F214))</f>
        <v/>
      </c>
      <c r="G510" s="103" t="str">
        <f>IF(AND('ROSTER UPDATE'!C214=""),"",('ROSTER UPDATE'!C214))</f>
        <v/>
      </c>
      <c r="H510" s="12"/>
      <c r="I510" s="12"/>
      <c r="O510" s="12"/>
      <c r="P510" s="102" t="str">
        <f>'SET 2 PLAYERS'!O214</f>
        <v/>
      </c>
      <c r="Q510" s="103" t="str">
        <f>'SET 2 PLAYERS'!P214</f>
        <v/>
      </c>
      <c r="R510" s="14"/>
      <c r="S510" s="115" t="e">
        <f t="shared" si="16"/>
        <v>#VALUE!</v>
      </c>
      <c r="T510" s="116" t="e">
        <f t="shared" si="17"/>
        <v>#VALUE!</v>
      </c>
      <c r="U510" s="12"/>
      <c r="V510" s="107" t="str">
        <f>'SET 2 PLAYERS'!Q214</f>
        <v/>
      </c>
      <c r="W510" s="12"/>
    </row>
    <row r="511" spans="2:23" x14ac:dyDescent="0.25">
      <c r="B511" s="99" t="str">
        <f>'SET 2 PLAYERS'!G215</f>
        <v>CLASS 2</v>
      </c>
      <c r="C511" s="102" t="str">
        <f>IF(AND('ROSTER UPDATE'!B215=""),"",('ROSTER UPDATE'!B215))</f>
        <v/>
      </c>
      <c r="D511" s="103" t="str">
        <f>IF(AND('ROSTER UPDATE'!E215=""),"",('ROSTER UPDATE'!E215))</f>
        <v/>
      </c>
      <c r="E511" s="12"/>
      <c r="F511" s="102" t="str">
        <f>IF(AND('ROSTER UPDATE'!F215=""),"",('ROSTER UPDATE'!F215))</f>
        <v/>
      </c>
      <c r="G511" s="103" t="str">
        <f>IF(AND('ROSTER UPDATE'!C215=""),"",('ROSTER UPDATE'!C215))</f>
        <v/>
      </c>
      <c r="H511" s="12"/>
      <c r="I511" s="12"/>
      <c r="O511" s="12"/>
      <c r="P511" s="102" t="str">
        <f>'SET 2 PLAYERS'!O215</f>
        <v/>
      </c>
      <c r="Q511" s="103" t="str">
        <f>'SET 2 PLAYERS'!P215</f>
        <v/>
      </c>
      <c r="R511" s="14"/>
      <c r="S511" s="115" t="e">
        <f t="shared" si="16"/>
        <v>#VALUE!</v>
      </c>
      <c r="T511" s="116" t="e">
        <f t="shared" si="17"/>
        <v>#VALUE!</v>
      </c>
      <c r="U511" s="12"/>
      <c r="V511" s="107" t="str">
        <f>'SET 2 PLAYERS'!Q215</f>
        <v/>
      </c>
      <c r="W511" s="12"/>
    </row>
    <row r="512" spans="2:23" x14ac:dyDescent="0.25">
      <c r="B512" s="99" t="str">
        <f>'SET 2 PLAYERS'!G216</f>
        <v>CLASS 2</v>
      </c>
      <c r="C512" s="102" t="str">
        <f>IF(AND('ROSTER UPDATE'!B216=""),"",('ROSTER UPDATE'!B216))</f>
        <v/>
      </c>
      <c r="D512" s="103" t="str">
        <f>IF(AND('ROSTER UPDATE'!E216=""),"",('ROSTER UPDATE'!E216))</f>
        <v/>
      </c>
      <c r="E512" s="12"/>
      <c r="F512" s="102" t="str">
        <f>IF(AND('ROSTER UPDATE'!F216=""),"",('ROSTER UPDATE'!F216))</f>
        <v/>
      </c>
      <c r="G512" s="103" t="str">
        <f>IF(AND('ROSTER UPDATE'!C216=""),"",('ROSTER UPDATE'!C216))</f>
        <v/>
      </c>
      <c r="H512" s="12"/>
      <c r="I512" s="12"/>
      <c r="O512" s="12"/>
      <c r="P512" s="102" t="str">
        <f>'SET 2 PLAYERS'!O216</f>
        <v/>
      </c>
      <c r="Q512" s="103" t="str">
        <f>'SET 2 PLAYERS'!P216</f>
        <v/>
      </c>
      <c r="R512" s="14"/>
      <c r="S512" s="115" t="e">
        <f t="shared" si="16"/>
        <v>#VALUE!</v>
      </c>
      <c r="T512" s="116" t="e">
        <f t="shared" si="17"/>
        <v>#VALUE!</v>
      </c>
      <c r="U512" s="12"/>
      <c r="V512" s="107" t="str">
        <f>'SET 2 PLAYERS'!Q216</f>
        <v/>
      </c>
      <c r="W512" s="12"/>
    </row>
    <row r="513" spans="2:23" x14ac:dyDescent="0.25">
      <c r="B513" s="99" t="str">
        <f>'SET 2 PLAYERS'!G217</f>
        <v>CLASS 2</v>
      </c>
      <c r="C513" s="102" t="str">
        <f>IF(AND('ROSTER UPDATE'!B217=""),"",('ROSTER UPDATE'!B217))</f>
        <v/>
      </c>
      <c r="D513" s="103" t="str">
        <f>IF(AND('ROSTER UPDATE'!E217=""),"",('ROSTER UPDATE'!E217))</f>
        <v/>
      </c>
      <c r="E513" s="12"/>
      <c r="F513" s="102" t="str">
        <f>IF(AND('ROSTER UPDATE'!F217=""),"",('ROSTER UPDATE'!F217))</f>
        <v/>
      </c>
      <c r="G513" s="103" t="str">
        <f>IF(AND('ROSTER UPDATE'!C217=""),"",('ROSTER UPDATE'!C217))</f>
        <v/>
      </c>
      <c r="H513" s="12"/>
      <c r="I513" s="12"/>
      <c r="O513" s="12"/>
      <c r="P513" s="102" t="str">
        <f>'SET 2 PLAYERS'!O217</f>
        <v/>
      </c>
      <c r="Q513" s="103" t="str">
        <f>'SET 2 PLAYERS'!P217</f>
        <v/>
      </c>
      <c r="R513" s="14"/>
      <c r="S513" s="115" t="e">
        <f t="shared" si="16"/>
        <v>#VALUE!</v>
      </c>
      <c r="T513" s="116" t="e">
        <f t="shared" si="17"/>
        <v>#VALUE!</v>
      </c>
      <c r="U513" s="12"/>
      <c r="V513" s="107" t="str">
        <f>'SET 2 PLAYERS'!Q217</f>
        <v/>
      </c>
      <c r="W513" s="12"/>
    </row>
    <row r="514" spans="2:23" x14ac:dyDescent="0.25">
      <c r="B514" s="99" t="str">
        <f>'SET 2 PLAYERS'!G218</f>
        <v>CLASS 2</v>
      </c>
      <c r="C514" s="102" t="str">
        <f>IF(AND('ROSTER UPDATE'!B218=""),"",('ROSTER UPDATE'!B218))</f>
        <v/>
      </c>
      <c r="D514" s="103" t="str">
        <f>IF(AND('ROSTER UPDATE'!E218=""),"",('ROSTER UPDATE'!E218))</f>
        <v/>
      </c>
      <c r="E514" s="12"/>
      <c r="F514" s="102" t="str">
        <f>IF(AND('ROSTER UPDATE'!F218=""),"",('ROSTER UPDATE'!F218))</f>
        <v/>
      </c>
      <c r="G514" s="103" t="str">
        <f>IF(AND('ROSTER UPDATE'!C218=""),"",('ROSTER UPDATE'!C218))</f>
        <v/>
      </c>
      <c r="H514" s="12"/>
      <c r="I514" s="12"/>
      <c r="O514" s="12"/>
      <c r="P514" s="102" t="str">
        <f>'SET 2 PLAYERS'!O218</f>
        <v/>
      </c>
      <c r="Q514" s="103" t="str">
        <f>'SET 2 PLAYERS'!P218</f>
        <v/>
      </c>
      <c r="R514" s="14"/>
      <c r="S514" s="115" t="e">
        <f t="shared" si="16"/>
        <v>#VALUE!</v>
      </c>
      <c r="T514" s="116" t="e">
        <f t="shared" si="17"/>
        <v>#VALUE!</v>
      </c>
      <c r="U514" s="12"/>
      <c r="V514" s="107" t="str">
        <f>'SET 2 PLAYERS'!Q218</f>
        <v/>
      </c>
      <c r="W514" s="12"/>
    </row>
    <row r="515" spans="2:23" x14ac:dyDescent="0.25">
      <c r="B515" s="99" t="str">
        <f>'SET 2 PLAYERS'!G219</f>
        <v>CLASS 2</v>
      </c>
      <c r="C515" s="102" t="str">
        <f>IF(AND('ROSTER UPDATE'!B219=""),"",('ROSTER UPDATE'!B219))</f>
        <v/>
      </c>
      <c r="D515" s="103" t="str">
        <f>IF(AND('ROSTER UPDATE'!E219=""),"",('ROSTER UPDATE'!E219))</f>
        <v/>
      </c>
      <c r="E515" s="12"/>
      <c r="F515" s="102" t="str">
        <f>IF(AND('ROSTER UPDATE'!F219=""),"",('ROSTER UPDATE'!F219))</f>
        <v/>
      </c>
      <c r="G515" s="103" t="str">
        <f>IF(AND('ROSTER UPDATE'!C219=""),"",('ROSTER UPDATE'!C219))</f>
        <v/>
      </c>
      <c r="H515" s="12"/>
      <c r="I515" s="12"/>
      <c r="O515" s="12"/>
      <c r="P515" s="102" t="str">
        <f>'SET 2 PLAYERS'!O219</f>
        <v/>
      </c>
      <c r="Q515" s="103" t="str">
        <f>'SET 2 PLAYERS'!P219</f>
        <v/>
      </c>
      <c r="R515" s="14"/>
      <c r="S515" s="115" t="e">
        <f t="shared" si="16"/>
        <v>#VALUE!</v>
      </c>
      <c r="T515" s="116" t="e">
        <f t="shared" si="17"/>
        <v>#VALUE!</v>
      </c>
      <c r="U515" s="12"/>
      <c r="V515" s="107" t="str">
        <f>'SET 2 PLAYERS'!Q219</f>
        <v/>
      </c>
      <c r="W515" s="12"/>
    </row>
    <row r="516" spans="2:23" x14ac:dyDescent="0.25">
      <c r="B516" s="99" t="str">
        <f>'SET 2 PLAYERS'!G220</f>
        <v>CLASS 2</v>
      </c>
      <c r="C516" s="102" t="str">
        <f>IF(AND('ROSTER UPDATE'!B220=""),"",('ROSTER UPDATE'!B220))</f>
        <v/>
      </c>
      <c r="D516" s="103" t="str">
        <f>IF(AND('ROSTER UPDATE'!E220=""),"",('ROSTER UPDATE'!E220))</f>
        <v/>
      </c>
      <c r="E516" s="12"/>
      <c r="F516" s="102" t="str">
        <f>IF(AND('ROSTER UPDATE'!F220=""),"",('ROSTER UPDATE'!F220))</f>
        <v/>
      </c>
      <c r="G516" s="103" t="str">
        <f>IF(AND('ROSTER UPDATE'!C220=""),"",('ROSTER UPDATE'!C220))</f>
        <v/>
      </c>
      <c r="H516" s="12"/>
      <c r="I516" s="12"/>
      <c r="O516" s="12"/>
      <c r="P516" s="102" t="str">
        <f>'SET 2 PLAYERS'!O220</f>
        <v/>
      </c>
      <c r="Q516" s="103" t="str">
        <f>'SET 2 PLAYERS'!P220</f>
        <v/>
      </c>
      <c r="R516" s="14"/>
      <c r="S516" s="115" t="e">
        <f t="shared" si="16"/>
        <v>#VALUE!</v>
      </c>
      <c r="T516" s="116" t="e">
        <f t="shared" si="17"/>
        <v>#VALUE!</v>
      </c>
      <c r="U516" s="12"/>
      <c r="V516" s="107" t="str">
        <f>'SET 2 PLAYERS'!Q220</f>
        <v/>
      </c>
      <c r="W516" s="12"/>
    </row>
    <row r="517" spans="2:23" x14ac:dyDescent="0.25">
      <c r="B517" s="99" t="str">
        <f>'SET 2 PLAYERS'!G221</f>
        <v>CLASS 2</v>
      </c>
      <c r="C517" s="102" t="str">
        <f>IF(AND('ROSTER UPDATE'!B221=""),"",('ROSTER UPDATE'!B221))</f>
        <v/>
      </c>
      <c r="D517" s="103" t="str">
        <f>IF(AND('ROSTER UPDATE'!E221=""),"",('ROSTER UPDATE'!E221))</f>
        <v/>
      </c>
      <c r="E517" s="12"/>
      <c r="F517" s="102" t="str">
        <f>IF(AND('ROSTER UPDATE'!F221=""),"",('ROSTER UPDATE'!F221))</f>
        <v/>
      </c>
      <c r="G517" s="103" t="str">
        <f>IF(AND('ROSTER UPDATE'!C221=""),"",('ROSTER UPDATE'!C221))</f>
        <v/>
      </c>
      <c r="H517" s="12"/>
      <c r="I517" s="12"/>
      <c r="O517" s="12"/>
      <c r="P517" s="102" t="str">
        <f>'SET 2 PLAYERS'!O221</f>
        <v/>
      </c>
      <c r="Q517" s="103" t="str">
        <f>'SET 2 PLAYERS'!P221</f>
        <v/>
      </c>
      <c r="R517" s="14"/>
      <c r="S517" s="115" t="e">
        <f t="shared" si="16"/>
        <v>#VALUE!</v>
      </c>
      <c r="T517" s="116" t="e">
        <f t="shared" si="17"/>
        <v>#VALUE!</v>
      </c>
      <c r="U517" s="12"/>
      <c r="V517" s="107" t="str">
        <f>'SET 2 PLAYERS'!Q221</f>
        <v/>
      </c>
      <c r="W517" s="12"/>
    </row>
    <row r="518" spans="2:23" x14ac:dyDescent="0.25">
      <c r="B518" s="99" t="str">
        <f>'SET 2 PLAYERS'!G222</f>
        <v>CLASS 2</v>
      </c>
      <c r="C518" s="102" t="str">
        <f>IF(AND('ROSTER UPDATE'!B222=""),"",('ROSTER UPDATE'!B222))</f>
        <v/>
      </c>
      <c r="D518" s="103" t="str">
        <f>IF(AND('ROSTER UPDATE'!E222=""),"",('ROSTER UPDATE'!E222))</f>
        <v/>
      </c>
      <c r="E518" s="12"/>
      <c r="F518" s="102" t="str">
        <f>IF(AND('ROSTER UPDATE'!F222=""),"",('ROSTER UPDATE'!F222))</f>
        <v/>
      </c>
      <c r="G518" s="103" t="str">
        <f>IF(AND('ROSTER UPDATE'!C222=""),"",('ROSTER UPDATE'!C222))</f>
        <v/>
      </c>
      <c r="H518" s="12"/>
      <c r="I518" s="12"/>
      <c r="O518" s="12"/>
      <c r="P518" s="102" t="str">
        <f>'SET 2 PLAYERS'!O222</f>
        <v/>
      </c>
      <c r="Q518" s="103" t="str">
        <f>'SET 2 PLAYERS'!P222</f>
        <v/>
      </c>
      <c r="R518" s="14"/>
      <c r="S518" s="115" t="e">
        <f t="shared" si="16"/>
        <v>#VALUE!</v>
      </c>
      <c r="T518" s="116" t="e">
        <f t="shared" si="17"/>
        <v>#VALUE!</v>
      </c>
      <c r="U518" s="12"/>
      <c r="V518" s="107" t="str">
        <f>'SET 2 PLAYERS'!Q222</f>
        <v/>
      </c>
      <c r="W518" s="12"/>
    </row>
    <row r="519" spans="2:23" x14ac:dyDescent="0.25">
      <c r="B519" s="99" t="str">
        <f>'SET 2 PLAYERS'!G223</f>
        <v>CLASS 2</v>
      </c>
      <c r="C519" s="102" t="str">
        <f>IF(AND('ROSTER UPDATE'!B223=""),"",('ROSTER UPDATE'!B223))</f>
        <v/>
      </c>
      <c r="D519" s="103" t="str">
        <f>IF(AND('ROSTER UPDATE'!E223=""),"",('ROSTER UPDATE'!E223))</f>
        <v/>
      </c>
      <c r="E519" s="12"/>
      <c r="F519" s="102" t="str">
        <f>IF(AND('ROSTER UPDATE'!F223=""),"",('ROSTER UPDATE'!F223))</f>
        <v/>
      </c>
      <c r="G519" s="103" t="str">
        <f>IF(AND('ROSTER UPDATE'!C223=""),"",('ROSTER UPDATE'!C223))</f>
        <v/>
      </c>
      <c r="H519" s="12"/>
      <c r="I519" s="12"/>
      <c r="O519" s="12"/>
      <c r="P519" s="102" t="str">
        <f>'SET 2 PLAYERS'!O223</f>
        <v/>
      </c>
      <c r="Q519" s="103" t="str">
        <f>'SET 2 PLAYERS'!P223</f>
        <v/>
      </c>
      <c r="R519" s="14"/>
      <c r="S519" s="115" t="e">
        <f t="shared" si="16"/>
        <v>#VALUE!</v>
      </c>
      <c r="T519" s="116" t="e">
        <f t="shared" si="17"/>
        <v>#VALUE!</v>
      </c>
      <c r="U519" s="12"/>
      <c r="V519" s="107" t="str">
        <f>'SET 2 PLAYERS'!Q223</f>
        <v/>
      </c>
      <c r="W519" s="12"/>
    </row>
    <row r="520" spans="2:23" x14ac:dyDescent="0.25">
      <c r="B520" s="99" t="str">
        <f>'SET 2 PLAYERS'!G224</f>
        <v>CLASS 2</v>
      </c>
      <c r="C520" s="102" t="str">
        <f>IF(AND('ROSTER UPDATE'!B224=""),"",('ROSTER UPDATE'!B224))</f>
        <v/>
      </c>
      <c r="D520" s="103" t="str">
        <f>IF(AND('ROSTER UPDATE'!E224=""),"",('ROSTER UPDATE'!E224))</f>
        <v/>
      </c>
      <c r="E520" s="12"/>
      <c r="F520" s="102" t="str">
        <f>IF(AND('ROSTER UPDATE'!F224=""),"",('ROSTER UPDATE'!F224))</f>
        <v/>
      </c>
      <c r="G520" s="103" t="str">
        <f>IF(AND('ROSTER UPDATE'!C224=""),"",('ROSTER UPDATE'!C224))</f>
        <v/>
      </c>
      <c r="H520" s="12"/>
      <c r="I520" s="12"/>
      <c r="O520" s="12"/>
      <c r="P520" s="102" t="str">
        <f>'SET 2 PLAYERS'!O224</f>
        <v/>
      </c>
      <c r="Q520" s="103" t="str">
        <f>'SET 2 PLAYERS'!P224</f>
        <v/>
      </c>
      <c r="R520" s="14"/>
      <c r="S520" s="115" t="e">
        <f t="shared" si="16"/>
        <v>#VALUE!</v>
      </c>
      <c r="T520" s="116" t="e">
        <f t="shared" si="17"/>
        <v>#VALUE!</v>
      </c>
      <c r="U520" s="12"/>
      <c r="V520" s="107" t="str">
        <f>'SET 2 PLAYERS'!Q224</f>
        <v/>
      </c>
      <c r="W520" s="12"/>
    </row>
    <row r="521" spans="2:23" x14ac:dyDescent="0.25">
      <c r="B521" s="99" t="str">
        <f>'SET 2 PLAYERS'!G225</f>
        <v>CLASS 2</v>
      </c>
      <c r="C521" s="102" t="str">
        <f>IF(AND('ROSTER UPDATE'!B225=""),"",('ROSTER UPDATE'!B225))</f>
        <v/>
      </c>
      <c r="D521" s="103" t="str">
        <f>IF(AND('ROSTER UPDATE'!E225=""),"",('ROSTER UPDATE'!E225))</f>
        <v/>
      </c>
      <c r="E521" s="12"/>
      <c r="F521" s="102" t="str">
        <f>IF(AND('ROSTER UPDATE'!F225=""),"",('ROSTER UPDATE'!F225))</f>
        <v/>
      </c>
      <c r="G521" s="103" t="str">
        <f>IF(AND('ROSTER UPDATE'!C225=""),"",('ROSTER UPDATE'!C225))</f>
        <v/>
      </c>
      <c r="H521" s="12"/>
      <c r="I521" s="12"/>
      <c r="O521" s="12"/>
      <c r="P521" s="102" t="str">
        <f>'SET 2 PLAYERS'!O225</f>
        <v/>
      </c>
      <c r="Q521" s="103" t="str">
        <f>'SET 2 PLAYERS'!P225</f>
        <v/>
      </c>
      <c r="R521" s="14"/>
      <c r="S521" s="115" t="e">
        <f t="shared" si="16"/>
        <v>#VALUE!</v>
      </c>
      <c r="T521" s="116" t="e">
        <f t="shared" si="17"/>
        <v>#VALUE!</v>
      </c>
      <c r="U521" s="12"/>
      <c r="V521" s="107" t="str">
        <f>'SET 2 PLAYERS'!Q225</f>
        <v/>
      </c>
      <c r="W521" s="12"/>
    </row>
    <row r="522" spans="2:23" x14ac:dyDescent="0.25">
      <c r="B522" s="99" t="str">
        <f>'SET 2 PLAYERS'!G226</f>
        <v>CLASS 2</v>
      </c>
      <c r="C522" s="102" t="str">
        <f>IF(AND('ROSTER UPDATE'!B226=""),"",('ROSTER UPDATE'!B226))</f>
        <v/>
      </c>
      <c r="D522" s="103" t="str">
        <f>IF(AND('ROSTER UPDATE'!E226=""),"",('ROSTER UPDATE'!E226))</f>
        <v/>
      </c>
      <c r="E522" s="12"/>
      <c r="F522" s="102" t="str">
        <f>IF(AND('ROSTER UPDATE'!F226=""),"",('ROSTER UPDATE'!F226))</f>
        <v/>
      </c>
      <c r="G522" s="103" t="str">
        <f>IF(AND('ROSTER UPDATE'!C226=""),"",('ROSTER UPDATE'!C226))</f>
        <v/>
      </c>
      <c r="H522" s="12"/>
      <c r="I522" s="12"/>
      <c r="O522" s="12"/>
      <c r="P522" s="102" t="str">
        <f>'SET 2 PLAYERS'!O226</f>
        <v/>
      </c>
      <c r="Q522" s="103" t="str">
        <f>'SET 2 PLAYERS'!P226</f>
        <v/>
      </c>
      <c r="R522" s="14"/>
      <c r="S522" s="115" t="e">
        <f t="shared" si="16"/>
        <v>#VALUE!</v>
      </c>
      <c r="T522" s="116" t="e">
        <f t="shared" si="17"/>
        <v>#VALUE!</v>
      </c>
      <c r="U522" s="12"/>
      <c r="V522" s="107" t="str">
        <f>'SET 2 PLAYERS'!Q226</f>
        <v/>
      </c>
      <c r="W522" s="12"/>
    </row>
    <row r="523" spans="2:23" x14ac:dyDescent="0.25">
      <c r="B523" s="99" t="str">
        <f>'SET 2 PLAYERS'!G227</f>
        <v>CLASS 2</v>
      </c>
      <c r="C523" s="102" t="str">
        <f>IF(AND('ROSTER UPDATE'!B227=""),"",('ROSTER UPDATE'!B227))</f>
        <v/>
      </c>
      <c r="D523" s="103" t="str">
        <f>IF(AND('ROSTER UPDATE'!E227=""),"",('ROSTER UPDATE'!E227))</f>
        <v/>
      </c>
      <c r="E523" s="12"/>
      <c r="F523" s="102" t="str">
        <f>IF(AND('ROSTER UPDATE'!F227=""),"",('ROSTER UPDATE'!F227))</f>
        <v/>
      </c>
      <c r="G523" s="103" t="str">
        <f>IF(AND('ROSTER UPDATE'!C227=""),"",('ROSTER UPDATE'!C227))</f>
        <v/>
      </c>
      <c r="H523" s="12"/>
      <c r="I523" s="12"/>
      <c r="O523" s="12"/>
      <c r="P523" s="102" t="str">
        <f>'SET 2 PLAYERS'!O227</f>
        <v/>
      </c>
      <c r="Q523" s="103" t="str">
        <f>'SET 2 PLAYERS'!P227</f>
        <v/>
      </c>
      <c r="R523" s="14"/>
      <c r="S523" s="115" t="e">
        <f t="shared" si="16"/>
        <v>#VALUE!</v>
      </c>
      <c r="T523" s="116" t="e">
        <f t="shared" si="17"/>
        <v>#VALUE!</v>
      </c>
      <c r="U523" s="12"/>
      <c r="V523" s="107" t="str">
        <f>'SET 2 PLAYERS'!Q227</f>
        <v/>
      </c>
      <c r="W523" s="12"/>
    </row>
    <row r="524" spans="2:23" x14ac:dyDescent="0.25">
      <c r="B524" s="99" t="str">
        <f>'SET 2 PLAYERS'!G228</f>
        <v>CLASS 2</v>
      </c>
      <c r="C524" s="102" t="str">
        <f>IF(AND('ROSTER UPDATE'!B228=""),"",('ROSTER UPDATE'!B228))</f>
        <v/>
      </c>
      <c r="D524" s="103" t="str">
        <f>IF(AND('ROSTER UPDATE'!E228=""),"",('ROSTER UPDATE'!E228))</f>
        <v/>
      </c>
      <c r="E524" s="12"/>
      <c r="F524" s="102" t="str">
        <f>IF(AND('ROSTER UPDATE'!F228=""),"",('ROSTER UPDATE'!F228))</f>
        <v/>
      </c>
      <c r="G524" s="103" t="str">
        <f>IF(AND('ROSTER UPDATE'!C228=""),"",('ROSTER UPDATE'!C228))</f>
        <v/>
      </c>
      <c r="H524" s="12"/>
      <c r="I524" s="12"/>
      <c r="O524" s="12"/>
      <c r="P524" s="102" t="str">
        <f>'SET 2 PLAYERS'!O228</f>
        <v/>
      </c>
      <c r="Q524" s="103" t="str">
        <f>'SET 2 PLAYERS'!P228</f>
        <v/>
      </c>
      <c r="R524" s="14"/>
      <c r="S524" s="115" t="e">
        <f t="shared" si="16"/>
        <v>#VALUE!</v>
      </c>
      <c r="T524" s="116" t="e">
        <f t="shared" si="17"/>
        <v>#VALUE!</v>
      </c>
      <c r="U524" s="12"/>
      <c r="V524" s="107" t="str">
        <f>'SET 2 PLAYERS'!Q228</f>
        <v/>
      </c>
      <c r="W524" s="12"/>
    </row>
    <row r="525" spans="2:23" x14ac:dyDescent="0.25">
      <c r="B525" s="99" t="str">
        <f>'SET 2 PLAYERS'!G229</f>
        <v>CLASS 2</v>
      </c>
      <c r="C525" s="102" t="str">
        <f>IF(AND('ROSTER UPDATE'!B229=""),"",('ROSTER UPDATE'!B229))</f>
        <v/>
      </c>
      <c r="D525" s="103" t="str">
        <f>IF(AND('ROSTER UPDATE'!E229=""),"",('ROSTER UPDATE'!E229))</f>
        <v/>
      </c>
      <c r="E525" s="12"/>
      <c r="F525" s="102" t="str">
        <f>IF(AND('ROSTER UPDATE'!F229=""),"",('ROSTER UPDATE'!F229))</f>
        <v/>
      </c>
      <c r="G525" s="103" t="str">
        <f>IF(AND('ROSTER UPDATE'!C229=""),"",('ROSTER UPDATE'!C229))</f>
        <v/>
      </c>
      <c r="H525" s="12"/>
      <c r="I525" s="12"/>
      <c r="O525" s="12"/>
      <c r="P525" s="102" t="str">
        <f>'SET 2 PLAYERS'!O229</f>
        <v/>
      </c>
      <c r="Q525" s="103" t="str">
        <f>'SET 2 PLAYERS'!P229</f>
        <v/>
      </c>
      <c r="R525" s="14"/>
      <c r="S525" s="115" t="e">
        <f t="shared" si="16"/>
        <v>#VALUE!</v>
      </c>
      <c r="T525" s="116" t="e">
        <f t="shared" si="17"/>
        <v>#VALUE!</v>
      </c>
      <c r="U525" s="12"/>
      <c r="V525" s="107" t="str">
        <f>'SET 2 PLAYERS'!Q229</f>
        <v/>
      </c>
      <c r="W525" s="12"/>
    </row>
    <row r="526" spans="2:23" x14ac:dyDescent="0.25">
      <c r="B526" s="99" t="str">
        <f>'SET 2 PLAYERS'!G230</f>
        <v>CLASS 2</v>
      </c>
      <c r="C526" s="102" t="str">
        <f>IF(AND('ROSTER UPDATE'!B230=""),"",('ROSTER UPDATE'!B230))</f>
        <v/>
      </c>
      <c r="D526" s="103" t="str">
        <f>IF(AND('ROSTER UPDATE'!E230=""),"",('ROSTER UPDATE'!E230))</f>
        <v/>
      </c>
      <c r="E526" s="12"/>
      <c r="F526" s="102" t="str">
        <f>IF(AND('ROSTER UPDATE'!F230=""),"",('ROSTER UPDATE'!F230))</f>
        <v/>
      </c>
      <c r="G526" s="103" t="str">
        <f>IF(AND('ROSTER UPDATE'!C230=""),"",('ROSTER UPDATE'!C230))</f>
        <v/>
      </c>
      <c r="H526" s="12"/>
      <c r="I526" s="12"/>
      <c r="O526" s="12"/>
      <c r="P526" s="102" t="str">
        <f>'SET 2 PLAYERS'!O230</f>
        <v/>
      </c>
      <c r="Q526" s="103" t="str">
        <f>'SET 2 PLAYERS'!P230</f>
        <v/>
      </c>
      <c r="R526" s="14"/>
      <c r="S526" s="115" t="e">
        <f t="shared" si="16"/>
        <v>#VALUE!</v>
      </c>
      <c r="T526" s="116" t="e">
        <f t="shared" si="17"/>
        <v>#VALUE!</v>
      </c>
      <c r="U526" s="12"/>
      <c r="V526" s="107" t="str">
        <f>'SET 2 PLAYERS'!Q230</f>
        <v/>
      </c>
      <c r="W526" s="12"/>
    </row>
    <row r="527" spans="2:23" x14ac:dyDescent="0.25">
      <c r="B527" s="99" t="str">
        <f>'SET 2 PLAYERS'!G231</f>
        <v>CLASS 2</v>
      </c>
      <c r="C527" s="102" t="str">
        <f>IF(AND('ROSTER UPDATE'!B231=""),"",('ROSTER UPDATE'!B231))</f>
        <v/>
      </c>
      <c r="D527" s="103" t="str">
        <f>IF(AND('ROSTER UPDATE'!E231=""),"",('ROSTER UPDATE'!E231))</f>
        <v/>
      </c>
      <c r="E527" s="12"/>
      <c r="F527" s="102" t="str">
        <f>IF(AND('ROSTER UPDATE'!F231=""),"",('ROSTER UPDATE'!F231))</f>
        <v/>
      </c>
      <c r="G527" s="103" t="str">
        <f>IF(AND('ROSTER UPDATE'!C231=""),"",('ROSTER UPDATE'!C231))</f>
        <v/>
      </c>
      <c r="H527" s="12"/>
      <c r="I527" s="12"/>
      <c r="O527" s="12"/>
      <c r="P527" s="102" t="str">
        <f>'SET 2 PLAYERS'!O231</f>
        <v/>
      </c>
      <c r="Q527" s="103" t="str">
        <f>'SET 2 PLAYERS'!P231</f>
        <v/>
      </c>
      <c r="R527" s="14"/>
      <c r="S527" s="115" t="e">
        <f t="shared" si="16"/>
        <v>#VALUE!</v>
      </c>
      <c r="T527" s="116" t="e">
        <f t="shared" si="17"/>
        <v>#VALUE!</v>
      </c>
      <c r="U527" s="12"/>
      <c r="V527" s="107" t="str">
        <f>'SET 2 PLAYERS'!Q231</f>
        <v/>
      </c>
      <c r="W527" s="12"/>
    </row>
    <row r="528" spans="2:23" x14ac:dyDescent="0.25">
      <c r="B528" s="99" t="str">
        <f>'SET 2 PLAYERS'!G232</f>
        <v>CLASS 2</v>
      </c>
      <c r="C528" s="102" t="str">
        <f>IF(AND('ROSTER UPDATE'!B232=""),"",('ROSTER UPDATE'!B232))</f>
        <v/>
      </c>
      <c r="D528" s="103" t="str">
        <f>IF(AND('ROSTER UPDATE'!E232=""),"",('ROSTER UPDATE'!E232))</f>
        <v/>
      </c>
      <c r="E528" s="12"/>
      <c r="F528" s="102" t="str">
        <f>IF(AND('ROSTER UPDATE'!F232=""),"",('ROSTER UPDATE'!F232))</f>
        <v/>
      </c>
      <c r="G528" s="103" t="str">
        <f>IF(AND('ROSTER UPDATE'!C232=""),"",('ROSTER UPDATE'!C232))</f>
        <v/>
      </c>
      <c r="H528" s="12"/>
      <c r="I528" s="12"/>
      <c r="O528" s="12"/>
      <c r="P528" s="102" t="str">
        <f>'SET 2 PLAYERS'!O232</f>
        <v/>
      </c>
      <c r="Q528" s="103" t="str">
        <f>'SET 2 PLAYERS'!P232</f>
        <v/>
      </c>
      <c r="R528" s="14"/>
      <c r="S528" s="115" t="e">
        <f t="shared" si="16"/>
        <v>#VALUE!</v>
      </c>
      <c r="T528" s="116" t="e">
        <f t="shared" si="17"/>
        <v>#VALUE!</v>
      </c>
      <c r="U528" s="12"/>
      <c r="V528" s="107" t="str">
        <f>'SET 2 PLAYERS'!Q232</f>
        <v/>
      </c>
      <c r="W528" s="12"/>
    </row>
    <row r="529" spans="2:23" x14ac:dyDescent="0.25">
      <c r="B529" s="99" t="str">
        <f>'SET 2 PLAYERS'!G233</f>
        <v>CLASS 2</v>
      </c>
      <c r="C529" s="102" t="str">
        <f>IF(AND('ROSTER UPDATE'!B233=""),"",('ROSTER UPDATE'!B233))</f>
        <v/>
      </c>
      <c r="D529" s="103" t="str">
        <f>IF(AND('ROSTER UPDATE'!E233=""),"",('ROSTER UPDATE'!E233))</f>
        <v/>
      </c>
      <c r="E529" s="12"/>
      <c r="F529" s="102" t="str">
        <f>IF(AND('ROSTER UPDATE'!F233=""),"",('ROSTER UPDATE'!F233))</f>
        <v/>
      </c>
      <c r="G529" s="103" t="str">
        <f>IF(AND('ROSTER UPDATE'!C233=""),"",('ROSTER UPDATE'!C233))</f>
        <v/>
      </c>
      <c r="H529" s="12"/>
      <c r="I529" s="12"/>
      <c r="O529" s="12"/>
      <c r="P529" s="102" t="str">
        <f>'SET 2 PLAYERS'!O233</f>
        <v/>
      </c>
      <c r="Q529" s="103" t="str">
        <f>'SET 2 PLAYERS'!P233</f>
        <v/>
      </c>
      <c r="R529" s="14"/>
      <c r="S529" s="115" t="e">
        <f t="shared" si="16"/>
        <v>#VALUE!</v>
      </c>
      <c r="T529" s="116" t="e">
        <f t="shared" si="17"/>
        <v>#VALUE!</v>
      </c>
      <c r="U529" s="12"/>
      <c r="V529" s="107" t="str">
        <f>'SET 2 PLAYERS'!Q233</f>
        <v/>
      </c>
      <c r="W529" s="12"/>
    </row>
    <row r="530" spans="2:23" x14ac:dyDescent="0.25">
      <c r="B530" s="99" t="str">
        <f>'SET 2 PLAYERS'!G234</f>
        <v>CLASS 2</v>
      </c>
      <c r="C530" s="102" t="str">
        <f>IF(AND('ROSTER UPDATE'!B234=""),"",('ROSTER UPDATE'!B234))</f>
        <v/>
      </c>
      <c r="D530" s="103" t="str">
        <f>IF(AND('ROSTER UPDATE'!E234=""),"",('ROSTER UPDATE'!E234))</f>
        <v/>
      </c>
      <c r="E530" s="12"/>
      <c r="F530" s="102" t="str">
        <f>IF(AND('ROSTER UPDATE'!F234=""),"",('ROSTER UPDATE'!F234))</f>
        <v/>
      </c>
      <c r="G530" s="103" t="str">
        <f>IF(AND('ROSTER UPDATE'!C234=""),"",('ROSTER UPDATE'!C234))</f>
        <v/>
      </c>
      <c r="H530" s="12"/>
      <c r="I530" s="12"/>
      <c r="O530" s="12"/>
      <c r="P530" s="102" t="str">
        <f>'SET 2 PLAYERS'!O234</f>
        <v/>
      </c>
      <c r="Q530" s="103" t="str">
        <f>'SET 2 PLAYERS'!P234</f>
        <v/>
      </c>
      <c r="R530" s="14"/>
      <c r="S530" s="115" t="e">
        <f t="shared" si="16"/>
        <v>#VALUE!</v>
      </c>
      <c r="T530" s="116" t="e">
        <f t="shared" si="17"/>
        <v>#VALUE!</v>
      </c>
      <c r="U530" s="12"/>
      <c r="V530" s="107" t="str">
        <f>'SET 2 PLAYERS'!Q234</f>
        <v/>
      </c>
      <c r="W530" s="12"/>
    </row>
    <row r="531" spans="2:23" x14ac:dyDescent="0.25">
      <c r="B531" s="99" t="str">
        <f>'SET 2 PLAYERS'!G235</f>
        <v>CLASS 2</v>
      </c>
      <c r="C531" s="102" t="str">
        <f>IF(AND('ROSTER UPDATE'!B235=""),"",('ROSTER UPDATE'!B235))</f>
        <v/>
      </c>
      <c r="D531" s="103" t="str">
        <f>IF(AND('ROSTER UPDATE'!E235=""),"",('ROSTER UPDATE'!E235))</f>
        <v/>
      </c>
      <c r="E531" s="12"/>
      <c r="F531" s="102" t="str">
        <f>IF(AND('ROSTER UPDATE'!F235=""),"",('ROSTER UPDATE'!F235))</f>
        <v/>
      </c>
      <c r="G531" s="103" t="str">
        <f>IF(AND('ROSTER UPDATE'!C235=""),"",('ROSTER UPDATE'!C235))</f>
        <v/>
      </c>
      <c r="H531" s="12"/>
      <c r="I531" s="12"/>
      <c r="O531" s="12"/>
      <c r="P531" s="102" t="str">
        <f>'SET 2 PLAYERS'!O235</f>
        <v/>
      </c>
      <c r="Q531" s="103" t="str">
        <f>'SET 2 PLAYERS'!P235</f>
        <v/>
      </c>
      <c r="R531" s="14"/>
      <c r="S531" s="115" t="e">
        <f t="shared" si="16"/>
        <v>#VALUE!</v>
      </c>
      <c r="T531" s="116" t="e">
        <f t="shared" si="17"/>
        <v>#VALUE!</v>
      </c>
      <c r="U531" s="12"/>
      <c r="V531" s="107" t="str">
        <f>'SET 2 PLAYERS'!Q235</f>
        <v/>
      </c>
      <c r="W531" s="12"/>
    </row>
    <row r="532" spans="2:23" x14ac:dyDescent="0.25">
      <c r="B532" s="99" t="str">
        <f>'SET 2 PLAYERS'!G236</f>
        <v>CLASS 2</v>
      </c>
      <c r="C532" s="102" t="str">
        <f>IF(AND('ROSTER UPDATE'!B236=""),"",('ROSTER UPDATE'!B236))</f>
        <v/>
      </c>
      <c r="D532" s="103" t="str">
        <f>IF(AND('ROSTER UPDATE'!E236=""),"",('ROSTER UPDATE'!E236))</f>
        <v/>
      </c>
      <c r="E532" s="12"/>
      <c r="F532" s="102" t="str">
        <f>IF(AND('ROSTER UPDATE'!F236=""),"",('ROSTER UPDATE'!F236))</f>
        <v/>
      </c>
      <c r="G532" s="103" t="str">
        <f>IF(AND('ROSTER UPDATE'!C236=""),"",('ROSTER UPDATE'!C236))</f>
        <v/>
      </c>
      <c r="H532" s="12"/>
      <c r="I532" s="12"/>
      <c r="O532" s="12"/>
      <c r="P532" s="102" t="str">
        <f>'SET 2 PLAYERS'!O236</f>
        <v/>
      </c>
      <c r="Q532" s="103" t="str">
        <f>'SET 2 PLAYERS'!P236</f>
        <v/>
      </c>
      <c r="R532" s="14"/>
      <c r="S532" s="115" t="e">
        <f t="shared" si="16"/>
        <v>#VALUE!</v>
      </c>
      <c r="T532" s="116" t="e">
        <f t="shared" si="17"/>
        <v>#VALUE!</v>
      </c>
      <c r="U532" s="12"/>
      <c r="V532" s="107" t="str">
        <f>'SET 2 PLAYERS'!Q236</f>
        <v/>
      </c>
      <c r="W532" s="12"/>
    </row>
    <row r="533" spans="2:23" x14ac:dyDescent="0.25">
      <c r="B533" s="99" t="str">
        <f>'SET 2 PLAYERS'!G237</f>
        <v>CLASS 2</v>
      </c>
      <c r="C533" s="102" t="str">
        <f>IF(AND('ROSTER UPDATE'!B237=""),"",('ROSTER UPDATE'!B237))</f>
        <v/>
      </c>
      <c r="D533" s="103" t="str">
        <f>IF(AND('ROSTER UPDATE'!E237=""),"",('ROSTER UPDATE'!E237))</f>
        <v/>
      </c>
      <c r="E533" s="12"/>
      <c r="F533" s="102" t="str">
        <f>IF(AND('ROSTER UPDATE'!F237=""),"",('ROSTER UPDATE'!F237))</f>
        <v/>
      </c>
      <c r="G533" s="103" t="str">
        <f>IF(AND('ROSTER UPDATE'!C237=""),"",('ROSTER UPDATE'!C237))</f>
        <v/>
      </c>
      <c r="H533" s="12"/>
      <c r="I533" s="12"/>
      <c r="O533" s="12"/>
      <c r="P533" s="102" t="str">
        <f>'SET 2 PLAYERS'!O237</f>
        <v/>
      </c>
      <c r="Q533" s="103" t="str">
        <f>'SET 2 PLAYERS'!P237</f>
        <v/>
      </c>
      <c r="R533" s="14"/>
      <c r="S533" s="115" t="e">
        <f t="shared" si="16"/>
        <v>#VALUE!</v>
      </c>
      <c r="T533" s="116" t="e">
        <f t="shared" si="17"/>
        <v>#VALUE!</v>
      </c>
      <c r="U533" s="12"/>
      <c r="V533" s="107" t="str">
        <f>'SET 2 PLAYERS'!Q237</f>
        <v/>
      </c>
      <c r="W533" s="12"/>
    </row>
    <row r="534" spans="2:23" x14ac:dyDescent="0.25">
      <c r="B534" s="99" t="str">
        <f>'SET 2 PLAYERS'!G238</f>
        <v>CLASS 2</v>
      </c>
      <c r="C534" s="102" t="str">
        <f>IF(AND('ROSTER UPDATE'!B238=""),"",('ROSTER UPDATE'!B238))</f>
        <v/>
      </c>
      <c r="D534" s="103" t="str">
        <f>IF(AND('ROSTER UPDATE'!E238=""),"",('ROSTER UPDATE'!E238))</f>
        <v/>
      </c>
      <c r="E534" s="12"/>
      <c r="F534" s="102" t="str">
        <f>IF(AND('ROSTER UPDATE'!F238=""),"",('ROSTER UPDATE'!F238))</f>
        <v/>
      </c>
      <c r="G534" s="103" t="str">
        <f>IF(AND('ROSTER UPDATE'!C238=""),"",('ROSTER UPDATE'!C238))</f>
        <v/>
      </c>
      <c r="H534" s="12"/>
      <c r="I534" s="12"/>
      <c r="O534" s="12"/>
      <c r="P534" s="102" t="str">
        <f>'SET 2 PLAYERS'!O238</f>
        <v/>
      </c>
      <c r="Q534" s="103" t="str">
        <f>'SET 2 PLAYERS'!P238</f>
        <v/>
      </c>
      <c r="R534" s="14"/>
      <c r="S534" s="115" t="e">
        <f t="shared" si="16"/>
        <v>#VALUE!</v>
      </c>
      <c r="T534" s="116" t="e">
        <f t="shared" si="17"/>
        <v>#VALUE!</v>
      </c>
      <c r="U534" s="12"/>
      <c r="V534" s="107" t="str">
        <f>'SET 2 PLAYERS'!Q238</f>
        <v/>
      </c>
      <c r="W534" s="12"/>
    </row>
    <row r="535" spans="2:23" x14ac:dyDescent="0.25">
      <c r="B535" s="99" t="str">
        <f>'SET 2 PLAYERS'!G239</f>
        <v>CLASS 2</v>
      </c>
      <c r="C535" s="102" t="str">
        <f>IF(AND('ROSTER UPDATE'!B239=""),"",('ROSTER UPDATE'!B239))</f>
        <v/>
      </c>
      <c r="D535" s="103" t="str">
        <f>IF(AND('ROSTER UPDATE'!E239=""),"",('ROSTER UPDATE'!E239))</f>
        <v/>
      </c>
      <c r="E535" s="12"/>
      <c r="F535" s="102" t="str">
        <f>IF(AND('ROSTER UPDATE'!F239=""),"",('ROSTER UPDATE'!F239))</f>
        <v/>
      </c>
      <c r="G535" s="103" t="str">
        <f>IF(AND('ROSTER UPDATE'!C239=""),"",('ROSTER UPDATE'!C239))</f>
        <v/>
      </c>
      <c r="H535" s="12"/>
      <c r="I535" s="12"/>
      <c r="O535" s="12"/>
      <c r="P535" s="102" t="str">
        <f>'SET 2 PLAYERS'!O239</f>
        <v/>
      </c>
      <c r="Q535" s="103" t="str">
        <f>'SET 2 PLAYERS'!P239</f>
        <v/>
      </c>
      <c r="R535" s="14"/>
      <c r="S535" s="115" t="e">
        <f t="shared" si="16"/>
        <v>#VALUE!</v>
      </c>
      <c r="T535" s="116" t="e">
        <f t="shared" si="17"/>
        <v>#VALUE!</v>
      </c>
      <c r="U535" s="12"/>
      <c r="V535" s="107" t="str">
        <f>'SET 2 PLAYERS'!Q239</f>
        <v/>
      </c>
      <c r="W535" s="12"/>
    </row>
    <row r="536" spans="2:23" x14ac:dyDescent="0.25">
      <c r="B536" s="99" t="str">
        <f>'SET 2 PLAYERS'!G240</f>
        <v>CLASS 2</v>
      </c>
      <c r="C536" s="102" t="str">
        <f>IF(AND('ROSTER UPDATE'!B240=""),"",('ROSTER UPDATE'!B240))</f>
        <v/>
      </c>
      <c r="D536" s="103" t="str">
        <f>IF(AND('ROSTER UPDATE'!E240=""),"",('ROSTER UPDATE'!E240))</f>
        <v/>
      </c>
      <c r="E536" s="12"/>
      <c r="F536" s="102" t="str">
        <f>IF(AND('ROSTER UPDATE'!F240=""),"",('ROSTER UPDATE'!F240))</f>
        <v/>
      </c>
      <c r="G536" s="103" t="str">
        <f>IF(AND('ROSTER UPDATE'!C240=""),"",('ROSTER UPDATE'!C240))</f>
        <v/>
      </c>
      <c r="H536" s="12"/>
      <c r="I536" s="12"/>
      <c r="O536" s="12"/>
      <c r="P536" s="102" t="str">
        <f>'SET 2 PLAYERS'!O240</f>
        <v/>
      </c>
      <c r="Q536" s="103" t="str">
        <f>'SET 2 PLAYERS'!P240</f>
        <v/>
      </c>
      <c r="R536" s="14"/>
      <c r="S536" s="115" t="e">
        <f t="shared" si="16"/>
        <v>#VALUE!</v>
      </c>
      <c r="T536" s="116" t="e">
        <f t="shared" si="17"/>
        <v>#VALUE!</v>
      </c>
      <c r="U536" s="12"/>
      <c r="V536" s="107" t="str">
        <f>'SET 2 PLAYERS'!Q240</f>
        <v/>
      </c>
      <c r="W536" s="12"/>
    </row>
    <row r="537" spans="2:23" x14ac:dyDescent="0.25">
      <c r="B537" s="99" t="str">
        <f>'SET 2 PLAYERS'!G241</f>
        <v>CLASS 2</v>
      </c>
      <c r="C537" s="102" t="str">
        <f>IF(AND('ROSTER UPDATE'!B241=""),"",('ROSTER UPDATE'!B241))</f>
        <v/>
      </c>
      <c r="D537" s="103" t="str">
        <f>IF(AND('ROSTER UPDATE'!E241=""),"",('ROSTER UPDATE'!E241))</f>
        <v/>
      </c>
      <c r="E537" s="12"/>
      <c r="F537" s="102" t="str">
        <f>IF(AND('ROSTER UPDATE'!F241=""),"",('ROSTER UPDATE'!F241))</f>
        <v/>
      </c>
      <c r="G537" s="103" t="str">
        <f>IF(AND('ROSTER UPDATE'!C241=""),"",('ROSTER UPDATE'!C241))</f>
        <v/>
      </c>
      <c r="H537" s="12"/>
      <c r="I537" s="12"/>
      <c r="O537" s="12"/>
      <c r="P537" s="102" t="str">
        <f>'SET 2 PLAYERS'!O241</f>
        <v/>
      </c>
      <c r="Q537" s="103" t="str">
        <f>'SET 2 PLAYERS'!P241</f>
        <v/>
      </c>
      <c r="R537" s="14"/>
      <c r="S537" s="115" t="e">
        <f t="shared" si="16"/>
        <v>#VALUE!</v>
      </c>
      <c r="T537" s="116" t="e">
        <f t="shared" si="17"/>
        <v>#VALUE!</v>
      </c>
      <c r="U537" s="12"/>
      <c r="V537" s="107" t="str">
        <f>'SET 2 PLAYERS'!Q241</f>
        <v/>
      </c>
      <c r="W537" s="12"/>
    </row>
    <row r="538" spans="2:23" x14ac:dyDescent="0.25">
      <c r="B538" s="99" t="str">
        <f>'SET 2 PLAYERS'!G242</f>
        <v>CLASS 2</v>
      </c>
      <c r="C538" s="102" t="str">
        <f>IF(AND('ROSTER UPDATE'!B242=""),"",('ROSTER UPDATE'!B242))</f>
        <v/>
      </c>
      <c r="D538" s="103" t="str">
        <f>IF(AND('ROSTER UPDATE'!E242=""),"",('ROSTER UPDATE'!E242))</f>
        <v/>
      </c>
      <c r="E538" s="12"/>
      <c r="F538" s="102" t="str">
        <f>IF(AND('ROSTER UPDATE'!F242=""),"",('ROSTER UPDATE'!F242))</f>
        <v/>
      </c>
      <c r="G538" s="103" t="str">
        <f>IF(AND('ROSTER UPDATE'!C242=""),"",('ROSTER UPDATE'!C242))</f>
        <v/>
      </c>
      <c r="H538" s="12"/>
      <c r="I538" s="12"/>
      <c r="O538" s="12"/>
      <c r="P538" s="102" t="str">
        <f>'SET 2 PLAYERS'!O242</f>
        <v/>
      </c>
      <c r="Q538" s="103" t="str">
        <f>'SET 2 PLAYERS'!P242</f>
        <v/>
      </c>
      <c r="R538" s="14"/>
      <c r="S538" s="115" t="e">
        <f t="shared" si="16"/>
        <v>#VALUE!</v>
      </c>
      <c r="T538" s="116" t="e">
        <f t="shared" si="17"/>
        <v>#VALUE!</v>
      </c>
      <c r="U538" s="12"/>
      <c r="V538" s="107" t="str">
        <f>'SET 2 PLAYERS'!Q242</f>
        <v/>
      </c>
      <c r="W538" s="12"/>
    </row>
    <row r="539" spans="2:23" x14ac:dyDescent="0.25">
      <c r="B539" s="99" t="str">
        <f>'SET 2 PLAYERS'!G243</f>
        <v>CLASS 2</v>
      </c>
      <c r="C539" s="102" t="str">
        <f>IF(AND('ROSTER UPDATE'!B243=""),"",('ROSTER UPDATE'!B243))</f>
        <v/>
      </c>
      <c r="D539" s="103" t="str">
        <f>IF(AND('ROSTER UPDATE'!E243=""),"",('ROSTER UPDATE'!E243))</f>
        <v/>
      </c>
      <c r="E539" s="12"/>
      <c r="F539" s="102" t="str">
        <f>IF(AND('ROSTER UPDATE'!F243=""),"",('ROSTER UPDATE'!F243))</f>
        <v/>
      </c>
      <c r="G539" s="103" t="str">
        <f>IF(AND('ROSTER UPDATE'!C243=""),"",('ROSTER UPDATE'!C243))</f>
        <v/>
      </c>
      <c r="H539" s="12"/>
      <c r="I539" s="12"/>
      <c r="O539" s="12"/>
      <c r="P539" s="102" t="str">
        <f>'SET 2 PLAYERS'!O243</f>
        <v/>
      </c>
      <c r="Q539" s="103" t="str">
        <f>'SET 2 PLAYERS'!P243</f>
        <v/>
      </c>
      <c r="R539" s="14"/>
      <c r="S539" s="115" t="e">
        <f t="shared" si="16"/>
        <v>#VALUE!</v>
      </c>
      <c r="T539" s="116" t="e">
        <f t="shared" si="17"/>
        <v>#VALUE!</v>
      </c>
      <c r="U539" s="12"/>
      <c r="V539" s="107" t="str">
        <f>'SET 2 PLAYERS'!Q243</f>
        <v/>
      </c>
      <c r="W539" s="12"/>
    </row>
    <row r="540" spans="2:23" x14ac:dyDescent="0.25">
      <c r="B540" s="99" t="str">
        <f>'SET 2 PLAYERS'!G244</f>
        <v>CLASS 2</v>
      </c>
      <c r="C540" s="102" t="str">
        <f>IF(AND('ROSTER UPDATE'!B244=""),"",('ROSTER UPDATE'!B244))</f>
        <v/>
      </c>
      <c r="D540" s="103" t="str">
        <f>IF(AND('ROSTER UPDATE'!E244=""),"",('ROSTER UPDATE'!E244))</f>
        <v/>
      </c>
      <c r="E540" s="12"/>
      <c r="F540" s="102" t="str">
        <f>IF(AND('ROSTER UPDATE'!F244=""),"",('ROSTER UPDATE'!F244))</f>
        <v/>
      </c>
      <c r="G540" s="103" t="str">
        <f>IF(AND('ROSTER UPDATE'!C244=""),"",('ROSTER UPDATE'!C244))</f>
        <v/>
      </c>
      <c r="H540" s="12"/>
      <c r="I540" s="12"/>
      <c r="O540" s="12"/>
      <c r="P540" s="102" t="str">
        <f>'SET 2 PLAYERS'!O244</f>
        <v/>
      </c>
      <c r="Q540" s="103" t="str">
        <f>'SET 2 PLAYERS'!P244</f>
        <v/>
      </c>
      <c r="R540" s="14"/>
      <c r="S540" s="115" t="e">
        <f t="shared" si="16"/>
        <v>#VALUE!</v>
      </c>
      <c r="T540" s="116" t="e">
        <f t="shared" si="17"/>
        <v>#VALUE!</v>
      </c>
      <c r="U540" s="12"/>
      <c r="V540" s="107" t="str">
        <f>'SET 2 PLAYERS'!Q244</f>
        <v/>
      </c>
      <c r="W540" s="12"/>
    </row>
    <row r="541" spans="2:23" x14ac:dyDescent="0.25">
      <c r="B541" s="99" t="str">
        <f>'SET 2 PLAYERS'!G245</f>
        <v>CLASS 2</v>
      </c>
      <c r="C541" s="102" t="str">
        <f>IF(AND('ROSTER UPDATE'!B245=""),"",('ROSTER UPDATE'!B245))</f>
        <v/>
      </c>
      <c r="D541" s="103" t="str">
        <f>IF(AND('ROSTER UPDATE'!E245=""),"",('ROSTER UPDATE'!E245))</f>
        <v/>
      </c>
      <c r="E541" s="12"/>
      <c r="F541" s="102" t="str">
        <f>IF(AND('ROSTER UPDATE'!F245=""),"",('ROSTER UPDATE'!F245))</f>
        <v/>
      </c>
      <c r="G541" s="103" t="str">
        <f>IF(AND('ROSTER UPDATE'!C245=""),"",('ROSTER UPDATE'!C245))</f>
        <v/>
      </c>
      <c r="H541" s="12"/>
      <c r="I541" s="12"/>
      <c r="O541" s="12"/>
      <c r="P541" s="102" t="str">
        <f>'SET 2 PLAYERS'!O245</f>
        <v/>
      </c>
      <c r="Q541" s="103" t="str">
        <f>'SET 2 PLAYERS'!P245</f>
        <v/>
      </c>
      <c r="R541" s="14"/>
      <c r="S541" s="115" t="e">
        <f t="shared" si="16"/>
        <v>#VALUE!</v>
      </c>
      <c r="T541" s="116" t="e">
        <f t="shared" si="17"/>
        <v>#VALUE!</v>
      </c>
      <c r="U541" s="12"/>
      <c r="V541" s="107" t="str">
        <f>'SET 2 PLAYERS'!Q245</f>
        <v/>
      </c>
      <c r="W541" s="12"/>
    </row>
    <row r="542" spans="2:23" x14ac:dyDescent="0.25">
      <c r="B542" s="99" t="str">
        <f>'SET 2 PLAYERS'!G246</f>
        <v>CLASS 2</v>
      </c>
      <c r="C542" s="102" t="str">
        <f>IF(AND('ROSTER UPDATE'!B246=""),"",('ROSTER UPDATE'!B246))</f>
        <v/>
      </c>
      <c r="D542" s="103" t="str">
        <f>IF(AND('ROSTER UPDATE'!E246=""),"",('ROSTER UPDATE'!E246))</f>
        <v/>
      </c>
      <c r="E542" s="12"/>
      <c r="F542" s="102" t="str">
        <f>IF(AND('ROSTER UPDATE'!F246=""),"",('ROSTER UPDATE'!F246))</f>
        <v/>
      </c>
      <c r="G542" s="103" t="str">
        <f>IF(AND('ROSTER UPDATE'!C246=""),"",('ROSTER UPDATE'!C246))</f>
        <v/>
      </c>
      <c r="H542" s="12"/>
      <c r="I542" s="12"/>
      <c r="O542" s="12"/>
      <c r="P542" s="102" t="str">
        <f>'SET 2 PLAYERS'!O246</f>
        <v/>
      </c>
      <c r="Q542" s="103" t="str">
        <f>'SET 2 PLAYERS'!P246</f>
        <v/>
      </c>
      <c r="R542" s="14"/>
      <c r="S542" s="115" t="e">
        <f t="shared" si="16"/>
        <v>#VALUE!</v>
      </c>
      <c r="T542" s="116" t="e">
        <f t="shared" si="17"/>
        <v>#VALUE!</v>
      </c>
      <c r="U542" s="12"/>
      <c r="V542" s="107" t="str">
        <f>'SET 2 PLAYERS'!Q246</f>
        <v/>
      </c>
      <c r="W542" s="12"/>
    </row>
    <row r="543" spans="2:23" x14ac:dyDescent="0.25">
      <c r="B543" s="99" t="str">
        <f>'SET 2 PLAYERS'!G247</f>
        <v>CLASS 2</v>
      </c>
      <c r="C543" s="102" t="str">
        <f>IF(AND('ROSTER UPDATE'!B247=""),"",('ROSTER UPDATE'!B247))</f>
        <v/>
      </c>
      <c r="D543" s="103" t="str">
        <f>IF(AND('ROSTER UPDATE'!E247=""),"",('ROSTER UPDATE'!E247))</f>
        <v/>
      </c>
      <c r="E543" s="12"/>
      <c r="F543" s="102" t="str">
        <f>IF(AND('ROSTER UPDATE'!F247=""),"",('ROSTER UPDATE'!F247))</f>
        <v/>
      </c>
      <c r="G543" s="103" t="str">
        <f>IF(AND('ROSTER UPDATE'!C247=""),"",('ROSTER UPDATE'!C247))</f>
        <v/>
      </c>
      <c r="H543" s="12"/>
      <c r="I543" s="12"/>
      <c r="O543" s="12"/>
      <c r="P543" s="102" t="str">
        <f>'SET 2 PLAYERS'!O247</f>
        <v/>
      </c>
      <c r="Q543" s="103" t="str">
        <f>'SET 2 PLAYERS'!P247</f>
        <v/>
      </c>
      <c r="R543" s="14"/>
      <c r="S543" s="115" t="e">
        <f t="shared" si="16"/>
        <v>#VALUE!</v>
      </c>
      <c r="T543" s="116" t="e">
        <f t="shared" si="17"/>
        <v>#VALUE!</v>
      </c>
      <c r="U543" s="12"/>
      <c r="V543" s="107" t="str">
        <f>'SET 2 PLAYERS'!Q247</f>
        <v/>
      </c>
      <c r="W543" s="12"/>
    </row>
    <row r="544" spans="2:23" x14ac:dyDescent="0.25">
      <c r="B544" s="99" t="str">
        <f>'SET 2 PLAYERS'!G248</f>
        <v>CLASS 2</v>
      </c>
      <c r="C544" s="102" t="str">
        <f>IF(AND('ROSTER UPDATE'!B248=""),"",('ROSTER UPDATE'!B248))</f>
        <v/>
      </c>
      <c r="D544" s="103" t="str">
        <f>IF(AND('ROSTER UPDATE'!E248=""),"",('ROSTER UPDATE'!E248))</f>
        <v/>
      </c>
      <c r="E544" s="12"/>
      <c r="F544" s="102" t="str">
        <f>IF(AND('ROSTER UPDATE'!F248=""),"",('ROSTER UPDATE'!F248))</f>
        <v/>
      </c>
      <c r="G544" s="103" t="str">
        <f>IF(AND('ROSTER UPDATE'!C248=""),"",('ROSTER UPDATE'!C248))</f>
        <v/>
      </c>
      <c r="H544" s="12"/>
      <c r="I544" s="12"/>
      <c r="O544" s="12"/>
      <c r="P544" s="102" t="str">
        <f>'SET 2 PLAYERS'!O248</f>
        <v/>
      </c>
      <c r="Q544" s="103" t="str">
        <f>'SET 2 PLAYERS'!P248</f>
        <v/>
      </c>
      <c r="R544" s="14"/>
      <c r="S544" s="115" t="e">
        <f t="shared" si="16"/>
        <v>#VALUE!</v>
      </c>
      <c r="T544" s="116" t="e">
        <f t="shared" si="17"/>
        <v>#VALUE!</v>
      </c>
      <c r="U544" s="12"/>
      <c r="V544" s="107" t="str">
        <f>'SET 2 PLAYERS'!Q248</f>
        <v/>
      </c>
      <c r="W544" s="12"/>
    </row>
    <row r="545" spans="2:23" x14ac:dyDescent="0.25">
      <c r="B545" s="99" t="str">
        <f>'SET 2 PLAYERS'!G249</f>
        <v>CLASS 2</v>
      </c>
      <c r="C545" s="102" t="str">
        <f>IF(AND('ROSTER UPDATE'!B249=""),"",('ROSTER UPDATE'!B249))</f>
        <v/>
      </c>
      <c r="D545" s="103" t="str">
        <f>IF(AND('ROSTER UPDATE'!E249=""),"",('ROSTER UPDATE'!E249))</f>
        <v/>
      </c>
      <c r="E545" s="12"/>
      <c r="F545" s="102" t="str">
        <f>IF(AND('ROSTER UPDATE'!F249=""),"",('ROSTER UPDATE'!F249))</f>
        <v/>
      </c>
      <c r="G545" s="103" t="str">
        <f>IF(AND('ROSTER UPDATE'!C249=""),"",('ROSTER UPDATE'!C249))</f>
        <v/>
      </c>
      <c r="H545" s="12"/>
      <c r="I545" s="12"/>
      <c r="O545" s="12"/>
      <c r="P545" s="102" t="str">
        <f>'SET 2 PLAYERS'!O249</f>
        <v/>
      </c>
      <c r="Q545" s="103" t="str">
        <f>'SET 2 PLAYERS'!P249</f>
        <v/>
      </c>
      <c r="R545" s="14"/>
      <c r="S545" s="115" t="e">
        <f t="shared" si="16"/>
        <v>#VALUE!</v>
      </c>
      <c r="T545" s="116" t="e">
        <f t="shared" si="17"/>
        <v>#VALUE!</v>
      </c>
      <c r="U545" s="12"/>
      <c r="V545" s="107" t="str">
        <f>'SET 2 PLAYERS'!Q249</f>
        <v/>
      </c>
      <c r="W545" s="12"/>
    </row>
    <row r="546" spans="2:23" x14ac:dyDescent="0.25">
      <c r="B546" s="99" t="str">
        <f>'SET 2 PLAYERS'!G250</f>
        <v>CLASS 2</v>
      </c>
      <c r="C546" s="102" t="str">
        <f>IF(AND('ROSTER UPDATE'!B250=""),"",('ROSTER UPDATE'!B250))</f>
        <v/>
      </c>
      <c r="D546" s="103" t="str">
        <f>IF(AND('ROSTER UPDATE'!E250=""),"",('ROSTER UPDATE'!E250))</f>
        <v/>
      </c>
      <c r="E546" s="12"/>
      <c r="F546" s="102" t="str">
        <f>IF(AND('ROSTER UPDATE'!F250=""),"",('ROSTER UPDATE'!F250))</f>
        <v/>
      </c>
      <c r="G546" s="103" t="str">
        <f>IF(AND('ROSTER UPDATE'!C250=""),"",('ROSTER UPDATE'!C250))</f>
        <v/>
      </c>
      <c r="H546" s="12"/>
      <c r="I546" s="12"/>
      <c r="O546" s="12"/>
      <c r="P546" s="102" t="str">
        <f>'SET 2 PLAYERS'!O250</f>
        <v/>
      </c>
      <c r="Q546" s="103" t="str">
        <f>'SET 2 PLAYERS'!P250</f>
        <v/>
      </c>
      <c r="R546" s="14"/>
      <c r="S546" s="115" t="e">
        <f t="shared" si="16"/>
        <v>#VALUE!</v>
      </c>
      <c r="T546" s="116" t="e">
        <f t="shared" si="17"/>
        <v>#VALUE!</v>
      </c>
      <c r="U546" s="12"/>
      <c r="V546" s="107" t="str">
        <f>'SET 2 PLAYERS'!Q250</f>
        <v/>
      </c>
      <c r="W546" s="12"/>
    </row>
    <row r="547" spans="2:23" x14ac:dyDescent="0.25">
      <c r="B547" s="99" t="str">
        <f>'SET 2 PLAYERS'!G251</f>
        <v>CLASS 2</v>
      </c>
      <c r="C547" s="102" t="str">
        <f>IF(AND('ROSTER UPDATE'!B251=""),"",('ROSTER UPDATE'!B251))</f>
        <v/>
      </c>
      <c r="D547" s="103" t="str">
        <f>IF(AND('ROSTER UPDATE'!E251=""),"",('ROSTER UPDATE'!E251))</f>
        <v/>
      </c>
      <c r="E547" s="12"/>
      <c r="F547" s="102" t="str">
        <f>IF(AND('ROSTER UPDATE'!F251=""),"",('ROSTER UPDATE'!F251))</f>
        <v/>
      </c>
      <c r="G547" s="103" t="str">
        <f>IF(AND('ROSTER UPDATE'!C251=""),"",('ROSTER UPDATE'!C251))</f>
        <v/>
      </c>
      <c r="H547" s="12"/>
      <c r="I547" s="12"/>
      <c r="O547" s="12"/>
      <c r="P547" s="102" t="str">
        <f>'SET 2 PLAYERS'!O251</f>
        <v/>
      </c>
      <c r="Q547" s="103" t="str">
        <f>'SET 2 PLAYERS'!P251</f>
        <v/>
      </c>
      <c r="R547" s="14"/>
      <c r="S547" s="115" t="e">
        <f t="shared" si="16"/>
        <v>#VALUE!</v>
      </c>
      <c r="T547" s="116" t="e">
        <f t="shared" si="17"/>
        <v>#VALUE!</v>
      </c>
      <c r="U547" s="12"/>
      <c r="V547" s="107" t="str">
        <f>'SET 2 PLAYERS'!Q251</f>
        <v/>
      </c>
      <c r="W547" s="12"/>
    </row>
    <row r="548" spans="2:23" x14ac:dyDescent="0.25">
      <c r="B548" s="99" t="str">
        <f>'SET 2 PLAYERS'!G252</f>
        <v>CLASS 2</v>
      </c>
      <c r="C548" s="102" t="str">
        <f>IF(AND('ROSTER UPDATE'!B252=""),"",('ROSTER UPDATE'!B252))</f>
        <v/>
      </c>
      <c r="D548" s="103" t="str">
        <f>IF(AND('ROSTER UPDATE'!E252=""),"",('ROSTER UPDATE'!E252))</f>
        <v/>
      </c>
      <c r="E548" s="12"/>
      <c r="F548" s="102" t="str">
        <f>IF(AND('ROSTER UPDATE'!F252=""),"",('ROSTER UPDATE'!F252))</f>
        <v/>
      </c>
      <c r="G548" s="103" t="str">
        <f>IF(AND('ROSTER UPDATE'!C252=""),"",('ROSTER UPDATE'!C252))</f>
        <v/>
      </c>
      <c r="H548" s="12"/>
      <c r="I548" s="12"/>
      <c r="O548" s="12"/>
      <c r="P548" s="102" t="str">
        <f>'SET 2 PLAYERS'!O252</f>
        <v/>
      </c>
      <c r="Q548" s="103" t="str">
        <f>'SET 2 PLAYERS'!P252</f>
        <v/>
      </c>
      <c r="R548" s="14"/>
      <c r="S548" s="115" t="e">
        <f t="shared" si="16"/>
        <v>#VALUE!</v>
      </c>
      <c r="T548" s="116" t="e">
        <f t="shared" si="17"/>
        <v>#VALUE!</v>
      </c>
      <c r="U548" s="12"/>
      <c r="V548" s="107" t="str">
        <f>'SET 2 PLAYERS'!Q252</f>
        <v/>
      </c>
      <c r="W548" s="12"/>
    </row>
    <row r="549" spans="2:23" x14ac:dyDescent="0.25">
      <c r="B549" s="99" t="str">
        <f>'SET 2 PLAYERS'!G253</f>
        <v>CLASS 2</v>
      </c>
      <c r="C549" s="102" t="str">
        <f>IF(AND('ROSTER UPDATE'!B253=""),"",('ROSTER UPDATE'!B253))</f>
        <v/>
      </c>
      <c r="D549" s="103" t="str">
        <f>IF(AND('ROSTER UPDATE'!E253=""),"",('ROSTER UPDATE'!E253))</f>
        <v/>
      </c>
      <c r="E549" s="12"/>
      <c r="F549" s="102" t="str">
        <f>IF(AND('ROSTER UPDATE'!F253=""),"",('ROSTER UPDATE'!F253))</f>
        <v/>
      </c>
      <c r="G549" s="103" t="str">
        <f>IF(AND('ROSTER UPDATE'!C253=""),"",('ROSTER UPDATE'!C253))</f>
        <v/>
      </c>
      <c r="H549" s="12"/>
      <c r="I549" s="12"/>
      <c r="O549" s="12"/>
      <c r="P549" s="102" t="str">
        <f>'SET 2 PLAYERS'!O253</f>
        <v/>
      </c>
      <c r="Q549" s="103" t="str">
        <f>'SET 2 PLAYERS'!P253</f>
        <v/>
      </c>
      <c r="R549" s="14"/>
      <c r="S549" s="115" t="e">
        <f t="shared" si="16"/>
        <v>#VALUE!</v>
      </c>
      <c r="T549" s="116" t="e">
        <f t="shared" si="17"/>
        <v>#VALUE!</v>
      </c>
      <c r="U549" s="12"/>
      <c r="V549" s="107" t="str">
        <f>'SET 2 PLAYERS'!Q253</f>
        <v/>
      </c>
      <c r="W549" s="12"/>
    </row>
    <row r="550" spans="2:23" x14ac:dyDescent="0.25">
      <c r="B550" s="99" t="str">
        <f>'SET 2 PLAYERS'!G254</f>
        <v>CLASS 2</v>
      </c>
      <c r="C550" s="102" t="str">
        <f>IF(AND('ROSTER UPDATE'!B254=""),"",('ROSTER UPDATE'!B254))</f>
        <v/>
      </c>
      <c r="D550" s="103" t="str">
        <f>IF(AND('ROSTER UPDATE'!E254=""),"",('ROSTER UPDATE'!E254))</f>
        <v/>
      </c>
      <c r="E550" s="12"/>
      <c r="F550" s="102" t="str">
        <f>IF(AND('ROSTER UPDATE'!F254=""),"",('ROSTER UPDATE'!F254))</f>
        <v/>
      </c>
      <c r="G550" s="103" t="str">
        <f>IF(AND('ROSTER UPDATE'!C254=""),"",('ROSTER UPDATE'!C254))</f>
        <v/>
      </c>
      <c r="H550" s="12"/>
      <c r="I550" s="12"/>
      <c r="O550" s="12"/>
      <c r="P550" s="102" t="str">
        <f>'SET 2 PLAYERS'!O254</f>
        <v/>
      </c>
      <c r="Q550" s="103" t="str">
        <f>'SET 2 PLAYERS'!P254</f>
        <v/>
      </c>
      <c r="R550" s="14"/>
      <c r="S550" s="115" t="e">
        <f t="shared" si="16"/>
        <v>#VALUE!</v>
      </c>
      <c r="T550" s="116" t="e">
        <f t="shared" si="17"/>
        <v>#VALUE!</v>
      </c>
      <c r="U550" s="12"/>
      <c r="V550" s="107" t="str">
        <f>'SET 2 PLAYERS'!Q254</f>
        <v/>
      </c>
      <c r="W550" s="12"/>
    </row>
    <row r="551" spans="2:23" x14ac:dyDescent="0.25">
      <c r="B551" s="99" t="str">
        <f>'SET 2 PLAYERS'!G255</f>
        <v>CLASS 2</v>
      </c>
      <c r="C551" s="102" t="str">
        <f>IF(AND('ROSTER UPDATE'!B255=""),"",('ROSTER UPDATE'!B255))</f>
        <v/>
      </c>
      <c r="D551" s="103" t="str">
        <f>IF(AND('ROSTER UPDATE'!E255=""),"",('ROSTER UPDATE'!E255))</f>
        <v/>
      </c>
      <c r="E551" s="12"/>
      <c r="F551" s="102" t="str">
        <f>IF(AND('ROSTER UPDATE'!F255=""),"",('ROSTER UPDATE'!F255))</f>
        <v/>
      </c>
      <c r="G551" s="103" t="str">
        <f>IF(AND('ROSTER UPDATE'!C255=""),"",('ROSTER UPDATE'!C255))</f>
        <v/>
      </c>
      <c r="H551" s="12"/>
      <c r="I551" s="12"/>
      <c r="O551" s="12"/>
      <c r="P551" s="102" t="str">
        <f>'SET 2 PLAYERS'!O255</f>
        <v/>
      </c>
      <c r="Q551" s="103" t="str">
        <f>'SET 2 PLAYERS'!P255</f>
        <v/>
      </c>
      <c r="R551" s="14"/>
      <c r="S551" s="115" t="e">
        <f t="shared" si="16"/>
        <v>#VALUE!</v>
      </c>
      <c r="T551" s="116" t="e">
        <f t="shared" si="17"/>
        <v>#VALUE!</v>
      </c>
      <c r="U551" s="12"/>
      <c r="V551" s="107" t="str">
        <f>'SET 2 PLAYERS'!Q255</f>
        <v/>
      </c>
      <c r="W551" s="12"/>
    </row>
    <row r="552" spans="2:23" x14ac:dyDescent="0.25">
      <c r="B552" s="99" t="str">
        <f>'SET 2 PLAYERS'!G256</f>
        <v>CLASS 2</v>
      </c>
      <c r="C552" s="102" t="str">
        <f>IF(AND('ROSTER UPDATE'!B256=""),"",('ROSTER UPDATE'!B256))</f>
        <v/>
      </c>
      <c r="D552" s="103" t="str">
        <f>IF(AND('ROSTER UPDATE'!E256=""),"",('ROSTER UPDATE'!E256))</f>
        <v/>
      </c>
      <c r="E552" s="12"/>
      <c r="F552" s="102" t="str">
        <f>IF(AND('ROSTER UPDATE'!F256=""),"",('ROSTER UPDATE'!F256))</f>
        <v/>
      </c>
      <c r="G552" s="103" t="str">
        <f>IF(AND('ROSTER UPDATE'!C256=""),"",('ROSTER UPDATE'!C256))</f>
        <v/>
      </c>
      <c r="H552" s="12"/>
      <c r="I552" s="12"/>
      <c r="O552" s="12"/>
      <c r="P552" s="102" t="str">
        <f>'SET 2 PLAYERS'!O256</f>
        <v/>
      </c>
      <c r="Q552" s="103" t="str">
        <f>'SET 2 PLAYERS'!P256</f>
        <v/>
      </c>
      <c r="R552" s="14"/>
      <c r="S552" s="115" t="e">
        <f t="shared" si="16"/>
        <v>#VALUE!</v>
      </c>
      <c r="T552" s="116" t="e">
        <f t="shared" si="17"/>
        <v>#VALUE!</v>
      </c>
      <c r="U552" s="12"/>
      <c r="V552" s="107" t="str">
        <f>'SET 2 PLAYERS'!Q256</f>
        <v/>
      </c>
      <c r="W552" s="12"/>
    </row>
    <row r="553" spans="2:23" x14ac:dyDescent="0.25">
      <c r="B553" s="99" t="str">
        <f>'SET 2 PLAYERS'!G257</f>
        <v>CLASS 2</v>
      </c>
      <c r="C553" s="102" t="str">
        <f>IF(AND('ROSTER UPDATE'!B257=""),"",('ROSTER UPDATE'!B257))</f>
        <v/>
      </c>
      <c r="D553" s="103" t="str">
        <f>IF(AND('ROSTER UPDATE'!E257=""),"",('ROSTER UPDATE'!E257))</f>
        <v/>
      </c>
      <c r="E553" s="12"/>
      <c r="F553" s="102" t="str">
        <f>IF(AND('ROSTER UPDATE'!F257=""),"",('ROSTER UPDATE'!F257))</f>
        <v/>
      </c>
      <c r="G553" s="103" t="str">
        <f>IF(AND('ROSTER UPDATE'!C257=""),"",('ROSTER UPDATE'!C257))</f>
        <v/>
      </c>
      <c r="H553" s="12"/>
      <c r="I553" s="12"/>
      <c r="O553" s="12"/>
      <c r="P553" s="102" t="str">
        <f>'SET 2 PLAYERS'!O257</f>
        <v/>
      </c>
      <c r="Q553" s="103" t="str">
        <f>'SET 2 PLAYERS'!P257</f>
        <v/>
      </c>
      <c r="R553" s="14"/>
      <c r="S553" s="115" t="e">
        <f t="shared" si="16"/>
        <v>#VALUE!</v>
      </c>
      <c r="T553" s="116" t="e">
        <f t="shared" si="17"/>
        <v>#VALUE!</v>
      </c>
      <c r="U553" s="12"/>
      <c r="V553" s="107" t="str">
        <f>'SET 2 PLAYERS'!Q257</f>
        <v/>
      </c>
      <c r="W553" s="12"/>
    </row>
    <row r="554" spans="2:23" x14ac:dyDescent="0.25">
      <c r="B554" s="99" t="str">
        <f>'SET 2 PLAYERS'!G258</f>
        <v>CLASS 2</v>
      </c>
      <c r="C554" s="102" t="str">
        <f>IF(AND('ROSTER UPDATE'!B258=""),"",('ROSTER UPDATE'!B258))</f>
        <v/>
      </c>
      <c r="D554" s="103" t="str">
        <f>IF(AND('ROSTER UPDATE'!E258=""),"",('ROSTER UPDATE'!E258))</f>
        <v/>
      </c>
      <c r="E554" s="12"/>
      <c r="F554" s="102" t="str">
        <f>IF(AND('ROSTER UPDATE'!F258=""),"",('ROSTER UPDATE'!F258))</f>
        <v/>
      </c>
      <c r="G554" s="103" t="str">
        <f>IF(AND('ROSTER UPDATE'!C258=""),"",('ROSTER UPDATE'!C258))</f>
        <v/>
      </c>
      <c r="H554" s="12"/>
      <c r="I554" s="12"/>
      <c r="O554" s="12"/>
      <c r="P554" s="102" t="str">
        <f>'SET 2 PLAYERS'!O258</f>
        <v/>
      </c>
      <c r="Q554" s="103" t="str">
        <f>'SET 2 PLAYERS'!P258</f>
        <v/>
      </c>
      <c r="R554" s="14"/>
      <c r="S554" s="115" t="e">
        <f t="shared" si="16"/>
        <v>#VALUE!</v>
      </c>
      <c r="T554" s="116" t="e">
        <f t="shared" si="17"/>
        <v>#VALUE!</v>
      </c>
      <c r="U554" s="12"/>
      <c r="V554" s="107" t="str">
        <f>'SET 2 PLAYERS'!Q258</f>
        <v/>
      </c>
      <c r="W554" s="12"/>
    </row>
    <row r="555" spans="2:23" x14ac:dyDescent="0.25">
      <c r="B555" s="99" t="str">
        <f>'SET 2 PLAYERS'!G259</f>
        <v>CLASS 2</v>
      </c>
      <c r="C555" s="102" t="str">
        <f>IF(AND('ROSTER UPDATE'!B259=""),"",('ROSTER UPDATE'!B259))</f>
        <v/>
      </c>
      <c r="D555" s="103" t="str">
        <f>IF(AND('ROSTER UPDATE'!E259=""),"",('ROSTER UPDATE'!E259))</f>
        <v/>
      </c>
      <c r="E555" s="12"/>
      <c r="F555" s="102" t="str">
        <f>IF(AND('ROSTER UPDATE'!F259=""),"",('ROSTER UPDATE'!F259))</f>
        <v/>
      </c>
      <c r="G555" s="103" t="str">
        <f>IF(AND('ROSTER UPDATE'!C259=""),"",('ROSTER UPDATE'!C259))</f>
        <v/>
      </c>
      <c r="H555" s="12"/>
      <c r="I555" s="12"/>
      <c r="O555" s="12"/>
      <c r="P555" s="102" t="str">
        <f>'SET 2 PLAYERS'!O259</f>
        <v/>
      </c>
      <c r="Q555" s="103" t="str">
        <f>'SET 2 PLAYERS'!P259</f>
        <v/>
      </c>
      <c r="R555" s="14"/>
      <c r="S555" s="115" t="e">
        <f t="shared" si="16"/>
        <v>#VALUE!</v>
      </c>
      <c r="T555" s="116" t="e">
        <f t="shared" si="17"/>
        <v>#VALUE!</v>
      </c>
      <c r="U555" s="12"/>
      <c r="V555" s="107" t="str">
        <f>'SET 2 PLAYERS'!Q259</f>
        <v/>
      </c>
      <c r="W555" s="12"/>
    </row>
    <row r="556" spans="2:23" x14ac:dyDescent="0.25">
      <c r="B556" s="99" t="str">
        <f>'SET 2 PLAYERS'!G260</f>
        <v>CLASS 2</v>
      </c>
      <c r="C556" s="102" t="str">
        <f>IF(AND('ROSTER UPDATE'!B260=""),"",('ROSTER UPDATE'!B260))</f>
        <v/>
      </c>
      <c r="D556" s="103" t="str">
        <f>IF(AND('ROSTER UPDATE'!E260=""),"",('ROSTER UPDATE'!E260))</f>
        <v/>
      </c>
      <c r="E556" s="12"/>
      <c r="F556" s="102" t="str">
        <f>IF(AND('ROSTER UPDATE'!F260=""),"",('ROSTER UPDATE'!F260))</f>
        <v/>
      </c>
      <c r="G556" s="103" t="str">
        <f>IF(AND('ROSTER UPDATE'!C260=""),"",('ROSTER UPDATE'!C260))</f>
        <v/>
      </c>
      <c r="H556" s="12"/>
      <c r="I556" s="12"/>
      <c r="O556" s="12"/>
      <c r="P556" s="102" t="str">
        <f>'SET 2 PLAYERS'!O260</f>
        <v/>
      </c>
      <c r="Q556" s="103" t="str">
        <f>'SET 2 PLAYERS'!P260</f>
        <v/>
      </c>
      <c r="R556" s="14"/>
      <c r="S556" s="115" t="e">
        <f t="shared" si="16"/>
        <v>#VALUE!</v>
      </c>
      <c r="T556" s="116" t="e">
        <f t="shared" si="17"/>
        <v>#VALUE!</v>
      </c>
      <c r="U556" s="12"/>
      <c r="V556" s="107" t="str">
        <f>'SET 2 PLAYERS'!Q260</f>
        <v/>
      </c>
      <c r="W556" s="12"/>
    </row>
    <row r="557" spans="2:23" x14ac:dyDescent="0.25">
      <c r="B557" s="99" t="str">
        <f>'SET 2 PLAYERS'!G261</f>
        <v>CLASS 2</v>
      </c>
      <c r="C557" s="102" t="str">
        <f>IF(AND('ROSTER UPDATE'!B261=""),"",('ROSTER UPDATE'!B261))</f>
        <v/>
      </c>
      <c r="D557" s="103" t="str">
        <f>IF(AND('ROSTER UPDATE'!E261=""),"",('ROSTER UPDATE'!E261))</f>
        <v/>
      </c>
      <c r="E557" s="12"/>
      <c r="F557" s="102" t="str">
        <f>IF(AND('ROSTER UPDATE'!F261=""),"",('ROSTER UPDATE'!F261))</f>
        <v/>
      </c>
      <c r="G557" s="103" t="str">
        <f>IF(AND('ROSTER UPDATE'!C261=""),"",('ROSTER UPDATE'!C261))</f>
        <v/>
      </c>
      <c r="H557" s="12"/>
      <c r="I557" s="12"/>
      <c r="O557" s="12"/>
      <c r="P557" s="102" t="str">
        <f>'SET 2 PLAYERS'!O261</f>
        <v/>
      </c>
      <c r="Q557" s="103" t="str">
        <f>'SET 2 PLAYERS'!P261</f>
        <v/>
      </c>
      <c r="R557" s="14"/>
      <c r="S557" s="115" t="e">
        <f t="shared" si="16"/>
        <v>#VALUE!</v>
      </c>
      <c r="T557" s="116" t="e">
        <f t="shared" si="17"/>
        <v>#VALUE!</v>
      </c>
      <c r="U557" s="12"/>
      <c r="V557" s="107" t="str">
        <f>'SET 2 PLAYERS'!Q261</f>
        <v/>
      </c>
      <c r="W557" s="12"/>
    </row>
    <row r="558" spans="2:23" x14ac:dyDescent="0.25">
      <c r="B558" s="99" t="str">
        <f>'SET 2 PLAYERS'!G262</f>
        <v>CLASS 2</v>
      </c>
      <c r="C558" s="102" t="str">
        <f>IF(AND('ROSTER UPDATE'!B262=""),"",('ROSTER UPDATE'!B262))</f>
        <v/>
      </c>
      <c r="D558" s="103" t="str">
        <f>IF(AND('ROSTER UPDATE'!E262=""),"",('ROSTER UPDATE'!E262))</f>
        <v/>
      </c>
      <c r="E558" s="12"/>
      <c r="F558" s="102" t="str">
        <f>IF(AND('ROSTER UPDATE'!F262=""),"",('ROSTER UPDATE'!F262))</f>
        <v/>
      </c>
      <c r="G558" s="103" t="str">
        <f>IF(AND('ROSTER UPDATE'!C262=""),"",('ROSTER UPDATE'!C262))</f>
        <v/>
      </c>
      <c r="H558" s="12"/>
      <c r="I558" s="12"/>
      <c r="O558" s="12"/>
      <c r="P558" s="102" t="str">
        <f>'SET 2 PLAYERS'!O262</f>
        <v/>
      </c>
      <c r="Q558" s="103" t="str">
        <f>'SET 2 PLAYERS'!P262</f>
        <v/>
      </c>
      <c r="R558" s="14"/>
      <c r="S558" s="115" t="e">
        <f t="shared" ref="S558:S596" si="18">V558/P558</f>
        <v>#VALUE!</v>
      </c>
      <c r="T558" s="116" t="e">
        <f t="shared" ref="T558:T596" si="19">V558/Q558</f>
        <v>#VALUE!</v>
      </c>
      <c r="U558" s="12"/>
      <c r="V558" s="107" t="str">
        <f>'SET 2 PLAYERS'!Q262</f>
        <v/>
      </c>
      <c r="W558" s="12"/>
    </row>
    <row r="559" spans="2:23" x14ac:dyDescent="0.25">
      <c r="B559" s="99" t="str">
        <f>'SET 2 PLAYERS'!G263</f>
        <v>CLASS 2</v>
      </c>
      <c r="C559" s="102" t="str">
        <f>IF(AND('ROSTER UPDATE'!B263=""),"",('ROSTER UPDATE'!B263))</f>
        <v/>
      </c>
      <c r="D559" s="103" t="str">
        <f>IF(AND('ROSTER UPDATE'!E263=""),"",('ROSTER UPDATE'!E263))</f>
        <v/>
      </c>
      <c r="E559" s="12"/>
      <c r="F559" s="102" t="str">
        <f>IF(AND('ROSTER UPDATE'!F263=""),"",('ROSTER UPDATE'!F263))</f>
        <v/>
      </c>
      <c r="G559" s="103" t="str">
        <f>IF(AND('ROSTER UPDATE'!C263=""),"",('ROSTER UPDATE'!C263))</f>
        <v/>
      </c>
      <c r="H559" s="12"/>
      <c r="I559" s="12"/>
      <c r="O559" s="12"/>
      <c r="P559" s="102" t="str">
        <f>'SET 2 PLAYERS'!O263</f>
        <v/>
      </c>
      <c r="Q559" s="103" t="str">
        <f>'SET 2 PLAYERS'!P263</f>
        <v/>
      </c>
      <c r="R559" s="14"/>
      <c r="S559" s="115" t="e">
        <f t="shared" si="18"/>
        <v>#VALUE!</v>
      </c>
      <c r="T559" s="116" t="e">
        <f t="shared" si="19"/>
        <v>#VALUE!</v>
      </c>
      <c r="U559" s="12"/>
      <c r="V559" s="107" t="str">
        <f>'SET 2 PLAYERS'!Q263</f>
        <v/>
      </c>
      <c r="W559" s="12"/>
    </row>
    <row r="560" spans="2:23" x14ac:dyDescent="0.25">
      <c r="B560" s="99" t="str">
        <f>'SET 2 PLAYERS'!G264</f>
        <v>CLASS 2</v>
      </c>
      <c r="C560" s="102" t="str">
        <f>IF(AND('ROSTER UPDATE'!B264=""),"",('ROSTER UPDATE'!B264))</f>
        <v/>
      </c>
      <c r="D560" s="103" t="str">
        <f>IF(AND('ROSTER UPDATE'!E264=""),"",('ROSTER UPDATE'!E264))</f>
        <v/>
      </c>
      <c r="E560" s="12"/>
      <c r="F560" s="102" t="str">
        <f>IF(AND('ROSTER UPDATE'!F264=""),"",('ROSTER UPDATE'!F264))</f>
        <v/>
      </c>
      <c r="G560" s="103" t="str">
        <f>IF(AND('ROSTER UPDATE'!C264=""),"",('ROSTER UPDATE'!C264))</f>
        <v/>
      </c>
      <c r="H560" s="12"/>
      <c r="I560" s="12"/>
      <c r="O560" s="12"/>
      <c r="P560" s="102" t="str">
        <f>'SET 2 PLAYERS'!O264</f>
        <v/>
      </c>
      <c r="Q560" s="103" t="str">
        <f>'SET 2 PLAYERS'!P264</f>
        <v/>
      </c>
      <c r="R560" s="14"/>
      <c r="S560" s="115" t="e">
        <f t="shared" si="18"/>
        <v>#VALUE!</v>
      </c>
      <c r="T560" s="116" t="e">
        <f t="shared" si="19"/>
        <v>#VALUE!</v>
      </c>
      <c r="U560" s="12"/>
      <c r="V560" s="107" t="str">
        <f>'SET 2 PLAYERS'!Q264</f>
        <v/>
      </c>
      <c r="W560" s="12"/>
    </row>
    <row r="561" spans="2:23" x14ac:dyDescent="0.25">
      <c r="B561" s="99" t="str">
        <f>'SET 2 PLAYERS'!G265</f>
        <v>CLASS 2</v>
      </c>
      <c r="C561" s="102" t="str">
        <f>IF(AND('ROSTER UPDATE'!B265=""),"",('ROSTER UPDATE'!B265))</f>
        <v/>
      </c>
      <c r="D561" s="103" t="str">
        <f>IF(AND('ROSTER UPDATE'!E265=""),"",('ROSTER UPDATE'!E265))</f>
        <v/>
      </c>
      <c r="E561" s="12"/>
      <c r="F561" s="102" t="str">
        <f>IF(AND('ROSTER UPDATE'!F265=""),"",('ROSTER UPDATE'!F265))</f>
        <v/>
      </c>
      <c r="G561" s="103" t="str">
        <f>IF(AND('ROSTER UPDATE'!C265=""),"",('ROSTER UPDATE'!C265))</f>
        <v/>
      </c>
      <c r="H561" s="12"/>
      <c r="I561" s="12"/>
      <c r="O561" s="12"/>
      <c r="P561" s="102" t="str">
        <f>'SET 2 PLAYERS'!O265</f>
        <v/>
      </c>
      <c r="Q561" s="103" t="str">
        <f>'SET 2 PLAYERS'!P265</f>
        <v/>
      </c>
      <c r="R561" s="14"/>
      <c r="S561" s="115" t="e">
        <f t="shared" si="18"/>
        <v>#VALUE!</v>
      </c>
      <c r="T561" s="116" t="e">
        <f t="shared" si="19"/>
        <v>#VALUE!</v>
      </c>
      <c r="U561" s="12"/>
      <c r="V561" s="107" t="str">
        <f>'SET 2 PLAYERS'!Q265</f>
        <v/>
      </c>
      <c r="W561" s="12"/>
    </row>
    <row r="562" spans="2:23" x14ac:dyDescent="0.25">
      <c r="B562" s="99" t="str">
        <f>'SET 2 PLAYERS'!G266</f>
        <v>CLASS 2</v>
      </c>
      <c r="C562" s="102" t="str">
        <f>IF(AND('ROSTER UPDATE'!B266=""),"",('ROSTER UPDATE'!B266))</f>
        <v/>
      </c>
      <c r="D562" s="103" t="str">
        <f>IF(AND('ROSTER UPDATE'!E266=""),"",('ROSTER UPDATE'!E266))</f>
        <v/>
      </c>
      <c r="E562" s="12"/>
      <c r="F562" s="102" t="str">
        <f>IF(AND('ROSTER UPDATE'!F266=""),"",('ROSTER UPDATE'!F266))</f>
        <v/>
      </c>
      <c r="G562" s="103" t="str">
        <f>IF(AND('ROSTER UPDATE'!C266=""),"",('ROSTER UPDATE'!C266))</f>
        <v/>
      </c>
      <c r="H562" s="12"/>
      <c r="I562" s="12"/>
      <c r="O562" s="12"/>
      <c r="P562" s="102" t="str">
        <f>'SET 2 PLAYERS'!O266</f>
        <v/>
      </c>
      <c r="Q562" s="103" t="str">
        <f>'SET 2 PLAYERS'!P266</f>
        <v/>
      </c>
      <c r="R562" s="14"/>
      <c r="S562" s="115" t="e">
        <f t="shared" si="18"/>
        <v>#VALUE!</v>
      </c>
      <c r="T562" s="116" t="e">
        <f t="shared" si="19"/>
        <v>#VALUE!</v>
      </c>
      <c r="U562" s="12"/>
      <c r="V562" s="107" t="str">
        <f>'SET 2 PLAYERS'!Q266</f>
        <v/>
      </c>
      <c r="W562" s="12"/>
    </row>
    <row r="563" spans="2:23" x14ac:dyDescent="0.25">
      <c r="B563" s="99" t="str">
        <f>'SET 2 PLAYERS'!G267</f>
        <v>CLASS 2</v>
      </c>
      <c r="C563" s="102" t="str">
        <f>IF(AND('ROSTER UPDATE'!B267=""),"",('ROSTER UPDATE'!B267))</f>
        <v/>
      </c>
      <c r="D563" s="103" t="str">
        <f>IF(AND('ROSTER UPDATE'!E267=""),"",('ROSTER UPDATE'!E267))</f>
        <v/>
      </c>
      <c r="E563" s="12"/>
      <c r="F563" s="102" t="str">
        <f>IF(AND('ROSTER UPDATE'!F267=""),"",('ROSTER UPDATE'!F267))</f>
        <v/>
      </c>
      <c r="G563" s="103" t="str">
        <f>IF(AND('ROSTER UPDATE'!C267=""),"",('ROSTER UPDATE'!C267))</f>
        <v/>
      </c>
      <c r="H563" s="12"/>
      <c r="I563" s="12"/>
      <c r="O563" s="12"/>
      <c r="P563" s="102" t="str">
        <f>'SET 2 PLAYERS'!O267</f>
        <v/>
      </c>
      <c r="Q563" s="103" t="str">
        <f>'SET 2 PLAYERS'!P267</f>
        <v/>
      </c>
      <c r="R563" s="14"/>
      <c r="S563" s="115" t="e">
        <f t="shared" si="18"/>
        <v>#VALUE!</v>
      </c>
      <c r="T563" s="116" t="e">
        <f t="shared" si="19"/>
        <v>#VALUE!</v>
      </c>
      <c r="U563" s="12"/>
      <c r="V563" s="107" t="str">
        <f>'SET 2 PLAYERS'!Q267</f>
        <v/>
      </c>
      <c r="W563" s="12"/>
    </row>
    <row r="564" spans="2:23" x14ac:dyDescent="0.25">
      <c r="B564" s="99" t="str">
        <f>'SET 2 PLAYERS'!G268</f>
        <v>CLASS 2</v>
      </c>
      <c r="C564" s="102" t="str">
        <f>IF(AND('ROSTER UPDATE'!B268=""),"",('ROSTER UPDATE'!B268))</f>
        <v/>
      </c>
      <c r="D564" s="103" t="str">
        <f>IF(AND('ROSTER UPDATE'!E268=""),"",('ROSTER UPDATE'!E268))</f>
        <v/>
      </c>
      <c r="E564" s="12"/>
      <c r="F564" s="102" t="str">
        <f>IF(AND('ROSTER UPDATE'!F268=""),"",('ROSTER UPDATE'!F268))</f>
        <v/>
      </c>
      <c r="G564" s="103" t="str">
        <f>IF(AND('ROSTER UPDATE'!C268=""),"",('ROSTER UPDATE'!C268))</f>
        <v/>
      </c>
      <c r="H564" s="12"/>
      <c r="I564" s="12"/>
      <c r="O564" s="12"/>
      <c r="P564" s="102" t="str">
        <f>'SET 2 PLAYERS'!O268</f>
        <v/>
      </c>
      <c r="Q564" s="103" t="str">
        <f>'SET 2 PLAYERS'!P268</f>
        <v/>
      </c>
      <c r="R564" s="14"/>
      <c r="S564" s="115" t="e">
        <f t="shared" si="18"/>
        <v>#VALUE!</v>
      </c>
      <c r="T564" s="116" t="e">
        <f t="shared" si="19"/>
        <v>#VALUE!</v>
      </c>
      <c r="U564" s="12"/>
      <c r="V564" s="107" t="str">
        <f>'SET 2 PLAYERS'!Q268</f>
        <v/>
      </c>
      <c r="W564" s="12"/>
    </row>
    <row r="565" spans="2:23" x14ac:dyDescent="0.25">
      <c r="B565" s="99" t="str">
        <f>'SET 2 PLAYERS'!G269</f>
        <v>CLASS 2</v>
      </c>
      <c r="C565" s="102" t="str">
        <f>IF(AND('ROSTER UPDATE'!B269=""),"",('ROSTER UPDATE'!B269))</f>
        <v/>
      </c>
      <c r="D565" s="103" t="str">
        <f>IF(AND('ROSTER UPDATE'!E269=""),"",('ROSTER UPDATE'!E269))</f>
        <v/>
      </c>
      <c r="E565" s="12"/>
      <c r="F565" s="102" t="str">
        <f>IF(AND('ROSTER UPDATE'!F269=""),"",('ROSTER UPDATE'!F269))</f>
        <v/>
      </c>
      <c r="G565" s="103" t="str">
        <f>IF(AND('ROSTER UPDATE'!C269=""),"",('ROSTER UPDATE'!C269))</f>
        <v/>
      </c>
      <c r="H565" s="12"/>
      <c r="I565" s="12"/>
      <c r="O565" s="12"/>
      <c r="P565" s="102" t="str">
        <f>'SET 2 PLAYERS'!O269</f>
        <v/>
      </c>
      <c r="Q565" s="103" t="str">
        <f>'SET 2 PLAYERS'!P269</f>
        <v/>
      </c>
      <c r="R565" s="14"/>
      <c r="S565" s="115" t="e">
        <f t="shared" si="18"/>
        <v>#VALUE!</v>
      </c>
      <c r="T565" s="116" t="e">
        <f t="shared" si="19"/>
        <v>#VALUE!</v>
      </c>
      <c r="U565" s="12"/>
      <c r="V565" s="107" t="str">
        <f>'SET 2 PLAYERS'!Q269</f>
        <v/>
      </c>
      <c r="W565" s="12"/>
    </row>
    <row r="566" spans="2:23" x14ac:dyDescent="0.25">
      <c r="B566" s="99" t="str">
        <f>'SET 2 PLAYERS'!G270</f>
        <v>CLASS 2</v>
      </c>
      <c r="C566" s="102" t="str">
        <f>IF(AND('ROSTER UPDATE'!B270=""),"",('ROSTER UPDATE'!B270))</f>
        <v/>
      </c>
      <c r="D566" s="103" t="str">
        <f>IF(AND('ROSTER UPDATE'!E270=""),"",('ROSTER UPDATE'!E270))</f>
        <v/>
      </c>
      <c r="E566" s="12"/>
      <c r="F566" s="102" t="str">
        <f>IF(AND('ROSTER UPDATE'!F270=""),"",('ROSTER UPDATE'!F270))</f>
        <v/>
      </c>
      <c r="G566" s="103" t="str">
        <f>IF(AND('ROSTER UPDATE'!C270=""),"",('ROSTER UPDATE'!C270))</f>
        <v/>
      </c>
      <c r="H566" s="12"/>
      <c r="I566" s="12"/>
      <c r="O566" s="12"/>
      <c r="P566" s="102" t="str">
        <f>'SET 2 PLAYERS'!O270</f>
        <v/>
      </c>
      <c r="Q566" s="103" t="str">
        <f>'SET 2 PLAYERS'!P270</f>
        <v/>
      </c>
      <c r="R566" s="14"/>
      <c r="S566" s="115" t="e">
        <f t="shared" si="18"/>
        <v>#VALUE!</v>
      </c>
      <c r="T566" s="116" t="e">
        <f t="shared" si="19"/>
        <v>#VALUE!</v>
      </c>
      <c r="U566" s="12"/>
      <c r="V566" s="107" t="str">
        <f>'SET 2 PLAYERS'!Q270</f>
        <v/>
      </c>
      <c r="W566" s="12"/>
    </row>
    <row r="567" spans="2:23" x14ac:dyDescent="0.25">
      <c r="B567" s="99" t="str">
        <f>'SET 2 PLAYERS'!G271</f>
        <v>CLASS 2</v>
      </c>
      <c r="C567" s="102" t="str">
        <f>IF(AND('ROSTER UPDATE'!B271=""),"",('ROSTER UPDATE'!B271))</f>
        <v/>
      </c>
      <c r="D567" s="103" t="str">
        <f>IF(AND('ROSTER UPDATE'!E271=""),"",('ROSTER UPDATE'!E271))</f>
        <v/>
      </c>
      <c r="E567" s="12"/>
      <c r="F567" s="102" t="str">
        <f>IF(AND('ROSTER UPDATE'!F271=""),"",('ROSTER UPDATE'!F271))</f>
        <v/>
      </c>
      <c r="G567" s="103" t="str">
        <f>IF(AND('ROSTER UPDATE'!C271=""),"",('ROSTER UPDATE'!C271))</f>
        <v/>
      </c>
      <c r="H567" s="12"/>
      <c r="I567" s="12"/>
      <c r="O567" s="12"/>
      <c r="P567" s="102" t="str">
        <f>'SET 2 PLAYERS'!O271</f>
        <v/>
      </c>
      <c r="Q567" s="103" t="str">
        <f>'SET 2 PLAYERS'!P271</f>
        <v/>
      </c>
      <c r="R567" s="14"/>
      <c r="S567" s="115" t="e">
        <f t="shared" si="18"/>
        <v>#VALUE!</v>
      </c>
      <c r="T567" s="116" t="e">
        <f t="shared" si="19"/>
        <v>#VALUE!</v>
      </c>
      <c r="U567" s="12"/>
      <c r="V567" s="107" t="str">
        <f>'SET 2 PLAYERS'!Q271</f>
        <v/>
      </c>
      <c r="W567" s="12"/>
    </row>
    <row r="568" spans="2:23" x14ac:dyDescent="0.25">
      <c r="B568" s="99" t="str">
        <f>'SET 2 PLAYERS'!G272</f>
        <v>CLASS 2</v>
      </c>
      <c r="C568" s="102" t="str">
        <f>IF(AND('ROSTER UPDATE'!B272=""),"",('ROSTER UPDATE'!B272))</f>
        <v/>
      </c>
      <c r="D568" s="103" t="str">
        <f>IF(AND('ROSTER UPDATE'!E272=""),"",('ROSTER UPDATE'!E272))</f>
        <v/>
      </c>
      <c r="E568" s="12"/>
      <c r="F568" s="102" t="str">
        <f>IF(AND('ROSTER UPDATE'!F272=""),"",('ROSTER UPDATE'!F272))</f>
        <v/>
      </c>
      <c r="G568" s="103" t="str">
        <f>IF(AND('ROSTER UPDATE'!C272=""),"",('ROSTER UPDATE'!C272))</f>
        <v/>
      </c>
      <c r="H568" s="12"/>
      <c r="I568" s="12"/>
      <c r="O568" s="12"/>
      <c r="P568" s="102" t="str">
        <f>'SET 2 PLAYERS'!O272</f>
        <v/>
      </c>
      <c r="Q568" s="103" t="str">
        <f>'SET 2 PLAYERS'!P272</f>
        <v/>
      </c>
      <c r="R568" s="14"/>
      <c r="S568" s="115" t="e">
        <f t="shared" si="18"/>
        <v>#VALUE!</v>
      </c>
      <c r="T568" s="116" t="e">
        <f t="shared" si="19"/>
        <v>#VALUE!</v>
      </c>
      <c r="U568" s="12"/>
      <c r="V568" s="107" t="str">
        <f>'SET 2 PLAYERS'!Q272</f>
        <v/>
      </c>
      <c r="W568" s="12"/>
    </row>
    <row r="569" spans="2:23" x14ac:dyDescent="0.25">
      <c r="B569" s="99" t="str">
        <f>'SET 2 PLAYERS'!G273</f>
        <v>CLASS 2</v>
      </c>
      <c r="C569" s="102" t="str">
        <f>IF(AND('ROSTER UPDATE'!B273=""),"",('ROSTER UPDATE'!B273))</f>
        <v/>
      </c>
      <c r="D569" s="103" t="str">
        <f>IF(AND('ROSTER UPDATE'!E273=""),"",('ROSTER UPDATE'!E273))</f>
        <v/>
      </c>
      <c r="E569" s="12"/>
      <c r="F569" s="102" t="str">
        <f>IF(AND('ROSTER UPDATE'!F273=""),"",('ROSTER UPDATE'!F273))</f>
        <v/>
      </c>
      <c r="G569" s="103" t="str">
        <f>IF(AND('ROSTER UPDATE'!C273=""),"",('ROSTER UPDATE'!C273))</f>
        <v/>
      </c>
      <c r="H569" s="12"/>
      <c r="I569" s="12"/>
      <c r="O569" s="12"/>
      <c r="P569" s="102" t="str">
        <f>'SET 2 PLAYERS'!O273</f>
        <v/>
      </c>
      <c r="Q569" s="103" t="str">
        <f>'SET 2 PLAYERS'!P273</f>
        <v/>
      </c>
      <c r="R569" s="14"/>
      <c r="S569" s="115" t="e">
        <f t="shared" si="18"/>
        <v>#VALUE!</v>
      </c>
      <c r="T569" s="116" t="e">
        <f t="shared" si="19"/>
        <v>#VALUE!</v>
      </c>
      <c r="U569" s="12"/>
      <c r="V569" s="107" t="str">
        <f>'SET 2 PLAYERS'!Q273</f>
        <v/>
      </c>
      <c r="W569" s="12"/>
    </row>
    <row r="570" spans="2:23" x14ac:dyDescent="0.25">
      <c r="B570" s="99" t="str">
        <f>'SET 2 PLAYERS'!G274</f>
        <v>CLASS 2</v>
      </c>
      <c r="C570" s="102" t="str">
        <f>IF(AND('ROSTER UPDATE'!B274=""),"",('ROSTER UPDATE'!B274))</f>
        <v/>
      </c>
      <c r="D570" s="103" t="str">
        <f>IF(AND('ROSTER UPDATE'!E274=""),"",('ROSTER UPDATE'!E274))</f>
        <v/>
      </c>
      <c r="E570" s="12"/>
      <c r="F570" s="102" t="str">
        <f>IF(AND('ROSTER UPDATE'!F274=""),"",('ROSTER UPDATE'!F274))</f>
        <v/>
      </c>
      <c r="G570" s="103" t="str">
        <f>IF(AND('ROSTER UPDATE'!C274=""),"",('ROSTER UPDATE'!C274))</f>
        <v/>
      </c>
      <c r="H570" s="12"/>
      <c r="I570" s="12"/>
      <c r="O570" s="12"/>
      <c r="P570" s="102" t="str">
        <f>'SET 2 PLAYERS'!O274</f>
        <v/>
      </c>
      <c r="Q570" s="103" t="str">
        <f>'SET 2 PLAYERS'!P274</f>
        <v/>
      </c>
      <c r="R570" s="14"/>
      <c r="S570" s="115" t="e">
        <f t="shared" si="18"/>
        <v>#VALUE!</v>
      </c>
      <c r="T570" s="116" t="e">
        <f t="shared" si="19"/>
        <v>#VALUE!</v>
      </c>
      <c r="U570" s="12"/>
      <c r="V570" s="107" t="str">
        <f>'SET 2 PLAYERS'!Q274</f>
        <v/>
      </c>
      <c r="W570" s="12"/>
    </row>
    <row r="571" spans="2:23" x14ac:dyDescent="0.25">
      <c r="B571" s="99" t="str">
        <f>'SET 2 PLAYERS'!G275</f>
        <v>CLASS 2</v>
      </c>
      <c r="C571" s="102" t="str">
        <f>IF(AND('ROSTER UPDATE'!B275=""),"",('ROSTER UPDATE'!B275))</f>
        <v/>
      </c>
      <c r="D571" s="103" t="str">
        <f>IF(AND('ROSTER UPDATE'!E275=""),"",('ROSTER UPDATE'!E275))</f>
        <v/>
      </c>
      <c r="E571" s="12"/>
      <c r="F571" s="102" t="str">
        <f>IF(AND('ROSTER UPDATE'!F275=""),"",('ROSTER UPDATE'!F275))</f>
        <v/>
      </c>
      <c r="G571" s="103" t="str">
        <f>IF(AND('ROSTER UPDATE'!C275=""),"",('ROSTER UPDATE'!C275))</f>
        <v/>
      </c>
      <c r="H571" s="12"/>
      <c r="I571" s="12"/>
      <c r="O571" s="12"/>
      <c r="P571" s="102" t="str">
        <f>'SET 2 PLAYERS'!O275</f>
        <v/>
      </c>
      <c r="Q571" s="103" t="str">
        <f>'SET 2 PLAYERS'!P275</f>
        <v/>
      </c>
      <c r="R571" s="14"/>
      <c r="S571" s="115" t="e">
        <f t="shared" si="18"/>
        <v>#VALUE!</v>
      </c>
      <c r="T571" s="116" t="e">
        <f t="shared" si="19"/>
        <v>#VALUE!</v>
      </c>
      <c r="U571" s="12"/>
      <c r="V571" s="107" t="str">
        <f>'SET 2 PLAYERS'!Q275</f>
        <v/>
      </c>
      <c r="W571" s="12"/>
    </row>
    <row r="572" spans="2:23" x14ac:dyDescent="0.25">
      <c r="B572" s="99" t="str">
        <f>'SET 2 PLAYERS'!G276</f>
        <v>CLASS 2</v>
      </c>
      <c r="C572" s="102" t="str">
        <f>IF(AND('ROSTER UPDATE'!B276=""),"",('ROSTER UPDATE'!B276))</f>
        <v/>
      </c>
      <c r="D572" s="103" t="str">
        <f>IF(AND('ROSTER UPDATE'!E276=""),"",('ROSTER UPDATE'!E276))</f>
        <v/>
      </c>
      <c r="E572" s="12"/>
      <c r="F572" s="102" t="str">
        <f>IF(AND('ROSTER UPDATE'!F276=""),"",('ROSTER UPDATE'!F276))</f>
        <v/>
      </c>
      <c r="G572" s="103" t="str">
        <f>IF(AND('ROSTER UPDATE'!C276=""),"",('ROSTER UPDATE'!C276))</f>
        <v/>
      </c>
      <c r="H572" s="12"/>
      <c r="I572" s="12"/>
      <c r="O572" s="12"/>
      <c r="P572" s="102" t="str">
        <f>'SET 2 PLAYERS'!O276</f>
        <v/>
      </c>
      <c r="Q572" s="103" t="str">
        <f>'SET 2 PLAYERS'!P276</f>
        <v/>
      </c>
      <c r="R572" s="14"/>
      <c r="S572" s="115" t="e">
        <f t="shared" si="18"/>
        <v>#VALUE!</v>
      </c>
      <c r="T572" s="116" t="e">
        <f t="shared" si="19"/>
        <v>#VALUE!</v>
      </c>
      <c r="U572" s="12"/>
      <c r="V572" s="107" t="str">
        <f>'SET 2 PLAYERS'!Q276</f>
        <v/>
      </c>
      <c r="W572" s="12"/>
    </row>
    <row r="573" spans="2:23" x14ac:dyDescent="0.25">
      <c r="B573" s="99" t="str">
        <f>'SET 2 PLAYERS'!G277</f>
        <v>CLASS 2</v>
      </c>
      <c r="C573" s="102" t="str">
        <f>IF(AND('ROSTER UPDATE'!B277=""),"",('ROSTER UPDATE'!B277))</f>
        <v/>
      </c>
      <c r="D573" s="103" t="str">
        <f>IF(AND('ROSTER UPDATE'!E277=""),"",('ROSTER UPDATE'!E277))</f>
        <v/>
      </c>
      <c r="E573" s="12"/>
      <c r="F573" s="102" t="str">
        <f>IF(AND('ROSTER UPDATE'!F277=""),"",('ROSTER UPDATE'!F277))</f>
        <v/>
      </c>
      <c r="G573" s="103" t="str">
        <f>IF(AND('ROSTER UPDATE'!C277=""),"",('ROSTER UPDATE'!C277))</f>
        <v/>
      </c>
      <c r="H573" s="12"/>
      <c r="I573" s="12"/>
      <c r="O573" s="12"/>
      <c r="P573" s="102" t="str">
        <f>'SET 2 PLAYERS'!O277</f>
        <v/>
      </c>
      <c r="Q573" s="103" t="str">
        <f>'SET 2 PLAYERS'!P277</f>
        <v/>
      </c>
      <c r="R573" s="14"/>
      <c r="S573" s="115" t="e">
        <f t="shared" si="18"/>
        <v>#VALUE!</v>
      </c>
      <c r="T573" s="116" t="e">
        <f t="shared" si="19"/>
        <v>#VALUE!</v>
      </c>
      <c r="U573" s="12"/>
      <c r="V573" s="107" t="str">
        <f>'SET 2 PLAYERS'!Q277</f>
        <v/>
      </c>
      <c r="W573" s="12"/>
    </row>
    <row r="574" spans="2:23" x14ac:dyDescent="0.25">
      <c r="B574" s="99" t="str">
        <f>'SET 2 PLAYERS'!G278</f>
        <v>CLASS 2</v>
      </c>
      <c r="C574" s="102" t="str">
        <f>IF(AND('ROSTER UPDATE'!B278=""),"",('ROSTER UPDATE'!B278))</f>
        <v/>
      </c>
      <c r="D574" s="103" t="str">
        <f>IF(AND('ROSTER UPDATE'!E278=""),"",('ROSTER UPDATE'!E278))</f>
        <v/>
      </c>
      <c r="E574" s="12"/>
      <c r="F574" s="102" t="str">
        <f>IF(AND('ROSTER UPDATE'!F278=""),"",('ROSTER UPDATE'!F278))</f>
        <v/>
      </c>
      <c r="G574" s="103" t="str">
        <f>IF(AND('ROSTER UPDATE'!C278=""),"",('ROSTER UPDATE'!C278))</f>
        <v/>
      </c>
      <c r="H574" s="12"/>
      <c r="I574" s="12"/>
      <c r="O574" s="12"/>
      <c r="P574" s="102" t="str">
        <f>'SET 2 PLAYERS'!O278</f>
        <v/>
      </c>
      <c r="Q574" s="103" t="str">
        <f>'SET 2 PLAYERS'!P278</f>
        <v/>
      </c>
      <c r="R574" s="14"/>
      <c r="S574" s="115" t="e">
        <f t="shared" si="18"/>
        <v>#VALUE!</v>
      </c>
      <c r="T574" s="116" t="e">
        <f t="shared" si="19"/>
        <v>#VALUE!</v>
      </c>
      <c r="U574" s="12"/>
      <c r="V574" s="107" t="str">
        <f>'SET 2 PLAYERS'!Q278</f>
        <v/>
      </c>
      <c r="W574" s="12"/>
    </row>
    <row r="575" spans="2:23" x14ac:dyDescent="0.25">
      <c r="B575" s="99" t="str">
        <f>'SET 2 PLAYERS'!G279</f>
        <v>CLASS 2</v>
      </c>
      <c r="C575" s="102" t="str">
        <f>IF(AND('ROSTER UPDATE'!B279=""),"",('ROSTER UPDATE'!B279))</f>
        <v/>
      </c>
      <c r="D575" s="103" t="str">
        <f>IF(AND('ROSTER UPDATE'!E279=""),"",('ROSTER UPDATE'!E279))</f>
        <v/>
      </c>
      <c r="E575" s="12"/>
      <c r="F575" s="102" t="str">
        <f>IF(AND('ROSTER UPDATE'!F279=""),"",('ROSTER UPDATE'!F279))</f>
        <v/>
      </c>
      <c r="G575" s="103" t="str">
        <f>IF(AND('ROSTER UPDATE'!C279=""),"",('ROSTER UPDATE'!C279))</f>
        <v/>
      </c>
      <c r="H575" s="12"/>
      <c r="I575" s="12"/>
      <c r="O575" s="12"/>
      <c r="P575" s="102" t="str">
        <f>'SET 2 PLAYERS'!O279</f>
        <v/>
      </c>
      <c r="Q575" s="103" t="str">
        <f>'SET 2 PLAYERS'!P279</f>
        <v/>
      </c>
      <c r="R575" s="14"/>
      <c r="S575" s="115" t="e">
        <f t="shared" si="18"/>
        <v>#VALUE!</v>
      </c>
      <c r="T575" s="116" t="e">
        <f t="shared" si="19"/>
        <v>#VALUE!</v>
      </c>
      <c r="U575" s="12"/>
      <c r="V575" s="107" t="str">
        <f>'SET 2 PLAYERS'!Q279</f>
        <v/>
      </c>
      <c r="W575" s="12"/>
    </row>
    <row r="576" spans="2:23" x14ac:dyDescent="0.25">
      <c r="B576" s="99" t="str">
        <f>'SET 2 PLAYERS'!G280</f>
        <v>CLASS 2</v>
      </c>
      <c r="C576" s="102" t="str">
        <f>IF(AND('ROSTER UPDATE'!B280=""),"",('ROSTER UPDATE'!B280))</f>
        <v/>
      </c>
      <c r="D576" s="103" t="str">
        <f>IF(AND('ROSTER UPDATE'!E280=""),"",('ROSTER UPDATE'!E280))</f>
        <v/>
      </c>
      <c r="E576" s="12"/>
      <c r="F576" s="102" t="str">
        <f>IF(AND('ROSTER UPDATE'!F280=""),"",('ROSTER UPDATE'!F280))</f>
        <v/>
      </c>
      <c r="G576" s="103" t="str">
        <f>IF(AND('ROSTER UPDATE'!C280=""),"",('ROSTER UPDATE'!C280))</f>
        <v/>
      </c>
      <c r="H576" s="12"/>
      <c r="I576" s="12"/>
      <c r="O576" s="12"/>
      <c r="P576" s="102" t="str">
        <f>'SET 2 PLAYERS'!O280</f>
        <v/>
      </c>
      <c r="Q576" s="103" t="str">
        <f>'SET 2 PLAYERS'!P280</f>
        <v/>
      </c>
      <c r="R576" s="14"/>
      <c r="S576" s="115" t="e">
        <f t="shared" si="18"/>
        <v>#VALUE!</v>
      </c>
      <c r="T576" s="116" t="e">
        <f t="shared" si="19"/>
        <v>#VALUE!</v>
      </c>
      <c r="U576" s="12"/>
      <c r="V576" s="107" t="str">
        <f>'SET 2 PLAYERS'!Q280</f>
        <v/>
      </c>
      <c r="W576" s="12"/>
    </row>
    <row r="577" spans="2:23" x14ac:dyDescent="0.25">
      <c r="B577" s="99" t="str">
        <f>'SET 2 PLAYERS'!G281</f>
        <v>CLASS 2</v>
      </c>
      <c r="C577" s="102" t="str">
        <f>IF(AND('ROSTER UPDATE'!B281=""),"",('ROSTER UPDATE'!B281))</f>
        <v/>
      </c>
      <c r="D577" s="103" t="str">
        <f>IF(AND('ROSTER UPDATE'!E281=""),"",('ROSTER UPDATE'!E281))</f>
        <v/>
      </c>
      <c r="E577" s="12"/>
      <c r="F577" s="102" t="str">
        <f>IF(AND('ROSTER UPDATE'!F281=""),"",('ROSTER UPDATE'!F281))</f>
        <v/>
      </c>
      <c r="G577" s="103" t="str">
        <f>IF(AND('ROSTER UPDATE'!C281=""),"",('ROSTER UPDATE'!C281))</f>
        <v/>
      </c>
      <c r="H577" s="12"/>
      <c r="I577" s="12"/>
      <c r="O577" s="12"/>
      <c r="P577" s="102" t="str">
        <f>'SET 2 PLAYERS'!O281</f>
        <v/>
      </c>
      <c r="Q577" s="103" t="str">
        <f>'SET 2 PLAYERS'!P281</f>
        <v/>
      </c>
      <c r="R577" s="14"/>
      <c r="S577" s="115" t="e">
        <f t="shared" si="18"/>
        <v>#VALUE!</v>
      </c>
      <c r="T577" s="116" t="e">
        <f t="shared" si="19"/>
        <v>#VALUE!</v>
      </c>
      <c r="U577" s="12"/>
      <c r="V577" s="107" t="str">
        <f>'SET 2 PLAYERS'!Q281</f>
        <v/>
      </c>
      <c r="W577" s="12"/>
    </row>
    <row r="578" spans="2:23" x14ac:dyDescent="0.25">
      <c r="B578" s="99" t="str">
        <f>'SET 2 PLAYERS'!G282</f>
        <v>CLASS 2</v>
      </c>
      <c r="C578" s="102" t="str">
        <f>IF(AND('ROSTER UPDATE'!B282=""),"",('ROSTER UPDATE'!B282))</f>
        <v/>
      </c>
      <c r="D578" s="103" t="str">
        <f>IF(AND('ROSTER UPDATE'!E282=""),"",('ROSTER UPDATE'!E282))</f>
        <v/>
      </c>
      <c r="E578" s="12"/>
      <c r="F578" s="102" t="str">
        <f>IF(AND('ROSTER UPDATE'!F282=""),"",('ROSTER UPDATE'!F282))</f>
        <v/>
      </c>
      <c r="G578" s="103" t="str">
        <f>IF(AND('ROSTER UPDATE'!C282=""),"",('ROSTER UPDATE'!C282))</f>
        <v/>
      </c>
      <c r="H578" s="12"/>
      <c r="I578" s="12"/>
      <c r="O578" s="12"/>
      <c r="P578" s="102" t="str">
        <f>'SET 2 PLAYERS'!O282</f>
        <v/>
      </c>
      <c r="Q578" s="103" t="str">
        <f>'SET 2 PLAYERS'!P282</f>
        <v/>
      </c>
      <c r="R578" s="14"/>
      <c r="S578" s="115" t="e">
        <f t="shared" si="18"/>
        <v>#VALUE!</v>
      </c>
      <c r="T578" s="116" t="e">
        <f t="shared" si="19"/>
        <v>#VALUE!</v>
      </c>
      <c r="U578" s="12"/>
      <c r="V578" s="107" t="str">
        <f>'SET 2 PLAYERS'!Q282</f>
        <v/>
      </c>
      <c r="W578" s="12"/>
    </row>
    <row r="579" spans="2:23" x14ac:dyDescent="0.25">
      <c r="B579" s="99" t="str">
        <f>'SET 2 PLAYERS'!G283</f>
        <v>CLASS 2</v>
      </c>
      <c r="C579" s="102" t="str">
        <f>IF(AND('ROSTER UPDATE'!B283=""),"",('ROSTER UPDATE'!B283))</f>
        <v/>
      </c>
      <c r="D579" s="103" t="str">
        <f>IF(AND('ROSTER UPDATE'!E283=""),"",('ROSTER UPDATE'!E283))</f>
        <v/>
      </c>
      <c r="E579" s="12"/>
      <c r="F579" s="102" t="str">
        <f>IF(AND('ROSTER UPDATE'!F283=""),"",('ROSTER UPDATE'!F283))</f>
        <v/>
      </c>
      <c r="G579" s="103" t="str">
        <f>IF(AND('ROSTER UPDATE'!C283=""),"",('ROSTER UPDATE'!C283))</f>
        <v/>
      </c>
      <c r="H579" s="12"/>
      <c r="I579" s="12"/>
      <c r="O579" s="12"/>
      <c r="P579" s="102" t="str">
        <f>'SET 2 PLAYERS'!O283</f>
        <v/>
      </c>
      <c r="Q579" s="103" t="str">
        <f>'SET 2 PLAYERS'!P283</f>
        <v/>
      </c>
      <c r="R579" s="14"/>
      <c r="S579" s="115" t="e">
        <f t="shared" si="18"/>
        <v>#VALUE!</v>
      </c>
      <c r="T579" s="116" t="e">
        <f t="shared" si="19"/>
        <v>#VALUE!</v>
      </c>
      <c r="U579" s="12"/>
      <c r="V579" s="107" t="str">
        <f>'SET 2 PLAYERS'!Q283</f>
        <v/>
      </c>
      <c r="W579" s="12"/>
    </row>
    <row r="580" spans="2:23" x14ac:dyDescent="0.25">
      <c r="B580" s="99" t="str">
        <f>'SET 2 PLAYERS'!G284</f>
        <v>CLASS 2</v>
      </c>
      <c r="C580" s="102" t="str">
        <f>IF(AND('ROSTER UPDATE'!B284=""),"",('ROSTER UPDATE'!B284))</f>
        <v/>
      </c>
      <c r="D580" s="103" t="str">
        <f>IF(AND('ROSTER UPDATE'!E284=""),"",('ROSTER UPDATE'!E284))</f>
        <v/>
      </c>
      <c r="E580" s="12"/>
      <c r="F580" s="102" t="str">
        <f>IF(AND('ROSTER UPDATE'!F284=""),"",('ROSTER UPDATE'!F284))</f>
        <v/>
      </c>
      <c r="G580" s="103" t="str">
        <f>IF(AND('ROSTER UPDATE'!C284=""),"",('ROSTER UPDATE'!C284))</f>
        <v/>
      </c>
      <c r="H580" s="12"/>
      <c r="I580" s="12"/>
      <c r="O580" s="12"/>
      <c r="P580" s="102" t="str">
        <f>'SET 2 PLAYERS'!O284</f>
        <v/>
      </c>
      <c r="Q580" s="103" t="str">
        <f>'SET 2 PLAYERS'!P284</f>
        <v/>
      </c>
      <c r="R580" s="14"/>
      <c r="S580" s="115" t="e">
        <f t="shared" si="18"/>
        <v>#VALUE!</v>
      </c>
      <c r="T580" s="116" t="e">
        <f t="shared" si="19"/>
        <v>#VALUE!</v>
      </c>
      <c r="U580" s="12"/>
      <c r="V580" s="107" t="str">
        <f>'SET 2 PLAYERS'!Q284</f>
        <v/>
      </c>
      <c r="W580" s="12"/>
    </row>
    <row r="581" spans="2:23" x14ac:dyDescent="0.25">
      <c r="B581" s="99" t="str">
        <f>'SET 2 PLAYERS'!G285</f>
        <v>CLASS 2</v>
      </c>
      <c r="C581" s="102" t="str">
        <f>IF(AND('ROSTER UPDATE'!B285=""),"",('ROSTER UPDATE'!B285))</f>
        <v/>
      </c>
      <c r="D581" s="103" t="str">
        <f>IF(AND('ROSTER UPDATE'!E285=""),"",('ROSTER UPDATE'!E285))</f>
        <v/>
      </c>
      <c r="E581" s="12"/>
      <c r="F581" s="102" t="str">
        <f>IF(AND('ROSTER UPDATE'!F285=""),"",('ROSTER UPDATE'!F285))</f>
        <v/>
      </c>
      <c r="G581" s="103" t="str">
        <f>IF(AND('ROSTER UPDATE'!C285=""),"",('ROSTER UPDATE'!C285))</f>
        <v/>
      </c>
      <c r="H581" s="12"/>
      <c r="I581" s="12"/>
      <c r="O581" s="12"/>
      <c r="P581" s="102" t="str">
        <f>'SET 2 PLAYERS'!O285</f>
        <v/>
      </c>
      <c r="Q581" s="103" t="str">
        <f>'SET 2 PLAYERS'!P285</f>
        <v/>
      </c>
      <c r="R581" s="14"/>
      <c r="S581" s="115" t="e">
        <f t="shared" si="18"/>
        <v>#VALUE!</v>
      </c>
      <c r="T581" s="116" t="e">
        <f t="shared" si="19"/>
        <v>#VALUE!</v>
      </c>
      <c r="U581" s="12"/>
      <c r="V581" s="107" t="str">
        <f>'SET 2 PLAYERS'!Q285</f>
        <v/>
      </c>
      <c r="W581" s="12"/>
    </row>
    <row r="582" spans="2:23" x14ac:dyDescent="0.25">
      <c r="B582" s="99" t="str">
        <f>'SET 2 PLAYERS'!G286</f>
        <v>CLASS 2</v>
      </c>
      <c r="C582" s="102" t="str">
        <f>IF(AND('ROSTER UPDATE'!B286=""),"",('ROSTER UPDATE'!B286))</f>
        <v/>
      </c>
      <c r="D582" s="103" t="str">
        <f>IF(AND('ROSTER UPDATE'!E286=""),"",('ROSTER UPDATE'!E286))</f>
        <v/>
      </c>
      <c r="E582" s="12"/>
      <c r="F582" s="102" t="str">
        <f>IF(AND('ROSTER UPDATE'!F286=""),"",('ROSTER UPDATE'!F286))</f>
        <v/>
      </c>
      <c r="G582" s="103" t="str">
        <f>IF(AND('ROSTER UPDATE'!C286=""),"",('ROSTER UPDATE'!C286))</f>
        <v/>
      </c>
      <c r="H582" s="12"/>
      <c r="I582" s="12"/>
      <c r="O582" s="12"/>
      <c r="P582" s="102" t="str">
        <f>'SET 2 PLAYERS'!O286</f>
        <v/>
      </c>
      <c r="Q582" s="103" t="str">
        <f>'SET 2 PLAYERS'!P286</f>
        <v/>
      </c>
      <c r="R582" s="14"/>
      <c r="S582" s="115" t="e">
        <f t="shared" si="18"/>
        <v>#VALUE!</v>
      </c>
      <c r="T582" s="116" t="e">
        <f t="shared" si="19"/>
        <v>#VALUE!</v>
      </c>
      <c r="U582" s="12"/>
      <c r="V582" s="107" t="str">
        <f>'SET 2 PLAYERS'!Q286</f>
        <v/>
      </c>
      <c r="W582" s="12"/>
    </row>
    <row r="583" spans="2:23" x14ac:dyDescent="0.25">
      <c r="B583" s="99" t="str">
        <f>'SET 2 PLAYERS'!G287</f>
        <v>CLASS 2</v>
      </c>
      <c r="C583" s="102" t="str">
        <f>IF(AND('ROSTER UPDATE'!B287=""),"",('ROSTER UPDATE'!B287))</f>
        <v/>
      </c>
      <c r="D583" s="103" t="str">
        <f>IF(AND('ROSTER UPDATE'!E287=""),"",('ROSTER UPDATE'!E287))</f>
        <v/>
      </c>
      <c r="E583" s="12"/>
      <c r="F583" s="102" t="str">
        <f>IF(AND('ROSTER UPDATE'!F287=""),"",('ROSTER UPDATE'!F287))</f>
        <v/>
      </c>
      <c r="G583" s="103" t="str">
        <f>IF(AND('ROSTER UPDATE'!C287=""),"",('ROSTER UPDATE'!C287))</f>
        <v/>
      </c>
      <c r="H583" s="12"/>
      <c r="I583" s="12"/>
      <c r="O583" s="12"/>
      <c r="P583" s="102" t="str">
        <f>'SET 2 PLAYERS'!O287</f>
        <v/>
      </c>
      <c r="Q583" s="103" t="str">
        <f>'SET 2 PLAYERS'!P287</f>
        <v/>
      </c>
      <c r="R583" s="14"/>
      <c r="S583" s="115" t="e">
        <f t="shared" si="18"/>
        <v>#VALUE!</v>
      </c>
      <c r="T583" s="116" t="e">
        <f t="shared" si="19"/>
        <v>#VALUE!</v>
      </c>
      <c r="U583" s="12"/>
      <c r="V583" s="107" t="str">
        <f>'SET 2 PLAYERS'!Q287</f>
        <v/>
      </c>
      <c r="W583" s="12"/>
    </row>
    <row r="584" spans="2:23" x14ac:dyDescent="0.25">
      <c r="B584" s="99" t="str">
        <f>'SET 2 PLAYERS'!G288</f>
        <v>CLASS 2</v>
      </c>
      <c r="C584" s="102" t="str">
        <f>IF(AND('ROSTER UPDATE'!B288=""),"",('ROSTER UPDATE'!B288))</f>
        <v/>
      </c>
      <c r="D584" s="103" t="str">
        <f>IF(AND('ROSTER UPDATE'!E288=""),"",('ROSTER UPDATE'!E288))</f>
        <v/>
      </c>
      <c r="E584" s="12"/>
      <c r="F584" s="102" t="str">
        <f>IF(AND('ROSTER UPDATE'!F288=""),"",('ROSTER UPDATE'!F288))</f>
        <v/>
      </c>
      <c r="G584" s="103" t="str">
        <f>IF(AND('ROSTER UPDATE'!C288=""),"",('ROSTER UPDATE'!C288))</f>
        <v/>
      </c>
      <c r="H584" s="12"/>
      <c r="I584" s="12"/>
      <c r="O584" s="12"/>
      <c r="P584" s="102" t="str">
        <f>'SET 2 PLAYERS'!O288</f>
        <v/>
      </c>
      <c r="Q584" s="103" t="str">
        <f>'SET 2 PLAYERS'!P288</f>
        <v/>
      </c>
      <c r="R584" s="14"/>
      <c r="S584" s="115" t="e">
        <f t="shared" si="18"/>
        <v>#VALUE!</v>
      </c>
      <c r="T584" s="116" t="e">
        <f t="shared" si="19"/>
        <v>#VALUE!</v>
      </c>
      <c r="U584" s="12"/>
      <c r="V584" s="107" t="str">
        <f>'SET 2 PLAYERS'!Q288</f>
        <v/>
      </c>
      <c r="W584" s="12"/>
    </row>
    <row r="585" spans="2:23" x14ac:dyDescent="0.25">
      <c r="B585" s="99" t="str">
        <f>'SET 2 PLAYERS'!G289</f>
        <v>CLASS 2</v>
      </c>
      <c r="C585" s="102" t="str">
        <f>IF(AND('ROSTER UPDATE'!B289=""),"",('ROSTER UPDATE'!B289))</f>
        <v/>
      </c>
      <c r="D585" s="103" t="str">
        <f>IF(AND('ROSTER UPDATE'!E289=""),"",('ROSTER UPDATE'!E289))</f>
        <v/>
      </c>
      <c r="E585" s="12"/>
      <c r="F585" s="102" t="str">
        <f>IF(AND('ROSTER UPDATE'!F289=""),"",('ROSTER UPDATE'!F289))</f>
        <v/>
      </c>
      <c r="G585" s="103" t="str">
        <f>IF(AND('ROSTER UPDATE'!C289=""),"",('ROSTER UPDATE'!C289))</f>
        <v/>
      </c>
      <c r="H585" s="12"/>
      <c r="I585" s="12"/>
      <c r="O585" s="12"/>
      <c r="P585" s="102" t="str">
        <f>'SET 2 PLAYERS'!O289</f>
        <v/>
      </c>
      <c r="Q585" s="103" t="str">
        <f>'SET 2 PLAYERS'!P289</f>
        <v/>
      </c>
      <c r="R585" s="14"/>
      <c r="S585" s="115" t="e">
        <f t="shared" si="18"/>
        <v>#VALUE!</v>
      </c>
      <c r="T585" s="116" t="e">
        <f t="shared" si="19"/>
        <v>#VALUE!</v>
      </c>
      <c r="U585" s="12"/>
      <c r="V585" s="107" t="str">
        <f>'SET 2 PLAYERS'!Q289</f>
        <v/>
      </c>
      <c r="W585" s="12"/>
    </row>
    <row r="586" spans="2:23" x14ac:dyDescent="0.25">
      <c r="B586" s="99" t="str">
        <f>'SET 2 PLAYERS'!G290</f>
        <v>CLASS 2</v>
      </c>
      <c r="C586" s="102" t="str">
        <f>IF(AND('ROSTER UPDATE'!B290=""),"",('ROSTER UPDATE'!B290))</f>
        <v/>
      </c>
      <c r="D586" s="103" t="str">
        <f>IF(AND('ROSTER UPDATE'!E290=""),"",('ROSTER UPDATE'!E290))</f>
        <v/>
      </c>
      <c r="E586" s="12"/>
      <c r="F586" s="102" t="str">
        <f>IF(AND('ROSTER UPDATE'!F290=""),"",('ROSTER UPDATE'!F290))</f>
        <v/>
      </c>
      <c r="G586" s="103" t="str">
        <f>IF(AND('ROSTER UPDATE'!C290=""),"",('ROSTER UPDATE'!C290))</f>
        <v/>
      </c>
      <c r="H586" s="12"/>
      <c r="I586" s="12"/>
      <c r="O586" s="12"/>
      <c r="P586" s="102" t="str">
        <f>'SET 2 PLAYERS'!O290</f>
        <v/>
      </c>
      <c r="Q586" s="103" t="str">
        <f>'SET 2 PLAYERS'!P290</f>
        <v/>
      </c>
      <c r="R586" s="14"/>
      <c r="S586" s="115" t="e">
        <f t="shared" si="18"/>
        <v>#VALUE!</v>
      </c>
      <c r="T586" s="116" t="e">
        <f t="shared" si="19"/>
        <v>#VALUE!</v>
      </c>
      <c r="U586" s="12"/>
      <c r="V586" s="107" t="str">
        <f>'SET 2 PLAYERS'!Q290</f>
        <v/>
      </c>
      <c r="W586" s="12"/>
    </row>
    <row r="587" spans="2:23" x14ac:dyDescent="0.25">
      <c r="B587" s="99" t="str">
        <f>'SET 2 PLAYERS'!G291</f>
        <v>CLASS 2</v>
      </c>
      <c r="C587" s="102" t="str">
        <f>IF(AND('ROSTER UPDATE'!B291=""),"",('ROSTER UPDATE'!B291))</f>
        <v/>
      </c>
      <c r="D587" s="103" t="str">
        <f>IF(AND('ROSTER UPDATE'!E291=""),"",('ROSTER UPDATE'!E291))</f>
        <v/>
      </c>
      <c r="E587" s="12"/>
      <c r="F587" s="102" t="str">
        <f>IF(AND('ROSTER UPDATE'!F291=""),"",('ROSTER UPDATE'!F291))</f>
        <v/>
      </c>
      <c r="G587" s="103" t="str">
        <f>IF(AND('ROSTER UPDATE'!C291=""),"",('ROSTER UPDATE'!C291))</f>
        <v/>
      </c>
      <c r="H587" s="12"/>
      <c r="I587" s="12"/>
      <c r="O587" s="12"/>
      <c r="P587" s="102" t="str">
        <f>'SET 2 PLAYERS'!O291</f>
        <v/>
      </c>
      <c r="Q587" s="103" t="str">
        <f>'SET 2 PLAYERS'!P291</f>
        <v/>
      </c>
      <c r="R587" s="14"/>
      <c r="S587" s="115" t="e">
        <f t="shared" si="18"/>
        <v>#VALUE!</v>
      </c>
      <c r="T587" s="116" t="e">
        <f t="shared" si="19"/>
        <v>#VALUE!</v>
      </c>
      <c r="U587" s="12"/>
      <c r="V587" s="107" t="str">
        <f>'SET 2 PLAYERS'!Q291</f>
        <v/>
      </c>
      <c r="W587" s="12"/>
    </row>
    <row r="588" spans="2:23" x14ac:dyDescent="0.25">
      <c r="B588" s="99" t="str">
        <f>'SET 2 PLAYERS'!G292</f>
        <v>CLASS 2</v>
      </c>
      <c r="C588" s="102" t="str">
        <f>IF(AND('ROSTER UPDATE'!B292=""),"",('ROSTER UPDATE'!B292))</f>
        <v/>
      </c>
      <c r="D588" s="103" t="str">
        <f>IF(AND('ROSTER UPDATE'!E292=""),"",('ROSTER UPDATE'!E292))</f>
        <v/>
      </c>
      <c r="E588" s="12"/>
      <c r="F588" s="102" t="str">
        <f>IF(AND('ROSTER UPDATE'!F292=""),"",('ROSTER UPDATE'!F292))</f>
        <v/>
      </c>
      <c r="G588" s="103" t="str">
        <f>IF(AND('ROSTER UPDATE'!C292=""),"",('ROSTER UPDATE'!C292))</f>
        <v/>
      </c>
      <c r="H588" s="12"/>
      <c r="I588" s="12"/>
      <c r="O588" s="12"/>
      <c r="P588" s="102" t="str">
        <f>'SET 2 PLAYERS'!O292</f>
        <v/>
      </c>
      <c r="Q588" s="103" t="str">
        <f>'SET 2 PLAYERS'!P292</f>
        <v/>
      </c>
      <c r="R588" s="14"/>
      <c r="S588" s="115" t="e">
        <f t="shared" si="18"/>
        <v>#VALUE!</v>
      </c>
      <c r="T588" s="116" t="e">
        <f t="shared" si="19"/>
        <v>#VALUE!</v>
      </c>
      <c r="U588" s="12"/>
      <c r="V588" s="107" t="str">
        <f>'SET 2 PLAYERS'!Q292</f>
        <v/>
      </c>
      <c r="W588" s="12"/>
    </row>
    <row r="589" spans="2:23" x14ac:dyDescent="0.25">
      <c r="B589" s="99" t="str">
        <f>'SET 2 PLAYERS'!G293</f>
        <v>CLASS 2</v>
      </c>
      <c r="C589" s="102" t="str">
        <f>IF(AND('ROSTER UPDATE'!B293=""),"",('ROSTER UPDATE'!B293))</f>
        <v/>
      </c>
      <c r="D589" s="103" t="str">
        <f>IF(AND('ROSTER UPDATE'!E293=""),"",('ROSTER UPDATE'!E293))</f>
        <v/>
      </c>
      <c r="E589" s="12"/>
      <c r="F589" s="102" t="str">
        <f>IF(AND('ROSTER UPDATE'!F293=""),"",('ROSTER UPDATE'!F293))</f>
        <v/>
      </c>
      <c r="G589" s="103" t="str">
        <f>IF(AND('ROSTER UPDATE'!C293=""),"",('ROSTER UPDATE'!C293))</f>
        <v/>
      </c>
      <c r="H589" s="12"/>
      <c r="I589" s="12"/>
      <c r="O589" s="12"/>
      <c r="P589" s="102" t="str">
        <f>'SET 2 PLAYERS'!O293</f>
        <v/>
      </c>
      <c r="Q589" s="103" t="str">
        <f>'SET 2 PLAYERS'!P293</f>
        <v/>
      </c>
      <c r="R589" s="14"/>
      <c r="S589" s="115" t="e">
        <f t="shared" si="18"/>
        <v>#VALUE!</v>
      </c>
      <c r="T589" s="116" t="e">
        <f t="shared" si="19"/>
        <v>#VALUE!</v>
      </c>
      <c r="U589" s="12"/>
      <c r="V589" s="107" t="str">
        <f>'SET 2 PLAYERS'!Q293</f>
        <v/>
      </c>
      <c r="W589" s="12"/>
    </row>
    <row r="590" spans="2:23" x14ac:dyDescent="0.25">
      <c r="B590" s="99" t="str">
        <f>'SET 2 PLAYERS'!G294</f>
        <v>CLASS 2</v>
      </c>
      <c r="C590" s="102" t="str">
        <f>IF(AND('ROSTER UPDATE'!B294=""),"",('ROSTER UPDATE'!B294))</f>
        <v/>
      </c>
      <c r="D590" s="103" t="str">
        <f>IF(AND('ROSTER UPDATE'!E294=""),"",('ROSTER UPDATE'!E294))</f>
        <v/>
      </c>
      <c r="E590" s="12"/>
      <c r="F590" s="102" t="str">
        <f>IF(AND('ROSTER UPDATE'!F294=""),"",('ROSTER UPDATE'!F294))</f>
        <v/>
      </c>
      <c r="G590" s="103" t="str">
        <f>IF(AND('ROSTER UPDATE'!C294=""),"",('ROSTER UPDATE'!C294))</f>
        <v/>
      </c>
      <c r="H590" s="12"/>
      <c r="I590" s="12"/>
      <c r="O590" s="12"/>
      <c r="P590" s="102" t="str">
        <f>'SET 2 PLAYERS'!O294</f>
        <v/>
      </c>
      <c r="Q590" s="103" t="str">
        <f>'SET 2 PLAYERS'!P294</f>
        <v/>
      </c>
      <c r="R590" s="14"/>
      <c r="S590" s="115" t="e">
        <f t="shared" si="18"/>
        <v>#VALUE!</v>
      </c>
      <c r="T590" s="116" t="e">
        <f t="shared" si="19"/>
        <v>#VALUE!</v>
      </c>
      <c r="U590" s="12"/>
      <c r="V590" s="107" t="str">
        <f>'SET 2 PLAYERS'!Q294</f>
        <v/>
      </c>
      <c r="W590" s="12"/>
    </row>
    <row r="591" spans="2:23" x14ac:dyDescent="0.25">
      <c r="B591" s="99" t="str">
        <f>'SET 2 PLAYERS'!G295</f>
        <v>CLASS 2</v>
      </c>
      <c r="C591" s="102" t="str">
        <f>IF(AND('ROSTER UPDATE'!B295=""),"",('ROSTER UPDATE'!B295))</f>
        <v/>
      </c>
      <c r="D591" s="103" t="str">
        <f>IF(AND('ROSTER UPDATE'!E295=""),"",('ROSTER UPDATE'!E295))</f>
        <v/>
      </c>
      <c r="E591" s="12"/>
      <c r="F591" s="102" t="str">
        <f>IF(AND('ROSTER UPDATE'!F295=""),"",('ROSTER UPDATE'!F295))</f>
        <v/>
      </c>
      <c r="G591" s="103" t="str">
        <f>IF(AND('ROSTER UPDATE'!C295=""),"",('ROSTER UPDATE'!C295))</f>
        <v/>
      </c>
      <c r="H591" s="12"/>
      <c r="I591" s="12"/>
      <c r="O591" s="12"/>
      <c r="P591" s="102" t="str">
        <f>'SET 2 PLAYERS'!O295</f>
        <v/>
      </c>
      <c r="Q591" s="103" t="str">
        <f>'SET 2 PLAYERS'!P295</f>
        <v/>
      </c>
      <c r="R591" s="14"/>
      <c r="S591" s="115" t="e">
        <f t="shared" si="18"/>
        <v>#VALUE!</v>
      </c>
      <c r="T591" s="116" t="e">
        <f t="shared" si="19"/>
        <v>#VALUE!</v>
      </c>
      <c r="U591" s="12"/>
      <c r="V591" s="107" t="str">
        <f>'SET 2 PLAYERS'!Q295</f>
        <v/>
      </c>
      <c r="W591" s="12"/>
    </row>
    <row r="592" spans="2:23" x14ac:dyDescent="0.25">
      <c r="B592" s="99" t="str">
        <f>'SET 2 PLAYERS'!G296</f>
        <v>CLASS 2</v>
      </c>
      <c r="C592" s="102" t="str">
        <f>IF(AND('ROSTER UPDATE'!B296=""),"",('ROSTER UPDATE'!B296))</f>
        <v/>
      </c>
      <c r="D592" s="103" t="str">
        <f>IF(AND('ROSTER UPDATE'!E296=""),"",('ROSTER UPDATE'!E296))</f>
        <v/>
      </c>
      <c r="E592" s="12"/>
      <c r="F592" s="102" t="str">
        <f>IF(AND('ROSTER UPDATE'!F296=""),"",('ROSTER UPDATE'!F296))</f>
        <v/>
      </c>
      <c r="G592" s="103" t="str">
        <f>IF(AND('ROSTER UPDATE'!C296=""),"",('ROSTER UPDATE'!C296))</f>
        <v/>
      </c>
      <c r="H592" s="12"/>
      <c r="I592" s="12"/>
      <c r="O592" s="12"/>
      <c r="P592" s="102" t="str">
        <f>'SET 2 PLAYERS'!O296</f>
        <v/>
      </c>
      <c r="Q592" s="103" t="str">
        <f>'SET 2 PLAYERS'!P296</f>
        <v/>
      </c>
      <c r="R592" s="14"/>
      <c r="S592" s="115" t="e">
        <f t="shared" si="18"/>
        <v>#VALUE!</v>
      </c>
      <c r="T592" s="116" t="e">
        <f t="shared" si="19"/>
        <v>#VALUE!</v>
      </c>
      <c r="U592" s="12"/>
      <c r="V592" s="107" t="str">
        <f>'SET 2 PLAYERS'!Q296</f>
        <v/>
      </c>
      <c r="W592" s="12"/>
    </row>
    <row r="593" spans="1:23" x14ac:dyDescent="0.25">
      <c r="B593" s="99" t="str">
        <f>'SET 2 PLAYERS'!G297</f>
        <v>CLASS 2</v>
      </c>
      <c r="C593" s="102" t="str">
        <f>IF(AND('ROSTER UPDATE'!B297=""),"",('ROSTER UPDATE'!B297))</f>
        <v/>
      </c>
      <c r="D593" s="103" t="str">
        <f>IF(AND('ROSTER UPDATE'!E297=""),"",('ROSTER UPDATE'!E297))</f>
        <v/>
      </c>
      <c r="E593" s="12"/>
      <c r="F593" s="102" t="str">
        <f>IF(AND('ROSTER UPDATE'!F297=""),"",('ROSTER UPDATE'!F297))</f>
        <v/>
      </c>
      <c r="G593" s="103" t="str">
        <f>IF(AND('ROSTER UPDATE'!C297=""),"",('ROSTER UPDATE'!C297))</f>
        <v/>
      </c>
      <c r="H593" s="12"/>
      <c r="I593" s="12"/>
      <c r="O593" s="12"/>
      <c r="P593" s="102" t="str">
        <f>'SET 2 PLAYERS'!O297</f>
        <v/>
      </c>
      <c r="Q593" s="103" t="str">
        <f>'SET 2 PLAYERS'!P297</f>
        <v/>
      </c>
      <c r="R593" s="14"/>
      <c r="S593" s="115" t="e">
        <f t="shared" si="18"/>
        <v>#VALUE!</v>
      </c>
      <c r="T593" s="116" t="e">
        <f t="shared" si="19"/>
        <v>#VALUE!</v>
      </c>
      <c r="U593" s="12"/>
      <c r="V593" s="107" t="str">
        <f>'SET 2 PLAYERS'!Q297</f>
        <v/>
      </c>
      <c r="W593" s="12"/>
    </row>
    <row r="594" spans="1:23" x14ac:dyDescent="0.25">
      <c r="B594" s="99" t="str">
        <f>'SET 2 PLAYERS'!G298</f>
        <v>CLASS 2</v>
      </c>
      <c r="C594" s="102" t="str">
        <f>IF(AND('ROSTER UPDATE'!B298=""),"",('ROSTER UPDATE'!B298))</f>
        <v/>
      </c>
      <c r="D594" s="103" t="str">
        <f>IF(AND('ROSTER UPDATE'!E298=""),"",('ROSTER UPDATE'!E298))</f>
        <v/>
      </c>
      <c r="E594" s="12"/>
      <c r="F594" s="102" t="str">
        <f>IF(AND('ROSTER UPDATE'!F298=""),"",('ROSTER UPDATE'!F298))</f>
        <v/>
      </c>
      <c r="G594" s="103" t="str">
        <f>IF(AND('ROSTER UPDATE'!C298=""),"",('ROSTER UPDATE'!C298))</f>
        <v/>
      </c>
      <c r="H594" s="12"/>
      <c r="I594" s="12"/>
      <c r="O594" s="12"/>
      <c r="P594" s="102" t="str">
        <f>'SET 2 PLAYERS'!O298</f>
        <v/>
      </c>
      <c r="Q594" s="103" t="str">
        <f>'SET 2 PLAYERS'!P298</f>
        <v/>
      </c>
      <c r="R594" s="14"/>
      <c r="S594" s="115" t="e">
        <f t="shared" si="18"/>
        <v>#VALUE!</v>
      </c>
      <c r="T594" s="116" t="e">
        <f t="shared" si="19"/>
        <v>#VALUE!</v>
      </c>
      <c r="U594" s="12"/>
      <c r="V594" s="107" t="str">
        <f>'SET 2 PLAYERS'!Q298</f>
        <v/>
      </c>
      <c r="W594" s="12"/>
    </row>
    <row r="595" spans="1:23" x14ac:dyDescent="0.25">
      <c r="B595" s="99" t="str">
        <f>'SET 2 PLAYERS'!G299</f>
        <v>CLASS 2</v>
      </c>
      <c r="C595" s="102" t="str">
        <f>IF(AND('ROSTER UPDATE'!B299=""),"",('ROSTER UPDATE'!B299))</f>
        <v/>
      </c>
      <c r="D595" s="103" t="str">
        <f>IF(AND('ROSTER UPDATE'!E299=""),"",('ROSTER UPDATE'!E299))</f>
        <v/>
      </c>
      <c r="E595" s="12"/>
      <c r="F595" s="102" t="str">
        <f>IF(AND('ROSTER UPDATE'!F299=""),"",('ROSTER UPDATE'!F299))</f>
        <v/>
      </c>
      <c r="G595" s="103" t="str">
        <f>IF(AND('ROSTER UPDATE'!C299=""),"",('ROSTER UPDATE'!C299))</f>
        <v/>
      </c>
      <c r="H595" s="12"/>
      <c r="I595" s="12"/>
      <c r="O595" s="12"/>
      <c r="P595" s="102" t="str">
        <f>'SET 2 PLAYERS'!O299</f>
        <v/>
      </c>
      <c r="Q595" s="103" t="str">
        <f>'SET 2 PLAYERS'!P299</f>
        <v/>
      </c>
      <c r="R595" s="14"/>
      <c r="S595" s="115" t="e">
        <f t="shared" si="18"/>
        <v>#VALUE!</v>
      </c>
      <c r="T595" s="116" t="e">
        <f t="shared" si="19"/>
        <v>#VALUE!</v>
      </c>
      <c r="U595" s="12"/>
      <c r="V595" s="107" t="str">
        <f>'SET 2 PLAYERS'!Q299</f>
        <v/>
      </c>
      <c r="W595" s="12"/>
    </row>
    <row r="596" spans="1:23" ht="15.75" thickBot="1" x14ac:dyDescent="0.3">
      <c r="B596" s="99" t="str">
        <f>'SET 2 PLAYERS'!G300</f>
        <v>CLASS 2</v>
      </c>
      <c r="C596" s="104" t="str">
        <f>IF(AND('ROSTER UPDATE'!B300=""),"",('ROSTER UPDATE'!B300))</f>
        <v/>
      </c>
      <c r="D596" s="105" t="str">
        <f>IF(AND('ROSTER UPDATE'!E300=""),"",('ROSTER UPDATE'!E300))</f>
        <v/>
      </c>
      <c r="E596" s="12"/>
      <c r="F596" s="104" t="str">
        <f>IF(AND('ROSTER UPDATE'!F300=""),"",('ROSTER UPDATE'!F300))</f>
        <v/>
      </c>
      <c r="G596" s="105" t="str">
        <f>IF(AND('ROSTER UPDATE'!C300=""),"",('ROSTER UPDATE'!C300))</f>
        <v/>
      </c>
      <c r="H596" s="12"/>
      <c r="I596" s="12"/>
      <c r="O596" s="12"/>
      <c r="P596" s="104" t="str">
        <f>'SET 2 PLAYERS'!O300</f>
        <v/>
      </c>
      <c r="Q596" s="105" t="str">
        <f>'SET 2 PLAYERS'!P300</f>
        <v/>
      </c>
      <c r="R596" s="14"/>
      <c r="S596" s="115" t="e">
        <f t="shared" si="18"/>
        <v>#VALUE!</v>
      </c>
      <c r="T596" s="116" t="e">
        <f t="shared" si="19"/>
        <v>#VALUE!</v>
      </c>
      <c r="U596" s="12"/>
      <c r="V596" s="108" t="str">
        <f>'SET 2 PLAYERS'!Q300</f>
        <v/>
      </c>
      <c r="W596" s="12"/>
    </row>
    <row r="597" spans="1:23" x14ac:dyDescent="0.25">
      <c r="A597" s="12"/>
      <c r="B597" s="3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4"/>
      <c r="S597" s="33"/>
      <c r="T597" s="33"/>
      <c r="U597" s="12"/>
      <c r="V597" s="12">
        <f>'SET 2 PLAYERS'!Q301</f>
        <v>0</v>
      </c>
      <c r="W597" s="12"/>
    </row>
    <row r="598" spans="1:23" x14ac:dyDescent="0.25">
      <c r="A598" s="12"/>
      <c r="B598" s="3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4"/>
      <c r="S598" s="33"/>
      <c r="T598" s="33"/>
      <c r="U598" s="12"/>
      <c r="V598" s="12"/>
      <c r="W598" s="12"/>
    </row>
  </sheetData>
  <mergeCells count="6">
    <mergeCell ref="V3:V4"/>
    <mergeCell ref="B3:B4"/>
    <mergeCell ref="C3:D3"/>
    <mergeCell ref="F3:G3"/>
    <mergeCell ref="S3:T3"/>
    <mergeCell ref="P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ENTRY DATA</vt:lpstr>
      <vt:lpstr>DAY 1</vt:lpstr>
      <vt:lpstr>DAY 2</vt:lpstr>
      <vt:lpstr>DAY 3</vt:lpstr>
      <vt:lpstr>DAY 4</vt:lpstr>
      <vt:lpstr>DAY 5</vt:lpstr>
      <vt:lpstr>ROSTER UPDATE</vt:lpstr>
      <vt:lpstr>SET 1 PLAYERS</vt:lpstr>
      <vt:lpstr>SET 2 PLAYERS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Zion Ogadi</dc:creator>
  <cp:lastModifiedBy>Zion Ogadi</cp:lastModifiedBy>
  <dcterms:created xsi:type="dcterms:W3CDTF">2025-08-03T18:29:51Z</dcterms:created>
  <dcterms:modified xsi:type="dcterms:W3CDTF">2025-08-16T20:39:52Z</dcterms:modified>
</cp:coreProperties>
</file>